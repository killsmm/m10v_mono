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work\_M_series_\_RIBERY_\src\home\mptk\SC2000_SDK_powsave\target\cpu_tkernel\board\sni_rk\hw_resource\list\"/>
    </mc:Choice>
  </mc:AlternateContent>
  <bookViews>
    <workbookView xWindow="2415" yWindow="-15" windowWidth="20520" windowHeight="4800" tabRatio="817" activeTab="2"/>
  </bookViews>
  <sheets>
    <sheet name="History" sheetId="3" r:id="rId1"/>
    <sheet name="M9M_SDK_IO" sheetId="23" r:id="rId2"/>
    <sheet name="M9M HWMacro CH" sheetId="22" r:id="rId3"/>
    <sheet name="M9M GIC" sheetId="28" r:id="rId4"/>
    <sheet name="M9M CLKSTP" sheetId="24" r:id="rId5"/>
    <sheet name="M9M CLKSTP_ES3" sheetId="26" r:id="rId6"/>
    <sheet name="M9M CLKSEL" sheetId="25" r:id="rId7"/>
    <sheet name="M9M CLKSEL_ES3" sheetId="27" r:id="rId8"/>
  </sheets>
  <definedNames>
    <definedName name="_xlnm._FilterDatabase" localSheetId="1" hidden="1">M9M_SDK_IO!$B$11:$T$211</definedName>
    <definedName name="_xlnm.Print_Area" localSheetId="1">M9M_SDK_IO!$A$1:$AF$67</definedName>
    <definedName name="_xlnm.Print_Titles" localSheetId="3">'M9M GIC'!$8:$9</definedName>
    <definedName name="_xlnm.Print_Titles" localSheetId="2">'M9M HWMacro CH'!$6:$7</definedName>
    <definedName name="_xlnm.Print_Titles" localSheetId="1">M9M_SDK_IO!$1:$11</definedName>
  </definedNames>
  <calcPr calcId="152511"/>
</workbook>
</file>

<file path=xl/calcChain.xml><?xml version="1.0" encoding="utf-8"?>
<calcChain xmlns="http://schemas.openxmlformats.org/spreadsheetml/2006/main">
  <c r="J95" i="23" l="1"/>
  <c r="J183" i="23" l="1"/>
  <c r="K179" i="23"/>
  <c r="J179" i="23"/>
  <c r="K178" i="23"/>
  <c r="J178" i="23"/>
  <c r="K177" i="23"/>
  <c r="J177" i="23"/>
  <c r="K176" i="23"/>
  <c r="J176" i="23"/>
  <c r="J175" i="23"/>
  <c r="J174" i="23"/>
  <c r="AB211" i="23" l="1"/>
  <c r="AA211" i="23"/>
  <c r="X211" i="23"/>
  <c r="K211" i="23"/>
  <c r="Y211" i="23" s="1"/>
  <c r="J211" i="23"/>
  <c r="Z211" i="23" s="1"/>
  <c r="AB210" i="23"/>
  <c r="AA210" i="23"/>
  <c r="Z210" i="23"/>
  <c r="X210" i="23"/>
  <c r="K210" i="23"/>
  <c r="Y210" i="23" s="1"/>
  <c r="J210" i="23"/>
  <c r="AE209" i="23"/>
  <c r="AB209" i="23"/>
  <c r="AA209" i="23"/>
  <c r="X209" i="23"/>
  <c r="K209" i="23"/>
  <c r="Y209" i="23" s="1"/>
  <c r="J209" i="23"/>
  <c r="Z209" i="23" s="1"/>
  <c r="AE208" i="23"/>
  <c r="AB208" i="23"/>
  <c r="AA208" i="23"/>
  <c r="AF208" i="23" s="1"/>
  <c r="X208" i="23"/>
  <c r="AF205" i="23" s="1"/>
  <c r="K208" i="23"/>
  <c r="Y208" i="23" s="1"/>
  <c r="J208" i="23"/>
  <c r="Z208" i="23" s="1"/>
  <c r="AE207" i="23"/>
  <c r="AE206" i="23"/>
  <c r="AE205" i="23"/>
  <c r="V204" i="23"/>
  <c r="AE204" i="23" s="1"/>
  <c r="AB203" i="23"/>
  <c r="AA203" i="23"/>
  <c r="Y203" i="23"/>
  <c r="X203" i="23"/>
  <c r="V203" i="23"/>
  <c r="Q203" i="23"/>
  <c r="J203" i="23"/>
  <c r="Z203" i="23" s="1"/>
  <c r="AB202" i="23"/>
  <c r="AA202" i="23"/>
  <c r="X202" i="23"/>
  <c r="V202" i="23"/>
  <c r="Q202" i="23"/>
  <c r="K202" i="23"/>
  <c r="Y202" i="23" s="1"/>
  <c r="J202" i="23"/>
  <c r="Z202" i="23" s="1"/>
  <c r="AE201" i="23"/>
  <c r="AB201" i="23"/>
  <c r="AA201" i="23"/>
  <c r="X201" i="23"/>
  <c r="V201" i="23"/>
  <c r="Q201" i="23"/>
  <c r="K201" i="23"/>
  <c r="Y201" i="23" s="1"/>
  <c r="J201" i="23"/>
  <c r="AE200" i="23"/>
  <c r="AB200" i="23"/>
  <c r="AA200" i="23"/>
  <c r="X200" i="23"/>
  <c r="V200" i="23"/>
  <c r="Q200" i="23"/>
  <c r="K200" i="23"/>
  <c r="Y200" i="23" s="1"/>
  <c r="J200" i="23"/>
  <c r="AE199" i="23"/>
  <c r="AB199" i="23"/>
  <c r="AA199" i="23"/>
  <c r="X199" i="23"/>
  <c r="V199" i="23"/>
  <c r="K199" i="23"/>
  <c r="Y199" i="23" s="1"/>
  <c r="J199" i="23"/>
  <c r="Z199" i="23" s="1"/>
  <c r="AE198" i="23"/>
  <c r="AB198" i="23"/>
  <c r="AA198" i="23"/>
  <c r="X198" i="23"/>
  <c r="V198" i="23"/>
  <c r="K198" i="23"/>
  <c r="Y198" i="23" s="1"/>
  <c r="J198" i="23"/>
  <c r="Z198" i="23" s="1"/>
  <c r="AE197" i="23"/>
  <c r="AB197" i="23"/>
  <c r="AA197" i="23"/>
  <c r="X197" i="23"/>
  <c r="V197" i="23"/>
  <c r="K197" i="23"/>
  <c r="Y197" i="23" s="1"/>
  <c r="J197" i="23"/>
  <c r="Z197" i="23" s="1"/>
  <c r="AB196" i="23"/>
  <c r="AA196" i="23"/>
  <c r="X196" i="23"/>
  <c r="V196" i="23"/>
  <c r="AE196" i="23" s="1"/>
  <c r="K196" i="23"/>
  <c r="Y196" i="23" s="1"/>
  <c r="J196" i="23"/>
  <c r="Z196" i="23" s="1"/>
  <c r="AB195" i="23"/>
  <c r="AA195" i="23"/>
  <c r="X195" i="23"/>
  <c r="V195" i="23"/>
  <c r="Q195" i="23"/>
  <c r="K195" i="23"/>
  <c r="Y195" i="23" s="1"/>
  <c r="J195" i="23"/>
  <c r="AB194" i="23"/>
  <c r="AA194" i="23"/>
  <c r="X194" i="23"/>
  <c r="V194" i="23"/>
  <c r="Q194" i="23"/>
  <c r="K194" i="23"/>
  <c r="Y194" i="23" s="1"/>
  <c r="J194" i="23"/>
  <c r="Z194" i="23" s="1"/>
  <c r="AE193" i="23"/>
  <c r="AB193" i="23"/>
  <c r="AA193" i="23"/>
  <c r="X193" i="23"/>
  <c r="V193" i="23"/>
  <c r="Q193" i="23"/>
  <c r="K193" i="23"/>
  <c r="Y193" i="23" s="1"/>
  <c r="J193" i="23"/>
  <c r="AE192" i="23"/>
  <c r="AB192" i="23"/>
  <c r="AA192" i="23"/>
  <c r="X192" i="23"/>
  <c r="V192" i="23"/>
  <c r="Q192" i="23"/>
  <c r="K192" i="23"/>
  <c r="Y192" i="23" s="1"/>
  <c r="J192" i="23"/>
  <c r="Z192" i="23" s="1"/>
  <c r="AE191" i="23"/>
  <c r="AB191" i="23"/>
  <c r="AA191" i="23"/>
  <c r="Y191" i="23"/>
  <c r="X191" i="23"/>
  <c r="V191" i="23"/>
  <c r="J191" i="23"/>
  <c r="Z191" i="23" s="1"/>
  <c r="AE190" i="23"/>
  <c r="V190" i="23"/>
  <c r="AE189" i="23"/>
  <c r="V189" i="23"/>
  <c r="AE188" i="23"/>
  <c r="V188" i="23"/>
  <c r="AB187" i="23"/>
  <c r="AA187" i="23"/>
  <c r="X187" i="23"/>
  <c r="V187" i="23"/>
  <c r="Q187" i="23"/>
  <c r="K187" i="23"/>
  <c r="Y187" i="23" s="1"/>
  <c r="J187" i="23"/>
  <c r="AB186" i="23"/>
  <c r="AA186" i="23"/>
  <c r="X186" i="23"/>
  <c r="V186" i="23"/>
  <c r="Q186" i="23"/>
  <c r="K186" i="23"/>
  <c r="Y186" i="23" s="1"/>
  <c r="J186" i="23"/>
  <c r="Z186" i="23" s="1"/>
  <c r="AE185" i="23"/>
  <c r="AB185" i="23"/>
  <c r="AA185" i="23"/>
  <c r="X185" i="23"/>
  <c r="V185" i="23"/>
  <c r="Q185" i="23"/>
  <c r="K185" i="23"/>
  <c r="Y185" i="23" s="1"/>
  <c r="J185" i="23"/>
  <c r="AE184" i="23"/>
  <c r="AB184" i="23"/>
  <c r="AA184" i="23"/>
  <c r="X184" i="23"/>
  <c r="V184" i="23"/>
  <c r="Q184" i="23"/>
  <c r="K184" i="23"/>
  <c r="Y184" i="23" s="1"/>
  <c r="J184" i="23"/>
  <c r="Z184" i="23" s="1"/>
  <c r="AE183" i="23"/>
  <c r="AB183" i="23"/>
  <c r="AA183" i="23"/>
  <c r="Y183" i="23"/>
  <c r="X183" i="23"/>
  <c r="V183" i="23"/>
  <c r="Z183" i="23"/>
  <c r="AE182" i="23"/>
  <c r="V182" i="23"/>
  <c r="AE181" i="23"/>
  <c r="V181" i="23"/>
  <c r="V180" i="23"/>
  <c r="AE180" i="23" s="1"/>
  <c r="AB179" i="23"/>
  <c r="AA179" i="23"/>
  <c r="Z179" i="23"/>
  <c r="X179" i="23"/>
  <c r="V179" i="23"/>
  <c r="Q179" i="23"/>
  <c r="Y179" i="23"/>
  <c r="AB178" i="23"/>
  <c r="AA178" i="23"/>
  <c r="Z178" i="23"/>
  <c r="X178" i="23"/>
  <c r="V178" i="23"/>
  <c r="Q178" i="23"/>
  <c r="Y178" i="23"/>
  <c r="AE177" i="23"/>
  <c r="AB177" i="23"/>
  <c r="AA177" i="23"/>
  <c r="Z177" i="23"/>
  <c r="X177" i="23"/>
  <c r="V177" i="23"/>
  <c r="Q177" i="23"/>
  <c r="Y177" i="23"/>
  <c r="AE176" i="23"/>
  <c r="AB176" i="23"/>
  <c r="AA176" i="23"/>
  <c r="X176" i="23"/>
  <c r="V176" i="23"/>
  <c r="Q176" i="23"/>
  <c r="Y176" i="23"/>
  <c r="Z176" i="23"/>
  <c r="AE175" i="23"/>
  <c r="AB175" i="23"/>
  <c r="AA175" i="23"/>
  <c r="Y175" i="23"/>
  <c r="X175" i="23"/>
  <c r="V175" i="23"/>
  <c r="Z175" i="23"/>
  <c r="AE174" i="23"/>
  <c r="AB174" i="23"/>
  <c r="AA174" i="23"/>
  <c r="Y174" i="23"/>
  <c r="X174" i="23"/>
  <c r="V174" i="23"/>
  <c r="Z174" i="23"/>
  <c r="AE173" i="23"/>
  <c r="V173" i="23"/>
  <c r="V172" i="23"/>
  <c r="AE172" i="23" s="1"/>
  <c r="AB171" i="23"/>
  <c r="AA171" i="23"/>
  <c r="X171" i="23"/>
  <c r="V171" i="23"/>
  <c r="Q171" i="23"/>
  <c r="K171" i="23"/>
  <c r="Y171" i="23" s="1"/>
  <c r="J171" i="23"/>
  <c r="Z171" i="23" s="1"/>
  <c r="AB170" i="23"/>
  <c r="AA170" i="23"/>
  <c r="X170" i="23"/>
  <c r="V170" i="23"/>
  <c r="Q170" i="23"/>
  <c r="K170" i="23"/>
  <c r="Y170" i="23" s="1"/>
  <c r="J170" i="23"/>
  <c r="Z170" i="23" s="1"/>
  <c r="AE169" i="23"/>
  <c r="AB169" i="23"/>
  <c r="AA169" i="23"/>
  <c r="Y169" i="23"/>
  <c r="X169" i="23"/>
  <c r="V169" i="23"/>
  <c r="Q169" i="23"/>
  <c r="J169" i="23"/>
  <c r="Z169" i="23" s="1"/>
  <c r="AE168" i="23"/>
  <c r="AB168" i="23"/>
  <c r="AA168" i="23"/>
  <c r="Y168" i="23"/>
  <c r="X168" i="23"/>
  <c r="V168" i="23"/>
  <c r="Q168" i="23"/>
  <c r="J168" i="23"/>
  <c r="Z168" i="23" s="1"/>
  <c r="AE167" i="23"/>
  <c r="AB167" i="23"/>
  <c r="AA167" i="23"/>
  <c r="Y167" i="23"/>
  <c r="X167" i="23"/>
  <c r="V167" i="23"/>
  <c r="J167" i="23"/>
  <c r="Z167" i="23" s="1"/>
  <c r="AE166" i="23"/>
  <c r="AB166" i="23"/>
  <c r="AA166" i="23"/>
  <c r="Y166" i="23"/>
  <c r="X166" i="23"/>
  <c r="V166" i="23"/>
  <c r="J166" i="23"/>
  <c r="Z166" i="23" s="1"/>
  <c r="AE165" i="23"/>
  <c r="AB165" i="23"/>
  <c r="AF169" i="23" s="1"/>
  <c r="AA165" i="23"/>
  <c r="Y165" i="23"/>
  <c r="X165" i="23"/>
  <c r="V165" i="23"/>
  <c r="J165" i="23"/>
  <c r="Z165" i="23" s="1"/>
  <c r="AB164" i="23"/>
  <c r="AA164" i="23"/>
  <c r="Y164" i="23"/>
  <c r="X164" i="23"/>
  <c r="V164" i="23"/>
  <c r="AE164" i="23" s="1"/>
  <c r="J164" i="23"/>
  <c r="Z164" i="23" s="1"/>
  <c r="AB163" i="23"/>
  <c r="AA163" i="23"/>
  <c r="X163" i="23"/>
  <c r="V163" i="23"/>
  <c r="Q163" i="23"/>
  <c r="K163" i="23"/>
  <c r="Y163" i="23" s="1"/>
  <c r="J163" i="23"/>
  <c r="Z163" i="23" s="1"/>
  <c r="AB162" i="23"/>
  <c r="AA162" i="23"/>
  <c r="X162" i="23"/>
  <c r="V162" i="23"/>
  <c r="Q162" i="23"/>
  <c r="K162" i="23"/>
  <c r="Y162" i="23" s="1"/>
  <c r="J162" i="23"/>
  <c r="Z162" i="23" s="1"/>
  <c r="AE161" i="23"/>
  <c r="AB161" i="23"/>
  <c r="AA161" i="23"/>
  <c r="X161" i="23"/>
  <c r="V161" i="23"/>
  <c r="Q161" i="23"/>
  <c r="K161" i="23"/>
  <c r="Y161" i="23" s="1"/>
  <c r="J161" i="23"/>
  <c r="Z161" i="23" s="1"/>
  <c r="AE160" i="23"/>
  <c r="AB160" i="23"/>
  <c r="AA160" i="23"/>
  <c r="X160" i="23"/>
  <c r="V160" i="23"/>
  <c r="Q160" i="23"/>
  <c r="K160" i="23"/>
  <c r="Y160" i="23" s="1"/>
  <c r="J160" i="23"/>
  <c r="Z160" i="23" s="1"/>
  <c r="AE159" i="23"/>
  <c r="AB159" i="23"/>
  <c r="AA159" i="23"/>
  <c r="X159" i="23"/>
  <c r="V159" i="23"/>
  <c r="K159" i="23"/>
  <c r="Y159" i="23" s="1"/>
  <c r="J159" i="23"/>
  <c r="Z159" i="23" s="1"/>
  <c r="AE158" i="23"/>
  <c r="AB158" i="23"/>
  <c r="AA158" i="23"/>
  <c r="X158" i="23"/>
  <c r="V158" i="23"/>
  <c r="K158" i="23"/>
  <c r="Y158" i="23" s="1"/>
  <c r="J158" i="23"/>
  <c r="Z158" i="23" s="1"/>
  <c r="AE157" i="23"/>
  <c r="AB157" i="23"/>
  <c r="AA157" i="23"/>
  <c r="X157" i="23"/>
  <c r="V157" i="23"/>
  <c r="K157" i="23"/>
  <c r="Y157" i="23" s="1"/>
  <c r="J157" i="23"/>
  <c r="Z157" i="23" s="1"/>
  <c r="AB156" i="23"/>
  <c r="AA156" i="23"/>
  <c r="X156" i="23"/>
  <c r="V156" i="23"/>
  <c r="AE156" i="23" s="1"/>
  <c r="K156" i="23"/>
  <c r="Y156" i="23" s="1"/>
  <c r="J156" i="23"/>
  <c r="Z156" i="23" s="1"/>
  <c r="AB155" i="23"/>
  <c r="AA155" i="23"/>
  <c r="Z155" i="23"/>
  <c r="X155" i="23"/>
  <c r="V155" i="23"/>
  <c r="Q155" i="23"/>
  <c r="K155" i="23"/>
  <c r="Y155" i="23" s="1"/>
  <c r="J155" i="23"/>
  <c r="AB154" i="23"/>
  <c r="AA154" i="23"/>
  <c r="Z154" i="23"/>
  <c r="X154" i="23"/>
  <c r="V154" i="23"/>
  <c r="Q154" i="23"/>
  <c r="K154" i="23"/>
  <c r="Y154" i="23" s="1"/>
  <c r="J154" i="23"/>
  <c r="AE153" i="23"/>
  <c r="AB153" i="23"/>
  <c r="AA153" i="23"/>
  <c r="X153" i="23"/>
  <c r="V153" i="23"/>
  <c r="Q153" i="23"/>
  <c r="K153" i="23"/>
  <c r="Y153" i="23" s="1"/>
  <c r="J153" i="23"/>
  <c r="Z153" i="23" s="1"/>
  <c r="AE152" i="23"/>
  <c r="AB152" i="23"/>
  <c r="AA152" i="23"/>
  <c r="X152" i="23"/>
  <c r="V152" i="23"/>
  <c r="Q152" i="23"/>
  <c r="K152" i="23"/>
  <c r="Y152" i="23" s="1"/>
  <c r="J152" i="23"/>
  <c r="Z152" i="23" s="1"/>
  <c r="AE151" i="23"/>
  <c r="AB151" i="23"/>
  <c r="AA151" i="23"/>
  <c r="X151" i="23"/>
  <c r="V151" i="23"/>
  <c r="K151" i="23"/>
  <c r="Y151" i="23" s="1"/>
  <c r="J151" i="23"/>
  <c r="Z151" i="23" s="1"/>
  <c r="AE150" i="23"/>
  <c r="AB150" i="23"/>
  <c r="AA150" i="23"/>
  <c r="X150" i="23"/>
  <c r="V150" i="23"/>
  <c r="K150" i="23"/>
  <c r="Y150" i="23" s="1"/>
  <c r="J150" i="23"/>
  <c r="Z150" i="23" s="1"/>
  <c r="AE149" i="23"/>
  <c r="AB149" i="23"/>
  <c r="AA149" i="23"/>
  <c r="X149" i="23"/>
  <c r="V149" i="23"/>
  <c r="K149" i="23"/>
  <c r="Y149" i="23" s="1"/>
  <c r="J149" i="23"/>
  <c r="Z149" i="23" s="1"/>
  <c r="AB148" i="23"/>
  <c r="AA148" i="23"/>
  <c r="AF152" i="23" s="1"/>
  <c r="X148" i="23"/>
  <c r="V148" i="23"/>
  <c r="AE148" i="23" s="1"/>
  <c r="K148" i="23"/>
  <c r="Y148" i="23" s="1"/>
  <c r="J148" i="23"/>
  <c r="Z148" i="23" s="1"/>
  <c r="AB147" i="23"/>
  <c r="AA147" i="23"/>
  <c r="Y147" i="23"/>
  <c r="X147" i="23"/>
  <c r="V147" i="23"/>
  <c r="K147" i="23"/>
  <c r="J147" i="23"/>
  <c r="Z147" i="23" s="1"/>
  <c r="AB146" i="23"/>
  <c r="AA146" i="23"/>
  <c r="Y146" i="23"/>
  <c r="X146" i="23"/>
  <c r="V146" i="23"/>
  <c r="J146" i="23"/>
  <c r="Z146" i="23" s="1"/>
  <c r="AE145" i="23"/>
  <c r="AB145" i="23"/>
  <c r="AA145" i="23"/>
  <c r="Y145" i="23"/>
  <c r="X145" i="23"/>
  <c r="V145" i="23"/>
  <c r="J145" i="23"/>
  <c r="Z145" i="23" s="1"/>
  <c r="AE144" i="23"/>
  <c r="AB144" i="23"/>
  <c r="AA144" i="23"/>
  <c r="Y144" i="23"/>
  <c r="X144" i="23"/>
  <c r="V144" i="23"/>
  <c r="J144" i="23"/>
  <c r="Z144" i="23" s="1"/>
  <c r="AE143" i="23"/>
  <c r="V143" i="23"/>
  <c r="AE142" i="23"/>
  <c r="V142" i="23"/>
  <c r="AE141" i="23"/>
  <c r="V141" i="23"/>
  <c r="V140" i="23"/>
  <c r="AE140" i="23" s="1"/>
  <c r="AB139" i="23"/>
  <c r="AA139" i="23"/>
  <c r="Y139" i="23"/>
  <c r="X139" i="23"/>
  <c r="V139" i="23"/>
  <c r="J139" i="23"/>
  <c r="Z139" i="23" s="1"/>
  <c r="AB138" i="23"/>
  <c r="AA138" i="23"/>
  <c r="Y138" i="23"/>
  <c r="X138" i="23"/>
  <c r="V138" i="23"/>
  <c r="J138" i="23"/>
  <c r="Z138" i="23" s="1"/>
  <c r="AE137" i="23"/>
  <c r="AB137" i="23"/>
  <c r="AA137" i="23"/>
  <c r="Y137" i="23"/>
  <c r="X137" i="23"/>
  <c r="V137" i="23"/>
  <c r="K137" i="23"/>
  <c r="J137" i="23"/>
  <c r="Z137" i="23" s="1"/>
  <c r="AF136" i="23"/>
  <c r="AE136" i="23"/>
  <c r="AB136" i="23"/>
  <c r="AA136" i="23"/>
  <c r="Y136" i="23"/>
  <c r="X136" i="23"/>
  <c r="V136" i="23"/>
  <c r="J136" i="23"/>
  <c r="Z136" i="23" s="1"/>
  <c r="AE135" i="23"/>
  <c r="AB135" i="23"/>
  <c r="AA135" i="23"/>
  <c r="Y135" i="23"/>
  <c r="X135" i="23"/>
  <c r="V135" i="23"/>
  <c r="J135" i="23"/>
  <c r="Z135" i="23" s="1"/>
  <c r="AE134" i="23"/>
  <c r="AB134" i="23"/>
  <c r="AA134" i="23"/>
  <c r="Y134" i="23"/>
  <c r="X134" i="23"/>
  <c r="V134" i="23"/>
  <c r="J134" i="23"/>
  <c r="Z134" i="23" s="1"/>
  <c r="AE133" i="23"/>
  <c r="Y133" i="23"/>
  <c r="X133" i="23"/>
  <c r="V133" i="23"/>
  <c r="J133" i="23"/>
  <c r="Z133" i="23" s="1"/>
  <c r="Y132" i="23"/>
  <c r="X132" i="23"/>
  <c r="V132" i="23"/>
  <c r="AE132" i="23" s="1"/>
  <c r="J132" i="23"/>
  <c r="Z132" i="23" s="1"/>
  <c r="AB131" i="23"/>
  <c r="AA131" i="23"/>
  <c r="X131" i="23"/>
  <c r="V131" i="23"/>
  <c r="K131" i="23"/>
  <c r="Y131" i="23" s="1"/>
  <c r="J131" i="23"/>
  <c r="AB130" i="23"/>
  <c r="AA130" i="23"/>
  <c r="X130" i="23"/>
  <c r="V130" i="23"/>
  <c r="K130" i="23"/>
  <c r="Y130" i="23" s="1"/>
  <c r="J130" i="23"/>
  <c r="AE129" i="23"/>
  <c r="AB129" i="23"/>
  <c r="AA129" i="23"/>
  <c r="Y129" i="23"/>
  <c r="X129" i="23"/>
  <c r="V129" i="23"/>
  <c r="J129" i="23"/>
  <c r="AE128" i="23"/>
  <c r="AB128" i="23"/>
  <c r="AA128" i="23"/>
  <c r="Y128" i="23"/>
  <c r="X128" i="23"/>
  <c r="V128" i="23"/>
  <c r="J128" i="23"/>
  <c r="AE127" i="23"/>
  <c r="AB127" i="23"/>
  <c r="AA127" i="23"/>
  <c r="Y127" i="23"/>
  <c r="X127" i="23"/>
  <c r="V127" i="23"/>
  <c r="J127" i="23"/>
  <c r="Z127" i="23" s="1"/>
  <c r="AF127" i="23" s="1"/>
  <c r="AE126" i="23"/>
  <c r="V126" i="23"/>
  <c r="AE125" i="23"/>
  <c r="V125" i="23"/>
  <c r="AE124" i="23"/>
  <c r="V124" i="23"/>
  <c r="AB123" i="23"/>
  <c r="AA123" i="23"/>
  <c r="X123" i="23"/>
  <c r="V123" i="23"/>
  <c r="K123" i="23"/>
  <c r="Y123" i="23" s="1"/>
  <c r="J123" i="23"/>
  <c r="AB122" i="23"/>
  <c r="AA122" i="23"/>
  <c r="X122" i="23"/>
  <c r="V122" i="23"/>
  <c r="K122" i="23"/>
  <c r="Y122" i="23" s="1"/>
  <c r="J122" i="23"/>
  <c r="Z122" i="23" s="1"/>
  <c r="AE121" i="23"/>
  <c r="AB121" i="23"/>
  <c r="AA121" i="23"/>
  <c r="Y121" i="23"/>
  <c r="X121" i="23"/>
  <c r="V121" i="23"/>
  <c r="J121" i="23"/>
  <c r="AE120" i="23"/>
  <c r="AB120" i="23"/>
  <c r="AA120" i="23"/>
  <c r="X120" i="23"/>
  <c r="V120" i="23"/>
  <c r="K120" i="23"/>
  <c r="Y120" i="23" s="1"/>
  <c r="J120" i="23"/>
  <c r="Z120" i="23" s="1"/>
  <c r="AE119" i="23"/>
  <c r="AB119" i="23"/>
  <c r="AA119" i="23"/>
  <c r="Y119" i="23"/>
  <c r="X119" i="23"/>
  <c r="V119" i="23"/>
  <c r="K119" i="23"/>
  <c r="J119" i="23"/>
  <c r="AE118" i="23"/>
  <c r="AB118" i="23"/>
  <c r="AA118" i="23"/>
  <c r="Y118" i="23"/>
  <c r="X118" i="23"/>
  <c r="V118" i="23"/>
  <c r="J118" i="23"/>
  <c r="Z118" i="23" s="1"/>
  <c r="AE117" i="23"/>
  <c r="V117" i="23"/>
  <c r="V116" i="23"/>
  <c r="AE116" i="23" s="1"/>
  <c r="AB115" i="23"/>
  <c r="AA115" i="23"/>
  <c r="X115" i="23"/>
  <c r="V115" i="23"/>
  <c r="K115" i="23"/>
  <c r="Y115" i="23" s="1"/>
  <c r="J115" i="23"/>
  <c r="Z115" i="23" s="1"/>
  <c r="AB114" i="23"/>
  <c r="AA114" i="23"/>
  <c r="X114" i="23"/>
  <c r="V114" i="23"/>
  <c r="K114" i="23"/>
  <c r="Y114" i="23" s="1"/>
  <c r="J114" i="23"/>
  <c r="Z114" i="23" s="1"/>
  <c r="AE113" i="23"/>
  <c r="AB113" i="23"/>
  <c r="AA113" i="23"/>
  <c r="X113" i="23"/>
  <c r="V113" i="23"/>
  <c r="K113" i="23"/>
  <c r="Y113" i="23" s="1"/>
  <c r="J113" i="23"/>
  <c r="Z113" i="23" s="1"/>
  <c r="AE112" i="23"/>
  <c r="AB112" i="23"/>
  <c r="AA112" i="23"/>
  <c r="Y112" i="23"/>
  <c r="X112" i="23"/>
  <c r="V112" i="23"/>
  <c r="J112" i="23"/>
  <c r="Z112" i="23" s="1"/>
  <c r="AE111" i="23"/>
  <c r="AB111" i="23"/>
  <c r="AA111" i="23"/>
  <c r="Y111" i="23"/>
  <c r="X111" i="23"/>
  <c r="V111" i="23"/>
  <c r="P111" i="23"/>
  <c r="J111" i="23"/>
  <c r="Z111" i="23" s="1"/>
  <c r="AE110" i="23"/>
  <c r="AB110" i="23"/>
  <c r="AA110" i="23"/>
  <c r="Y110" i="23"/>
  <c r="X110" i="23"/>
  <c r="V110" i="23"/>
  <c r="P110" i="23"/>
  <c r="J110" i="23"/>
  <c r="Z110" i="23" s="1"/>
  <c r="AE109" i="23"/>
  <c r="AB109" i="23"/>
  <c r="AA109" i="23"/>
  <c r="Y109" i="23"/>
  <c r="X109" i="23"/>
  <c r="V109" i="23"/>
  <c r="J109" i="23"/>
  <c r="Z109" i="23" s="1"/>
  <c r="V108" i="23"/>
  <c r="AE108" i="23" s="1"/>
  <c r="AB107" i="23"/>
  <c r="AA107" i="23"/>
  <c r="X107" i="23"/>
  <c r="V107" i="23"/>
  <c r="P107" i="23"/>
  <c r="K107" i="23"/>
  <c r="Y107" i="23" s="1"/>
  <c r="J107" i="23"/>
  <c r="Z107" i="23" s="1"/>
  <c r="AB106" i="23"/>
  <c r="AA106" i="23"/>
  <c r="X106" i="23"/>
  <c r="V106" i="23"/>
  <c r="P106" i="23"/>
  <c r="K106" i="23"/>
  <c r="Y106" i="23" s="1"/>
  <c r="J106" i="23"/>
  <c r="Z106" i="23" s="1"/>
  <c r="AE105" i="23"/>
  <c r="AB105" i="23"/>
  <c r="AA105" i="23"/>
  <c r="X105" i="23"/>
  <c r="V105" i="23"/>
  <c r="P105" i="23"/>
  <c r="K105" i="23"/>
  <c r="Y105" i="23" s="1"/>
  <c r="J105" i="23"/>
  <c r="Z105" i="23" s="1"/>
  <c r="AE104" i="23"/>
  <c r="AB104" i="23"/>
  <c r="AA104" i="23"/>
  <c r="X104" i="23"/>
  <c r="V104" i="23"/>
  <c r="P104" i="23"/>
  <c r="K104" i="23"/>
  <c r="Y104" i="23" s="1"/>
  <c r="J104" i="23"/>
  <c r="Z104" i="23" s="1"/>
  <c r="AE103" i="23"/>
  <c r="AB103" i="23"/>
  <c r="AA103" i="23"/>
  <c r="X103" i="23"/>
  <c r="V103" i="23"/>
  <c r="P103" i="23"/>
  <c r="K103" i="23"/>
  <c r="Y103" i="23" s="1"/>
  <c r="J103" i="23"/>
  <c r="Z103" i="23" s="1"/>
  <c r="AE102" i="23"/>
  <c r="AB102" i="23"/>
  <c r="AA102" i="23"/>
  <c r="X102" i="23"/>
  <c r="V102" i="23"/>
  <c r="P102" i="23"/>
  <c r="K102" i="23"/>
  <c r="Y102" i="23" s="1"/>
  <c r="J102" i="23"/>
  <c r="Z102" i="23" s="1"/>
  <c r="AE101" i="23"/>
  <c r="V101" i="23"/>
  <c r="P101" i="23"/>
  <c r="V100" i="23"/>
  <c r="AE100" i="23" s="1"/>
  <c r="P100" i="23"/>
  <c r="AB99" i="23"/>
  <c r="AA99" i="23"/>
  <c r="Y99" i="23"/>
  <c r="X99" i="23"/>
  <c r="V99" i="23"/>
  <c r="P99" i="23"/>
  <c r="J99" i="23"/>
  <c r="Z99" i="23" s="1"/>
  <c r="AB98" i="23"/>
  <c r="AA98" i="23"/>
  <c r="Y98" i="23"/>
  <c r="X98" i="23"/>
  <c r="V98" i="23"/>
  <c r="P98" i="23"/>
  <c r="J98" i="23"/>
  <c r="Z98" i="23" s="1"/>
  <c r="AE97" i="23"/>
  <c r="AB97" i="23"/>
  <c r="AA97" i="23"/>
  <c r="Y97" i="23"/>
  <c r="X97" i="23"/>
  <c r="V97" i="23"/>
  <c r="P97" i="23"/>
  <c r="J97" i="23"/>
  <c r="Z97" i="23" s="1"/>
  <c r="AE96" i="23"/>
  <c r="AB96" i="23"/>
  <c r="AA96" i="23"/>
  <c r="X96" i="23"/>
  <c r="V96" i="23"/>
  <c r="P96" i="23"/>
  <c r="K96" i="23"/>
  <c r="Y96" i="23" s="1"/>
  <c r="J96" i="23"/>
  <c r="Z96" i="23" s="1"/>
  <c r="AE95" i="23"/>
  <c r="AB95" i="23"/>
  <c r="AA95" i="23"/>
  <c r="AF96" i="23" s="1"/>
  <c r="Z95" i="23"/>
  <c r="X95" i="23"/>
  <c r="V95" i="23"/>
  <c r="P95" i="23"/>
  <c r="K95" i="23"/>
  <c r="Y95" i="23" s="1"/>
  <c r="AE94" i="23"/>
  <c r="V94" i="23"/>
  <c r="P94" i="23"/>
  <c r="AE93" i="23"/>
  <c r="V93" i="23"/>
  <c r="P93" i="23"/>
  <c r="V92" i="23"/>
  <c r="AE92" i="23" s="1"/>
  <c r="P92" i="23"/>
  <c r="AB91" i="23"/>
  <c r="AA91" i="23"/>
  <c r="Y91" i="23"/>
  <c r="X91" i="23"/>
  <c r="V91" i="23"/>
  <c r="P91" i="23"/>
  <c r="J91" i="23"/>
  <c r="Z91" i="23" s="1"/>
  <c r="AB90" i="23"/>
  <c r="AA90" i="23"/>
  <c r="Y90" i="23"/>
  <c r="X90" i="23"/>
  <c r="V90" i="23"/>
  <c r="P90" i="23"/>
  <c r="J90" i="23"/>
  <c r="Z90" i="23" s="1"/>
  <c r="AE89" i="23"/>
  <c r="AB89" i="23"/>
  <c r="AA89" i="23"/>
  <c r="X89" i="23"/>
  <c r="V89" i="23"/>
  <c r="P89" i="23"/>
  <c r="K89" i="23"/>
  <c r="Y89" i="23" s="1"/>
  <c r="J89" i="23"/>
  <c r="AE88" i="23"/>
  <c r="AB88" i="23"/>
  <c r="AA88" i="23"/>
  <c r="X88" i="23"/>
  <c r="V88" i="23"/>
  <c r="P88" i="23"/>
  <c r="K88" i="23"/>
  <c r="Y88" i="23" s="1"/>
  <c r="J88" i="23"/>
  <c r="Z88" i="23" s="1"/>
  <c r="AE87" i="23"/>
  <c r="X87" i="23"/>
  <c r="V87" i="23"/>
  <c r="P87" i="23"/>
  <c r="L87" i="23"/>
  <c r="AA87" i="23" s="1"/>
  <c r="K87" i="23"/>
  <c r="Y87" i="23" s="1"/>
  <c r="J87" i="23"/>
  <c r="Z87" i="23" s="1"/>
  <c r="AE86" i="23"/>
  <c r="X86" i="23"/>
  <c r="V86" i="23"/>
  <c r="P86" i="23"/>
  <c r="L86" i="23"/>
  <c r="AA86" i="23" s="1"/>
  <c r="K86" i="23"/>
  <c r="Y86" i="23" s="1"/>
  <c r="J86" i="23"/>
  <c r="Z86" i="23" s="1"/>
  <c r="AE85" i="23"/>
  <c r="Y85" i="23"/>
  <c r="X85" i="23"/>
  <c r="V85" i="23"/>
  <c r="P85" i="23"/>
  <c r="L85" i="23"/>
  <c r="AB85" i="23" s="1"/>
  <c r="J85" i="23"/>
  <c r="AE84" i="23"/>
  <c r="X84" i="23"/>
  <c r="V84" i="23"/>
  <c r="P84" i="23"/>
  <c r="L84" i="23"/>
  <c r="AB84" i="23" s="1"/>
  <c r="K84" i="23"/>
  <c r="Y84" i="23" s="1"/>
  <c r="J84" i="23"/>
  <c r="Z84" i="23" s="1"/>
  <c r="X83" i="23"/>
  <c r="V83" i="23"/>
  <c r="L83" i="23"/>
  <c r="AB83" i="23" s="1"/>
  <c r="K83" i="23"/>
  <c r="Y83" i="23" s="1"/>
  <c r="J83" i="23"/>
  <c r="Z83" i="23" s="1"/>
  <c r="AB82" i="23"/>
  <c r="AA82" i="23"/>
  <c r="X82" i="23"/>
  <c r="V82" i="23"/>
  <c r="K82" i="23"/>
  <c r="Y82" i="23" s="1"/>
  <c r="J82" i="23"/>
  <c r="AE81" i="23"/>
  <c r="AB81" i="23"/>
  <c r="AA81" i="23"/>
  <c r="Y81" i="23"/>
  <c r="X81" i="23"/>
  <c r="V81" i="23"/>
  <c r="J81" i="23"/>
  <c r="Z81" i="23" s="1"/>
  <c r="AE80" i="23"/>
  <c r="AB80" i="23"/>
  <c r="AA80" i="23"/>
  <c r="Y80" i="23"/>
  <c r="X80" i="23"/>
  <c r="V80" i="23"/>
  <c r="J80" i="23"/>
  <c r="AE79" i="23"/>
  <c r="V79" i="23"/>
  <c r="AE78" i="23"/>
  <c r="V78" i="23"/>
  <c r="AE77" i="23"/>
  <c r="V77" i="23"/>
  <c r="V76" i="23"/>
  <c r="AE76" i="23" s="1"/>
  <c r="AB75" i="23"/>
  <c r="AA75" i="23"/>
  <c r="Y75" i="23"/>
  <c r="X75" i="23"/>
  <c r="V75" i="23"/>
  <c r="Q75" i="23"/>
  <c r="J75" i="23"/>
  <c r="Z75" i="23" s="1"/>
  <c r="AB74" i="23"/>
  <c r="AA74" i="23"/>
  <c r="Y74" i="23"/>
  <c r="X74" i="23"/>
  <c r="V74" i="23"/>
  <c r="P74" i="23"/>
  <c r="J74" i="23"/>
  <c r="Z74" i="23" s="1"/>
  <c r="AE73" i="23"/>
  <c r="AB73" i="23"/>
  <c r="AA73" i="23"/>
  <c r="Y73" i="23"/>
  <c r="X73" i="23"/>
  <c r="V73" i="23"/>
  <c r="P73" i="23"/>
  <c r="J73" i="23"/>
  <c r="Z73" i="23" s="1"/>
  <c r="AE72" i="23"/>
  <c r="AB72" i="23"/>
  <c r="AA72" i="23"/>
  <c r="Y72" i="23"/>
  <c r="X72" i="23"/>
  <c r="V72" i="23"/>
  <c r="Q72" i="23"/>
  <c r="J72" i="23"/>
  <c r="Z72" i="23" s="1"/>
  <c r="AE71" i="23"/>
  <c r="AB71" i="23"/>
  <c r="AA71" i="23"/>
  <c r="Y71" i="23"/>
  <c r="X71" i="23"/>
  <c r="V71" i="23"/>
  <c r="Q71" i="23"/>
  <c r="J71" i="23"/>
  <c r="Z71" i="23" s="1"/>
  <c r="AE70" i="23"/>
  <c r="AB70" i="23"/>
  <c r="AA70" i="23"/>
  <c r="Y70" i="23"/>
  <c r="X70" i="23"/>
  <c r="V70" i="23"/>
  <c r="Q70" i="23"/>
  <c r="P70" i="23"/>
  <c r="J70" i="23"/>
  <c r="Z70" i="23" s="1"/>
  <c r="AE69" i="23"/>
  <c r="AB69" i="23"/>
  <c r="AA69" i="23"/>
  <c r="Y69" i="23"/>
  <c r="X69" i="23"/>
  <c r="V69" i="23"/>
  <c r="J69" i="23"/>
  <c r="Z69" i="23" s="1"/>
  <c r="AB68" i="23"/>
  <c r="AA68" i="23"/>
  <c r="Y68" i="23"/>
  <c r="X68" i="23"/>
  <c r="V68" i="23"/>
  <c r="AE68" i="23" s="1"/>
  <c r="J68" i="23"/>
  <c r="Z68" i="23" s="1"/>
  <c r="AB67" i="23"/>
  <c r="AA67" i="23"/>
  <c r="Y67" i="23"/>
  <c r="X67" i="23"/>
  <c r="V67" i="23"/>
  <c r="J67" i="23"/>
  <c r="AB66" i="23"/>
  <c r="AA66" i="23"/>
  <c r="Y66" i="23"/>
  <c r="X66" i="23"/>
  <c r="V66" i="23"/>
  <c r="J66" i="23"/>
  <c r="AE65" i="23"/>
  <c r="AB65" i="23"/>
  <c r="AA65" i="23"/>
  <c r="Y65" i="23"/>
  <c r="X65" i="23"/>
  <c r="V65" i="23"/>
  <c r="J65" i="23"/>
  <c r="AE64" i="23"/>
  <c r="AB64" i="23"/>
  <c r="AA64" i="23"/>
  <c r="Y64" i="23"/>
  <c r="X64" i="23"/>
  <c r="V64" i="23"/>
  <c r="J64" i="23"/>
  <c r="AF63" i="23"/>
  <c r="AE63" i="23"/>
  <c r="AB63" i="23"/>
  <c r="AA63" i="23"/>
  <c r="Y63" i="23"/>
  <c r="X63" i="23"/>
  <c r="V63" i="23"/>
  <c r="J63" i="23"/>
  <c r="AE62" i="23"/>
  <c r="AB62" i="23"/>
  <c r="AA62" i="23"/>
  <c r="Y62" i="23"/>
  <c r="X62" i="23"/>
  <c r="V62" i="23"/>
  <c r="Q62" i="23"/>
  <c r="J62" i="23"/>
  <c r="AE61" i="23"/>
  <c r="V61" i="23"/>
  <c r="K61" i="23"/>
  <c r="J61" i="23"/>
  <c r="V60" i="23"/>
  <c r="AE60" i="23" s="1"/>
  <c r="K60" i="23"/>
  <c r="J60" i="23"/>
  <c r="AB59" i="23"/>
  <c r="AA59" i="23"/>
  <c r="Y59" i="23"/>
  <c r="X59" i="23"/>
  <c r="V59" i="23"/>
  <c r="P59" i="23"/>
  <c r="J59" i="23"/>
  <c r="AB58" i="23"/>
  <c r="AA58" i="23"/>
  <c r="Y58" i="23"/>
  <c r="X58" i="23"/>
  <c r="V58" i="23"/>
  <c r="P58" i="23"/>
  <c r="J58" i="23"/>
  <c r="AE57" i="23"/>
  <c r="AB57" i="23"/>
  <c r="AA57" i="23"/>
  <c r="Y57" i="23"/>
  <c r="X57" i="23"/>
  <c r="V57" i="23"/>
  <c r="J57" i="23"/>
  <c r="AF56" i="23"/>
  <c r="AE56" i="23"/>
  <c r="AB56" i="23"/>
  <c r="AA56" i="23"/>
  <c r="Y56" i="23"/>
  <c r="X56" i="23"/>
  <c r="V56" i="23"/>
  <c r="J56" i="23"/>
  <c r="AF55" i="23"/>
  <c r="AE55" i="23"/>
  <c r="AB55" i="23"/>
  <c r="AA55" i="23"/>
  <c r="Y55" i="23"/>
  <c r="X55" i="23"/>
  <c r="V55" i="23"/>
  <c r="J55" i="23"/>
  <c r="AE54" i="23"/>
  <c r="AB54" i="23"/>
  <c r="AF57" i="23" s="1"/>
  <c r="AA54" i="23"/>
  <c r="Y54" i="23"/>
  <c r="X54" i="23"/>
  <c r="V54" i="23"/>
  <c r="J54" i="23"/>
  <c r="AE53" i="23"/>
  <c r="V53" i="23"/>
  <c r="J53" i="23"/>
  <c r="V52" i="23"/>
  <c r="AE52" i="23" s="1"/>
  <c r="J52" i="23"/>
  <c r="V51" i="23"/>
  <c r="V50" i="23"/>
  <c r="AE49" i="23"/>
  <c r="V49" i="23"/>
  <c r="AE48" i="23"/>
  <c r="V48" i="23"/>
  <c r="AE47" i="23"/>
  <c r="AB47" i="23"/>
  <c r="AA47" i="23"/>
  <c r="Y47" i="23"/>
  <c r="X47" i="23"/>
  <c r="V47" i="23"/>
  <c r="K47" i="23"/>
  <c r="J47" i="23"/>
  <c r="AE46" i="23"/>
  <c r="AB46" i="23"/>
  <c r="AA46" i="23"/>
  <c r="X46" i="23"/>
  <c r="V46" i="23"/>
  <c r="K46" i="23"/>
  <c r="Y46" i="23" s="1"/>
  <c r="J46" i="23"/>
  <c r="Z46" i="23" s="1"/>
  <c r="AF47" i="23" s="1"/>
  <c r="AE45" i="23"/>
  <c r="AB45" i="23"/>
  <c r="AA45" i="23"/>
  <c r="Y45" i="23"/>
  <c r="X45" i="23"/>
  <c r="V45" i="23"/>
  <c r="J45" i="23"/>
  <c r="V44" i="23"/>
  <c r="AE44" i="23" s="1"/>
  <c r="AB43" i="23"/>
  <c r="AA43" i="23"/>
  <c r="Y43" i="23"/>
  <c r="X43" i="23"/>
  <c r="V43" i="23"/>
  <c r="J43" i="23"/>
  <c r="Z43" i="23" s="1"/>
  <c r="AB42" i="23"/>
  <c r="AA42" i="23"/>
  <c r="Y42" i="23"/>
  <c r="X42" i="23"/>
  <c r="V42" i="23"/>
  <c r="J42" i="23"/>
  <c r="AB41" i="23"/>
  <c r="AA41" i="23"/>
  <c r="Y41" i="23"/>
  <c r="X41" i="23"/>
  <c r="V41" i="23"/>
  <c r="J41" i="23"/>
  <c r="Z41" i="23" s="1"/>
  <c r="AE40" i="23"/>
  <c r="AB40" i="23"/>
  <c r="AA40" i="23"/>
  <c r="Y40" i="23"/>
  <c r="X40" i="23"/>
  <c r="V40" i="23"/>
  <c r="J40" i="23"/>
  <c r="AE39" i="23"/>
  <c r="Y39" i="23"/>
  <c r="X39" i="23"/>
  <c r="V39" i="23"/>
  <c r="L39" i="23"/>
  <c r="AA39" i="23" s="1"/>
  <c r="J39" i="23"/>
  <c r="Z39" i="23" s="1"/>
  <c r="AE38" i="23"/>
  <c r="Y38" i="23"/>
  <c r="X38" i="23"/>
  <c r="V38" i="23"/>
  <c r="Q38" i="23"/>
  <c r="L38" i="23"/>
  <c r="AA38" i="23" s="1"/>
  <c r="J38" i="23"/>
  <c r="AE37" i="23"/>
  <c r="AB37" i="23"/>
  <c r="AA37" i="23"/>
  <c r="Y37" i="23"/>
  <c r="X37" i="23"/>
  <c r="V37" i="23"/>
  <c r="J37" i="23"/>
  <c r="Z37" i="23" s="1"/>
  <c r="AB36" i="23"/>
  <c r="AA36" i="23"/>
  <c r="Y36" i="23"/>
  <c r="X36" i="23"/>
  <c r="V36" i="23"/>
  <c r="AE36" i="23" s="1"/>
  <c r="Q36" i="23"/>
  <c r="J36" i="23"/>
  <c r="AB35" i="23"/>
  <c r="AA35" i="23"/>
  <c r="Y35" i="23"/>
  <c r="X35" i="23"/>
  <c r="V35" i="23"/>
  <c r="J35" i="23"/>
  <c r="AB34" i="23"/>
  <c r="AA34" i="23"/>
  <c r="Y34" i="23"/>
  <c r="X34" i="23"/>
  <c r="V34" i="23"/>
  <c r="J34" i="23"/>
  <c r="AE33" i="23"/>
  <c r="AB33" i="23"/>
  <c r="AA33" i="23"/>
  <c r="Y33" i="23"/>
  <c r="X33" i="23"/>
  <c r="V33" i="23"/>
  <c r="J33" i="23"/>
  <c r="Z33" i="23" s="1"/>
  <c r="AE32" i="23"/>
  <c r="AB32" i="23"/>
  <c r="AA32" i="23"/>
  <c r="Y32" i="23"/>
  <c r="X32" i="23"/>
  <c r="V32" i="23"/>
  <c r="J32" i="23"/>
  <c r="Z32" i="23" s="1"/>
  <c r="AE31" i="23"/>
  <c r="AB31" i="23"/>
  <c r="AA31" i="23"/>
  <c r="Y31" i="23"/>
  <c r="X31" i="23"/>
  <c r="V31" i="23"/>
  <c r="J31" i="23"/>
  <c r="AE30" i="23"/>
  <c r="AB30" i="23"/>
  <c r="AA30" i="23"/>
  <c r="Y30" i="23"/>
  <c r="X30" i="23"/>
  <c r="V30" i="23"/>
  <c r="K30" i="23"/>
  <c r="J30" i="23"/>
  <c r="AE29" i="23"/>
  <c r="AB29" i="23"/>
  <c r="AA29" i="23"/>
  <c r="X29" i="23"/>
  <c r="V29" i="23"/>
  <c r="K29" i="23"/>
  <c r="Y29" i="23" s="1"/>
  <c r="J29" i="23"/>
  <c r="AB28" i="23"/>
  <c r="AA28" i="23"/>
  <c r="X28" i="23"/>
  <c r="V28" i="23"/>
  <c r="AE28" i="23" s="1"/>
  <c r="K28" i="23"/>
  <c r="Y28" i="23" s="1"/>
  <c r="J28" i="23"/>
  <c r="AB27" i="23"/>
  <c r="AA27" i="23"/>
  <c r="X27" i="23"/>
  <c r="V27" i="23"/>
  <c r="Q27" i="23"/>
  <c r="K27" i="23"/>
  <c r="Y27" i="23" s="1"/>
  <c r="J27" i="23"/>
  <c r="AB26" i="23"/>
  <c r="AA26" i="23"/>
  <c r="Y26" i="23"/>
  <c r="X26" i="23"/>
  <c r="V26" i="23"/>
  <c r="K26" i="23"/>
  <c r="J26" i="23"/>
  <c r="AE25" i="23"/>
  <c r="AB25" i="23"/>
  <c r="AA25" i="23"/>
  <c r="X25" i="23"/>
  <c r="V25" i="23"/>
  <c r="K25" i="23"/>
  <c r="Y25" i="23" s="1"/>
  <c r="J25" i="23"/>
  <c r="AE24" i="23"/>
  <c r="AB24" i="23"/>
  <c r="AA24" i="23"/>
  <c r="X24" i="23"/>
  <c r="V24" i="23"/>
  <c r="K24" i="23"/>
  <c r="Y24" i="23" s="1"/>
  <c r="J24" i="23"/>
  <c r="AF23" i="23"/>
  <c r="AE23" i="23"/>
  <c r="AB23" i="23"/>
  <c r="AA23" i="23"/>
  <c r="X23" i="23"/>
  <c r="V23" i="23"/>
  <c r="K23" i="23"/>
  <c r="Y23" i="23" s="1"/>
  <c r="J23" i="23"/>
  <c r="AE22" i="23"/>
  <c r="AB22" i="23"/>
  <c r="AA22" i="23"/>
  <c r="X22" i="23"/>
  <c r="V22" i="23"/>
  <c r="K22" i="23"/>
  <c r="Y22" i="23" s="1"/>
  <c r="J22" i="23"/>
  <c r="AE21" i="23"/>
  <c r="AB21" i="23"/>
  <c r="AA21" i="23"/>
  <c r="X21" i="23"/>
  <c r="V21" i="23"/>
  <c r="K21" i="23"/>
  <c r="Y21" i="23" s="1"/>
  <c r="J21" i="23"/>
  <c r="AB20" i="23"/>
  <c r="AA20" i="23"/>
  <c r="X20" i="23"/>
  <c r="V20" i="23"/>
  <c r="AE20" i="23" s="1"/>
  <c r="K20" i="23"/>
  <c r="Y20" i="23" s="1"/>
  <c r="J20" i="23"/>
  <c r="AB19" i="23"/>
  <c r="AA19" i="23"/>
  <c r="X19" i="23"/>
  <c r="K19" i="23"/>
  <c r="Y19" i="23" s="1"/>
  <c r="J19" i="23"/>
  <c r="AB18" i="23"/>
  <c r="AA18" i="23"/>
  <c r="Y18" i="23"/>
  <c r="X18" i="23"/>
  <c r="J18" i="23"/>
  <c r="AE17" i="23"/>
  <c r="AB17" i="23"/>
  <c r="AA17" i="23"/>
  <c r="X17" i="23"/>
  <c r="K17" i="23"/>
  <c r="Y17" i="23" s="1"/>
  <c r="J17" i="23"/>
  <c r="AE16" i="23"/>
  <c r="AB16" i="23"/>
  <c r="AA16" i="23"/>
  <c r="X16" i="23"/>
  <c r="K16" i="23"/>
  <c r="Y16" i="23" s="1"/>
  <c r="J16" i="23"/>
  <c r="AF15" i="23"/>
  <c r="AE15" i="23"/>
  <c r="AB15" i="23"/>
  <c r="AA15" i="23"/>
  <c r="X15" i="23"/>
  <c r="K15" i="23"/>
  <c r="Y15" i="23" s="1"/>
  <c r="J15" i="23"/>
  <c r="AE14" i="23"/>
  <c r="AB14" i="23"/>
  <c r="AA14" i="23"/>
  <c r="Y14" i="23"/>
  <c r="X14" i="23"/>
  <c r="K14" i="23"/>
  <c r="J14" i="23"/>
  <c r="AE13" i="23"/>
  <c r="AB13" i="23"/>
  <c r="AA13" i="23"/>
  <c r="X13" i="23"/>
  <c r="K13" i="23"/>
  <c r="Y13" i="23" s="1"/>
  <c r="J13" i="23"/>
  <c r="AB12" i="23"/>
  <c r="AA12" i="23"/>
  <c r="Y12" i="23"/>
  <c r="X12" i="23"/>
  <c r="V12" i="23"/>
  <c r="AE12" i="23" s="1"/>
  <c r="K12" i="23"/>
  <c r="J12" i="23"/>
  <c r="AF73" i="23" l="1"/>
  <c r="AF21" i="23"/>
  <c r="AF37" i="23"/>
  <c r="AF48" i="23"/>
  <c r="AF72" i="23"/>
  <c r="AF79" i="23"/>
  <c r="AA85" i="23"/>
  <c r="AF119" i="23"/>
  <c r="AF153" i="23"/>
  <c r="AF160" i="23"/>
  <c r="AF173" i="23"/>
  <c r="AF185" i="23"/>
  <c r="AF32" i="23"/>
  <c r="AF49" i="23"/>
  <c r="AF133" i="23"/>
  <c r="AF143" i="23"/>
  <c r="AF144" i="23"/>
  <c r="AF141" i="23"/>
  <c r="AF158" i="23"/>
  <c r="AF161" i="23"/>
  <c r="AF207" i="23"/>
  <c r="AF14" i="23"/>
  <c r="AF64" i="23"/>
  <c r="AF105" i="23"/>
  <c r="AF110" i="23"/>
  <c r="AF128" i="23"/>
  <c r="AF134" i="23"/>
  <c r="AF199" i="23"/>
  <c r="AF25" i="23"/>
  <c r="AF53" i="23"/>
  <c r="AF65" i="23"/>
  <c r="AF181" i="23"/>
  <c r="AF183" i="23"/>
  <c r="AF190" i="23"/>
  <c r="AF197" i="23"/>
  <c r="AF17" i="23"/>
  <c r="AF22" i="23"/>
  <c r="AF39" i="23"/>
  <c r="AF40" i="23"/>
  <c r="AF54" i="23"/>
  <c r="AF70" i="23"/>
  <c r="AF69" i="23"/>
  <c r="AF88" i="23"/>
  <c r="AB86" i="23"/>
  <c r="AF93" i="23"/>
  <c r="AF118" i="23"/>
  <c r="AF193" i="23"/>
  <c r="AF13" i="23"/>
  <c r="AF16" i="23"/>
  <c r="AF24" i="23"/>
  <c r="AF29" i="23"/>
  <c r="AF38" i="23"/>
  <c r="AB38" i="23"/>
  <c r="AB39" i="23"/>
  <c r="AF46" i="23"/>
  <c r="AF62" i="23"/>
  <c r="AF61" i="23"/>
  <c r="AF77" i="23"/>
  <c r="AF94" i="23"/>
  <c r="AF95" i="23"/>
  <c r="AF101" i="23"/>
  <c r="AF113" i="23"/>
  <c r="AF120" i="23"/>
  <c r="AF126" i="23"/>
  <c r="AF142" i="23"/>
  <c r="AF145" i="23"/>
  <c r="AF149" i="23"/>
  <c r="AF159" i="23"/>
  <c r="AF165" i="23"/>
  <c r="AF201" i="23"/>
  <c r="AF97" i="23"/>
  <c r="AF177" i="23"/>
  <c r="AF176" i="23"/>
  <c r="AF71" i="23"/>
  <c r="AF135" i="23"/>
  <c r="AF102" i="23"/>
  <c r="AF167" i="23"/>
  <c r="AF30" i="23"/>
  <c r="AF31" i="23"/>
  <c r="AF150" i="23"/>
  <c r="AF166" i="23"/>
  <c r="AF86" i="23"/>
  <c r="AF78" i="23"/>
  <c r="AA83" i="23"/>
  <c r="AF80" i="23" s="1"/>
  <c r="AF103" i="23"/>
  <c r="AF111" i="23"/>
  <c r="AF112" i="23"/>
  <c r="AF129" i="23"/>
  <c r="AF137" i="23"/>
  <c r="AF175" i="23"/>
  <c r="AF174" i="23"/>
  <c r="AF184" i="23"/>
  <c r="AF191" i="23"/>
  <c r="AF192" i="23"/>
  <c r="AF200" i="23"/>
  <c r="AF209" i="23"/>
  <c r="AF45" i="23"/>
  <c r="AF87" i="23"/>
  <c r="AF104" i="23"/>
  <c r="AF121" i="23"/>
  <c r="AF125" i="23"/>
  <c r="AF168" i="23"/>
  <c r="AF182" i="23"/>
  <c r="AF198" i="23"/>
  <c r="AF33" i="23"/>
  <c r="AF81" i="23"/>
  <c r="AF85" i="23"/>
  <c r="AB87" i="23"/>
  <c r="AF89" i="23" s="1"/>
  <c r="AF109" i="23"/>
  <c r="AF117" i="23"/>
  <c r="AF151" i="23"/>
  <c r="AF157" i="23"/>
  <c r="AF189" i="23"/>
  <c r="AF206" i="23"/>
  <c r="AF41" i="23" l="1"/>
</calcChain>
</file>

<file path=xl/comments1.xml><?xml version="1.0" encoding="utf-8"?>
<comments xmlns="http://schemas.openxmlformats.org/spreadsheetml/2006/main">
  <authors>
    <author>作成者</author>
  </authors>
  <commentList>
    <comment ref="D11" authorId="0" shapeId="0">
      <text>
        <r>
          <rPr>
            <sz val="9"/>
            <color indexed="81"/>
            <rFont val="Meiryo UI"/>
            <family val="3"/>
            <charset val="128"/>
          </rPr>
          <t>PM:PowerManagement Module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J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Dedicate :
 EPCR=1となる機能
</t>
        </r>
      </text>
    </comment>
    <comment ref="K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 GPIO選択時
手入力 : Out/In
</t>
        </r>
      </text>
    </comment>
    <comment ref="L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手入力
</t>
        </r>
      </text>
    </comment>
    <comment ref="M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基板回路から決定
</t>
        </r>
      </text>
    </comment>
    <comment ref="X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PortData
</t>
        </r>
      </text>
    </comment>
    <comment ref="Y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Direction
  0 : IN
  1 : OUT
</t>
        </r>
      </text>
    </comment>
    <comment ref="Z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GPIO/Function
 0 : GPIO (Function IN)
 1 : Function out
</t>
        </r>
      </text>
    </comment>
    <comment ref="AA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PullUp/Dwn Enble
  0 : R OFF
  1 : R ON
</t>
        </r>
      </text>
    </comment>
    <comment ref="AB1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PullUp/Down Ctrl
  0 : PullDown
  1 : PullUp
</t>
        </r>
      </text>
    </comment>
  </commentList>
</comments>
</file>

<file path=xl/sharedStrings.xml><?xml version="1.0" encoding="utf-8"?>
<sst xmlns="http://schemas.openxmlformats.org/spreadsheetml/2006/main" count="7419" uniqueCount="2997">
  <si>
    <t>P84</t>
  </si>
  <si>
    <t>P83</t>
  </si>
  <si>
    <t>P82</t>
  </si>
  <si>
    <t>P81</t>
  </si>
  <si>
    <t>P80</t>
  </si>
  <si>
    <t>-</t>
    <phoneticPr fontId="2"/>
  </si>
  <si>
    <t>-</t>
    <phoneticPr fontId="6"/>
  </si>
  <si>
    <t>Date</t>
    <phoneticPr fontId="6"/>
  </si>
  <si>
    <t>Descriptions</t>
    <phoneticPr fontId="6"/>
  </si>
  <si>
    <t>Author</t>
    <phoneticPr fontId="6"/>
  </si>
  <si>
    <t>P35</t>
  </si>
  <si>
    <t>P34</t>
  </si>
  <si>
    <t>P33</t>
  </si>
  <si>
    <t>P32</t>
  </si>
  <si>
    <t>P31</t>
  </si>
  <si>
    <t>P30</t>
  </si>
  <si>
    <t>P93</t>
  </si>
  <si>
    <t>P92</t>
  </si>
  <si>
    <t>P91</t>
  </si>
  <si>
    <t>P90</t>
  </si>
  <si>
    <t>-</t>
  </si>
  <si>
    <t>PA5</t>
  </si>
  <si>
    <t>PA4</t>
  </si>
  <si>
    <t>PA3</t>
  </si>
  <si>
    <t>PA2</t>
  </si>
  <si>
    <t>PA1</t>
  </si>
  <si>
    <t>PA0</t>
  </si>
  <si>
    <t>PC4</t>
  </si>
  <si>
    <t>PC3</t>
  </si>
  <si>
    <t>PC2</t>
  </si>
  <si>
    <t>PC1</t>
  </si>
  <si>
    <t>PC0</t>
  </si>
  <si>
    <t>PD4</t>
  </si>
  <si>
    <t>PD3</t>
  </si>
  <si>
    <t>PD2</t>
  </si>
  <si>
    <t>PD1</t>
  </si>
  <si>
    <t>PD0</t>
  </si>
  <si>
    <t>PE5</t>
  </si>
  <si>
    <t>PE4</t>
  </si>
  <si>
    <t>PE3</t>
  </si>
  <si>
    <t>PE2</t>
  </si>
  <si>
    <t>PE1</t>
  </si>
  <si>
    <t>PE0</t>
  </si>
  <si>
    <t>PF4</t>
  </si>
  <si>
    <t>PF3</t>
  </si>
  <si>
    <t>PF2</t>
  </si>
  <si>
    <t>PF1</t>
  </si>
  <si>
    <t>PF0</t>
  </si>
  <si>
    <t>PG5</t>
  </si>
  <si>
    <t>PG4</t>
  </si>
  <si>
    <t>PG3</t>
  </si>
  <si>
    <t>PG2</t>
  </si>
  <si>
    <t>PG1</t>
  </si>
  <si>
    <t>PG0</t>
  </si>
  <si>
    <t>Draft</t>
    <phoneticPr fontId="6"/>
  </si>
  <si>
    <t>P37</t>
  </si>
  <si>
    <t>VLD17</t>
  </si>
  <si>
    <t>VLD16</t>
  </si>
  <si>
    <t>VLD15</t>
  </si>
  <si>
    <t>VLD14</t>
  </si>
  <si>
    <t>VLD13</t>
  </si>
  <si>
    <t>VLD12</t>
  </si>
  <si>
    <t>VLD11</t>
  </si>
  <si>
    <t>VLD10</t>
  </si>
  <si>
    <t>VLD07</t>
  </si>
  <si>
    <t>VLD06</t>
  </si>
  <si>
    <t>VLD05</t>
  </si>
  <si>
    <t>VLD04</t>
  </si>
  <si>
    <t>VLVD</t>
  </si>
  <si>
    <t>VLHD</t>
  </si>
  <si>
    <t>P41</t>
  </si>
  <si>
    <t>P40</t>
  </si>
  <si>
    <t>H</t>
  </si>
  <si>
    <t>P67</t>
  </si>
  <si>
    <t>P66</t>
  </si>
  <si>
    <t>P62</t>
  </si>
  <si>
    <t>P61</t>
  </si>
  <si>
    <t>P60</t>
  </si>
  <si>
    <t>P72</t>
  </si>
  <si>
    <t>P71</t>
  </si>
  <si>
    <t>P63</t>
  </si>
  <si>
    <t>PP3</t>
  </si>
  <si>
    <t>PP2</t>
  </si>
  <si>
    <t>PP1</t>
  </si>
  <si>
    <t>PP0</t>
  </si>
  <si>
    <t>AU0LR</t>
  </si>
  <si>
    <t>AU0CLK</t>
  </si>
  <si>
    <t>IS2CL</t>
  </si>
  <si>
    <t>IS1CL</t>
  </si>
  <si>
    <t>IS1DA</t>
  </si>
  <si>
    <t>Out</t>
    <phoneticPr fontId="6"/>
  </si>
  <si>
    <t>L</t>
  </si>
  <si>
    <t>FPSIN0</t>
  </si>
  <si>
    <t>IS0CL</t>
  </si>
  <si>
    <t>FPSIN3</t>
  </si>
  <si>
    <t>FPSOUT3</t>
  </si>
  <si>
    <t>USB</t>
    <phoneticPr fontId="6"/>
  </si>
  <si>
    <t>FPSIN2</t>
  </si>
  <si>
    <t>Out</t>
  </si>
  <si>
    <t>function</t>
    <phoneticPr fontId="6"/>
  </si>
  <si>
    <t>History</t>
    <phoneticPr fontId="2"/>
  </si>
  <si>
    <t>RIBERY</t>
  </si>
  <si>
    <t>FPT</t>
  </si>
  <si>
    <t>MXIC</t>
  </si>
  <si>
    <t>AHIP</t>
  </si>
  <si>
    <t>IIP</t>
  </si>
  <si>
    <t>DISP</t>
  </si>
  <si>
    <t>Xch</t>
  </si>
  <si>
    <t>ELA</t>
  </si>
  <si>
    <t>IMG</t>
  </si>
  <si>
    <t>Image SRAM
(512KB)</t>
  </si>
  <si>
    <t>SDRAM</t>
  </si>
  <si>
    <t>DSP</t>
  </si>
  <si>
    <t>ch.2</t>
  </si>
  <si>
    <t>ch.1</t>
  </si>
  <si>
    <t>ch.0</t>
  </si>
  <si>
    <t>I2C master/slave</t>
  </si>
  <si>
    <t>ch.5</t>
  </si>
  <si>
    <t>ch.4</t>
  </si>
  <si>
    <t>ch.3</t>
  </si>
  <si>
    <t>UpDownCounter</t>
  </si>
  <si>
    <t>UDC 6ch</t>
  </si>
  <si>
    <t>ch.15</t>
  </si>
  <si>
    <t>ch.14</t>
  </si>
  <si>
    <t>ch.13</t>
  </si>
  <si>
    <t>ch.12</t>
  </si>
  <si>
    <t>PWM_D</t>
  </si>
  <si>
    <t>ch.11</t>
  </si>
  <si>
    <t>ch.10</t>
  </si>
  <si>
    <t>ch.9</t>
  </si>
  <si>
    <t>ch.8</t>
  </si>
  <si>
    <t>PWM_C</t>
  </si>
  <si>
    <t>ch.7</t>
  </si>
  <si>
    <t>ch.6</t>
  </si>
  <si>
    <t>PWM_B</t>
  </si>
  <si>
    <t>PWM_A</t>
  </si>
  <si>
    <t>PWM 16ch</t>
  </si>
  <si>
    <t>HDMI</t>
  </si>
  <si>
    <t>HDMAC1</t>
  </si>
  <si>
    <t>HDMAC0</t>
  </si>
  <si>
    <t>HDMAC</t>
  </si>
  <si>
    <t>UART/CSIO</t>
  </si>
  <si>
    <t>32bit Timer</t>
  </si>
  <si>
    <t>PERI</t>
  </si>
  <si>
    <t>MCC</t>
  </si>
  <si>
    <t>XDMAC</t>
  </si>
  <si>
    <t>ch.31</t>
  </si>
  <si>
    <t>ch.30</t>
  </si>
  <si>
    <t>ch.29</t>
  </si>
  <si>
    <t>ch.28</t>
  </si>
  <si>
    <t>ch.27</t>
  </si>
  <si>
    <t>ch.26</t>
  </si>
  <si>
    <t>ch.25</t>
  </si>
  <si>
    <t>ch.24</t>
  </si>
  <si>
    <t>ch.23</t>
  </si>
  <si>
    <t>ch.22</t>
  </si>
  <si>
    <t>ch.21</t>
  </si>
  <si>
    <t>ch.20</t>
  </si>
  <si>
    <t>ch.19</t>
  </si>
  <si>
    <t>ch.18</t>
  </si>
  <si>
    <t>ch.17</t>
  </si>
  <si>
    <t>ch.16</t>
  </si>
  <si>
    <t>EXIU</t>
  </si>
  <si>
    <t>CPU0</t>
  </si>
  <si>
    <t>WDOG</t>
  </si>
  <si>
    <t>NIC</t>
  </si>
  <si>
    <t>GIC</t>
  </si>
  <si>
    <t>CoreSight</t>
  </si>
  <si>
    <t>L2$</t>
  </si>
  <si>
    <t>MPcore</t>
  </si>
  <si>
    <t>ARM</t>
  </si>
  <si>
    <t>GPIO</t>
  </si>
  <si>
    <t>TOP</t>
  </si>
  <si>
    <t>XDMAC 4ch</t>
  </si>
  <si>
    <t>EXS SRAM
(32KB)</t>
  </si>
  <si>
    <t>HDMAC 4ch</t>
  </si>
  <si>
    <t>PCIe</t>
  </si>
  <si>
    <t>RELC</t>
  </si>
  <si>
    <t>PHY</t>
  </si>
  <si>
    <t>Ether(MAC)</t>
  </si>
  <si>
    <t>Ethernet</t>
  </si>
  <si>
    <t>USB</t>
  </si>
  <si>
    <t>USB2.0</t>
  </si>
  <si>
    <t>NF</t>
  </si>
  <si>
    <t>NAND</t>
  </si>
  <si>
    <t>EXS</t>
  </si>
  <si>
    <t>remark</t>
  </si>
  <si>
    <t>name</t>
  </si>
  <si>
    <t>macro</t>
  </si>
  <si>
    <t>part</t>
  </si>
  <si>
    <t>HWmacro</t>
  </si>
  <si>
    <t>reg</t>
  </si>
  <si>
    <t>bit</t>
  </si>
  <si>
    <t>mean</t>
  </si>
  <si>
    <t>0/1</t>
  </si>
  <si>
    <t>SRREQ</t>
  </si>
  <si>
    <t>CRRRS</t>
  </si>
  <si>
    <t>CPU1_SR</t>
  </si>
  <si>
    <t>CPU0_SR</t>
  </si>
  <si>
    <t>DSPSR</t>
  </si>
  <si>
    <t>RIBSR</t>
  </si>
  <si>
    <t>Schematics Rev</t>
    <phoneticPr fontId="6"/>
  </si>
  <si>
    <t>:Unused</t>
    <phoneticPr fontId="6"/>
  </si>
  <si>
    <t>:Used</t>
    <phoneticPr fontId="6"/>
  </si>
  <si>
    <t>First edition</t>
    <phoneticPr fontId="6"/>
  </si>
  <si>
    <t>H.Ito</t>
    <phoneticPr fontId="6"/>
  </si>
  <si>
    <t>[explanatory note]</t>
    <phoneticPr fontId="6"/>
  </si>
  <si>
    <t>O</t>
  </si>
  <si>
    <t>Linux CPU</t>
    <phoneticPr fontId="6"/>
  </si>
  <si>
    <t>Channel</t>
    <phoneticPr fontId="6"/>
  </si>
  <si>
    <t>Kernel</t>
    <phoneticPr fontId="6"/>
  </si>
  <si>
    <t>APL/Host</t>
    <phoneticPr fontId="6"/>
  </si>
  <si>
    <t>Host</t>
    <phoneticPr fontId="6"/>
  </si>
  <si>
    <t>BaseFW</t>
    <phoneticPr fontId="6"/>
  </si>
  <si>
    <t>clock 
control</t>
    <phoneticPr fontId="6"/>
  </si>
  <si>
    <t>GPIO
set up</t>
    <phoneticPr fontId="6"/>
  </si>
  <si>
    <t>Interrupt</t>
    <phoneticPr fontId="6"/>
  </si>
  <si>
    <t>Y.Takahashi</t>
    <phoneticPr fontId="6"/>
  </si>
  <si>
    <t>Remove the "Internal Boot" column of "M8M HWMacro CH" and "M8M CLKSTP" sheet.</t>
    <phoneticPr fontId="6"/>
  </si>
  <si>
    <t>operating mode</t>
    <phoneticPr fontId="6"/>
  </si>
  <si>
    <t>sheet</t>
    <phoneticPr fontId="6"/>
  </si>
  <si>
    <t>M8M HWMacro CH</t>
    <phoneticPr fontId="6"/>
  </si>
  <si>
    <t>H.Ito</t>
    <phoneticPr fontId="6"/>
  </si>
  <si>
    <t>Operating mode column is added.</t>
    <phoneticPr fontId="6"/>
  </si>
  <si>
    <t>all</t>
    <phoneticPr fontId="6"/>
  </si>
  <si>
    <t>Audio</t>
    <phoneticPr fontId="6"/>
  </si>
  <si>
    <t>movie(enc)</t>
    <phoneticPr fontId="6"/>
  </si>
  <si>
    <t>movie(enc/dec)</t>
    <phoneticPr fontId="6"/>
  </si>
  <si>
    <t>RealOS side use as following.
- NAND flush driver work area and descriptor
- SD driver descriptor</t>
    <phoneticPr fontId="6"/>
  </si>
  <si>
    <t>NAND flush driver</t>
    <phoneticPr fontId="6"/>
  </si>
  <si>
    <t>NAND flush</t>
    <phoneticPr fontId="6"/>
  </si>
  <si>
    <t>CU</t>
    <phoneticPr fontId="6"/>
  </si>
  <si>
    <t>-</t>
    <phoneticPr fontId="6"/>
  </si>
  <si>
    <t>SDI</t>
    <phoneticPr fontId="6"/>
  </si>
  <si>
    <t>Linux</t>
  </si>
  <si>
    <t>RTODS: for Video process</t>
    <phoneticPr fontId="6"/>
  </si>
  <si>
    <t>RTOS: for File Write Debug (Movie SampleHost)</t>
    <phoneticPr fontId="6"/>
  </si>
  <si>
    <t>SD Memory card</t>
    <phoneticPr fontId="6"/>
  </si>
  <si>
    <t>SDIOSD</t>
    <phoneticPr fontId="6"/>
  </si>
  <si>
    <t>MMU</t>
    <phoneticPr fontId="6"/>
  </si>
  <si>
    <t>CoreSight</t>
    <phoneticPr fontId="6"/>
  </si>
  <si>
    <t>Refer to M8M CLKSTP_SEL</t>
    <phoneticPr fontId="6"/>
  </si>
  <si>
    <t>Refer to RK_M8M_IO</t>
    <phoneticPr fontId="6"/>
  </si>
  <si>
    <t>M8M *</t>
    <phoneticPr fontId="6"/>
  </si>
  <si>
    <t>Add "M8M_CLKSEL" sheet. Review "M8M HWMacro CH" and "M8M CLKSTP" sheet.</t>
    <phoneticPr fontId="6"/>
  </si>
  <si>
    <t>GIC</t>
    <phoneticPr fontId="6"/>
  </si>
  <si>
    <t>M8M HWMacro CH</t>
    <phoneticPr fontId="6"/>
  </si>
  <si>
    <t>Y.Kamada</t>
    <phoneticPr fontId="6"/>
  </si>
  <si>
    <t>Remove the "GIC" column of "M8M HWMacro CH".</t>
    <phoneticPr fontId="6"/>
  </si>
  <si>
    <t>M8M GIC</t>
    <phoneticPr fontId="6"/>
  </si>
  <si>
    <t>Add "M8M GIC" sheet.</t>
    <phoneticPr fontId="6"/>
  </si>
  <si>
    <t>M8M CLKSTP</t>
    <phoneticPr fontId="6"/>
  </si>
  <si>
    <t>Modify the "M8M CLKSTP" sheet.</t>
    <phoneticPr fontId="6"/>
  </si>
  <si>
    <t>M8M CLKSEL</t>
    <phoneticPr fontId="6"/>
  </si>
  <si>
    <t>Modify the "M8M CLKSEL" sheet.</t>
    <phoneticPr fontId="6"/>
  </si>
  <si>
    <t>monitor</t>
    <phoneticPr fontId="6"/>
  </si>
  <si>
    <t>Modify the INTID173 UART/CSIO ch4.</t>
    <phoneticPr fontId="6"/>
  </si>
  <si>
    <t>M8M HWMacro CH</t>
    <phoneticPr fontId="6"/>
  </si>
  <si>
    <t>T.Miura</t>
    <phoneticPr fontId="6"/>
  </si>
  <si>
    <t>Modify the External interrupt ch31.</t>
    <phoneticPr fontId="6"/>
  </si>
  <si>
    <t>IO Expander Communication</t>
    <phoneticPr fontId="6"/>
  </si>
  <si>
    <t>IO Expander Interrupt</t>
    <phoneticPr fontId="6"/>
  </si>
  <si>
    <t>Modify the EXIU ch.31, I2C master/slave ch2.</t>
    <phoneticPr fontId="6"/>
  </si>
  <si>
    <t>INTID.45</t>
  </si>
  <si>
    <t>mailbox#0. rtos send wifi control</t>
  </si>
  <si>
    <t>INTID.46</t>
  </si>
  <si>
    <t>mailbox#1. rtos receive wifi response</t>
  </si>
  <si>
    <t>INTID.47</t>
  </si>
  <si>
    <t>mailbox#2. FS Command</t>
  </si>
  <si>
    <t>INTID.48</t>
  </si>
  <si>
    <t>mailbox#3. FS Data</t>
  </si>
  <si>
    <t>INTID.49</t>
  </si>
  <si>
    <t>mailbox#4. rtos send wifibt command</t>
  </si>
  <si>
    <t>INTID.50</t>
  </si>
  <si>
    <t>mailbox#5. rtos receive wifibt command response</t>
  </si>
  <si>
    <t>INTID.51</t>
  </si>
  <si>
    <t>mailbox#6. rtos send ts stream</t>
  </si>
  <si>
    <t>INTID.52</t>
  </si>
  <si>
    <t>mailbox#7. rtos recive ts command</t>
  </si>
  <si>
    <t>INTID.53</t>
  </si>
  <si>
    <t>mailbox#0. Ack for ch0</t>
  </si>
  <si>
    <t>INTID.54</t>
  </si>
  <si>
    <t>INTID.55</t>
  </si>
  <si>
    <t>mailbox#2. Ack for ch2</t>
  </si>
  <si>
    <t>INTID.56</t>
  </si>
  <si>
    <t>mailbox#3. Ack for ch3</t>
  </si>
  <si>
    <t>INTID.57</t>
  </si>
  <si>
    <t>mailbox#4. Ack for ch4</t>
  </si>
  <si>
    <t>INTID.58</t>
  </si>
  <si>
    <t>mailbox#5. Ack for ch5</t>
  </si>
  <si>
    <t>INTID.59</t>
  </si>
  <si>
    <t>mailbox#6. Ack for ch6</t>
  </si>
  <si>
    <t>INTID.60</t>
  </si>
  <si>
    <t>mailbox#7. Ack for ch7</t>
  </si>
  <si>
    <t>set by boot_strap</t>
    <phoneticPr fontId="6"/>
  </si>
  <si>
    <t>H.Sugai</t>
    <phoneticPr fontId="6"/>
  </si>
  <si>
    <t>M8M HWMacro CH</t>
    <phoneticPr fontId="6"/>
  </si>
  <si>
    <t xml:space="preserve">- Modify Global timer's controler from Linux to Boot strap
- Modify 32Bit reload timer Ch.5 is used in Linux </t>
    <phoneticPr fontId="6"/>
  </si>
  <si>
    <t>- Modify IPCU channel asignment
- Modify GIC setting of Global timer, 32Bit reload timer Ch.5</t>
    <phoneticPr fontId="6"/>
  </si>
  <si>
    <t>RK_M8M_IO</t>
    <phoneticPr fontId="6"/>
  </si>
  <si>
    <t>H.Sugai</t>
    <phoneticPr fontId="6"/>
  </si>
  <si>
    <t>- Move LED13 from RTOS to Linux</t>
    <phoneticPr fontId="6"/>
  </si>
  <si>
    <t>ch.9</t>
    <phoneticPr fontId="6"/>
  </si>
  <si>
    <t>ch.10</t>
    <phoneticPr fontId="6"/>
  </si>
  <si>
    <t>ch.11</t>
    <phoneticPr fontId="6"/>
  </si>
  <si>
    <t>ch.12</t>
    <phoneticPr fontId="6"/>
  </si>
  <si>
    <t>ch.13</t>
    <phoneticPr fontId="6"/>
  </si>
  <si>
    <r>
      <t>rtos system timer</t>
    </r>
    <r>
      <rPr>
        <sz val="10"/>
        <rFont val="ＭＳ Ｐゴシック"/>
        <family val="3"/>
        <charset val="128"/>
      </rPr>
      <t>で使用希望</t>
    </r>
    <rPh sb="18" eb="20">
      <t>シヨウ</t>
    </rPh>
    <rPh sb="20" eb="22">
      <t>キボウ</t>
    </rPh>
    <phoneticPr fontId="6"/>
  </si>
  <si>
    <t>T-Kernel CPU</t>
    <phoneticPr fontId="6"/>
  </si>
  <si>
    <t>Sgi_Interrupt0</t>
  </si>
  <si>
    <t>Sgi_Interrupt1</t>
  </si>
  <si>
    <t>Sgi_Interrupt2</t>
  </si>
  <si>
    <t>Sgi_Interrupt3</t>
  </si>
  <si>
    <t>Sgi_Interrupt4</t>
  </si>
  <si>
    <t>Sgi_Interrupt5</t>
  </si>
  <si>
    <t>Sgi_Interrupt6</t>
  </si>
  <si>
    <t>Sgi_Interrupt7</t>
  </si>
  <si>
    <t>Sgi_Interrupt8</t>
  </si>
  <si>
    <t>Sgi_Interrupt9</t>
  </si>
  <si>
    <t>Sgi_Interrupt10</t>
  </si>
  <si>
    <t>Sgi_Interrupt11</t>
  </si>
  <si>
    <t>Sgi_Interrupt12</t>
  </si>
  <si>
    <t>Sgi_Interrupt13</t>
  </si>
  <si>
    <t>Sgi_Interrupt14</t>
  </si>
  <si>
    <t>Sgi_Interrupt15</t>
  </si>
  <si>
    <t>Ppi_Interrupt0</t>
  </si>
  <si>
    <t>Ppi_Interrupt1</t>
  </si>
  <si>
    <t>Ppi_Interrupt2</t>
  </si>
  <si>
    <t>Ppi_Interrupt3</t>
  </si>
  <si>
    <t>Ppi_Interrupt4</t>
  </si>
  <si>
    <t>Ppi_Interrupt5</t>
  </si>
  <si>
    <t>Ppi_Interrupt6</t>
  </si>
  <si>
    <t>Ppi_Interrupt7</t>
  </si>
  <si>
    <t>Ppi_Interrupt8</t>
  </si>
  <si>
    <t>Ppi_Interrupt9</t>
  </si>
  <si>
    <t>Ppi_Interrupt10</t>
  </si>
  <si>
    <t>Ppi_Interrupt11</t>
  </si>
  <si>
    <t>Ppi_Interrupt12</t>
  </si>
  <si>
    <t>Ppi_Interrupt13</t>
  </si>
  <si>
    <t>Ppi_Interrupt14</t>
  </si>
  <si>
    <t>Ppi_Interrupt15</t>
  </si>
  <si>
    <t>CortexA7_Cpu0_Communication_Ch_Receive</t>
  </si>
  <si>
    <t>CortexA7_Cpu0_Communication_Ch_Trnsmit</t>
  </si>
  <si>
    <t>CortexA7_Cpu1_Communication_Ch_Receive</t>
  </si>
  <si>
    <t>CortexA7_Cpu1_Communication_Ch_Trnsmit</t>
  </si>
  <si>
    <t>CortexA7_Cpu2_Communication_Ch_Receive</t>
  </si>
  <si>
    <t>CortexA7_Cpu2_Communication_Ch_Trnsmit</t>
  </si>
  <si>
    <t>CortexA7_Cpu3_Communication_Ch_Receive</t>
  </si>
  <si>
    <t>CortexA7_Cpu3_Communication_Ch_Trnsmit</t>
  </si>
  <si>
    <t>CortexA7_Cpu0_Crosstrigger</t>
  </si>
  <si>
    <t>CortexA7_Cpu1_Crosstrigger</t>
  </si>
  <si>
    <t>CortexA7_Cpu2_Crosstrigger</t>
  </si>
  <si>
    <t>CortexA7_Cpu3_Crosstrigger</t>
  </si>
  <si>
    <t>CortexA7_Cpu0_System_Metrics</t>
  </si>
  <si>
    <t>CortexA7_Cpu1_System_Metrics</t>
  </si>
  <si>
    <t>CortexA7_Cpu2_System_Metrics</t>
  </si>
  <si>
    <t>CortexA7_Cpu3_System_Metrics</t>
  </si>
  <si>
    <t>Axi_Transaction_Error</t>
  </si>
  <si>
    <t>Snap_Peri_Xdmac_Ch0</t>
  </si>
  <si>
    <t>Snap_Peri_Xdmac_Ch1</t>
  </si>
  <si>
    <t>Snap_Peri_Xdmac_Ch2</t>
  </si>
  <si>
    <t>Snap_Peri_Xdmac_Ch3</t>
  </si>
  <si>
    <t>Watchdog_Timer</t>
  </si>
  <si>
    <t>Ipcu0_Ch0</t>
  </si>
  <si>
    <t>Ipcu0_Ch1</t>
  </si>
  <si>
    <t>Ipcu0_Ch2</t>
  </si>
  <si>
    <t>Ipcu0_Ch3</t>
  </si>
  <si>
    <t>Ipcu0_Ch4</t>
  </si>
  <si>
    <t>Ipcu0_Ch5</t>
  </si>
  <si>
    <t>Ipcu0_Ch6</t>
  </si>
  <si>
    <t>Ipcu0_Ch7</t>
  </si>
  <si>
    <t>Ipcu0_Ch8</t>
  </si>
  <si>
    <t>Ipcu0_Ch9</t>
  </si>
  <si>
    <t>Ipcu0_Ch10</t>
  </si>
  <si>
    <t>Ipcu0_Ch11</t>
  </si>
  <si>
    <t>Ipcu0_Ch12</t>
  </si>
  <si>
    <t>Ipcu0_Ch13</t>
  </si>
  <si>
    <t>Ipcu0_Ch14</t>
  </si>
  <si>
    <t>Ipcu0_Ch15</t>
  </si>
  <si>
    <t>Ipcu1_Ch0</t>
  </si>
  <si>
    <t>Ipcu1_Ch1</t>
  </si>
  <si>
    <t>Ipcu1_Ch2</t>
  </si>
  <si>
    <t>Ipcu1_Ch3</t>
  </si>
  <si>
    <t>Ipcu1_Ch4</t>
  </si>
  <si>
    <t>Ipcu1_Ch5</t>
  </si>
  <si>
    <t>Ipcu1_Ch6</t>
  </si>
  <si>
    <t>Ipcu1_Ch7</t>
  </si>
  <si>
    <t>Ipcu1_Ch8</t>
  </si>
  <si>
    <t>Ipcu1_Ch9</t>
  </si>
  <si>
    <t>Ipcu1_Ch10</t>
  </si>
  <si>
    <t>Ipcu1_Ch11</t>
  </si>
  <si>
    <t>Ipcu1_Ch12</t>
  </si>
  <si>
    <t>Ipcu1_Ch13</t>
  </si>
  <si>
    <t>Ipcu1_Ch14</t>
  </si>
  <si>
    <t>Ipcu1_Ch15</t>
  </si>
  <si>
    <t>External_Ch16</t>
  </si>
  <si>
    <t>External_Ch17</t>
  </si>
  <si>
    <t>External_Ch18</t>
  </si>
  <si>
    <t>External_Ch19</t>
  </si>
  <si>
    <t>External_Ch20</t>
  </si>
  <si>
    <t>External_Ch21</t>
  </si>
  <si>
    <t>External_Ch22</t>
  </si>
  <si>
    <t>External_Ch23</t>
  </si>
  <si>
    <t>External_Ch24</t>
  </si>
  <si>
    <t>External_Ch25</t>
  </si>
  <si>
    <t>External_Ch26</t>
  </si>
  <si>
    <t>External_Ch27</t>
  </si>
  <si>
    <t>External_Ch28</t>
  </si>
  <si>
    <t>External_Ch29</t>
  </si>
  <si>
    <t>External_Ch30</t>
  </si>
  <si>
    <t>External_Ch31</t>
  </si>
  <si>
    <t>Pmc_Dmac_Adc</t>
  </si>
  <si>
    <t>Pmc_Dmac_Receive</t>
  </si>
  <si>
    <t>Pmc_Dmac_Uart_Transmission_Data</t>
  </si>
  <si>
    <t>Pmc_Dmac_Qspi_Transmission</t>
  </si>
  <si>
    <t>Pmc_Dmac_Qspi_Receive</t>
  </si>
  <si>
    <t>Pmc_Uart_Receive_Relation</t>
  </si>
  <si>
    <t>Pmc_Uart_Transmission_Relation</t>
  </si>
  <si>
    <t>Pmc_Qspi</t>
  </si>
  <si>
    <t>Calendar_Alarm</t>
  </si>
  <si>
    <t>Pmc_32bit_Timer_Under_Flow</t>
  </si>
  <si>
    <t>Adc</t>
  </si>
  <si>
    <t>Pmc_I2c</t>
  </si>
  <si>
    <t>Pmc_Watchdog</t>
  </si>
  <si>
    <t>Temperature</t>
  </si>
  <si>
    <t>Pmu</t>
  </si>
  <si>
    <t>Pmc_Gpio</t>
  </si>
  <si>
    <t>Timer_Ch0</t>
  </si>
  <si>
    <t>Timer_Ch1</t>
  </si>
  <si>
    <t>Timer_Ch2</t>
  </si>
  <si>
    <t>Timer_Ch3</t>
  </si>
  <si>
    <t>Timer_Ch4</t>
  </si>
  <si>
    <t>Timer_Ch5</t>
  </si>
  <si>
    <t>Timer_Ch6</t>
  </si>
  <si>
    <t>Timer_Ch7</t>
  </si>
  <si>
    <t>Timer_Ch8</t>
  </si>
  <si>
    <t>Timer_Ch9</t>
  </si>
  <si>
    <t>Timer_Ch10</t>
  </si>
  <si>
    <t>Timer_Ch11</t>
  </si>
  <si>
    <t>Timer_Ch12</t>
  </si>
  <si>
    <t>Timer_Ch13</t>
  </si>
  <si>
    <t>I2c_Ch0</t>
  </si>
  <si>
    <t>I2c_Ch1</t>
  </si>
  <si>
    <t>I2c_Ch2</t>
  </si>
  <si>
    <t>Updown_Counter_Ch0</t>
  </si>
  <si>
    <t>Updown_Counter_Ch1</t>
  </si>
  <si>
    <t>Updown_Counter_Ch2</t>
  </si>
  <si>
    <t>Updown_Counter_Ch3</t>
  </si>
  <si>
    <t>Updown_Counter_Ch4</t>
  </si>
  <si>
    <t>Updown_Counter_Ch5</t>
  </si>
  <si>
    <t>Pwm_Ch0_Ch3</t>
  </si>
  <si>
    <t>Pwm_Ch4_Ch7</t>
  </si>
  <si>
    <t>Pwm_Ch8_Ch11</t>
  </si>
  <si>
    <t>Pwm_Ch12_Ch15</t>
  </si>
  <si>
    <t>Pwm_Ch0_Ch3_Stp</t>
  </si>
  <si>
    <t>Pwm_Ch4_Ch7_Stp</t>
  </si>
  <si>
    <t>Pwm_Ch8_Ch11_Stp</t>
  </si>
  <si>
    <t>Pwm_Ch12_Ch15_Stp</t>
  </si>
  <si>
    <t>Audio_If_Ch0</t>
  </si>
  <si>
    <t>Audio_If_Ch1</t>
  </si>
  <si>
    <t>Audio_If_Ch2</t>
  </si>
  <si>
    <t>Audio_If_Ch3</t>
  </si>
  <si>
    <t>Audio_If_Ch4</t>
  </si>
  <si>
    <t>Audio_If_Ch5</t>
  </si>
  <si>
    <t>Peri_Hdmac0_Ch0</t>
  </si>
  <si>
    <t>Peri_Hdmac0_Ch1</t>
  </si>
  <si>
    <t>Peri_Hdmac0_Ch2</t>
  </si>
  <si>
    <t>Peri_Hdmac0_Ch3</t>
  </si>
  <si>
    <t>Peri_Hdmac0_Ch4</t>
  </si>
  <si>
    <t>Peri_Hdmac0_Ch5</t>
  </si>
  <si>
    <t>Peri_Hdmac0_Ch6</t>
  </si>
  <si>
    <t>Peri_Hdmac0_Ch7</t>
  </si>
  <si>
    <t>Peri_Hdmac1_Ch0</t>
  </si>
  <si>
    <t>Peri_Hdmac1_Ch1</t>
  </si>
  <si>
    <t>Peri_Hdmac1_Ch2</t>
  </si>
  <si>
    <t>Peri_Hdmac1_Ch3</t>
  </si>
  <si>
    <t>Peri_Hdmac1_Ch4</t>
  </si>
  <si>
    <t>Peri_Hdmac1_Ch5</t>
  </si>
  <si>
    <t>Peri_Hdmac1_Ch6</t>
  </si>
  <si>
    <t>Peri_Hdmac1_Ch7</t>
  </si>
  <si>
    <t>Uart_Ch0_Reception</t>
  </si>
  <si>
    <t>Uart_Ch1_Reception</t>
  </si>
  <si>
    <t>Uart_Ch2_Reception</t>
  </si>
  <si>
    <t>Uart_Ch3_Reception</t>
  </si>
  <si>
    <t>Uart_Ch4_Reception</t>
  </si>
  <si>
    <t>Uart_Ch5_Reception</t>
  </si>
  <si>
    <t>Uart_Ch6_Reception</t>
  </si>
  <si>
    <t>Uart_Ch7_Reception</t>
  </si>
  <si>
    <t>Uart_Ch0_Transmission</t>
  </si>
  <si>
    <t>Uart_Ch1_Transmission</t>
  </si>
  <si>
    <t>Uart_Ch2_Transmission</t>
  </si>
  <si>
    <t>Uart_Ch3_Transmission</t>
  </si>
  <si>
    <t>Uart_Ch4_Transmission</t>
  </si>
  <si>
    <t>Uart_Ch5_Transmission</t>
  </si>
  <si>
    <t>Uart_Ch6_Transmission</t>
  </si>
  <si>
    <t>Uart_Ch7_Transmission</t>
  </si>
  <si>
    <t>Spi_Ch0</t>
  </si>
  <si>
    <t>Spi_Ch1</t>
  </si>
  <si>
    <t>Spi_Ch2</t>
  </si>
  <si>
    <t>Pdm_Ch0_Dma0</t>
  </si>
  <si>
    <t>Pdm_Ch0_Dma1</t>
  </si>
  <si>
    <t>Pdm_Ch0_Fifo_Overflow</t>
  </si>
  <si>
    <t>Pdm_Ch1_Dma0</t>
  </si>
  <si>
    <t>Pdm_Ch1_Dma1</t>
  </si>
  <si>
    <t>Pdm_Ch1_Fifo_Overflow</t>
  </si>
  <si>
    <t>Slimbus_Ch0</t>
  </si>
  <si>
    <t>Slimbus_Ch1</t>
  </si>
  <si>
    <t>Slimbus_Ch2</t>
  </si>
  <si>
    <t>Slimbus_Ch3</t>
  </si>
  <si>
    <t>Sdramc_Ch0</t>
  </si>
  <si>
    <t>Sdramc_Ch1</t>
  </si>
  <si>
    <t>Mxic_Unit0</t>
  </si>
  <si>
    <t>Mxic_Unit1</t>
  </si>
  <si>
    <t>Mxic_Unit2</t>
  </si>
  <si>
    <t>Mxic_Unit3</t>
  </si>
  <si>
    <t>Mxic_Unit4</t>
  </si>
  <si>
    <t>Mxic_Unit5</t>
  </si>
  <si>
    <t>Mxic_Unit6</t>
  </si>
  <si>
    <t>Sen</t>
  </si>
  <si>
    <t>Sen_Vd</t>
  </si>
  <si>
    <t>Sen_Hd</t>
  </si>
  <si>
    <t>Sensor_If_Macro0</t>
  </si>
  <si>
    <t>Sensor_If_Macro1</t>
  </si>
  <si>
    <t>Sensor_If_Macro2</t>
  </si>
  <si>
    <t>Sensor_If_Macro3</t>
  </si>
  <si>
    <t>Sro_Unit1</t>
  </si>
  <si>
    <t>Sro_Unit1_Vd</t>
  </si>
  <si>
    <t>Sro_Unit1_Hd</t>
  </si>
  <si>
    <t>Sro_Unit2</t>
  </si>
  <si>
    <t>Sro_Unit2_Vd</t>
  </si>
  <si>
    <t>Sro_Unit2_Hd</t>
  </si>
  <si>
    <t>B2b_Unit1</t>
  </si>
  <si>
    <t>B2b_Unit1_Vd</t>
  </si>
  <si>
    <t>B2b_Unit1_Hd</t>
  </si>
  <si>
    <t>B2b_Unit2</t>
  </si>
  <si>
    <t>B2b_Unit2_Vd</t>
  </si>
  <si>
    <t>B2b_Unit2_Hd</t>
  </si>
  <si>
    <t>Start</t>
  </si>
  <si>
    <t>Pas_Unit2</t>
  </si>
  <si>
    <t>Pas_Unit2_Vd</t>
  </si>
  <si>
    <t>Pas_Unit2_Hd</t>
  </si>
  <si>
    <t>B2r_Unit1</t>
  </si>
  <si>
    <t>B2r_Unit2</t>
  </si>
  <si>
    <t>Ltm_Unit1</t>
  </si>
  <si>
    <t>Ltm_Unit2</t>
  </si>
  <si>
    <t>R2y_Unit1</t>
  </si>
  <si>
    <t>R2y_Unit2</t>
  </si>
  <si>
    <t>Cnr_Unit1</t>
  </si>
  <si>
    <t>Cnr_Unit2</t>
  </si>
  <si>
    <t>Iip</t>
  </si>
  <si>
    <t>Shdr</t>
  </si>
  <si>
    <t>Shdr_Line</t>
  </si>
  <si>
    <t>Me</t>
  </si>
  <si>
    <t>Graphics</t>
  </si>
  <si>
    <t>Jpeg</t>
  </si>
  <si>
    <t>Raw</t>
  </si>
  <si>
    <t>Ipu</t>
  </si>
  <si>
    <t>Ela_Unit</t>
  </si>
  <si>
    <t>Fpt_Unit0</t>
  </si>
  <si>
    <t>Fpt_Unit1</t>
  </si>
  <si>
    <t>Disp_Lcd</t>
  </si>
  <si>
    <t>Disp_Hdmi</t>
  </si>
  <si>
    <t>Disp_Mipi_Dsi</t>
  </si>
  <si>
    <t>Mipi_Dsi_Tx</t>
  </si>
  <si>
    <t>Disp_Dwch</t>
  </si>
  <si>
    <t>Rdma</t>
  </si>
  <si>
    <t>Hdmi_Master</t>
  </si>
  <si>
    <t>Hdmi_Cec</t>
  </si>
  <si>
    <t>BMH_Unit0</t>
  </si>
  <si>
    <t>BMH_Unit1</t>
  </si>
  <si>
    <t>Ribery_Rbr</t>
  </si>
  <si>
    <t>Ribery_Rwdt</t>
  </si>
  <si>
    <t>Interprocessor0</t>
  </si>
  <si>
    <t>Interprocessor1</t>
  </si>
  <si>
    <t>Interprocessor2</t>
  </si>
  <si>
    <t>Interprocessor3</t>
  </si>
  <si>
    <t>Dsp_Peripheral_Unit_Ipcu0</t>
  </si>
  <si>
    <t>Dsp_Peripheral_Unit_Ipcu1</t>
  </si>
  <si>
    <t>Dsp_Peripheral_Unit_Ipcu2</t>
  </si>
  <si>
    <t>Dsp_Peripheral_Unit_Ipcu3</t>
  </si>
  <si>
    <t>Dsp_Debug</t>
  </si>
  <si>
    <t>Nand_Flash</t>
  </si>
  <si>
    <t>Pcie_Ch0_Msi</t>
  </si>
  <si>
    <t>Pcie_Ch0_System_Error</t>
  </si>
  <si>
    <t>Pcie_Ch0x</t>
  </si>
  <si>
    <t>Pcie_Ch0_Core</t>
  </si>
  <si>
    <t>Pcie_Ch0_DMA</t>
  </si>
  <si>
    <t>Pcie_Ch1_Msi</t>
  </si>
  <si>
    <t>Pcie_Ch1_System_Error</t>
  </si>
  <si>
    <t>Pcie_Ch1x</t>
  </si>
  <si>
    <t>Pcie_Ch1_Core</t>
  </si>
  <si>
    <t>Pcie_Ch1_DMA</t>
  </si>
  <si>
    <t>Exs_Xdmac_Ch0</t>
  </si>
  <si>
    <t>Exs_Xdmac_Ch1</t>
  </si>
  <si>
    <t>Exs_Xdmac_Ch2</t>
  </si>
  <si>
    <t>Exs_Xdmac_Ch3</t>
  </si>
  <si>
    <t>Exs_Hdmac_Ch0</t>
  </si>
  <si>
    <t>Exs_Hdmac_Ch1</t>
  </si>
  <si>
    <t>Exs_Hdmac_Ch2</t>
  </si>
  <si>
    <t>Exs_Hdmac_Ch3</t>
  </si>
  <si>
    <t>Usb20_Hdc</t>
  </si>
  <si>
    <t>Usb20_Host_Ehci</t>
  </si>
  <si>
    <t>Usb20_Host_Ohci</t>
  </si>
  <si>
    <t>Usb30</t>
  </si>
  <si>
    <t>Relc</t>
  </si>
  <si>
    <t>Netsec_A</t>
  </si>
  <si>
    <t>Netsec_B</t>
  </si>
  <si>
    <t>Level</t>
  </si>
  <si>
    <t>RK_9M T-Kernel ver.</t>
    <phoneticPr fontId="6"/>
  </si>
  <si>
    <t>T-Kernel Boot Version</t>
    <phoneticPr fontId="6"/>
  </si>
  <si>
    <t>CPU1</t>
    <phoneticPr fontId="6"/>
  </si>
  <si>
    <t>CPU2</t>
    <phoneticPr fontId="6"/>
  </si>
  <si>
    <t>CPU3</t>
    <phoneticPr fontId="6"/>
  </si>
  <si>
    <t>Timestamp</t>
    <phoneticPr fontId="6"/>
  </si>
  <si>
    <t>ch.3</t>
    <phoneticPr fontId="6"/>
  </si>
  <si>
    <t>Audio</t>
    <phoneticPr fontId="6"/>
  </si>
  <si>
    <t>all</t>
    <phoneticPr fontId="6"/>
  </si>
  <si>
    <t>ch.4</t>
    <phoneticPr fontId="6"/>
  </si>
  <si>
    <t>-</t>
    <phoneticPr fontId="6"/>
  </si>
  <si>
    <t>ch.5</t>
    <phoneticPr fontId="6"/>
  </si>
  <si>
    <t>PDM 2ch</t>
    <phoneticPr fontId="6"/>
  </si>
  <si>
    <t>ch.1</t>
    <phoneticPr fontId="6"/>
  </si>
  <si>
    <t>Audio 6ch</t>
    <phoneticPr fontId="6"/>
  </si>
  <si>
    <t>Edge</t>
  </si>
  <si>
    <t>PCIe RC/EP</t>
    <phoneticPr fontId="6"/>
  </si>
  <si>
    <t>PCIe RC</t>
    <phoneticPr fontId="6"/>
  </si>
  <si>
    <t>SD ch1</t>
    <phoneticPr fontId="6"/>
  </si>
  <si>
    <t>SD ch2</t>
    <phoneticPr fontId="6"/>
  </si>
  <si>
    <t>SD ch3</t>
    <phoneticPr fontId="6"/>
  </si>
  <si>
    <t>SD1</t>
    <phoneticPr fontId="6"/>
  </si>
  <si>
    <t>SD2</t>
    <phoneticPr fontId="6"/>
  </si>
  <si>
    <t>SD3</t>
    <phoneticPr fontId="6"/>
  </si>
  <si>
    <t>ch.1</t>
    <phoneticPr fontId="6"/>
  </si>
  <si>
    <t>ch.2</t>
    <phoneticPr fontId="6"/>
  </si>
  <si>
    <t>ch.3</t>
    <phoneticPr fontId="6"/>
  </si>
  <si>
    <t>eMMC</t>
    <phoneticPr fontId="6"/>
  </si>
  <si>
    <t>EMMC</t>
    <phoneticPr fontId="6"/>
  </si>
  <si>
    <t>Embedded Multi-Media Card</t>
    <phoneticPr fontId="6"/>
  </si>
  <si>
    <t>USB2.0 (Host/Device)</t>
    <phoneticPr fontId="6"/>
  </si>
  <si>
    <t>USB3.0 (Device) &amp; USB2.0 (Host/Device)</t>
    <phoneticPr fontId="6"/>
  </si>
  <si>
    <t>ARM/SNAP</t>
    <phoneticPr fontId="6"/>
  </si>
  <si>
    <t>SD Memory card (UHS-II)</t>
    <phoneticPr fontId="6"/>
  </si>
  <si>
    <t xml:space="preserve">SD ch3 </t>
    <phoneticPr fontId="6"/>
  </si>
  <si>
    <t>SD ch3 / PCIech0  Power Management</t>
    <phoneticPr fontId="6"/>
  </si>
  <si>
    <t>SD ch3 / PCIe ch1 Power Management</t>
    <phoneticPr fontId="6"/>
  </si>
  <si>
    <t>SD ch3</t>
    <phoneticPr fontId="6"/>
  </si>
  <si>
    <t>UART debug</t>
    <phoneticPr fontId="6"/>
  </si>
  <si>
    <t>SPI</t>
    <phoneticPr fontId="6"/>
  </si>
  <si>
    <t>-</t>
    <phoneticPr fontId="6"/>
  </si>
  <si>
    <t>Sensor</t>
    <phoneticPr fontId="6"/>
  </si>
  <si>
    <t>S-Flash / LCD(x2) / Audio</t>
    <phoneticPr fontId="6"/>
  </si>
  <si>
    <t>Gyro</t>
    <phoneticPr fontId="6"/>
  </si>
  <si>
    <t>SPI 3ch</t>
    <phoneticPr fontId="6"/>
  </si>
  <si>
    <t>UART/CSIO 8ch</t>
    <phoneticPr fontId="6"/>
  </si>
  <si>
    <t>32bit Timer 14ch</t>
    <phoneticPr fontId="6"/>
  </si>
  <si>
    <t>64bit Timer</t>
    <phoneticPr fontId="6"/>
  </si>
  <si>
    <t>SD ch3 (Common port)</t>
    <phoneticPr fontId="6"/>
  </si>
  <si>
    <t>PCIe ch1 Card Control (Common port)</t>
    <phoneticPr fontId="6"/>
  </si>
  <si>
    <t>PCIe ch0 Card Control (Common port)</t>
    <phoneticPr fontId="6"/>
  </si>
  <si>
    <t>UART debug (connect to CM0:ch0 port)</t>
    <phoneticPr fontId="6"/>
  </si>
  <si>
    <t>JPEG</t>
    <phoneticPr fontId="6"/>
  </si>
  <si>
    <t>ENCODER</t>
    <phoneticPr fontId="6"/>
  </si>
  <si>
    <t>movie(enc/dec)</t>
    <phoneticPr fontId="6"/>
  </si>
  <si>
    <t>HEVC</t>
    <phoneticPr fontId="6"/>
  </si>
  <si>
    <t>SHDR</t>
    <phoneticPr fontId="6"/>
  </si>
  <si>
    <t>-</t>
    <phoneticPr fontId="6"/>
  </si>
  <si>
    <t>ME</t>
    <phoneticPr fontId="6"/>
  </si>
  <si>
    <t>CNR</t>
    <phoneticPr fontId="6"/>
  </si>
  <si>
    <t>LTM</t>
    <phoneticPr fontId="6"/>
  </si>
  <si>
    <t>R2Y</t>
    <phoneticPr fontId="6"/>
  </si>
  <si>
    <t>B2R</t>
    <phoneticPr fontId="6"/>
  </si>
  <si>
    <t>PRO(SEN/SRO/B2B)</t>
    <phoneticPr fontId="6"/>
  </si>
  <si>
    <t>WiFi</t>
    <phoneticPr fontId="6"/>
  </si>
  <si>
    <t>all</t>
    <phoneticPr fontId="6"/>
  </si>
  <si>
    <t>SLIMBus 4ch</t>
    <phoneticPr fontId="6"/>
  </si>
  <si>
    <t>SLIMBus</t>
    <phoneticPr fontId="6"/>
  </si>
  <si>
    <t>M9M_SDK/ IO Definition list</t>
    <phoneticPr fontId="2"/>
  </si>
  <si>
    <t>初版</t>
    <rPh sb="0" eb="2">
      <t>ショハン</t>
    </rPh>
    <phoneticPr fontId="6"/>
  </si>
  <si>
    <r>
      <t>EPCR</t>
    </r>
    <r>
      <rPr>
        <sz val="9"/>
        <color theme="1"/>
        <rFont val="ＭＳ Ｐゴシック"/>
        <family val="3"/>
        <charset val="128"/>
      </rPr>
      <t>設定修正</t>
    </r>
    <rPh sb="4" eb="6">
      <t>セッテイ</t>
    </rPh>
    <rPh sb="6" eb="8">
      <t>シュウセイ</t>
    </rPh>
    <phoneticPr fontId="6"/>
  </si>
  <si>
    <t>Dedicated pin</t>
    <phoneticPr fontId="6"/>
  </si>
  <si>
    <t>Out</t>
    <phoneticPr fontId="6"/>
  </si>
  <si>
    <t>H</t>
    <phoneticPr fontId="6"/>
  </si>
  <si>
    <t>CM0</t>
    <phoneticPr fontId="6"/>
  </si>
  <si>
    <r>
      <t>Pin name/</t>
    </r>
    <r>
      <rPr>
        <sz val="9"/>
        <color theme="1"/>
        <rFont val="ＭＳ Ｐゴシック"/>
        <family val="3"/>
        <charset val="128"/>
      </rPr>
      <t>電源PM</t>
    </r>
    <rPh sb="9" eb="11">
      <t>デンゲン</t>
    </rPh>
    <phoneticPr fontId="6"/>
  </si>
  <si>
    <t>GPIO pin</t>
    <phoneticPr fontId="6"/>
  </si>
  <si>
    <t>In</t>
    <phoneticPr fontId="6"/>
  </si>
  <si>
    <t>L</t>
    <phoneticPr fontId="6"/>
  </si>
  <si>
    <t>Boot</t>
  </si>
  <si>
    <t>INPUT pin</t>
    <phoneticPr fontId="6"/>
  </si>
  <si>
    <t>IO</t>
    <phoneticPr fontId="6"/>
  </si>
  <si>
    <t>-</t>
    <phoneticPr fontId="6"/>
  </si>
  <si>
    <t>RTOS H</t>
  </si>
  <si>
    <t>RTOS B</t>
  </si>
  <si>
    <t>Port</t>
    <phoneticPr fontId="2"/>
  </si>
  <si>
    <t>PinName</t>
    <phoneticPr fontId="2"/>
  </si>
  <si>
    <r>
      <rPr>
        <sz val="9"/>
        <color theme="1"/>
        <rFont val="ＭＳ Ｐゴシック"/>
        <family val="3"/>
        <charset val="128"/>
      </rPr>
      <t>　　　　　　　　　</t>
    </r>
    <r>
      <rPr>
        <sz val="9"/>
        <color theme="1"/>
        <rFont val="Tahoma"/>
        <family val="2"/>
      </rPr>
      <t>Pin name</t>
    </r>
    <phoneticPr fontId="6"/>
  </si>
  <si>
    <t>Selected Function</t>
    <phoneticPr fontId="2"/>
  </si>
  <si>
    <t>Grouping</t>
    <phoneticPr fontId="2"/>
  </si>
  <si>
    <t>Vdd (V)</t>
    <phoneticPr fontId="6"/>
  </si>
  <si>
    <t>function</t>
    <phoneticPr fontId="6"/>
  </si>
  <si>
    <t>Dedication/GPIO</t>
    <phoneticPr fontId="2"/>
  </si>
  <si>
    <t>I/O</t>
    <phoneticPr fontId="2"/>
  </si>
  <si>
    <t>PUD</t>
    <phoneticPr fontId="2"/>
  </si>
  <si>
    <t>Initial
H/L</t>
    <phoneticPr fontId="2"/>
  </si>
  <si>
    <t>Active</t>
    <phoneticPr fontId="2"/>
  </si>
  <si>
    <t>Ctrl</t>
    <phoneticPr fontId="6"/>
  </si>
  <si>
    <t>appendix1</t>
    <phoneticPr fontId="6"/>
  </si>
  <si>
    <t>appendix2</t>
    <phoneticPr fontId="6"/>
  </si>
  <si>
    <t>Descriptions</t>
    <phoneticPr fontId="2"/>
  </si>
  <si>
    <t>External R</t>
    <phoneticPr fontId="2"/>
  </si>
  <si>
    <t>TP</t>
    <phoneticPr fontId="6"/>
  </si>
  <si>
    <t>Port</t>
    <phoneticPr fontId="2"/>
  </si>
  <si>
    <t>bit</t>
    <phoneticPr fontId="2"/>
  </si>
  <si>
    <t>PDR</t>
    <phoneticPr fontId="2"/>
  </si>
  <si>
    <t>DDR</t>
    <phoneticPr fontId="2"/>
  </si>
  <si>
    <t>EPCR</t>
    <phoneticPr fontId="2"/>
  </si>
  <si>
    <t>PUDEN</t>
    <phoneticPr fontId="2"/>
  </si>
  <si>
    <t>PUDCR</t>
    <phoneticPr fontId="2"/>
  </si>
  <si>
    <t>PORT0</t>
    <phoneticPr fontId="2"/>
  </si>
  <si>
    <t>P07</t>
    <phoneticPr fontId="2"/>
  </si>
  <si>
    <t>PM</t>
    <phoneticPr fontId="6"/>
  </si>
  <si>
    <t>PM</t>
    <phoneticPr fontId="6"/>
  </si>
  <si>
    <t>P07/EINT07</t>
    <phoneticPr fontId="6"/>
  </si>
  <si>
    <t>P07</t>
  </si>
  <si>
    <t>VDE18B1</t>
    <phoneticPr fontId="6"/>
  </si>
  <si>
    <t>VDE18B1</t>
    <phoneticPr fontId="6"/>
  </si>
  <si>
    <t>NU</t>
    <phoneticPr fontId="6"/>
  </si>
  <si>
    <t>CN31-6</t>
    <phoneticPr fontId="6"/>
  </si>
  <si>
    <t>Hex</t>
    <phoneticPr fontId="2"/>
  </si>
  <si>
    <t>Hex</t>
    <phoneticPr fontId="2"/>
  </si>
  <si>
    <t>P06</t>
    <phoneticPr fontId="2"/>
  </si>
  <si>
    <t>PM</t>
    <phoneticPr fontId="6"/>
  </si>
  <si>
    <t>P06/EINT06</t>
  </si>
  <si>
    <t>P06</t>
  </si>
  <si>
    <t>VDE18B1</t>
    <phoneticPr fontId="6"/>
  </si>
  <si>
    <t>NU</t>
    <phoneticPr fontId="6"/>
  </si>
  <si>
    <t>CN31-4</t>
    <phoneticPr fontId="6"/>
  </si>
  <si>
    <t>P05</t>
  </si>
  <si>
    <t>PM</t>
    <phoneticPr fontId="6"/>
  </si>
  <si>
    <t>P05/EINT05</t>
  </si>
  <si>
    <t>EINT05</t>
  </si>
  <si>
    <t>VDE18B1</t>
    <phoneticPr fontId="6"/>
  </si>
  <si>
    <t>NU</t>
    <phoneticPr fontId="6"/>
  </si>
  <si>
    <t>CN31-2</t>
    <phoneticPr fontId="6"/>
  </si>
  <si>
    <t>CN31-2</t>
    <phoneticPr fontId="6"/>
  </si>
  <si>
    <t>P04</t>
  </si>
  <si>
    <t>P04/EINT04</t>
    <phoneticPr fontId="6"/>
  </si>
  <si>
    <t>EINT04</t>
  </si>
  <si>
    <t>INT from external RTC IC</t>
    <phoneticPr fontId="6"/>
  </si>
  <si>
    <t>CN31-9</t>
    <phoneticPr fontId="6"/>
  </si>
  <si>
    <t>P03</t>
  </si>
  <si>
    <t>P03/EINT03</t>
    <phoneticPr fontId="6"/>
  </si>
  <si>
    <t>EINT03</t>
  </si>
  <si>
    <t>ShutterKey(Shutter) PosEdge or ActiveHi</t>
    <phoneticPr fontId="6"/>
  </si>
  <si>
    <t>CN31-7</t>
    <phoneticPr fontId="6"/>
  </si>
  <si>
    <t>P02</t>
  </si>
  <si>
    <t>P02/EINT02</t>
    <phoneticPr fontId="6"/>
  </si>
  <si>
    <t>EINT02</t>
  </si>
  <si>
    <t>ShutterKey(AF) PosEdge or ActiveHi</t>
    <phoneticPr fontId="6"/>
  </si>
  <si>
    <t>10KPD</t>
    <phoneticPr fontId="6"/>
  </si>
  <si>
    <t>P01</t>
  </si>
  <si>
    <t>PM</t>
    <phoneticPr fontId="6"/>
  </si>
  <si>
    <t>P01/EINT01</t>
    <phoneticPr fontId="6"/>
  </si>
  <si>
    <t>EINT01</t>
  </si>
  <si>
    <t>VDE18B1</t>
    <phoneticPr fontId="6"/>
  </si>
  <si>
    <t>Reset from MCU to ARM (L: Reset)</t>
    <phoneticPr fontId="6"/>
  </si>
  <si>
    <t>Out</t>
    <phoneticPr fontId="6"/>
  </si>
  <si>
    <t>IO設定時に いきなりリセット解除の設定</t>
    <rPh sb="2" eb="4">
      <t>セッテイ</t>
    </rPh>
    <rPh sb="4" eb="5">
      <t>ジ</t>
    </rPh>
    <rPh sb="15" eb="17">
      <t>カイジョ</t>
    </rPh>
    <rPh sb="18" eb="20">
      <t>セッテイ</t>
    </rPh>
    <phoneticPr fontId="6"/>
  </si>
  <si>
    <t>100KPU18</t>
    <phoneticPr fontId="6"/>
  </si>
  <si>
    <t>CN31-3</t>
    <phoneticPr fontId="6"/>
  </si>
  <si>
    <t>P00</t>
  </si>
  <si>
    <t>P00/EINT00</t>
    <phoneticPr fontId="6"/>
  </si>
  <si>
    <t>EINT00</t>
  </si>
  <si>
    <t>VDE18B1</t>
  </si>
  <si>
    <t xml:space="preserve">PM CPU INT ('L'--&gt;'H' at PowerON: from PMU) </t>
    <phoneticPr fontId="6"/>
  </si>
  <si>
    <t>CN31-1</t>
    <phoneticPr fontId="6"/>
  </si>
  <si>
    <t>PORT1</t>
    <phoneticPr fontId="2"/>
  </si>
  <si>
    <t>P17</t>
    <phoneticPr fontId="2"/>
  </si>
  <si>
    <t>EINT15</t>
  </si>
  <si>
    <r>
      <t>Push SW8 (Active</t>
    </r>
    <r>
      <rPr>
        <sz val="9"/>
        <color theme="1"/>
        <rFont val="ＭＳ Ｐゴシック"/>
        <family val="3"/>
        <charset val="128"/>
      </rPr>
      <t>↑</t>
    </r>
    <r>
      <rPr>
        <sz val="9"/>
        <color theme="1"/>
        <rFont val="Tahoma"/>
        <family val="2"/>
      </rPr>
      <t>)</t>
    </r>
    <phoneticPr fontId="6"/>
  </si>
  <si>
    <t>10KPD</t>
    <phoneticPr fontId="6"/>
  </si>
  <si>
    <t>CN32-6</t>
    <phoneticPr fontId="6"/>
  </si>
  <si>
    <t>P16</t>
    <phoneticPr fontId="2"/>
  </si>
  <si>
    <t>P11/EINT09</t>
  </si>
  <si>
    <t>EINT14</t>
  </si>
  <si>
    <r>
      <t>wake up for BT</t>
    </r>
    <r>
      <rPr>
        <b/>
        <sz val="9"/>
        <color rgb="FFFF0000"/>
        <rFont val="Tahoma"/>
        <family val="2"/>
      </rPr>
      <t/>
    </r>
    <phoneticPr fontId="6"/>
  </si>
  <si>
    <r>
      <t>wakeup</t>
    </r>
    <r>
      <rPr>
        <sz val="9"/>
        <rFont val="ＭＳ Ｐゴシック"/>
        <family val="3"/>
        <charset val="128"/>
      </rPr>
      <t>の極性要調査</t>
    </r>
    <rPh sb="7" eb="9">
      <t>キョクセイ</t>
    </rPh>
    <rPh sb="9" eb="10">
      <t>ヨウ</t>
    </rPh>
    <rPh sb="10" eb="12">
      <t>チョウサ</t>
    </rPh>
    <phoneticPr fontId="6"/>
  </si>
  <si>
    <t>CN32-4</t>
    <phoneticPr fontId="6"/>
  </si>
  <si>
    <t>P15</t>
    <phoneticPr fontId="6"/>
  </si>
  <si>
    <t>PM</t>
    <phoneticPr fontId="6"/>
  </si>
  <si>
    <t>P12/EINT10</t>
  </si>
  <si>
    <t>EINT13</t>
  </si>
  <si>
    <t>VDE18B1</t>
    <phoneticPr fontId="6"/>
  </si>
  <si>
    <t>wake up for WLAN</t>
    <phoneticPr fontId="6"/>
  </si>
  <si>
    <t>CN32-2</t>
    <phoneticPr fontId="6"/>
  </si>
  <si>
    <t>P14</t>
  </si>
  <si>
    <t>P13/EINT11</t>
  </si>
  <si>
    <t>EINT12</t>
  </si>
  <si>
    <t>CrossKey (Center) PsoEdge or ActiveH</t>
    <phoneticPr fontId="6"/>
  </si>
  <si>
    <t>CN32-9</t>
    <phoneticPr fontId="6"/>
  </si>
  <si>
    <t>P13</t>
  </si>
  <si>
    <t>EINT11</t>
  </si>
  <si>
    <t>VDE18B1</t>
    <phoneticPr fontId="6"/>
  </si>
  <si>
    <t>CrossKey (Right) PsoEdge or ActiveH</t>
    <phoneticPr fontId="6"/>
  </si>
  <si>
    <t>10KPD</t>
    <phoneticPr fontId="6"/>
  </si>
  <si>
    <t>CN32-7</t>
    <phoneticPr fontId="6"/>
  </si>
  <si>
    <t>P12</t>
  </si>
  <si>
    <t>EINT10</t>
  </si>
  <si>
    <t>CrossKey (Down) PsoEdge or ActiveH</t>
    <phoneticPr fontId="6"/>
  </si>
  <si>
    <t>10KPD</t>
    <phoneticPr fontId="6"/>
  </si>
  <si>
    <t>CN32-5</t>
    <phoneticPr fontId="6"/>
  </si>
  <si>
    <t>P11</t>
  </si>
  <si>
    <t>EINT09</t>
  </si>
  <si>
    <t>CrossKey (Left) PsoEdge or ActiveH</t>
    <phoneticPr fontId="6"/>
  </si>
  <si>
    <t>CN32-3</t>
    <phoneticPr fontId="6"/>
  </si>
  <si>
    <t>P10</t>
  </si>
  <si>
    <t>EINT08</t>
  </si>
  <si>
    <t>CrossKey (Up) PsoEdge or ActiveH</t>
    <phoneticPr fontId="6"/>
  </si>
  <si>
    <t>CN32-1</t>
    <phoneticPr fontId="6"/>
  </si>
  <si>
    <t>PORT2</t>
    <phoneticPr fontId="2"/>
  </si>
  <si>
    <t>P27</t>
    <phoneticPr fontId="2"/>
  </si>
  <si>
    <t>PM</t>
    <phoneticPr fontId="6"/>
  </si>
  <si>
    <t>P27/WTRG7</t>
    <phoneticPr fontId="6"/>
  </si>
  <si>
    <t>P27</t>
  </si>
  <si>
    <t>VDE18B1</t>
    <phoneticPr fontId="6"/>
  </si>
  <si>
    <t>Debug LED1 ('H' : ON)</t>
    <phoneticPr fontId="6"/>
  </si>
  <si>
    <t>Debug LED1 ('H' : ON)</t>
    <phoneticPr fontId="6"/>
  </si>
  <si>
    <t>CN33-6</t>
    <phoneticPr fontId="6"/>
  </si>
  <si>
    <t>P26</t>
    <phoneticPr fontId="2"/>
  </si>
  <si>
    <t>P26/WTRG6</t>
    <phoneticPr fontId="6"/>
  </si>
  <si>
    <t>P26</t>
  </si>
  <si>
    <t>CN33-4</t>
    <phoneticPr fontId="6"/>
  </si>
  <si>
    <t>P25</t>
    <phoneticPr fontId="6"/>
  </si>
  <si>
    <t>P25/WTRG5</t>
  </si>
  <si>
    <t>P25</t>
  </si>
  <si>
    <t>CN33-2</t>
    <phoneticPr fontId="6"/>
  </si>
  <si>
    <t>P24</t>
  </si>
  <si>
    <t>P24/WTRG4/ADTRG</t>
  </si>
  <si>
    <t>Debug LED1 ('H' : ON)</t>
    <phoneticPr fontId="6"/>
  </si>
  <si>
    <t>Out</t>
    <phoneticPr fontId="6"/>
  </si>
  <si>
    <t>L</t>
    <phoneticPr fontId="6"/>
  </si>
  <si>
    <t>L</t>
    <phoneticPr fontId="6"/>
  </si>
  <si>
    <t>H</t>
    <phoneticPr fontId="6"/>
  </si>
  <si>
    <t>CN33-9</t>
    <phoneticPr fontId="6"/>
  </si>
  <si>
    <t>P23</t>
  </si>
  <si>
    <t>P23/SD3SW_2</t>
  </si>
  <si>
    <t>GPIO to LCD Board (NU)</t>
    <phoneticPr fontId="6"/>
  </si>
  <si>
    <t>Out</t>
    <phoneticPr fontId="6"/>
  </si>
  <si>
    <t>P56(LAND)</t>
    <phoneticPr fontId="6"/>
  </si>
  <si>
    <t>CN33-7</t>
    <phoneticPr fontId="6"/>
  </si>
  <si>
    <t>P22</t>
  </si>
  <si>
    <t>PM</t>
    <phoneticPr fontId="6"/>
  </si>
  <si>
    <t>P22/SD3LEDX_2</t>
    <phoneticPr fontId="6"/>
  </si>
  <si>
    <t>GPIO3 (IC9: MPU Ctrl)</t>
    <phoneticPr fontId="6"/>
  </si>
  <si>
    <t>Out</t>
    <phoneticPr fontId="6"/>
  </si>
  <si>
    <t>100KPD</t>
    <phoneticPr fontId="6"/>
  </si>
  <si>
    <t>CN33-5</t>
    <phoneticPr fontId="6"/>
  </si>
  <si>
    <t>P21</t>
  </si>
  <si>
    <t>P21/SD3WP_2</t>
  </si>
  <si>
    <t>GPIO2 (IC9: MPU Ctrl)</t>
    <phoneticPr fontId="6"/>
  </si>
  <si>
    <t>Out</t>
    <phoneticPr fontId="6"/>
  </si>
  <si>
    <t>100KPD</t>
    <phoneticPr fontId="6"/>
  </si>
  <si>
    <t>CN33-3</t>
    <phoneticPr fontId="6"/>
  </si>
  <si>
    <t>P20</t>
  </si>
  <si>
    <t>P20/SD3CDX_2</t>
    <phoneticPr fontId="6"/>
  </si>
  <si>
    <t>GPIO1 (IC9: MPU Ctrl)</t>
    <phoneticPr fontId="6"/>
  </si>
  <si>
    <t>100KPD</t>
    <phoneticPr fontId="6"/>
  </si>
  <si>
    <t>CN33-1</t>
    <phoneticPr fontId="6"/>
  </si>
  <si>
    <t>PORT3</t>
    <phoneticPr fontId="2"/>
  </si>
  <si>
    <t>P37</t>
    <phoneticPr fontId="2"/>
  </si>
  <si>
    <t>P37/U2IDPU_2</t>
  </si>
  <si>
    <t>RotarySW (SW3) D8</t>
    <phoneticPr fontId="6"/>
  </si>
  <si>
    <t>In</t>
    <phoneticPr fontId="6"/>
  </si>
  <si>
    <t>CN34-6</t>
    <phoneticPr fontId="6"/>
  </si>
  <si>
    <t>P36</t>
    <phoneticPr fontId="2"/>
  </si>
  <si>
    <t>P36/U2IDDIG_2</t>
  </si>
  <si>
    <t>P36</t>
  </si>
  <si>
    <t>RotarySW (SW3) D4</t>
    <phoneticPr fontId="6"/>
  </si>
  <si>
    <t>In</t>
    <phoneticPr fontId="6"/>
  </si>
  <si>
    <t>100KPU18</t>
  </si>
  <si>
    <t>CN34-4</t>
    <phoneticPr fontId="6"/>
  </si>
  <si>
    <t>P35</t>
    <phoneticPr fontId="6"/>
  </si>
  <si>
    <t>P35/U2VBUSE_2</t>
  </si>
  <si>
    <t>RotarySW (SW3) D2</t>
    <phoneticPr fontId="6"/>
  </si>
  <si>
    <t>In</t>
    <phoneticPr fontId="6"/>
  </si>
  <si>
    <t>CN34-2</t>
    <phoneticPr fontId="6"/>
  </si>
  <si>
    <t>P34/U2OCDX_2</t>
  </si>
  <si>
    <t>RotarySW (SW3) D1</t>
    <phoneticPr fontId="6"/>
  </si>
  <si>
    <t>CN34-9</t>
    <phoneticPr fontId="6"/>
  </si>
  <si>
    <t>P33/U1IDPU_2</t>
  </si>
  <si>
    <t>PushSW (SW11)</t>
    <phoneticPr fontId="6"/>
  </si>
  <si>
    <t>In</t>
    <phoneticPr fontId="6"/>
  </si>
  <si>
    <t>CN34-7</t>
    <phoneticPr fontId="6"/>
  </si>
  <si>
    <t>P32/U1IDDIG_2</t>
  </si>
  <si>
    <t>P32</t>
    <phoneticPr fontId="6"/>
  </si>
  <si>
    <t>PushSW (SW10)</t>
    <phoneticPr fontId="6"/>
  </si>
  <si>
    <t>In</t>
    <phoneticPr fontId="6"/>
  </si>
  <si>
    <t>10KPD</t>
    <phoneticPr fontId="6"/>
  </si>
  <si>
    <t>CN34-5</t>
    <phoneticPr fontId="6"/>
  </si>
  <si>
    <t>P31/U1VBUSE_2</t>
  </si>
  <si>
    <t>PushSW (SW9)</t>
    <phoneticPr fontId="6"/>
  </si>
  <si>
    <t>CN34-3</t>
    <phoneticPr fontId="6"/>
  </si>
  <si>
    <t>P30/U1OCDX_2</t>
  </si>
  <si>
    <t>P30</t>
    <phoneticPr fontId="6"/>
  </si>
  <si>
    <t>SerialFlash RESET ('L' :RESET)</t>
  </si>
  <si>
    <t>CN34-1</t>
  </si>
  <si>
    <t>PORT 4</t>
    <phoneticPr fontId="2"/>
  </si>
  <si>
    <t>P47</t>
    <phoneticPr fontId="2"/>
  </si>
  <si>
    <t>-</t>
    <phoneticPr fontId="2"/>
  </si>
  <si>
    <t>Hex</t>
    <phoneticPr fontId="2"/>
  </si>
  <si>
    <t>P46</t>
    <phoneticPr fontId="2"/>
  </si>
  <si>
    <t>P46(ALARM)</t>
    <phoneticPr fontId="6"/>
  </si>
  <si>
    <t>LED1 (RED : Alarm)</t>
    <phoneticPr fontId="6"/>
  </si>
  <si>
    <t>-</t>
    <phoneticPr fontId="2"/>
  </si>
  <si>
    <t>(ALART= H)</t>
    <phoneticPr fontId="6"/>
  </si>
  <si>
    <t>P45</t>
    <phoneticPr fontId="6"/>
  </si>
  <si>
    <t>P45/FPSOUT0</t>
    <phoneticPr fontId="6"/>
  </si>
  <si>
    <t>FPSOUT0</t>
  </si>
  <si>
    <t>UART0 Tx for M0</t>
    <phoneticPr fontId="6"/>
  </si>
  <si>
    <t>-</t>
    <phoneticPr fontId="2"/>
  </si>
  <si>
    <r>
      <t>CA7</t>
    </r>
    <r>
      <rPr>
        <sz val="9"/>
        <color theme="1"/>
        <rFont val="ＭＳ Ｐゴシック"/>
        <family val="3"/>
        <charset val="128"/>
      </rPr>
      <t>起動後P45入力に設定</t>
    </r>
    <rPh sb="3" eb="5">
      <t>キドウ</t>
    </rPh>
    <rPh sb="5" eb="6">
      <t>ゴ</t>
    </rPh>
    <rPh sb="9" eb="11">
      <t>ニュウリョク</t>
    </rPh>
    <rPh sb="12" eb="14">
      <t>セッテイ</t>
    </rPh>
    <phoneticPr fontId="6"/>
  </si>
  <si>
    <t>CN25-1</t>
    <phoneticPr fontId="6"/>
  </si>
  <si>
    <t>P44</t>
  </si>
  <si>
    <t>P44/FPSIN0</t>
    <phoneticPr fontId="6"/>
  </si>
  <si>
    <t>UART0 Rx for M0</t>
    <phoneticPr fontId="6"/>
  </si>
  <si>
    <t>CN25-2</t>
    <phoneticPr fontId="6"/>
  </si>
  <si>
    <t>P43</t>
  </si>
  <si>
    <t>-</t>
    <phoneticPr fontId="2"/>
  </si>
  <si>
    <t>-</t>
    <phoneticPr fontId="6"/>
  </si>
  <si>
    <t>P42</t>
  </si>
  <si>
    <t>-</t>
    <phoneticPr fontId="2"/>
  </si>
  <si>
    <t>-</t>
    <phoneticPr fontId="6"/>
  </si>
  <si>
    <t>-</t>
    <phoneticPr fontId="6"/>
  </si>
  <si>
    <t>PORT 6</t>
    <phoneticPr fontId="2"/>
  </si>
  <si>
    <t>P67</t>
    <phoneticPr fontId="2"/>
  </si>
  <si>
    <t>P67/EINT23/AU1DI</t>
  </si>
  <si>
    <t>VDE18B2</t>
    <phoneticPr fontId="6"/>
  </si>
  <si>
    <t>VDE18B2</t>
    <phoneticPr fontId="6"/>
  </si>
  <si>
    <t>GPIO to SensorBoard</t>
    <phoneticPr fontId="6"/>
  </si>
  <si>
    <t>GPIO to SensorBoard</t>
    <phoneticPr fontId="6"/>
  </si>
  <si>
    <t>Out</t>
    <phoneticPr fontId="6"/>
  </si>
  <si>
    <t>L</t>
    <phoneticPr fontId="2"/>
  </si>
  <si>
    <t>L</t>
    <phoneticPr fontId="2"/>
  </si>
  <si>
    <t>-</t>
    <phoneticPr fontId="2"/>
  </si>
  <si>
    <t>CN36-6</t>
    <phoneticPr fontId="6"/>
  </si>
  <si>
    <t>Hex</t>
    <phoneticPr fontId="2"/>
  </si>
  <si>
    <t>P66</t>
    <phoneticPr fontId="2"/>
  </si>
  <si>
    <t>P66/EINT22</t>
  </si>
  <si>
    <t>CN36-4</t>
    <phoneticPr fontId="6"/>
  </si>
  <si>
    <t>P65</t>
    <phoneticPr fontId="6"/>
  </si>
  <si>
    <t>P65/EINT21</t>
  </si>
  <si>
    <t>P65</t>
  </si>
  <si>
    <t>VDE18B2</t>
    <phoneticPr fontId="6"/>
  </si>
  <si>
    <t>SD3(UHS-I)  PowerON ('H' : ON)</t>
    <phoneticPr fontId="6"/>
  </si>
  <si>
    <t>H</t>
    <phoneticPr fontId="2"/>
  </si>
  <si>
    <t>初期値Active？</t>
    <rPh sb="0" eb="3">
      <t>ショキチ</t>
    </rPh>
    <phoneticPr fontId="6"/>
  </si>
  <si>
    <t>100KPU18</t>
    <phoneticPr fontId="6"/>
  </si>
  <si>
    <t>CN36-2</t>
    <phoneticPr fontId="6"/>
  </si>
  <si>
    <t>P64</t>
  </si>
  <si>
    <t>P64/EINT20</t>
  </si>
  <si>
    <t>SD2(UHS-II) PowerON ('H' : ON)</t>
    <phoneticPr fontId="6"/>
  </si>
  <si>
    <t>CN36-9</t>
    <phoneticPr fontId="6"/>
  </si>
  <si>
    <t>P63/EINT19</t>
  </si>
  <si>
    <t>VDE18B2</t>
    <phoneticPr fontId="6"/>
  </si>
  <si>
    <t>LCD  Conn (NU)</t>
    <phoneticPr fontId="6"/>
  </si>
  <si>
    <t>L</t>
    <phoneticPr fontId="2"/>
  </si>
  <si>
    <r>
      <t>CN36-</t>
    </r>
    <r>
      <rPr>
        <sz val="9"/>
        <color theme="1"/>
        <rFont val="ＭＳ Ｐゴシック"/>
        <family val="3"/>
        <charset val="128"/>
      </rPr>
      <t>７</t>
    </r>
    <phoneticPr fontId="6"/>
  </si>
  <si>
    <t>P62/EINT18</t>
  </si>
  <si>
    <t>P62</t>
    <phoneticPr fontId="6"/>
  </si>
  <si>
    <t>VDE18B2</t>
    <phoneticPr fontId="6"/>
  </si>
  <si>
    <t>LCD  Conn (NU)</t>
    <phoneticPr fontId="6"/>
  </si>
  <si>
    <t>L</t>
    <phoneticPr fontId="2"/>
  </si>
  <si>
    <t>CN36-5</t>
    <phoneticPr fontId="6"/>
  </si>
  <si>
    <t>P61/EINT17</t>
  </si>
  <si>
    <t>P61</t>
    <phoneticPr fontId="6"/>
  </si>
  <si>
    <t>VDE18B2</t>
    <phoneticPr fontId="6"/>
  </si>
  <si>
    <t>LCD  Conn (NU)</t>
    <phoneticPr fontId="6"/>
  </si>
  <si>
    <t>L</t>
    <phoneticPr fontId="2"/>
  </si>
  <si>
    <t>CN36-3</t>
    <phoneticPr fontId="6"/>
  </si>
  <si>
    <t>P60/EINT16</t>
  </si>
  <si>
    <t>P60</t>
    <phoneticPr fontId="6"/>
  </si>
  <si>
    <t>VDE18B2</t>
    <phoneticPr fontId="6"/>
  </si>
  <si>
    <t>LCD  Conn (NU)</t>
    <phoneticPr fontId="6"/>
  </si>
  <si>
    <t>L</t>
    <phoneticPr fontId="2"/>
  </si>
  <si>
    <t>-</t>
    <phoneticPr fontId="2"/>
  </si>
  <si>
    <t>CN36-1</t>
    <phoneticPr fontId="6"/>
  </si>
  <si>
    <t>PORT 7</t>
    <phoneticPr fontId="2"/>
  </si>
  <si>
    <t>P77</t>
    <phoneticPr fontId="2"/>
  </si>
  <si>
    <t>P77/EINT31</t>
  </si>
  <si>
    <t>EINT31</t>
  </si>
  <si>
    <t>Ether PHY INT input</t>
    <phoneticPr fontId="6"/>
  </si>
  <si>
    <t>4.7KPU18</t>
    <phoneticPr fontId="6"/>
  </si>
  <si>
    <t>4.7KPU18</t>
    <phoneticPr fontId="6"/>
  </si>
  <si>
    <t>CN37-6</t>
    <phoneticPr fontId="6"/>
  </si>
  <si>
    <t>P76</t>
    <phoneticPr fontId="2"/>
  </si>
  <si>
    <t>P76/EINT30</t>
  </si>
  <si>
    <t>EINT30</t>
  </si>
  <si>
    <t>Ether PHY PMEB input</t>
    <phoneticPr fontId="6"/>
  </si>
  <si>
    <t>CN37-4</t>
    <phoneticPr fontId="6"/>
  </si>
  <si>
    <t>P75</t>
    <phoneticPr fontId="6"/>
  </si>
  <si>
    <t>P75/EINT29</t>
  </si>
  <si>
    <t>P75</t>
  </si>
  <si>
    <t>NouUsed</t>
    <phoneticPr fontId="6"/>
  </si>
  <si>
    <t>CN37-2</t>
    <phoneticPr fontId="6"/>
  </si>
  <si>
    <t>P74</t>
  </si>
  <si>
    <t>P74/EINT28</t>
  </si>
  <si>
    <t>P74</t>
    <phoneticPr fontId="6"/>
  </si>
  <si>
    <t>Audio CH1 Serial CS Ctrl (Active'L')</t>
    <phoneticPr fontId="6"/>
  </si>
  <si>
    <t>CN37-9</t>
    <phoneticPr fontId="6"/>
  </si>
  <si>
    <t>P73</t>
  </si>
  <si>
    <t>P73/EINT27</t>
  </si>
  <si>
    <t>Audio CH0 Serial CS Ctrl (Active'L')</t>
    <phoneticPr fontId="6"/>
  </si>
  <si>
    <t>CN37-7</t>
    <phoneticPr fontId="6"/>
  </si>
  <si>
    <t>P72/EINT26</t>
  </si>
  <si>
    <t>Audio ShutDown Ctrl ('L' ShutDown)</t>
    <phoneticPr fontId="6"/>
  </si>
  <si>
    <t>CN37-5</t>
    <phoneticPr fontId="6"/>
  </si>
  <si>
    <t>P71/EINT25</t>
  </si>
  <si>
    <t>Audio stero-1 block Reset  ('L':Reset)</t>
    <phoneticPr fontId="6"/>
  </si>
  <si>
    <t>CN37-3</t>
    <phoneticPr fontId="6"/>
  </si>
  <si>
    <t>P70</t>
  </si>
  <si>
    <t>P70/EINT24</t>
  </si>
  <si>
    <t>Audio stero-0 block Reset  ('L':Reset)</t>
    <phoneticPr fontId="6"/>
  </si>
  <si>
    <t>CN37-1</t>
    <phoneticPr fontId="6"/>
  </si>
  <si>
    <t>PORT 8</t>
    <phoneticPr fontId="2"/>
  </si>
  <si>
    <t>P87</t>
    <phoneticPr fontId="2"/>
  </si>
  <si>
    <t>P87/WTRG3/FPSCK2/UDTRG1B</t>
  </si>
  <si>
    <t>UDTRG1B</t>
  </si>
  <si>
    <t>FPSCK2</t>
    <phoneticPr fontId="6"/>
  </si>
  <si>
    <t>CN25-9</t>
  </si>
  <si>
    <t>Hex</t>
    <phoneticPr fontId="2"/>
  </si>
  <si>
    <t>P86</t>
    <phoneticPr fontId="2"/>
  </si>
  <si>
    <t>P86/WTRG2/FPSCK1</t>
  </si>
  <si>
    <t>FPSCK1</t>
  </si>
  <si>
    <t>FPSCK1</t>
    <phoneticPr fontId="6"/>
  </si>
  <si>
    <t>CN26-5</t>
    <phoneticPr fontId="6"/>
  </si>
  <si>
    <t>P85</t>
    <phoneticPr fontId="6"/>
  </si>
  <si>
    <t>P85/FPSRTS2/WTRG1/FPSCK3</t>
  </si>
  <si>
    <t>FPSRST2</t>
  </si>
  <si>
    <t>FPSRTS2</t>
    <phoneticPr fontId="6"/>
  </si>
  <si>
    <t>CN25-10</t>
    <phoneticPr fontId="6"/>
  </si>
  <si>
    <t>P84/FPSRTS1/WTRG0</t>
  </si>
  <si>
    <t>FPSRST1</t>
  </si>
  <si>
    <t>FPSRTS1</t>
    <phoneticPr fontId="6"/>
  </si>
  <si>
    <t>CN26-8</t>
    <phoneticPr fontId="6"/>
  </si>
  <si>
    <t>P83/WPPG3/AU1MCLKO</t>
  </si>
  <si>
    <t>Sensor NU</t>
    <phoneticPr fontId="6"/>
  </si>
  <si>
    <t>CN35-8</t>
    <phoneticPr fontId="6"/>
  </si>
  <si>
    <t>P82/WPPG2/AU1DO</t>
  </si>
  <si>
    <t>Sensor NU</t>
    <phoneticPr fontId="6"/>
  </si>
  <si>
    <t>L</t>
    <phoneticPr fontId="6"/>
  </si>
  <si>
    <t>CN35-6</t>
    <phoneticPr fontId="6"/>
  </si>
  <si>
    <t>P81/WPPG1/AU1LR</t>
  </si>
  <si>
    <t>Sensor NU</t>
    <phoneticPr fontId="6"/>
  </si>
  <si>
    <t>L</t>
    <phoneticPr fontId="6"/>
  </si>
  <si>
    <t>CN35-4</t>
    <phoneticPr fontId="6"/>
  </si>
  <si>
    <t>P80/WPPG0/AU1CLK</t>
  </si>
  <si>
    <t>Sensor Reset XCLR</t>
    <phoneticPr fontId="6"/>
  </si>
  <si>
    <t>-</t>
    <phoneticPr fontId="6"/>
  </si>
  <si>
    <t xml:space="preserve">Initialize'L' --&gt; Turn to 'H' on Top of RTOS </t>
    <phoneticPr fontId="6"/>
  </si>
  <si>
    <t>CN35-2</t>
    <phoneticPr fontId="6"/>
  </si>
  <si>
    <t>PORT 9</t>
    <phoneticPr fontId="2"/>
  </si>
  <si>
    <t>P97</t>
    <phoneticPr fontId="2"/>
  </si>
  <si>
    <t>P96</t>
    <phoneticPr fontId="2"/>
  </si>
  <si>
    <t>-</t>
    <phoneticPr fontId="2"/>
  </si>
  <si>
    <t>-</t>
    <phoneticPr fontId="6"/>
  </si>
  <si>
    <t>P95</t>
    <phoneticPr fontId="6"/>
  </si>
  <si>
    <t>P94</t>
  </si>
  <si>
    <t>-</t>
    <phoneticPr fontId="6"/>
  </si>
  <si>
    <t>P93/PDMDI1</t>
  </si>
  <si>
    <t>In</t>
    <phoneticPr fontId="6"/>
  </si>
  <si>
    <t>P92/PDMCLK1</t>
  </si>
  <si>
    <t>P91/PDMDI0</t>
  </si>
  <si>
    <t>PDMDI0</t>
  </si>
  <si>
    <t>AudioCodec PDMI Ch0</t>
    <phoneticPr fontId="6"/>
  </si>
  <si>
    <t>P90/PDMCLK0</t>
  </si>
  <si>
    <t>PDMCLK0</t>
  </si>
  <si>
    <t>AudioCodec PDMCLK Ch0</t>
    <phoneticPr fontId="6"/>
  </si>
  <si>
    <t>PORT A</t>
    <phoneticPr fontId="2"/>
  </si>
  <si>
    <t>PA7</t>
    <phoneticPr fontId="2"/>
  </si>
  <si>
    <t>PA7/AU0MCLKO</t>
  </si>
  <si>
    <t>AU0MCLKO</t>
  </si>
  <si>
    <t>AudioCodec Master CLK OUT</t>
    <phoneticPr fontId="6"/>
  </si>
  <si>
    <t>PA6</t>
    <phoneticPr fontId="2"/>
  </si>
  <si>
    <t>PA6/AUMCLKI</t>
  </si>
  <si>
    <t>AUMCLKI</t>
  </si>
  <si>
    <t>AudioCodec Master CLKI (NU)</t>
    <phoneticPr fontId="6"/>
  </si>
  <si>
    <t>PA5/AU0DO1/WPPG11</t>
  </si>
  <si>
    <t>AU0DO1</t>
  </si>
  <si>
    <t>Audio Data Out  CH1</t>
    <phoneticPr fontId="6"/>
  </si>
  <si>
    <t>PA4/AU0DI1/WPPG10</t>
  </si>
  <si>
    <t>AU0DI1</t>
  </si>
  <si>
    <t>Audio Data In  CH1</t>
    <phoneticPr fontId="6"/>
  </si>
  <si>
    <t>PA3/AU0DO0</t>
  </si>
  <si>
    <t>AU0DO0</t>
  </si>
  <si>
    <t>Audio Data Out  CH0</t>
    <phoneticPr fontId="6"/>
  </si>
  <si>
    <t>PA2/AU0DI0</t>
  </si>
  <si>
    <t>AU0DI0</t>
  </si>
  <si>
    <t>Audio Data In  CH0</t>
    <phoneticPr fontId="6"/>
  </si>
  <si>
    <t>PA1/AU0LR</t>
  </si>
  <si>
    <t>Audio LR CLK Out (CH0 &amp; CH1)</t>
    <phoneticPr fontId="6"/>
  </si>
  <si>
    <t>PA0/AU0CLK</t>
  </si>
  <si>
    <t>Audio CLK Out (CH0 &amp; CH1)</t>
    <phoneticPr fontId="6"/>
  </si>
  <si>
    <t>PORT B</t>
    <phoneticPr fontId="2"/>
  </si>
  <si>
    <t>PB7</t>
    <phoneticPr fontId="6"/>
  </si>
  <si>
    <t>PB6</t>
    <phoneticPr fontId="6"/>
  </si>
  <si>
    <t>PB5</t>
    <phoneticPr fontId="6"/>
  </si>
  <si>
    <t>PB4</t>
  </si>
  <si>
    <t>PB4/SPIRLTRG</t>
  </si>
  <si>
    <t>SPIRLTRG</t>
  </si>
  <si>
    <t>GYRO data Ready, Transfer Trg</t>
    <phoneticPr fontId="6"/>
  </si>
  <si>
    <t>Gyro Data ready INT (Active'H' @AK8963)</t>
    <phoneticPr fontId="6"/>
  </si>
  <si>
    <t>CN23-1</t>
    <phoneticPr fontId="6"/>
  </si>
  <si>
    <t>PB3</t>
  </si>
  <si>
    <t>PB3/SP3MISO</t>
  </si>
  <si>
    <t>SP3MISO</t>
  </si>
  <si>
    <t>SerialDataOut to GYRO</t>
    <phoneticPr fontId="6"/>
  </si>
  <si>
    <t>CN23-4</t>
    <phoneticPr fontId="6"/>
  </si>
  <si>
    <t>PB2</t>
  </si>
  <si>
    <t>PB2/SP3MOSI</t>
  </si>
  <si>
    <t>SP3MOSI</t>
  </si>
  <si>
    <t>SerialDataIn from GYRO</t>
    <phoneticPr fontId="6"/>
  </si>
  <si>
    <t>In</t>
    <phoneticPr fontId="6"/>
  </si>
  <si>
    <t>CN23-2</t>
    <phoneticPr fontId="6"/>
  </si>
  <si>
    <t>PB1</t>
  </si>
  <si>
    <t>PB1/SP3CSX</t>
  </si>
  <si>
    <t>SP3CSX</t>
  </si>
  <si>
    <t>VDE18B2</t>
    <phoneticPr fontId="6"/>
  </si>
  <si>
    <t>SerialDataCS OUT for GYRO</t>
    <phoneticPr fontId="6"/>
  </si>
  <si>
    <t>Out</t>
    <phoneticPr fontId="6"/>
  </si>
  <si>
    <t>-</t>
    <phoneticPr fontId="6"/>
  </si>
  <si>
    <t>CN23-8</t>
    <phoneticPr fontId="6"/>
  </si>
  <si>
    <t>PB0</t>
  </si>
  <si>
    <t>PB0/SP3SCK</t>
  </si>
  <si>
    <t>SP3SCK</t>
  </si>
  <si>
    <t>Serial CLK Out to GYRO</t>
    <phoneticPr fontId="6"/>
  </si>
  <si>
    <t>CN23-5</t>
    <phoneticPr fontId="6"/>
  </si>
  <si>
    <t>PORT C</t>
    <phoneticPr fontId="2"/>
  </si>
  <si>
    <t>PC7</t>
    <phoneticPr fontId="2"/>
  </si>
  <si>
    <t>-</t>
    <phoneticPr fontId="2"/>
  </si>
  <si>
    <t>Hex</t>
    <phoneticPr fontId="2"/>
  </si>
  <si>
    <t>PC6</t>
    <phoneticPr fontId="2"/>
  </si>
  <si>
    <t>-</t>
    <phoneticPr fontId="2"/>
  </si>
  <si>
    <t>-</t>
    <phoneticPr fontId="6"/>
  </si>
  <si>
    <t>PC5</t>
    <phoneticPr fontId="6"/>
  </si>
  <si>
    <t>PC5L/IS2CL</t>
  </si>
  <si>
    <t>VDE18B2</t>
    <phoneticPr fontId="6"/>
  </si>
  <si>
    <t>I2C CLK for LCD &amp; DC-DC(IC12)</t>
    <phoneticPr fontId="6"/>
  </si>
  <si>
    <t>1.5KPU18</t>
    <phoneticPr fontId="6"/>
  </si>
  <si>
    <t>CN28-9</t>
    <phoneticPr fontId="6"/>
  </si>
  <si>
    <t>PC4L/IS2DA</t>
  </si>
  <si>
    <t>IS2DA</t>
  </si>
  <si>
    <t>VDE18B2</t>
    <phoneticPr fontId="6"/>
  </si>
  <si>
    <t>I2C DAT for LCD &amp; DC-DC(IC12)</t>
    <phoneticPr fontId="6"/>
  </si>
  <si>
    <t>1.5KPU18</t>
    <phoneticPr fontId="6"/>
  </si>
  <si>
    <t>CN28-7</t>
    <phoneticPr fontId="6"/>
  </si>
  <si>
    <t>PC3L/IS1CL</t>
  </si>
  <si>
    <t>VDE18B2</t>
    <phoneticPr fontId="6"/>
  </si>
  <si>
    <t>I2C CLK for Audio(NU) &amp; Sensor(NU)</t>
    <phoneticPr fontId="6"/>
  </si>
  <si>
    <t>1.5KPU18</t>
    <phoneticPr fontId="6"/>
  </si>
  <si>
    <t>CN29-3</t>
    <phoneticPr fontId="6"/>
  </si>
  <si>
    <t>PC2L/IS1DA</t>
  </si>
  <si>
    <t>VDE18B2</t>
    <phoneticPr fontId="6"/>
  </si>
  <si>
    <t>I2C DAT for Audio(NU) &amp; Sensor(NU)</t>
    <phoneticPr fontId="6"/>
  </si>
  <si>
    <t>1.5KPU18</t>
    <phoneticPr fontId="6"/>
  </si>
  <si>
    <t>CN29-1</t>
    <phoneticPr fontId="6"/>
  </si>
  <si>
    <t>PC1L/IS0CL</t>
  </si>
  <si>
    <t>VDE18B2</t>
    <phoneticPr fontId="6"/>
  </si>
  <si>
    <t>I2C CLK for WiFi &amp; Sensor(NU)</t>
    <phoneticPr fontId="6"/>
  </si>
  <si>
    <t>-</t>
    <phoneticPr fontId="6"/>
  </si>
  <si>
    <t>1.5KPU18</t>
    <phoneticPr fontId="6"/>
  </si>
  <si>
    <t>CN27-9</t>
    <phoneticPr fontId="6"/>
  </si>
  <si>
    <t>PC0L/IS0DA</t>
    <phoneticPr fontId="6"/>
  </si>
  <si>
    <t>IS0DA</t>
  </si>
  <si>
    <t>I2C DAT for WiFi &amp; Sensor(NU)</t>
    <phoneticPr fontId="6"/>
  </si>
  <si>
    <t>-</t>
    <phoneticPr fontId="6"/>
  </si>
  <si>
    <t>1.5KPU18</t>
    <phoneticPr fontId="6"/>
  </si>
  <si>
    <t>CN27-7</t>
    <phoneticPr fontId="6"/>
  </si>
  <si>
    <t>PORT D</t>
    <phoneticPr fontId="2"/>
  </si>
  <si>
    <t>PD7</t>
    <phoneticPr fontId="2"/>
  </si>
  <si>
    <t>-</t>
    <phoneticPr fontId="2"/>
  </si>
  <si>
    <t>Hex</t>
    <phoneticPr fontId="2"/>
  </si>
  <si>
    <t>PD6</t>
    <phoneticPr fontId="2"/>
  </si>
  <si>
    <t>SP1CS3X/PD6</t>
    <phoneticPr fontId="6"/>
  </si>
  <si>
    <t>SP1CS3X</t>
  </si>
  <si>
    <t>VDE18B2</t>
    <phoneticPr fontId="6"/>
  </si>
  <si>
    <t>SPI CS3 for Sensor I/F (NU)</t>
    <phoneticPr fontId="6"/>
  </si>
  <si>
    <t>Out</t>
    <phoneticPr fontId="6"/>
  </si>
  <si>
    <t>100KPU18</t>
    <phoneticPr fontId="6"/>
  </si>
  <si>
    <t>CN29-7</t>
    <phoneticPr fontId="6"/>
  </si>
  <si>
    <t>PD5</t>
    <phoneticPr fontId="2"/>
  </si>
  <si>
    <t>SP1CS2X/PD5</t>
    <phoneticPr fontId="6"/>
  </si>
  <si>
    <t>SP1CS2X</t>
  </si>
  <si>
    <t>VDE18B2</t>
    <phoneticPr fontId="6"/>
  </si>
  <si>
    <t>SPI CS2 for Sensor I/F (NU)</t>
    <phoneticPr fontId="6"/>
  </si>
  <si>
    <t>Out</t>
    <phoneticPr fontId="6"/>
  </si>
  <si>
    <t>100KPU18</t>
    <phoneticPr fontId="6"/>
  </si>
  <si>
    <t>CN29-5</t>
    <phoneticPr fontId="6"/>
  </si>
  <si>
    <t>SP1CS1X/PD4</t>
  </si>
  <si>
    <t>SP1CS1X</t>
  </si>
  <si>
    <t>VDE18B2</t>
    <phoneticPr fontId="6"/>
  </si>
  <si>
    <t>SPI CS1 for Sensor I/F (NU)</t>
    <phoneticPr fontId="6"/>
  </si>
  <si>
    <t>Out</t>
    <phoneticPr fontId="6"/>
  </si>
  <si>
    <t>100KPU18</t>
    <phoneticPr fontId="6"/>
  </si>
  <si>
    <t>CN29-10</t>
    <phoneticPr fontId="6"/>
  </si>
  <si>
    <t>SP1CS0X/PD3</t>
  </si>
  <si>
    <t>SP1CS0X</t>
  </si>
  <si>
    <t>VDE18B2</t>
    <phoneticPr fontId="6"/>
  </si>
  <si>
    <t>SPI CS0 for Sensor I/F</t>
    <phoneticPr fontId="6"/>
  </si>
  <si>
    <t>Out</t>
    <phoneticPr fontId="6"/>
  </si>
  <si>
    <t>-</t>
    <phoneticPr fontId="6"/>
  </si>
  <si>
    <t>100KPU18</t>
    <phoneticPr fontId="6"/>
  </si>
  <si>
    <t>CN29-8</t>
    <phoneticPr fontId="6"/>
  </si>
  <si>
    <t>SP1SCK/PD2</t>
  </si>
  <si>
    <t>SP1SCK</t>
  </si>
  <si>
    <t>VDE18B2</t>
    <phoneticPr fontId="6"/>
  </si>
  <si>
    <t xml:space="preserve">SPI SCK for Sensor I/F  </t>
    <phoneticPr fontId="6"/>
  </si>
  <si>
    <t>-</t>
    <phoneticPr fontId="6"/>
  </si>
  <si>
    <t>CN38-2</t>
    <phoneticPr fontId="6"/>
  </si>
  <si>
    <t>SP1MISO/PD1</t>
  </si>
  <si>
    <t>SP1MISO</t>
  </si>
  <si>
    <t>VDE18B2</t>
    <phoneticPr fontId="6"/>
  </si>
  <si>
    <t xml:space="preserve">SPI DATA OUT for Sensor  </t>
    <phoneticPr fontId="6"/>
  </si>
  <si>
    <t>-</t>
    <phoneticPr fontId="6"/>
  </si>
  <si>
    <t>CN29-4</t>
    <phoneticPr fontId="6"/>
  </si>
  <si>
    <t>SP1MOSI/PD0</t>
  </si>
  <si>
    <t>SP1MOSI</t>
  </si>
  <si>
    <t xml:space="preserve">SPI DATA IN from Sensor  </t>
    <phoneticPr fontId="6"/>
  </si>
  <si>
    <t>CN29-2</t>
    <phoneticPr fontId="6"/>
  </si>
  <si>
    <t>PORT E</t>
    <phoneticPr fontId="2"/>
  </si>
  <si>
    <t>PE7</t>
    <phoneticPr fontId="2"/>
  </si>
  <si>
    <t>-</t>
    <phoneticPr fontId="2"/>
  </si>
  <si>
    <t>Hex</t>
    <phoneticPr fontId="2"/>
  </si>
  <si>
    <t>PE6</t>
    <phoneticPr fontId="2"/>
  </si>
  <si>
    <t>-</t>
    <phoneticPr fontId="2"/>
  </si>
  <si>
    <t>PE5</t>
    <phoneticPr fontId="2"/>
  </si>
  <si>
    <t>PE5/FPSOUT2/UDTRG4B</t>
    <phoneticPr fontId="6"/>
  </si>
  <si>
    <t>VDE18B2</t>
    <phoneticPr fontId="6"/>
  </si>
  <si>
    <t>UART CH2 TxD for CA7 (Initial : INP pin)</t>
    <phoneticPr fontId="6"/>
  </si>
  <si>
    <t>In</t>
    <phoneticPr fontId="6"/>
  </si>
  <si>
    <t>-</t>
    <phoneticPr fontId="6"/>
  </si>
  <si>
    <t>CN26-2</t>
    <phoneticPr fontId="6"/>
  </si>
  <si>
    <t>PE4/FPSIN2/UDTRG4A</t>
  </si>
  <si>
    <t>VDE18B2</t>
    <phoneticPr fontId="6"/>
  </si>
  <si>
    <t>UART CH2 RxD for CA7</t>
    <phoneticPr fontId="6"/>
  </si>
  <si>
    <t>-</t>
    <phoneticPr fontId="6"/>
  </si>
  <si>
    <t>CN26-1</t>
    <phoneticPr fontId="6"/>
  </si>
  <si>
    <t>PE3/FPSOUT1/UDTRG3B</t>
  </si>
  <si>
    <t>FPSOUT1</t>
  </si>
  <si>
    <t>VDE18B2</t>
    <phoneticPr fontId="6"/>
  </si>
  <si>
    <t>UART CH1 TxD</t>
    <phoneticPr fontId="6"/>
  </si>
  <si>
    <t>-</t>
    <phoneticPr fontId="6"/>
  </si>
  <si>
    <t>CN26-10</t>
    <phoneticPr fontId="6"/>
  </si>
  <si>
    <t>PE2/FPSIN1/UDTRG3A</t>
  </si>
  <si>
    <t>FPSIN1</t>
  </si>
  <si>
    <t>VDE18B2</t>
    <phoneticPr fontId="6"/>
  </si>
  <si>
    <t>UART CH1 RxD</t>
    <phoneticPr fontId="6"/>
  </si>
  <si>
    <t>In</t>
    <phoneticPr fontId="6"/>
  </si>
  <si>
    <t>-</t>
    <phoneticPr fontId="6"/>
  </si>
  <si>
    <t>CN26-9</t>
    <phoneticPr fontId="6"/>
  </si>
  <si>
    <t>PE1/FPSOUT3/UDTRG2B</t>
    <phoneticPr fontId="6"/>
  </si>
  <si>
    <t>VDE18B2</t>
    <phoneticPr fontId="6"/>
  </si>
  <si>
    <t>UART CH3 TxD for CA7</t>
    <phoneticPr fontId="6"/>
  </si>
  <si>
    <t>-</t>
    <phoneticPr fontId="6"/>
  </si>
  <si>
    <t>CN25-5</t>
    <phoneticPr fontId="6"/>
  </si>
  <si>
    <t>PE0/FPSIN3/UDTRG2A</t>
    <phoneticPr fontId="6"/>
  </si>
  <si>
    <t>UART CH3 RxD for CA7</t>
    <phoneticPr fontId="6"/>
  </si>
  <si>
    <t>CN25-6</t>
    <phoneticPr fontId="6"/>
  </si>
  <si>
    <t>PORT F</t>
    <phoneticPr fontId="2"/>
  </si>
  <si>
    <t>PF7</t>
    <phoneticPr fontId="2"/>
  </si>
  <si>
    <t>-</t>
    <phoneticPr fontId="2"/>
  </si>
  <si>
    <t>In</t>
    <phoneticPr fontId="6"/>
  </si>
  <si>
    <t>Hex</t>
    <phoneticPr fontId="2"/>
  </si>
  <si>
    <t>PF6</t>
    <phoneticPr fontId="2"/>
  </si>
  <si>
    <t>-</t>
    <phoneticPr fontId="2"/>
  </si>
  <si>
    <t>In</t>
    <phoneticPr fontId="6"/>
  </si>
  <si>
    <t>-</t>
    <phoneticPr fontId="6"/>
  </si>
  <si>
    <t>PF5</t>
    <phoneticPr fontId="2"/>
  </si>
  <si>
    <t>-</t>
    <phoneticPr fontId="2"/>
  </si>
  <si>
    <t>In</t>
    <phoneticPr fontId="6"/>
  </si>
  <si>
    <t>-</t>
    <phoneticPr fontId="6"/>
  </si>
  <si>
    <t>PF4/RLOUT</t>
  </si>
  <si>
    <t>VDE18B2</t>
    <phoneticPr fontId="6"/>
  </si>
  <si>
    <t>NU</t>
    <phoneticPr fontId="6"/>
  </si>
  <si>
    <t>In</t>
    <phoneticPr fontId="6"/>
  </si>
  <si>
    <t>-</t>
    <phoneticPr fontId="6"/>
  </si>
  <si>
    <t>CN35-5</t>
    <phoneticPr fontId="6"/>
  </si>
  <si>
    <t>PF3/RLTRG3</t>
  </si>
  <si>
    <t>VDE18B2</t>
    <phoneticPr fontId="6"/>
  </si>
  <si>
    <t>NU</t>
    <phoneticPr fontId="6"/>
  </si>
  <si>
    <t>In</t>
    <phoneticPr fontId="6"/>
  </si>
  <si>
    <t>-</t>
    <phoneticPr fontId="6"/>
  </si>
  <si>
    <t>CN35-3</t>
    <phoneticPr fontId="6"/>
  </si>
  <si>
    <t>PF2/RLTRG2/UDTRG0A</t>
  </si>
  <si>
    <t>VDE18B2</t>
    <phoneticPr fontId="6"/>
  </si>
  <si>
    <t>Serial Flash RSTX</t>
    <phoneticPr fontId="6"/>
  </si>
  <si>
    <t>Out</t>
    <phoneticPr fontId="6"/>
  </si>
  <si>
    <t>いきなり'H'で良い？</t>
    <rPh sb="8" eb="9">
      <t>ヨ</t>
    </rPh>
    <phoneticPr fontId="6"/>
  </si>
  <si>
    <t>CN35-1</t>
    <phoneticPr fontId="6"/>
  </si>
  <si>
    <t>PF1/FPSCTS2/RLTRG1/UDTRG1A</t>
  </si>
  <si>
    <t>FPSCTS2</t>
  </si>
  <si>
    <t>VDE18B2</t>
    <phoneticPr fontId="6"/>
  </si>
  <si>
    <t>UART CH2 CTS</t>
    <phoneticPr fontId="6"/>
  </si>
  <si>
    <t>-</t>
    <phoneticPr fontId="6"/>
  </si>
  <si>
    <t>CN25-8</t>
    <phoneticPr fontId="6"/>
  </si>
  <si>
    <t>PF0/FPSCTS1/RLTRG0/UDTRG0B</t>
  </si>
  <si>
    <t>FPSCTS1</t>
  </si>
  <si>
    <t>UART CH2 RTS</t>
    <phoneticPr fontId="6"/>
  </si>
  <si>
    <t>CN25-10</t>
    <phoneticPr fontId="6"/>
  </si>
  <si>
    <t>PORT G</t>
    <phoneticPr fontId="2"/>
  </si>
  <si>
    <t>PG7</t>
    <phoneticPr fontId="2"/>
  </si>
  <si>
    <t>PG7/SNVD2/WPPG5</t>
  </si>
  <si>
    <t>PG7</t>
  </si>
  <si>
    <t>Img Sensor VD   (Not Used)</t>
    <phoneticPr fontId="6"/>
  </si>
  <si>
    <t>In</t>
    <phoneticPr fontId="6"/>
  </si>
  <si>
    <t>Hex</t>
    <phoneticPr fontId="2"/>
  </si>
  <si>
    <t>PG6</t>
    <phoneticPr fontId="2"/>
  </si>
  <si>
    <t>PG6/SNHD2/WPPG4</t>
  </si>
  <si>
    <t>PG6</t>
  </si>
  <si>
    <t>VDE18B2</t>
    <phoneticPr fontId="6"/>
  </si>
  <si>
    <t>Img Sensor HD2 (Not Used)</t>
    <phoneticPr fontId="6"/>
  </si>
  <si>
    <t>In</t>
    <phoneticPr fontId="6"/>
  </si>
  <si>
    <t>PG5</t>
    <phoneticPr fontId="2"/>
  </si>
  <si>
    <t>PG5/SNAPCLKO1</t>
  </si>
  <si>
    <t>VDE18B2</t>
    <phoneticPr fontId="6"/>
  </si>
  <si>
    <t>Img Sensor CLK (Not Used)</t>
    <phoneticPr fontId="6"/>
  </si>
  <si>
    <t>In</t>
    <phoneticPr fontId="6"/>
  </si>
  <si>
    <t>PG4/SNVD1</t>
  </si>
  <si>
    <t>VDE18B2</t>
    <phoneticPr fontId="6"/>
  </si>
  <si>
    <t>Img Sensor VD1  (Not Used)</t>
    <phoneticPr fontId="6"/>
  </si>
  <si>
    <t>In</t>
    <phoneticPr fontId="6"/>
  </si>
  <si>
    <t>PG3/SNHD1</t>
  </si>
  <si>
    <t>VDE18B2</t>
    <phoneticPr fontId="6"/>
  </si>
  <si>
    <t>Img Sensor HD1 (Not Used)</t>
    <phoneticPr fontId="6"/>
  </si>
  <si>
    <t>In</t>
    <phoneticPr fontId="6"/>
  </si>
  <si>
    <t>-</t>
    <phoneticPr fontId="6"/>
  </si>
  <si>
    <t>PG2/SNAPCLKO0</t>
  </si>
  <si>
    <t>SNAPCLKO0</t>
  </si>
  <si>
    <t>VDE18B2</t>
    <phoneticPr fontId="6"/>
  </si>
  <si>
    <t>Img Sensor CLK OUT</t>
    <phoneticPr fontId="6"/>
  </si>
  <si>
    <t>-</t>
    <phoneticPr fontId="6"/>
  </si>
  <si>
    <t>PG1/SNVD0</t>
  </si>
  <si>
    <t>SNVD0</t>
  </si>
  <si>
    <t>VDE18B2</t>
    <phoneticPr fontId="6"/>
  </si>
  <si>
    <t>Img Sensor VD</t>
    <phoneticPr fontId="6"/>
  </si>
  <si>
    <t>Out</t>
    <phoneticPr fontId="6"/>
  </si>
  <si>
    <t>-</t>
    <phoneticPr fontId="6"/>
  </si>
  <si>
    <t>PG0/SNHD0</t>
  </si>
  <si>
    <t>SNHD0</t>
  </si>
  <si>
    <t>Img Sensor HD</t>
    <phoneticPr fontId="6"/>
  </si>
  <si>
    <t>PORT H</t>
    <phoneticPr fontId="2"/>
  </si>
  <si>
    <t>PH7</t>
    <phoneticPr fontId="2"/>
  </si>
  <si>
    <t>-</t>
    <phoneticPr fontId="2"/>
  </si>
  <si>
    <t>Hex</t>
    <phoneticPr fontId="2"/>
  </si>
  <si>
    <t>PH6</t>
    <phoneticPr fontId="2"/>
  </si>
  <si>
    <t>-</t>
    <phoneticPr fontId="2"/>
  </si>
  <si>
    <t>PH5</t>
    <phoneticPr fontId="2"/>
  </si>
  <si>
    <t>-</t>
    <phoneticPr fontId="2"/>
  </si>
  <si>
    <t>PH4</t>
  </si>
  <si>
    <t>-</t>
    <phoneticPr fontId="2"/>
  </si>
  <si>
    <t>PH3</t>
  </si>
  <si>
    <t>PH3/SNAPCLKO3/WPPG9</t>
  </si>
  <si>
    <t>VDE18B2</t>
    <phoneticPr fontId="6"/>
  </si>
  <si>
    <t>Img Sensor CLK (Not Used)</t>
    <phoneticPr fontId="6"/>
  </si>
  <si>
    <t>In</t>
    <phoneticPr fontId="6"/>
  </si>
  <si>
    <t>-</t>
    <phoneticPr fontId="2"/>
  </si>
  <si>
    <t>PH2</t>
  </si>
  <si>
    <t>PH2/SNVD3/WPPG8</t>
  </si>
  <si>
    <t>VDE18B2</t>
    <phoneticPr fontId="6"/>
  </si>
  <si>
    <t>Img Sensor VD3  (Not Used)</t>
    <phoneticPr fontId="6"/>
  </si>
  <si>
    <t>In</t>
    <phoneticPr fontId="6"/>
  </si>
  <si>
    <t>PH1</t>
  </si>
  <si>
    <t>PH1/SNHD3/WPPG7</t>
  </si>
  <si>
    <t>VDE18B2</t>
    <phoneticPr fontId="6"/>
  </si>
  <si>
    <t>Img Sensor HD3 (Not Used)</t>
    <phoneticPr fontId="6"/>
  </si>
  <si>
    <t>In</t>
    <phoneticPr fontId="6"/>
  </si>
  <si>
    <t>PH0</t>
  </si>
  <si>
    <t>PH0/SNAPCLKO2/WPPG6</t>
  </si>
  <si>
    <t>SNAPCLKO2</t>
  </si>
  <si>
    <t>PORT W</t>
    <phoneticPr fontId="2"/>
  </si>
  <si>
    <t>PW7</t>
    <phoneticPr fontId="2"/>
  </si>
  <si>
    <t>PW7/VLD07</t>
  </si>
  <si>
    <t>LCD data 07 (G)</t>
    <phoneticPr fontId="6"/>
  </si>
  <si>
    <t>-</t>
    <phoneticPr fontId="6"/>
  </si>
  <si>
    <t>Hex</t>
    <phoneticPr fontId="2"/>
  </si>
  <si>
    <t>PW6</t>
    <phoneticPr fontId="2"/>
  </si>
  <si>
    <t>PW6/VLD06</t>
  </si>
  <si>
    <t>VDE18B2</t>
    <phoneticPr fontId="6"/>
  </si>
  <si>
    <t>LCD data 06 (G)</t>
    <phoneticPr fontId="6"/>
  </si>
  <si>
    <t>-</t>
    <phoneticPr fontId="6"/>
  </si>
  <si>
    <t>PW5</t>
    <phoneticPr fontId="2"/>
  </si>
  <si>
    <t>PW5/VLD05</t>
  </si>
  <si>
    <t>VDE18B2</t>
    <phoneticPr fontId="6"/>
  </si>
  <si>
    <t>LCD data 05 (B)</t>
    <phoneticPr fontId="6"/>
  </si>
  <si>
    <t>-</t>
    <phoneticPr fontId="6"/>
  </si>
  <si>
    <t>PW4</t>
  </si>
  <si>
    <t>PW4/VLD04</t>
  </si>
  <si>
    <t>VDE18B2</t>
    <phoneticPr fontId="6"/>
  </si>
  <si>
    <t>LCD data 04 (B)</t>
    <phoneticPr fontId="6"/>
  </si>
  <si>
    <t>-</t>
    <phoneticPr fontId="6"/>
  </si>
  <si>
    <t>PW3</t>
  </si>
  <si>
    <t>PW3/VLD03</t>
  </si>
  <si>
    <t>VLDO3</t>
  </si>
  <si>
    <t>VDE18B2</t>
    <phoneticPr fontId="6"/>
  </si>
  <si>
    <t>LCD data 03 (B)</t>
    <phoneticPr fontId="6"/>
  </si>
  <si>
    <t>-</t>
    <phoneticPr fontId="6"/>
  </si>
  <si>
    <t>PW2</t>
  </si>
  <si>
    <t>PW2/VLD02</t>
  </si>
  <si>
    <t>VLDO2</t>
  </si>
  <si>
    <t>VDE18B2</t>
    <phoneticPr fontId="6"/>
  </si>
  <si>
    <t>LCD data 02 (B)</t>
    <phoneticPr fontId="6"/>
  </si>
  <si>
    <t>-</t>
    <phoneticPr fontId="6"/>
  </si>
  <si>
    <t>PW1</t>
  </si>
  <si>
    <t>PW1/VLD01</t>
  </si>
  <si>
    <t>VLDO1</t>
  </si>
  <si>
    <t>VDE18B2</t>
    <phoneticPr fontId="6"/>
  </si>
  <si>
    <t>LCD data 01 (B)</t>
    <phoneticPr fontId="6"/>
  </si>
  <si>
    <t>-</t>
    <phoneticPr fontId="6"/>
  </si>
  <si>
    <t>PW0</t>
  </si>
  <si>
    <t>PW0/VLD00</t>
  </si>
  <si>
    <t>VLDO0</t>
  </si>
  <si>
    <t>LCD data 00 (B)</t>
    <phoneticPr fontId="6"/>
  </si>
  <si>
    <t>PORT J</t>
    <phoneticPr fontId="2"/>
  </si>
  <si>
    <t>PJ7</t>
    <phoneticPr fontId="2"/>
  </si>
  <si>
    <t>PJ7/VLD15</t>
  </si>
  <si>
    <t>LCD data 15 (R)</t>
    <phoneticPr fontId="6"/>
  </si>
  <si>
    <t>Hex</t>
    <phoneticPr fontId="2"/>
  </si>
  <si>
    <t>PJ6</t>
    <phoneticPr fontId="2"/>
  </si>
  <si>
    <t>PJ6/VLD14</t>
  </si>
  <si>
    <t>VDE18B2</t>
    <phoneticPr fontId="6"/>
  </si>
  <si>
    <t>LCD data 14 (R)</t>
    <phoneticPr fontId="6"/>
  </si>
  <si>
    <t>-</t>
    <phoneticPr fontId="6"/>
  </si>
  <si>
    <t>PJ5</t>
    <phoneticPr fontId="2"/>
  </si>
  <si>
    <t>PJ5/VLD13</t>
    <phoneticPr fontId="6"/>
  </si>
  <si>
    <t>VDE18B2</t>
    <phoneticPr fontId="6"/>
  </si>
  <si>
    <t>LCD data 13 (R)</t>
    <phoneticPr fontId="6"/>
  </si>
  <si>
    <t>-</t>
    <phoneticPr fontId="6"/>
  </si>
  <si>
    <t>PJ4</t>
  </si>
  <si>
    <t>PJ4/VLD12</t>
  </si>
  <si>
    <t>VDE18B2</t>
    <phoneticPr fontId="6"/>
  </si>
  <si>
    <t>LCD data 12 (R)</t>
    <phoneticPr fontId="6"/>
  </si>
  <si>
    <t>-</t>
    <phoneticPr fontId="6"/>
  </si>
  <si>
    <t>PJ3</t>
  </si>
  <si>
    <t>PJ3/VLD11</t>
  </si>
  <si>
    <t>VDE18B2</t>
    <phoneticPr fontId="6"/>
  </si>
  <si>
    <t>LCD data 11 (G)</t>
    <phoneticPr fontId="6"/>
  </si>
  <si>
    <t>-</t>
    <phoneticPr fontId="6"/>
  </si>
  <si>
    <t>PJ2</t>
  </si>
  <si>
    <t>PJ2/VLD10</t>
  </si>
  <si>
    <t>VDE18B2</t>
    <phoneticPr fontId="6"/>
  </si>
  <si>
    <t>LCD data 10 (G)</t>
    <phoneticPr fontId="6"/>
  </si>
  <si>
    <t>-</t>
    <phoneticPr fontId="6"/>
  </si>
  <si>
    <t>PJ1</t>
  </si>
  <si>
    <t>PJ1/VLD09</t>
  </si>
  <si>
    <t>VLD9</t>
  </si>
  <si>
    <t>VDE18B2</t>
    <phoneticPr fontId="6"/>
  </si>
  <si>
    <t>LCD data 09 (G)</t>
    <phoneticPr fontId="6"/>
  </si>
  <si>
    <t>-</t>
    <phoneticPr fontId="6"/>
  </si>
  <si>
    <t>PJ0</t>
  </si>
  <si>
    <t>PJ0/VLD08</t>
  </si>
  <si>
    <t>VLD8</t>
  </si>
  <si>
    <t>LCD data 08 (G)</t>
    <phoneticPr fontId="6"/>
  </si>
  <si>
    <t>PORT K</t>
    <phoneticPr fontId="2"/>
  </si>
  <si>
    <t>PK7</t>
    <phoneticPr fontId="2"/>
  </si>
  <si>
    <t>PK7/VLD23</t>
  </si>
  <si>
    <t>PK7</t>
  </si>
  <si>
    <t>NU</t>
    <phoneticPr fontId="6"/>
  </si>
  <si>
    <t>In</t>
    <phoneticPr fontId="6"/>
  </si>
  <si>
    <t>Hex</t>
    <phoneticPr fontId="2"/>
  </si>
  <si>
    <t>PK6</t>
    <phoneticPr fontId="2"/>
  </si>
  <si>
    <t>PK6/VLD22</t>
  </si>
  <si>
    <t>PK6</t>
  </si>
  <si>
    <t>VDE18B2</t>
    <phoneticPr fontId="6"/>
  </si>
  <si>
    <t>NU</t>
    <phoneticPr fontId="6"/>
  </si>
  <si>
    <t>In</t>
    <phoneticPr fontId="6"/>
  </si>
  <si>
    <t>-</t>
    <phoneticPr fontId="6"/>
  </si>
  <si>
    <t>PK5</t>
    <phoneticPr fontId="2"/>
  </si>
  <si>
    <t>PK5/VLD21</t>
  </si>
  <si>
    <t>PK5</t>
  </si>
  <si>
    <t>VDE18B2</t>
    <phoneticPr fontId="6"/>
  </si>
  <si>
    <t>NU</t>
    <phoneticPr fontId="6"/>
  </si>
  <si>
    <t>In</t>
    <phoneticPr fontId="6"/>
  </si>
  <si>
    <t>-</t>
    <phoneticPr fontId="6"/>
  </si>
  <si>
    <t>PK4</t>
  </si>
  <si>
    <t>PK4/VLD20</t>
  </si>
  <si>
    <t>VDE18B2</t>
    <phoneticPr fontId="6"/>
  </si>
  <si>
    <t>NU</t>
    <phoneticPr fontId="6"/>
  </si>
  <si>
    <t>In</t>
    <phoneticPr fontId="6"/>
  </si>
  <si>
    <t>-</t>
    <phoneticPr fontId="6"/>
  </si>
  <si>
    <t>PK3</t>
  </si>
  <si>
    <t>PK3/VLD19</t>
  </si>
  <si>
    <t>VDE18B2</t>
    <phoneticPr fontId="6"/>
  </si>
  <si>
    <t>NU</t>
    <phoneticPr fontId="6"/>
  </si>
  <si>
    <t>In</t>
    <phoneticPr fontId="6"/>
  </si>
  <si>
    <t>-</t>
    <phoneticPr fontId="6"/>
  </si>
  <si>
    <t>PK2</t>
  </si>
  <si>
    <t>PK2/VLD18</t>
  </si>
  <si>
    <t>VDE18B2</t>
    <phoneticPr fontId="6"/>
  </si>
  <si>
    <t>NU</t>
    <phoneticPr fontId="6"/>
  </si>
  <si>
    <t>In</t>
    <phoneticPr fontId="6"/>
  </si>
  <si>
    <t>-</t>
    <phoneticPr fontId="6"/>
  </si>
  <si>
    <t>PK1</t>
  </si>
  <si>
    <t>PK1/VLD17</t>
  </si>
  <si>
    <t>VDE18B2</t>
    <phoneticPr fontId="6"/>
  </si>
  <si>
    <t>LCD data 17 (R)</t>
    <phoneticPr fontId="6"/>
  </si>
  <si>
    <t>-</t>
    <phoneticPr fontId="6"/>
  </si>
  <si>
    <t>PK0</t>
  </si>
  <si>
    <t>PK0/VLD16</t>
  </si>
  <si>
    <t>LCD data 16 (R)</t>
    <phoneticPr fontId="6"/>
  </si>
  <si>
    <t>PORT L</t>
    <phoneticPr fontId="2"/>
  </si>
  <si>
    <t>PL7</t>
    <phoneticPr fontId="2"/>
  </si>
  <si>
    <t>-</t>
    <phoneticPr fontId="2"/>
  </si>
  <si>
    <t>Hex</t>
    <phoneticPr fontId="2"/>
  </si>
  <si>
    <t>PL6</t>
    <phoneticPr fontId="2"/>
  </si>
  <si>
    <t>-</t>
    <phoneticPr fontId="2"/>
  </si>
  <si>
    <t>PL5</t>
    <phoneticPr fontId="2"/>
  </si>
  <si>
    <t>PL5/DPSD</t>
  </si>
  <si>
    <t>-</t>
    <phoneticPr fontId="6"/>
  </si>
  <si>
    <t>PL4</t>
  </si>
  <si>
    <t>PL4/DPCM</t>
  </si>
  <si>
    <t>PL3</t>
  </si>
  <si>
    <t>PL3/VLHREF</t>
  </si>
  <si>
    <t>-</t>
    <phoneticPr fontId="6"/>
  </si>
  <si>
    <t>PL2</t>
  </si>
  <si>
    <t>PL2/VLVD</t>
  </si>
  <si>
    <t>PL1</t>
  </si>
  <si>
    <t>PL1/VLHD</t>
  </si>
  <si>
    <t>PL0</t>
  </si>
  <si>
    <t>PL0/VLCLK</t>
  </si>
  <si>
    <t>VLCLK</t>
  </si>
  <si>
    <t>VCLK for LCD</t>
    <phoneticPr fontId="6"/>
  </si>
  <si>
    <t>PORT M</t>
    <phoneticPr fontId="2"/>
  </si>
  <si>
    <t>PM7</t>
    <phoneticPr fontId="2"/>
  </si>
  <si>
    <t>-</t>
    <phoneticPr fontId="2"/>
  </si>
  <si>
    <t>Hex</t>
    <phoneticPr fontId="2"/>
  </si>
  <si>
    <t>PM6</t>
    <phoneticPr fontId="2"/>
  </si>
  <si>
    <t>-</t>
    <phoneticPr fontId="2"/>
  </si>
  <si>
    <t>PM5</t>
    <phoneticPr fontId="2"/>
  </si>
  <si>
    <t>PM4</t>
  </si>
  <si>
    <t>U1IDPU/PM4/WPPG13_1</t>
  </si>
  <si>
    <t>VDE1833U/VDE18B2</t>
    <phoneticPr fontId="6"/>
  </si>
  <si>
    <t>CN39-7</t>
    <phoneticPr fontId="6"/>
  </si>
  <si>
    <t>PM3</t>
  </si>
  <si>
    <t>U1IDDIG/PM3/FPSCK6</t>
    <phoneticPr fontId="6"/>
  </si>
  <si>
    <t>U1IDDIG</t>
  </si>
  <si>
    <t>VDE1833U/VDE18B2</t>
    <phoneticPr fontId="6"/>
  </si>
  <si>
    <t>USB2.0 ID Detection</t>
    <phoneticPr fontId="6"/>
  </si>
  <si>
    <t>41Kohm pull-up in M9M</t>
    <phoneticPr fontId="6"/>
  </si>
  <si>
    <t>CN39-5</t>
    <phoneticPr fontId="6"/>
  </si>
  <si>
    <t>PM2</t>
  </si>
  <si>
    <t>U1VBUSV/PM2</t>
  </si>
  <si>
    <t>U1VBUSV</t>
  </si>
  <si>
    <t>VDE1833U/VDE18B2</t>
    <phoneticPr fontId="6"/>
  </si>
  <si>
    <t>USB2.0 VBUS Detection (L--&gt;H)</t>
    <phoneticPr fontId="6"/>
  </si>
  <si>
    <t>CN39-9</t>
    <phoneticPr fontId="6"/>
  </si>
  <si>
    <t>PM1</t>
  </si>
  <si>
    <t>U1VBUSE/PM1/FPSOUT6</t>
  </si>
  <si>
    <t>U1VBUSE</t>
  </si>
  <si>
    <t>VDE1833U/VDE18B2</t>
    <phoneticPr fontId="6"/>
  </si>
  <si>
    <t>USB2.0 HOST VBUS supply Enable</t>
    <phoneticPr fontId="6"/>
  </si>
  <si>
    <t>CN39-3</t>
    <phoneticPr fontId="6"/>
  </si>
  <si>
    <t>PM0</t>
  </si>
  <si>
    <t>U1OCDX/PM0/FPSIN6/UDTRG5A</t>
  </si>
  <si>
    <t>U1OCDX</t>
  </si>
  <si>
    <t>USB2.0 HOST VBUS OverCurrent Detect</t>
    <phoneticPr fontId="6"/>
  </si>
  <si>
    <t>CN39-1</t>
    <phoneticPr fontId="6"/>
  </si>
  <si>
    <t>PORT N</t>
    <phoneticPr fontId="2"/>
  </si>
  <si>
    <t>PN7</t>
    <phoneticPr fontId="2"/>
  </si>
  <si>
    <t>-</t>
    <phoneticPr fontId="2"/>
  </si>
  <si>
    <t>Hex</t>
    <phoneticPr fontId="2"/>
  </si>
  <si>
    <t>PN6</t>
    <phoneticPr fontId="2"/>
  </si>
  <si>
    <t>PN5</t>
    <phoneticPr fontId="2"/>
  </si>
  <si>
    <t>PN4</t>
  </si>
  <si>
    <t>U2IDPU/PN4/WPPG14_1</t>
  </si>
  <si>
    <t>PullUp to USB3.0 ID (NU)</t>
    <phoneticPr fontId="6"/>
  </si>
  <si>
    <t>In</t>
    <phoneticPr fontId="6"/>
  </si>
  <si>
    <t>CN39-8</t>
    <phoneticPr fontId="6"/>
  </si>
  <si>
    <t>PN3</t>
  </si>
  <si>
    <t>U2IDDIG/PN3/FPSCK7</t>
  </si>
  <si>
    <t>U2IDDIG</t>
  </si>
  <si>
    <t>VDE1833U/VDE18B2</t>
    <phoneticPr fontId="6"/>
  </si>
  <si>
    <t>USB ID Detection</t>
    <phoneticPr fontId="6"/>
  </si>
  <si>
    <t>41Kohm pull-up in M9M</t>
    <phoneticPr fontId="6"/>
  </si>
  <si>
    <t>CN39-6</t>
    <phoneticPr fontId="6"/>
  </si>
  <si>
    <t>PN2</t>
  </si>
  <si>
    <t>U2VBUSV/PN2</t>
  </si>
  <si>
    <t>U2VBUSV</t>
  </si>
  <si>
    <t>VBUS Detection (L--&gt;H)</t>
    <phoneticPr fontId="6"/>
  </si>
  <si>
    <t>CN39-10</t>
    <phoneticPr fontId="6"/>
  </si>
  <si>
    <t>PN1</t>
  </si>
  <si>
    <t>U2VBUSE/PN1/FPSOUT7</t>
  </si>
  <si>
    <t>U2VBUSE</t>
  </si>
  <si>
    <t>CN39-4</t>
    <phoneticPr fontId="6"/>
  </si>
  <si>
    <t>PN0</t>
  </si>
  <si>
    <t>U2OCDX/PN0/FPSIN7</t>
  </si>
  <si>
    <t>U2OCDX</t>
  </si>
  <si>
    <t>CN39-2</t>
    <phoneticPr fontId="6"/>
  </si>
  <si>
    <t>PORT Y</t>
    <phoneticPr fontId="2"/>
  </si>
  <si>
    <t>PY7</t>
    <phoneticPr fontId="2"/>
  </si>
  <si>
    <t>PY7/PXCLKREQ1/WPPG15_1</t>
  </si>
  <si>
    <t>PXCLKREQ1</t>
  </si>
  <si>
    <t xml:space="preserve">PCIe PXCLKREQ1 </t>
    <phoneticPr fontId="6"/>
  </si>
  <si>
    <t>CN24-8</t>
    <phoneticPr fontId="6"/>
  </si>
  <si>
    <t>PY6</t>
    <phoneticPr fontId="2"/>
  </si>
  <si>
    <t>PY6/PXCLKREQ0/FPSCK8</t>
  </si>
  <si>
    <t>PXCLKREQ0</t>
  </si>
  <si>
    <t>VDE1833U/VDE18B2</t>
    <phoneticPr fontId="6"/>
  </si>
  <si>
    <t xml:space="preserve">PCIe PXCLKREQ0 </t>
    <phoneticPr fontId="6"/>
  </si>
  <si>
    <t>CN24-6</t>
    <phoneticPr fontId="6"/>
  </si>
  <si>
    <t>PY5</t>
    <phoneticPr fontId="2"/>
  </si>
  <si>
    <t>PY5/PXWAKE1/FPSOUT8</t>
  </si>
  <si>
    <t>PXWAKE1</t>
    <phoneticPr fontId="6"/>
  </si>
  <si>
    <t>PCIe Wakeup-Request (EP--&gt;RC)</t>
    <phoneticPr fontId="6"/>
  </si>
  <si>
    <t>CN24-4</t>
    <phoneticPr fontId="6"/>
  </si>
  <si>
    <t>PY4</t>
  </si>
  <si>
    <t>PY4/PXWAKE0/WPPG12_1</t>
  </si>
  <si>
    <t>PXWAKE0</t>
  </si>
  <si>
    <t>PCIe Wakeup-Request (EP--&gt;RC)</t>
    <phoneticPr fontId="6"/>
  </si>
  <si>
    <t>CN24-2</t>
    <phoneticPr fontId="6"/>
  </si>
  <si>
    <t>PY3</t>
  </si>
  <si>
    <t>PY3/PXCPPEX1/FPSIN8</t>
  </si>
  <si>
    <t>PXCPPEX1</t>
  </si>
  <si>
    <t>PCIe CH1 card insert detect</t>
    <phoneticPr fontId="6"/>
  </si>
  <si>
    <t>CN24-9</t>
    <phoneticPr fontId="6"/>
  </si>
  <si>
    <t>PY2</t>
  </si>
  <si>
    <t>PY2/PXCPPEX0/FPSIN4</t>
  </si>
  <si>
    <t>PXCPPEX0</t>
  </si>
  <si>
    <t>PCIe CH0 card insert detect</t>
    <phoneticPr fontId="6"/>
  </si>
  <si>
    <t>CN24-7</t>
    <phoneticPr fontId="6"/>
  </si>
  <si>
    <t>PY1</t>
  </si>
  <si>
    <t>PY1/PXRSTX1/FPSOUT4</t>
  </si>
  <si>
    <t>PXRSTX1</t>
  </si>
  <si>
    <t>PCIe Reset Signal1</t>
    <phoneticPr fontId="6"/>
  </si>
  <si>
    <t>CN24-5</t>
    <phoneticPr fontId="6"/>
  </si>
  <si>
    <t>PY0</t>
  </si>
  <si>
    <t>PY0/PXRSTX0/FPSCK4</t>
  </si>
  <si>
    <t>PXRSTX0</t>
  </si>
  <si>
    <t>PCIe Reset Signal0</t>
    <phoneticPr fontId="6"/>
  </si>
  <si>
    <t>IO</t>
    <phoneticPr fontId="6"/>
  </si>
  <si>
    <t>CN24-3</t>
    <phoneticPr fontId="6"/>
  </si>
  <si>
    <t>PORT P</t>
    <phoneticPr fontId="2"/>
  </si>
  <si>
    <t>PP7</t>
    <phoneticPr fontId="2"/>
  </si>
  <si>
    <t>PP6</t>
    <phoneticPr fontId="2"/>
  </si>
  <si>
    <t>PP5</t>
    <phoneticPr fontId="2"/>
  </si>
  <si>
    <t>PP4</t>
    <phoneticPr fontId="2"/>
  </si>
  <si>
    <t>SD3SW/PP3/UDTRG5B/WPPG15_2</t>
  </si>
  <si>
    <t>SD3SW</t>
  </si>
  <si>
    <t>Power Supply to SD ch3 ('H'=PowerON)</t>
    <phoneticPr fontId="6"/>
  </si>
  <si>
    <t>CN38-7</t>
    <phoneticPr fontId="6"/>
  </si>
  <si>
    <t>SD3LEDX/PP2/FPSOUT5/WPPG14_2</t>
  </si>
  <si>
    <t>SD3LEDX</t>
  </si>
  <si>
    <t>SD3 Access LED Ctrl ('H'=LED ON)</t>
    <phoneticPr fontId="6"/>
  </si>
  <si>
    <t>CN38-5</t>
    <phoneticPr fontId="6"/>
  </si>
  <si>
    <t>SD3WP/PP1/FPSCK5/WPPG13_2</t>
  </si>
  <si>
    <t>SD3WP</t>
  </si>
  <si>
    <t>SD3 WriteProtect In</t>
    <phoneticPr fontId="6"/>
  </si>
  <si>
    <t>CN38-3</t>
    <phoneticPr fontId="6"/>
  </si>
  <si>
    <t>SD3CDX/PP0/FPSIN5/WPPG12_2</t>
  </si>
  <si>
    <t>SD3CDX</t>
  </si>
  <si>
    <t>SD3 CardDetect In</t>
    <phoneticPr fontId="6"/>
  </si>
  <si>
    <t>CN38-1</t>
    <phoneticPr fontId="6"/>
  </si>
  <si>
    <t>M9M_SDK/ Clock Ctrl</t>
    <phoneticPr fontId="2"/>
  </si>
  <si>
    <t>（凡例）</t>
    <phoneticPr fontId="6"/>
  </si>
  <si>
    <t>B'10</t>
    <phoneticPr fontId="6"/>
  </si>
  <si>
    <t>:クロック動作</t>
    <rPh sb="5" eb="7">
      <t>ドウサ</t>
    </rPh>
    <phoneticPr fontId="6"/>
  </si>
  <si>
    <t>※複数bit時はHEXで入する</t>
    <rPh sb="1" eb="3">
      <t>フクスウ</t>
    </rPh>
    <rPh sb="6" eb="7">
      <t>ジ</t>
    </rPh>
    <rPh sb="12" eb="13">
      <t>ニュウ</t>
    </rPh>
    <phoneticPr fontId="6"/>
  </si>
  <si>
    <t>B'11</t>
    <phoneticPr fontId="6"/>
  </si>
  <si>
    <t>:クロック停止</t>
    <rPh sb="5" eb="7">
      <t>テイシ</t>
    </rPh>
    <phoneticPr fontId="6"/>
  </si>
  <si>
    <t>0/1</t>
    <phoneticPr fontId="6"/>
  </si>
  <si>
    <t>:動作/停止の両方</t>
    <rPh sb="1" eb="3">
      <t>ドウサ</t>
    </rPh>
    <rPh sb="4" eb="6">
      <t>テイシ</t>
    </rPh>
    <rPh sb="7" eb="9">
      <t>リョウホウ</t>
    </rPh>
    <phoneticPr fontId="6"/>
  </si>
  <si>
    <t>―</t>
    <phoneticPr fontId="6"/>
  </si>
  <si>
    <t>:触らない</t>
    <rPh sb="1" eb="2">
      <t>サワ</t>
    </rPh>
    <phoneticPr fontId="6"/>
  </si>
  <si>
    <t>init</t>
  </si>
  <si>
    <t>dynamic</t>
  </si>
  <si>
    <t>内蔵Boot
(HW初期値)</t>
    <rPh sb="0" eb="2">
      <t>ナイゾウ</t>
    </rPh>
    <phoneticPr fontId="6"/>
  </si>
  <si>
    <t>Linux
 CPU</t>
    <phoneticPr fontId="6"/>
  </si>
  <si>
    <t>Linux
 CPU</t>
    <phoneticPr fontId="6"/>
  </si>
  <si>
    <t>RTOS
 CPU</t>
    <phoneticPr fontId="6"/>
  </si>
  <si>
    <t>CLKSTOP1</t>
    <phoneticPr fontId="6"/>
  </si>
  <si>
    <t>31:30</t>
    <phoneticPr fontId="6"/>
  </si>
  <si>
    <t>31:30</t>
    <phoneticPr fontId="6"/>
  </si>
  <si>
    <t>-</t>
    <phoneticPr fontId="6"/>
  </si>
  <si>
    <t>―</t>
  </si>
  <si>
    <t>29:28</t>
    <phoneticPr fontId="6"/>
  </si>
  <si>
    <t>TEMPCK</t>
    <phoneticPr fontId="6"/>
  </si>
  <si>
    <t>clock of Temperature Sensor.</t>
    <phoneticPr fontId="6"/>
  </si>
  <si>
    <t>B'11</t>
  </si>
  <si>
    <t>27:26</t>
    <phoneticPr fontId="6"/>
  </si>
  <si>
    <t>25:24</t>
    <phoneticPr fontId="6"/>
  </si>
  <si>
    <t>NETAUCK</t>
    <phoneticPr fontId="6"/>
  </si>
  <si>
    <t>clock of NETSEC.</t>
    <phoneticPr fontId="6"/>
  </si>
  <si>
    <t>23:22</t>
    <phoneticPr fontId="6"/>
  </si>
  <si>
    <t>AU5CK</t>
    <phoneticPr fontId="6"/>
  </si>
  <si>
    <t>audio clock 5ch.</t>
    <phoneticPr fontId="6"/>
  </si>
  <si>
    <t>21:20</t>
    <phoneticPr fontId="6"/>
  </si>
  <si>
    <t>AU4CK</t>
    <phoneticPr fontId="6"/>
  </si>
  <si>
    <t>audio clock 4ch.</t>
    <phoneticPr fontId="6"/>
  </si>
  <si>
    <t>19:18</t>
    <phoneticPr fontId="6"/>
  </si>
  <si>
    <t>AU3CK</t>
    <phoneticPr fontId="6"/>
  </si>
  <si>
    <t>audio clock 3ch.</t>
  </si>
  <si>
    <t>17:16</t>
    <phoneticPr fontId="6"/>
  </si>
  <si>
    <t>AU2CK</t>
    <phoneticPr fontId="6"/>
  </si>
  <si>
    <t>audio clock 2ch.</t>
  </si>
  <si>
    <t>15:14</t>
    <phoneticPr fontId="6"/>
  </si>
  <si>
    <t>AU0CK</t>
    <phoneticPr fontId="6"/>
  </si>
  <si>
    <t>audio clock 0ch.</t>
  </si>
  <si>
    <t>13:12</t>
    <phoneticPr fontId="6"/>
  </si>
  <si>
    <t>GPIOAP</t>
    <phoneticPr fontId="6"/>
  </si>
  <si>
    <t>APB bus clock of GPIO.</t>
  </si>
  <si>
    <t>11:10</t>
    <phoneticPr fontId="6"/>
  </si>
  <si>
    <t>SENAP</t>
    <phoneticPr fontId="6"/>
  </si>
  <si>
    <t>APB bus clock of SENSOR.</t>
  </si>
  <si>
    <t>9:8</t>
    <phoneticPr fontId="6"/>
  </si>
  <si>
    <t>SENAH</t>
    <phoneticPr fontId="6"/>
  </si>
  <si>
    <t>AHB bus clock of SENSOR.</t>
  </si>
  <si>
    <t>7:6</t>
    <phoneticPr fontId="6"/>
  </si>
  <si>
    <t>SENAX</t>
    <phoneticPr fontId="6"/>
  </si>
  <si>
    <t>AXI bus clock of SENSOR.</t>
  </si>
  <si>
    <t>5:4</t>
    <phoneticPr fontId="6"/>
  </si>
  <si>
    <t>SENCK</t>
    <phoneticPr fontId="6"/>
  </si>
  <si>
    <t>clock of SENSOR.</t>
    <phoneticPr fontId="6"/>
  </si>
  <si>
    <t>3:2</t>
    <phoneticPr fontId="6"/>
  </si>
  <si>
    <t>DSPAX</t>
    <phoneticPr fontId="6"/>
  </si>
  <si>
    <t>AXI bus clock of DSP.</t>
  </si>
  <si>
    <t>1:0</t>
    <phoneticPr fontId="6"/>
  </si>
  <si>
    <t>1:0</t>
    <phoneticPr fontId="6"/>
  </si>
  <si>
    <t>DSPCK</t>
    <phoneticPr fontId="6"/>
  </si>
  <si>
    <t>clock of DSP.</t>
    <phoneticPr fontId="6"/>
  </si>
  <si>
    <t>CLKSTOP2</t>
    <phoneticPr fontId="6"/>
  </si>
  <si>
    <t>PCISUPPCK</t>
    <phoneticPr fontId="6"/>
  </si>
  <si>
    <t>sub clock of PCI.</t>
  </si>
  <si>
    <t>SLIMB11CK</t>
    <phoneticPr fontId="6"/>
  </si>
  <si>
    <t>clock of SLIMbus 1ch.</t>
    <phoneticPr fontId="6"/>
  </si>
  <si>
    <t>SLIMB10CK</t>
    <phoneticPr fontId="6"/>
  </si>
  <si>
    <t>SLIMB01CK</t>
    <phoneticPr fontId="6"/>
  </si>
  <si>
    <t>clock of SLIMbus 0ch.</t>
    <phoneticPr fontId="6"/>
  </si>
  <si>
    <t>SLIMB00CK</t>
    <phoneticPr fontId="6"/>
  </si>
  <si>
    <t>SPICK</t>
    <phoneticPr fontId="6"/>
  </si>
  <si>
    <t>clock of SPI.</t>
    <phoneticPr fontId="6"/>
  </si>
  <si>
    <t>EXSAX</t>
    <phoneticPr fontId="6"/>
  </si>
  <si>
    <t>AXI bus clock of EXS.</t>
    <phoneticPr fontId="6"/>
  </si>
  <si>
    <t>NETRCK</t>
    <phoneticPr fontId="6"/>
  </si>
  <si>
    <t>RCK of NETSEC.</t>
    <phoneticPr fontId="6"/>
  </si>
  <si>
    <t>NETSECCK</t>
    <phoneticPr fontId="6"/>
  </si>
  <si>
    <t>EMMCCK</t>
    <phoneticPr fontId="6"/>
  </si>
  <si>
    <t>clock of EMMC.</t>
    <phoneticPr fontId="6"/>
  </si>
  <si>
    <t>B'10</t>
  </si>
  <si>
    <t>NFCK</t>
    <phoneticPr fontId="6"/>
  </si>
  <si>
    <t>clock of Nand Flash.</t>
    <phoneticPr fontId="6"/>
  </si>
  <si>
    <t>UHS2CK</t>
    <phoneticPr fontId="6"/>
  </si>
  <si>
    <t>clock of UHS2.</t>
    <phoneticPr fontId="6"/>
  </si>
  <si>
    <t>UHS1CK2</t>
    <phoneticPr fontId="6"/>
  </si>
  <si>
    <t>clock of UHS1 ch3(SD macro SD4).</t>
    <phoneticPr fontId="6"/>
  </si>
  <si>
    <t>UHS1CK1</t>
    <phoneticPr fontId="6"/>
  </si>
  <si>
    <t>clock of UHS1 ch2(SD macro SD3).</t>
    <phoneticPr fontId="6"/>
  </si>
  <si>
    <t>UHS1CK0</t>
    <phoneticPr fontId="6"/>
  </si>
  <si>
    <t>clock of UHS1 SDIO ch1(SD macro SD2).</t>
    <phoneticPr fontId="6"/>
  </si>
  <si>
    <t>RCK</t>
    <phoneticPr fontId="6"/>
  </si>
  <si>
    <t>RCK of PERI.</t>
    <phoneticPr fontId="6"/>
  </si>
  <si>
    <t>CLKSTOP3</t>
    <phoneticPr fontId="6"/>
  </si>
  <si>
    <t>PDM1CK</t>
    <phoneticPr fontId="6"/>
  </si>
  <si>
    <t>PDM1 clock.</t>
    <phoneticPr fontId="6"/>
  </si>
  <si>
    <t>Start clock Before starting PLL10A</t>
    <phoneticPr fontId="6"/>
  </si>
  <si>
    <t>PDM0CK</t>
    <phoneticPr fontId="6"/>
  </si>
  <si>
    <t>PDM0 clock.</t>
    <phoneticPr fontId="6"/>
  </si>
  <si>
    <t>JPGAP</t>
    <phoneticPr fontId="6"/>
  </si>
  <si>
    <t>APB bus clock of JPEG.</t>
    <phoneticPr fontId="6"/>
  </si>
  <si>
    <t>JPGAH</t>
    <phoneticPr fontId="6"/>
  </si>
  <si>
    <t>AHB bus clock of JPEG.</t>
    <phoneticPr fontId="6"/>
  </si>
  <si>
    <t>JPGAX</t>
    <phoneticPr fontId="6"/>
  </si>
  <si>
    <t>AXI bus clock of JPEG.</t>
    <phoneticPr fontId="6"/>
  </si>
  <si>
    <t>JPGCK</t>
    <phoneticPr fontId="6"/>
  </si>
  <si>
    <t>clock of JPEG.</t>
    <phoneticPr fontId="6"/>
  </si>
  <si>
    <t>DISPAX</t>
    <phoneticPr fontId="6"/>
  </si>
  <si>
    <t>AXI bus clock of DISP.</t>
    <phoneticPr fontId="6"/>
  </si>
  <si>
    <t>DISPAH</t>
    <phoneticPr fontId="6"/>
  </si>
  <si>
    <t>AHB bus clock of DISP.</t>
    <phoneticPr fontId="6"/>
  </si>
  <si>
    <t>DISPAP</t>
    <phoneticPr fontId="6"/>
  </si>
  <si>
    <t>APB bus clock of DISP.</t>
    <phoneticPr fontId="6"/>
  </si>
  <si>
    <t>MIFCK</t>
    <phoneticPr fontId="6"/>
  </si>
  <si>
    <t>MIF clock of DISP.</t>
    <phoneticPr fontId="6"/>
  </si>
  <si>
    <t>HIFCK</t>
    <phoneticPr fontId="6"/>
  </si>
  <si>
    <t>HIF clock of DISP.</t>
    <phoneticPr fontId="6"/>
  </si>
  <si>
    <t>LCDCK</t>
    <phoneticPr fontId="6"/>
  </si>
  <si>
    <t>LCD clock of DISP.</t>
    <phoneticPr fontId="6"/>
  </si>
  <si>
    <t>IIPAX</t>
    <phoneticPr fontId="6"/>
  </si>
  <si>
    <t>AXI bus clock of IIP.</t>
    <phoneticPr fontId="6"/>
  </si>
  <si>
    <t>IIPAH</t>
    <phoneticPr fontId="6"/>
  </si>
  <si>
    <t>AHB bus clock of IIP.</t>
    <phoneticPr fontId="6"/>
  </si>
  <si>
    <t>IIPAP</t>
    <phoneticPr fontId="6"/>
  </si>
  <si>
    <t>APB bus clock of IIP.</t>
    <phoneticPr fontId="6"/>
  </si>
  <si>
    <t>IIPCK</t>
    <phoneticPr fontId="6"/>
  </si>
  <si>
    <t>clock of IIP.</t>
    <phoneticPr fontId="6"/>
  </si>
  <si>
    <t>CLKSTOP4</t>
    <phoneticPr fontId="6"/>
  </si>
  <si>
    <t>APCK3</t>
    <phoneticPr fontId="6"/>
  </si>
  <si>
    <t>SNAPCLKO3.</t>
    <phoneticPr fontId="6"/>
  </si>
  <si>
    <t>APCK2</t>
    <phoneticPr fontId="6"/>
  </si>
  <si>
    <t>SNAPCLKO2.</t>
    <phoneticPr fontId="6"/>
  </si>
  <si>
    <t>APCK1</t>
    <phoneticPr fontId="6"/>
  </si>
  <si>
    <t>SNAPCLKO1.</t>
    <phoneticPr fontId="6"/>
  </si>
  <si>
    <t>APCK0</t>
    <phoneticPr fontId="6"/>
  </si>
  <si>
    <t>SNAPCLKO0.</t>
    <phoneticPr fontId="6"/>
  </si>
  <si>
    <t>FPT1AX</t>
  </si>
  <si>
    <t>AXI bus clock of FPT 1ch.</t>
    <phoneticPr fontId="6"/>
  </si>
  <si>
    <t>FPT1AH</t>
    <phoneticPr fontId="6"/>
  </si>
  <si>
    <t>AHB bus clock of FPT 1ch.</t>
    <phoneticPr fontId="6"/>
  </si>
  <si>
    <t>FPT1AP</t>
    <phoneticPr fontId="6"/>
  </si>
  <si>
    <t>APB bus clock of FPT 1ch.</t>
    <phoneticPr fontId="6"/>
  </si>
  <si>
    <t>FPT1CK</t>
    <phoneticPr fontId="6"/>
  </si>
  <si>
    <t>clock of FPT 1ch.</t>
    <phoneticPr fontId="6"/>
  </si>
  <si>
    <t>FPT0AP</t>
    <phoneticPr fontId="6"/>
  </si>
  <si>
    <t>APB bus clock of FPT 0ch.</t>
    <phoneticPr fontId="6"/>
  </si>
  <si>
    <t>FPT0AH</t>
    <phoneticPr fontId="6"/>
  </si>
  <si>
    <t>AHB bus clock of FPT 0ch.</t>
    <phoneticPr fontId="6"/>
  </si>
  <si>
    <t>FPT0AX</t>
    <phoneticPr fontId="6"/>
  </si>
  <si>
    <t>AXI bus clock of FPT 0ch.</t>
    <phoneticPr fontId="6"/>
  </si>
  <si>
    <t>FPT0CK</t>
    <phoneticPr fontId="6"/>
  </si>
  <si>
    <t>clock of FPT 0ch.</t>
    <phoneticPr fontId="6"/>
  </si>
  <si>
    <t>GPUAX</t>
    <phoneticPr fontId="6"/>
  </si>
  <si>
    <t>AXI bus clock of GPU.</t>
    <phoneticPr fontId="6"/>
  </si>
  <si>
    <t>GPUAH</t>
    <phoneticPr fontId="6"/>
  </si>
  <si>
    <t>AHB bus clock of GPU.</t>
    <phoneticPr fontId="6"/>
  </si>
  <si>
    <t>GPUAP</t>
    <phoneticPr fontId="6"/>
  </si>
  <si>
    <t>APB bus clock of GPU.</t>
    <phoneticPr fontId="6"/>
  </si>
  <si>
    <t>GPUCK</t>
    <phoneticPr fontId="6"/>
  </si>
  <si>
    <t>clock of GPU.</t>
    <phoneticPr fontId="6"/>
  </si>
  <si>
    <t>CLKSTOP5</t>
    <phoneticPr fontId="6"/>
  </si>
  <si>
    <t>31:28</t>
    <phoneticPr fontId="6"/>
  </si>
  <si>
    <t>31:28</t>
    <phoneticPr fontId="6"/>
  </si>
  <si>
    <t>MICAP6</t>
    <phoneticPr fontId="6"/>
  </si>
  <si>
    <t>APB bus clock 6 of MXIC.</t>
    <phoneticPr fontId="6"/>
  </si>
  <si>
    <t>MICAP5</t>
    <phoneticPr fontId="6"/>
  </si>
  <si>
    <t>APB bus clock 5 of MXIC.</t>
    <phoneticPr fontId="6"/>
  </si>
  <si>
    <t>MICAP4</t>
    <phoneticPr fontId="6"/>
  </si>
  <si>
    <t>APB bus clock 4 of MXIC.</t>
    <phoneticPr fontId="6"/>
  </si>
  <si>
    <t>MICAP3</t>
    <phoneticPr fontId="6"/>
  </si>
  <si>
    <t>APB bus clock 3 of MXIC.</t>
    <phoneticPr fontId="6"/>
  </si>
  <si>
    <t>MICAP2</t>
    <phoneticPr fontId="6"/>
  </si>
  <si>
    <t>APB bus clock 2 of MXIC.</t>
    <phoneticPr fontId="6"/>
  </si>
  <si>
    <t>MICAP1</t>
    <phoneticPr fontId="6"/>
  </si>
  <si>
    <t>APB bus clock 1 of MXIC.</t>
    <phoneticPr fontId="6"/>
  </si>
  <si>
    <t>MICAP0</t>
    <phoneticPr fontId="6"/>
  </si>
  <si>
    <t>APB bus clock 0 of MXIC.</t>
    <phoneticPr fontId="6"/>
  </si>
  <si>
    <t>MICAX6</t>
    <phoneticPr fontId="6"/>
  </si>
  <si>
    <t>AXI bus clock 6 of MXIC.</t>
    <phoneticPr fontId="6"/>
  </si>
  <si>
    <t>MICAX5</t>
    <phoneticPr fontId="6"/>
  </si>
  <si>
    <t>AXI bus clock 5 of MXIC.</t>
    <phoneticPr fontId="6"/>
  </si>
  <si>
    <t>MICAX4</t>
    <phoneticPr fontId="6"/>
  </si>
  <si>
    <t>AXI bus clock 4 of MXIC.</t>
    <phoneticPr fontId="6"/>
  </si>
  <si>
    <t>MICAX3</t>
  </si>
  <si>
    <t>AXI bus clock 3 of MXIC.</t>
    <phoneticPr fontId="6"/>
  </si>
  <si>
    <t>MICAX2</t>
    <phoneticPr fontId="6"/>
  </si>
  <si>
    <t>AXI bus clock 2 of MXIC.</t>
    <phoneticPr fontId="6"/>
  </si>
  <si>
    <t>MICAX1</t>
    <phoneticPr fontId="6"/>
  </si>
  <si>
    <t>AXI bus clock 1 of MXIC.</t>
    <phoneticPr fontId="6"/>
  </si>
  <si>
    <t>MICAX0</t>
    <phoneticPr fontId="6"/>
  </si>
  <si>
    <t>AXI bus clock 0 of MXIC.</t>
    <phoneticPr fontId="6"/>
  </si>
  <si>
    <t>CLKSTOP6</t>
    <phoneticPr fontId="6"/>
  </si>
  <si>
    <t>ELAAP</t>
    <phoneticPr fontId="6"/>
  </si>
  <si>
    <t>APB bus clock of ELA.</t>
    <phoneticPr fontId="6"/>
  </si>
  <si>
    <t>ELAAX</t>
    <phoneticPr fontId="6"/>
  </si>
  <si>
    <t>AXI bus clock of ELA.</t>
    <phoneticPr fontId="6"/>
  </si>
  <si>
    <t>ELACK</t>
    <phoneticPr fontId="6"/>
  </si>
  <si>
    <t>clock of ELA.</t>
    <phoneticPr fontId="6"/>
  </si>
  <si>
    <t>XCHAP</t>
    <phoneticPr fontId="6"/>
  </si>
  <si>
    <t>APB bus clock of XCH.</t>
    <phoneticPr fontId="6"/>
  </si>
  <si>
    <t>XCHAX</t>
    <phoneticPr fontId="6"/>
  </si>
  <si>
    <t>AXI bus clock of XCH.</t>
    <phoneticPr fontId="6"/>
  </si>
  <si>
    <t>REGAP</t>
    <phoneticPr fontId="6"/>
  </si>
  <si>
    <t>APB bus clock of Chip top Rregister.</t>
    <phoneticPr fontId="6"/>
  </si>
  <si>
    <t>IMGAP3</t>
    <phoneticPr fontId="6"/>
  </si>
  <si>
    <t>APB bus clock3 of Image macro.</t>
    <phoneticPr fontId="6"/>
  </si>
  <si>
    <t>IMGAH3</t>
    <phoneticPr fontId="6"/>
  </si>
  <si>
    <t>AHB bus clock3 of Image macro.</t>
    <phoneticPr fontId="6"/>
  </si>
  <si>
    <t>IMGAH1</t>
    <phoneticPr fontId="6"/>
  </si>
  <si>
    <t>AHB bus clock1 of Image macro.</t>
    <phoneticPr fontId="6"/>
  </si>
  <si>
    <t>IMGAH0</t>
    <phoneticPr fontId="6"/>
  </si>
  <si>
    <t>AHB bus clock0 of Image macro.</t>
    <phoneticPr fontId="6"/>
  </si>
  <si>
    <t>IMGAX</t>
    <phoneticPr fontId="6"/>
  </si>
  <si>
    <t>AXI bus clock0 of Image macro.</t>
    <phoneticPr fontId="6"/>
  </si>
  <si>
    <t>MICAH3</t>
    <phoneticPr fontId="6"/>
  </si>
  <si>
    <t>AHB bus clock3 of MXIC.</t>
    <phoneticPr fontId="6"/>
  </si>
  <si>
    <t>MICAH2</t>
    <phoneticPr fontId="6"/>
  </si>
  <si>
    <t>AHB bus clock2 of MXIC.</t>
    <phoneticPr fontId="6"/>
  </si>
  <si>
    <t>MICAH1</t>
    <phoneticPr fontId="6"/>
  </si>
  <si>
    <t>AHB bus clock1 of MXIC.</t>
    <phoneticPr fontId="6"/>
  </si>
  <si>
    <t>CLKSTOP7</t>
    <phoneticPr fontId="6"/>
  </si>
  <si>
    <t>MEAP</t>
    <phoneticPr fontId="6"/>
  </si>
  <si>
    <t>APB bus clock of ME.</t>
    <phoneticPr fontId="6"/>
  </si>
  <si>
    <t>MEAX</t>
    <phoneticPr fontId="6"/>
  </si>
  <si>
    <t>AXI bus clock of ME.</t>
    <phoneticPr fontId="6"/>
  </si>
  <si>
    <t>MECK</t>
    <phoneticPr fontId="6"/>
  </si>
  <si>
    <t>clock of ME.</t>
    <phoneticPr fontId="6"/>
  </si>
  <si>
    <t>M0CK</t>
    <phoneticPr fontId="6"/>
  </si>
  <si>
    <t>clock of M0.</t>
    <phoneticPr fontId="6"/>
  </si>
  <si>
    <t>SHDRAP</t>
    <phoneticPr fontId="6"/>
  </si>
  <si>
    <t>APB Bus clock of 3DNR.</t>
    <phoneticPr fontId="6"/>
  </si>
  <si>
    <t>SHDRAH</t>
    <phoneticPr fontId="6"/>
  </si>
  <si>
    <t>AHB Bus clock of 3DNR.</t>
    <phoneticPr fontId="6"/>
  </si>
  <si>
    <t>SHDRAX</t>
    <phoneticPr fontId="6"/>
  </si>
  <si>
    <t>AXI Bus clock of 3DNR.</t>
    <phoneticPr fontId="6"/>
  </si>
  <si>
    <t>SHDRCK</t>
    <phoneticPr fontId="6"/>
  </si>
  <si>
    <t>clock of 3DNR.</t>
    <phoneticPr fontId="6"/>
  </si>
  <si>
    <t>RAWAP</t>
    <phoneticPr fontId="6"/>
  </si>
  <si>
    <t>APB Bus clock of RAW.</t>
    <phoneticPr fontId="6"/>
  </si>
  <si>
    <t>RAWAX</t>
    <phoneticPr fontId="6"/>
  </si>
  <si>
    <t>AXI Bus clock of RAW.</t>
    <phoneticPr fontId="6"/>
  </si>
  <si>
    <t>RAWCK</t>
    <phoneticPr fontId="6"/>
  </si>
  <si>
    <t>clock of RAW.</t>
    <phoneticPr fontId="6"/>
  </si>
  <si>
    <t>IPUAH</t>
    <phoneticPr fontId="6"/>
  </si>
  <si>
    <t>AHB Bus clock of IPU.</t>
    <phoneticPr fontId="6"/>
  </si>
  <si>
    <t>IPUAX</t>
    <phoneticPr fontId="6"/>
  </si>
  <si>
    <t>AXI Bus clock of IPU.</t>
    <phoneticPr fontId="6"/>
  </si>
  <si>
    <t>IPUVISCK</t>
    <phoneticPr fontId="6"/>
  </si>
  <si>
    <t>AXI Bus clock of IPUVIS.</t>
    <phoneticPr fontId="6"/>
  </si>
  <si>
    <t>IPUFDCK</t>
    <phoneticPr fontId="6"/>
  </si>
  <si>
    <t>AXI Bus clock of IPUFD.</t>
    <phoneticPr fontId="6"/>
  </si>
  <si>
    <t>CLKSTOP8</t>
    <phoneticPr fontId="6"/>
  </si>
  <si>
    <t>UMC0MX4AX</t>
    <phoneticPr fontId="6"/>
  </si>
  <si>
    <t>AXI bus clock of UMC0 MXIC4.</t>
    <phoneticPr fontId="6"/>
  </si>
  <si>
    <t>UMC0MX3AX</t>
    <phoneticPr fontId="6"/>
  </si>
  <si>
    <t>AXI bus clock of UMC0 MXIC3.</t>
    <phoneticPr fontId="6"/>
  </si>
  <si>
    <t>UMC0MX2AX</t>
    <phoneticPr fontId="6"/>
  </si>
  <si>
    <t>AXI bus clock of UMC0 MXIC2.</t>
    <phoneticPr fontId="6"/>
  </si>
  <si>
    <t>UMC0MX1AX</t>
    <phoneticPr fontId="6"/>
  </si>
  <si>
    <t>AXI bus clock of UMC0 MXIC1.</t>
    <phoneticPr fontId="6"/>
  </si>
  <si>
    <t>UMC0CMNAX</t>
    <phoneticPr fontId="6"/>
  </si>
  <si>
    <t>AXI bus clock of UMC0 CMN.</t>
    <phoneticPr fontId="6"/>
  </si>
  <si>
    <t>UMC1RBRMX4</t>
    <phoneticPr fontId="6"/>
  </si>
  <si>
    <t>MXI bus clock 400MHz of UMC1 REBERY.</t>
    <phoneticPr fontId="6"/>
  </si>
  <si>
    <t>UMC1HEVCMX4</t>
    <phoneticPr fontId="6"/>
  </si>
  <si>
    <t>MXI bus clock 400MHz of UMC1 HEVC.</t>
    <phoneticPr fontId="6"/>
  </si>
  <si>
    <t>UMC1HEVCMX2</t>
    <phoneticPr fontId="6"/>
  </si>
  <si>
    <t>MXI bus clock 200MHz of UMC1 HEVC.</t>
    <phoneticPr fontId="6"/>
  </si>
  <si>
    <t>UMC0RBRMX4</t>
    <phoneticPr fontId="6"/>
  </si>
  <si>
    <t>MXI bus clock 400MHz of UMC0 REBERY.</t>
    <phoneticPr fontId="6"/>
  </si>
  <si>
    <t>UMC0HEVCMX4</t>
    <phoneticPr fontId="6"/>
  </si>
  <si>
    <t>MXI bus clock 400MHz of UMC0 HEVC.</t>
    <phoneticPr fontId="6"/>
  </si>
  <si>
    <t>UMC0HEVCMX2</t>
    <phoneticPr fontId="6"/>
  </si>
  <si>
    <t>MXI bus clock 200MHz of UMC0 HEVC.</t>
    <phoneticPr fontId="6"/>
  </si>
  <si>
    <t>HEIPPCK</t>
    <phoneticPr fontId="6"/>
  </si>
  <si>
    <t>clock of HEVC IPP.</t>
    <phoneticPr fontId="6"/>
  </si>
  <si>
    <t>HEPXFCK</t>
    <phoneticPr fontId="6"/>
  </si>
  <si>
    <t>clock of HEVC PXF.</t>
    <phoneticPr fontId="6"/>
  </si>
  <si>
    <t>HEVDFCK</t>
    <phoneticPr fontId="6"/>
  </si>
  <si>
    <t>clock of HEVC VDF.</t>
    <phoneticPr fontId="6"/>
  </si>
  <si>
    <t>RIBAH</t>
    <phoneticPr fontId="6"/>
  </si>
  <si>
    <t>AHB Bus clock of RIBERY.</t>
    <phoneticPr fontId="6"/>
  </si>
  <si>
    <t>RIBCK</t>
    <phoneticPr fontId="6"/>
  </si>
  <si>
    <t>clock of RIBERY.</t>
    <phoneticPr fontId="6"/>
  </si>
  <si>
    <t>CLKSTOP9</t>
    <phoneticPr fontId="6"/>
  </si>
  <si>
    <t>UMC1AP</t>
    <phoneticPr fontId="6"/>
  </si>
  <si>
    <t>APB bus clock of UMC1.</t>
    <phoneticPr fontId="6"/>
  </si>
  <si>
    <t>UMC0AP</t>
    <phoneticPr fontId="6"/>
  </si>
  <si>
    <t>APB bus clock of UMC0.</t>
    <phoneticPr fontId="6"/>
  </si>
  <si>
    <t>UMC1HEVCAX4</t>
    <phoneticPr fontId="6"/>
  </si>
  <si>
    <t>AXI bus clock 400MHz of UMC1 HEVC.</t>
    <phoneticPr fontId="6"/>
  </si>
  <si>
    <t>UMC1MX6AX4</t>
    <phoneticPr fontId="6"/>
  </si>
  <si>
    <t>MXI bus clock 400MHz of UMC1 MXIC6.</t>
    <phoneticPr fontId="6"/>
  </si>
  <si>
    <t>UMC1MX0AX3</t>
    <phoneticPr fontId="6"/>
  </si>
  <si>
    <t>MXI bus clock 300MHz of UMC1 MXIC0.</t>
    <phoneticPr fontId="6"/>
  </si>
  <si>
    <t>UMC0HEVCAX4</t>
    <phoneticPr fontId="6"/>
  </si>
  <si>
    <t>AXI bus clock 400MHz of UMC0 HEVC.</t>
    <phoneticPr fontId="6"/>
  </si>
  <si>
    <t>UMC0MX6AX4</t>
    <phoneticPr fontId="6"/>
  </si>
  <si>
    <t>MXI bus clock 400MHz of UMC0 MXIC6.</t>
    <phoneticPr fontId="6"/>
  </si>
  <si>
    <t>UMC0MX0AX3</t>
    <phoneticPr fontId="6"/>
  </si>
  <si>
    <t>MXI bus clock 300MHz of UMC0 MXIC0.</t>
    <phoneticPr fontId="6"/>
  </si>
  <si>
    <t>UMC1MX5AX</t>
    <phoneticPr fontId="6"/>
  </si>
  <si>
    <t>AXI bus clock of UMC1 MXIC5.</t>
    <phoneticPr fontId="6"/>
  </si>
  <si>
    <t>UMC1MX4AX</t>
    <phoneticPr fontId="6"/>
  </si>
  <si>
    <t>AXI bus clock of UMC1 MXIC4.</t>
    <phoneticPr fontId="6"/>
  </si>
  <si>
    <t>UMC1MX3AX</t>
    <phoneticPr fontId="6"/>
  </si>
  <si>
    <t>AXI bus clock of UMC1 MXIC3.</t>
    <phoneticPr fontId="6"/>
  </si>
  <si>
    <t>UMC1MX2AX</t>
    <phoneticPr fontId="6"/>
  </si>
  <si>
    <t>AXI bus clock of UMC1 MXIC2.</t>
    <phoneticPr fontId="6"/>
  </si>
  <si>
    <t>UMC1MX1AX</t>
    <phoneticPr fontId="6"/>
  </si>
  <si>
    <t>AXI bus clock of UMC1 MXIC1.</t>
    <phoneticPr fontId="6"/>
  </si>
  <si>
    <t>UMC1CMNAX</t>
    <phoneticPr fontId="6"/>
  </si>
  <si>
    <t>AXI bus clock of UMC1 CMN.</t>
    <phoneticPr fontId="6"/>
  </si>
  <si>
    <t>UMC0MX5AX</t>
    <phoneticPr fontId="6"/>
  </si>
  <si>
    <t>AXI bus clock of UMC0 MXIC5.</t>
    <phoneticPr fontId="6"/>
  </si>
  <si>
    <t>CLKSTOP10</t>
    <phoneticPr fontId="6"/>
  </si>
  <si>
    <t>B2R1AP</t>
    <phoneticPr fontId="6"/>
  </si>
  <si>
    <t>APB bus clock of B2R pipe1.</t>
    <phoneticPr fontId="6"/>
  </si>
  <si>
    <t>B2R1AH</t>
    <phoneticPr fontId="6"/>
  </si>
  <si>
    <t>AHB bus clock of B2R pipe1.</t>
    <phoneticPr fontId="6"/>
  </si>
  <si>
    <t>B2R1AX</t>
    <phoneticPr fontId="6"/>
  </si>
  <si>
    <t>AXI bus clock of B2R pipe1.</t>
    <phoneticPr fontId="6"/>
  </si>
  <si>
    <t>B2R1CK</t>
    <phoneticPr fontId="6"/>
  </si>
  <si>
    <t>clock of B2R pipe1.</t>
    <phoneticPr fontId="6"/>
  </si>
  <si>
    <t>LTMRBK1CK</t>
    <phoneticPr fontId="6"/>
  </si>
  <si>
    <t>clock of LTMRBK1 pipe1.</t>
    <phoneticPr fontId="6"/>
  </si>
  <si>
    <t>B2B1AP</t>
    <phoneticPr fontId="6"/>
  </si>
  <si>
    <t>APB bus clock of B2B pipe1.</t>
    <phoneticPr fontId="6"/>
  </si>
  <si>
    <t>B2B1AH</t>
    <phoneticPr fontId="6"/>
  </si>
  <si>
    <t>AHB bus clock of B2B pipe1.</t>
  </si>
  <si>
    <t>B2B1AX</t>
    <phoneticPr fontId="6"/>
  </si>
  <si>
    <t>AXI bus clock of B2B pipe1.</t>
    <phoneticPr fontId="6"/>
  </si>
  <si>
    <t>B2B1CK</t>
    <phoneticPr fontId="6"/>
  </si>
  <si>
    <t>clock of B2B pipe1.</t>
    <phoneticPr fontId="6"/>
  </si>
  <si>
    <t>SRO1AP</t>
    <phoneticPr fontId="6"/>
  </si>
  <si>
    <t>APB bus clock of SRO pipe1.</t>
    <phoneticPr fontId="6"/>
  </si>
  <si>
    <t>SRO1AH</t>
    <phoneticPr fontId="6"/>
  </si>
  <si>
    <t>AHB bus clock of SRO pipe1.</t>
    <phoneticPr fontId="6"/>
  </si>
  <si>
    <t>SRO1AX</t>
    <phoneticPr fontId="6"/>
  </si>
  <si>
    <t>AXI bus clock of SRO pipe1.</t>
    <phoneticPr fontId="6"/>
  </si>
  <si>
    <t>SRO1CK_2</t>
    <phoneticPr fontId="6"/>
  </si>
  <si>
    <t>clock2 of SRO pipe1.</t>
    <phoneticPr fontId="6"/>
  </si>
  <si>
    <t>SRO1CK</t>
    <phoneticPr fontId="6"/>
  </si>
  <si>
    <t>clock of SRO pipe1.</t>
    <phoneticPr fontId="6"/>
  </si>
  <si>
    <t>CLKSTOP11</t>
    <phoneticPr fontId="6"/>
  </si>
  <si>
    <t>NFBCHCK</t>
    <phoneticPr fontId="6"/>
  </si>
  <si>
    <t>APB bus clock of Nand Flash BCH.</t>
    <phoneticPr fontId="6"/>
  </si>
  <si>
    <t>DBGAP</t>
    <phoneticPr fontId="6"/>
  </si>
  <si>
    <t>APB bus clock of CPU PCLKDBG.</t>
    <phoneticPr fontId="6"/>
  </si>
  <si>
    <t>APAH</t>
    <phoneticPr fontId="6"/>
  </si>
  <si>
    <t>AHB bus clock of CPU HCLKAP.</t>
    <phoneticPr fontId="6"/>
  </si>
  <si>
    <t>CNR1AP</t>
    <phoneticPr fontId="6"/>
  </si>
  <si>
    <t>APB bus clock of CNR pipe1.</t>
    <phoneticPr fontId="6"/>
  </si>
  <si>
    <t>CNR1AX</t>
    <phoneticPr fontId="6"/>
  </si>
  <si>
    <t>AXI bus clock of CNR pipe1.</t>
    <phoneticPr fontId="6"/>
  </si>
  <si>
    <t>CNR1CK</t>
    <phoneticPr fontId="6"/>
  </si>
  <si>
    <t>clock of CNR pipe1.</t>
    <phoneticPr fontId="6"/>
  </si>
  <si>
    <t>R2Y1AP</t>
    <phoneticPr fontId="6"/>
  </si>
  <si>
    <t>APB bus clock of R2Y pipe1.</t>
    <phoneticPr fontId="6"/>
  </si>
  <si>
    <t>R2Y1AH</t>
    <phoneticPr fontId="6"/>
  </si>
  <si>
    <t>AHB bus clock of R2Y pipe1.</t>
    <phoneticPr fontId="6"/>
  </si>
  <si>
    <t>R2Y1AX</t>
    <phoneticPr fontId="6"/>
  </si>
  <si>
    <t>AXI bus clock of R2Y pipe1.</t>
    <phoneticPr fontId="6"/>
  </si>
  <si>
    <t>R2Y1CK</t>
    <phoneticPr fontId="6"/>
  </si>
  <si>
    <t>clock of R2Y pipe1.</t>
    <phoneticPr fontId="6"/>
  </si>
  <si>
    <t>LTM1AP</t>
    <phoneticPr fontId="6"/>
  </si>
  <si>
    <t>APB bus clock of LTM pipe1.</t>
    <phoneticPr fontId="6"/>
  </si>
  <si>
    <t>LTM1AH</t>
    <phoneticPr fontId="6"/>
  </si>
  <si>
    <t>AHB bus clock of LTM pipe1.</t>
    <phoneticPr fontId="6"/>
  </si>
  <si>
    <t>LTM1AX</t>
    <phoneticPr fontId="6"/>
  </si>
  <si>
    <t>AXI bus clock of LTM pipe1.</t>
    <phoneticPr fontId="6"/>
  </si>
  <si>
    <t>LTM1CK</t>
    <phoneticPr fontId="6"/>
  </si>
  <si>
    <t>clock of LTM pipe1.</t>
    <phoneticPr fontId="6"/>
  </si>
  <si>
    <t>CLKSTOP12</t>
    <phoneticPr fontId="6"/>
  </si>
  <si>
    <t>B2R2AP</t>
    <phoneticPr fontId="6"/>
  </si>
  <si>
    <t>APB bus clock of B2R pipe2.</t>
    <phoneticPr fontId="6"/>
  </si>
  <si>
    <t>B2R2AH</t>
    <phoneticPr fontId="6"/>
  </si>
  <si>
    <t>AHB bus clock of B2R pipe2.</t>
    <phoneticPr fontId="6"/>
  </si>
  <si>
    <t>B2R2AX</t>
    <phoneticPr fontId="6"/>
  </si>
  <si>
    <t>AXI bus clock of B2R pipe2.</t>
    <phoneticPr fontId="6"/>
  </si>
  <si>
    <t>B2R2CK</t>
    <phoneticPr fontId="6"/>
  </si>
  <si>
    <t>clock of B2R pipe2.</t>
    <phoneticPr fontId="6"/>
  </si>
  <si>
    <t>LTMRBK2CK</t>
    <phoneticPr fontId="6"/>
  </si>
  <si>
    <t>B2B2AP</t>
    <phoneticPr fontId="6"/>
  </si>
  <si>
    <t>APB bus clock of B2B pipe2.</t>
    <phoneticPr fontId="6"/>
  </si>
  <si>
    <t>B2B2AH</t>
    <phoneticPr fontId="6"/>
  </si>
  <si>
    <t>AHB bus clock of B2B pipe2.</t>
    <phoneticPr fontId="6"/>
  </si>
  <si>
    <t>B2B2AX</t>
    <phoneticPr fontId="6"/>
  </si>
  <si>
    <t>AXI bus clock of B2B pipe2.</t>
    <phoneticPr fontId="6"/>
  </si>
  <si>
    <t>B2B2CK</t>
    <phoneticPr fontId="6"/>
  </si>
  <si>
    <t>clock of B2B pipe2.</t>
    <phoneticPr fontId="6"/>
  </si>
  <si>
    <t>SRO2AP</t>
    <phoneticPr fontId="6"/>
  </si>
  <si>
    <t>APB bus clock of SRO pipe2.</t>
    <phoneticPr fontId="6"/>
  </si>
  <si>
    <t>SRO2AH</t>
    <phoneticPr fontId="6"/>
  </si>
  <si>
    <t>AHB bus clock of SRO pipe2.</t>
    <phoneticPr fontId="6"/>
  </si>
  <si>
    <t>SRO2AX</t>
    <phoneticPr fontId="6"/>
  </si>
  <si>
    <t>AXI bus clock of SRO pipe2.</t>
    <phoneticPr fontId="6"/>
  </si>
  <si>
    <t>SRO2CK_2</t>
    <phoneticPr fontId="6"/>
  </si>
  <si>
    <t>clock2 of SRO pipe2.</t>
    <phoneticPr fontId="6"/>
  </si>
  <si>
    <t>SRO2CK</t>
    <phoneticPr fontId="6"/>
  </si>
  <si>
    <t>clock of SRO pipe2.</t>
    <phoneticPr fontId="6"/>
  </si>
  <si>
    <t>CLKSTOP13</t>
    <phoneticPr fontId="6"/>
  </si>
  <si>
    <t>BMH1CK</t>
    <phoneticPr fontId="6"/>
  </si>
  <si>
    <t>clock of BMH1.</t>
    <phoneticPr fontId="6"/>
  </si>
  <si>
    <t>UMCPXFMX2</t>
    <phoneticPr fontId="6"/>
  </si>
  <si>
    <t>MXI bus clock 200MHz of UMC PXF.</t>
    <phoneticPr fontId="6"/>
  </si>
  <si>
    <t>UMCVDFMX2</t>
    <phoneticPr fontId="6"/>
  </si>
  <si>
    <t>MXI bus clock 200MHz of UMC VDF.</t>
    <phoneticPr fontId="6"/>
  </si>
  <si>
    <t>UMCPXFMX4</t>
    <phoneticPr fontId="6"/>
  </si>
  <si>
    <t>MXI bus clock 400MHz of UMC PXF.</t>
    <phoneticPr fontId="6"/>
  </si>
  <si>
    <t>UMCVDFMX4</t>
    <phoneticPr fontId="6"/>
  </si>
  <si>
    <t>MXI bus clock 400MHz of UMC VDF.</t>
    <phoneticPr fontId="6"/>
  </si>
  <si>
    <t>CNR2AP</t>
    <phoneticPr fontId="6"/>
  </si>
  <si>
    <t>APB bus clock of CNR pipe2.</t>
    <phoneticPr fontId="6"/>
  </si>
  <si>
    <t>CNR2AX</t>
    <phoneticPr fontId="6"/>
  </si>
  <si>
    <t>AXI bus clock of CNR pipe2.</t>
    <phoneticPr fontId="6"/>
  </si>
  <si>
    <t>CNR2CK</t>
    <phoneticPr fontId="6"/>
  </si>
  <si>
    <t>clock of CNR pipe2.</t>
    <phoneticPr fontId="6"/>
  </si>
  <si>
    <t>R2Y2AP</t>
    <phoneticPr fontId="6"/>
  </si>
  <si>
    <t>APB bus clock of R2Y pipe2.</t>
    <phoneticPr fontId="6"/>
  </si>
  <si>
    <t>R2Y2AH</t>
    <phoneticPr fontId="6"/>
  </si>
  <si>
    <t>AHB bus clock of R2Y pipe2.</t>
  </si>
  <si>
    <t>R2Y2AX</t>
    <phoneticPr fontId="6"/>
  </si>
  <si>
    <t>R2Y2CK</t>
    <phoneticPr fontId="6"/>
  </si>
  <si>
    <t>clock of R2Y pipe2.</t>
    <phoneticPr fontId="6"/>
  </si>
  <si>
    <t>LTM2AP</t>
    <phoneticPr fontId="6"/>
  </si>
  <si>
    <t>APB bus clock of LTM pipe2.</t>
    <phoneticPr fontId="6"/>
  </si>
  <si>
    <t>LTM2AH</t>
    <phoneticPr fontId="6"/>
  </si>
  <si>
    <t>AHB bus clock of LTM pipe2.</t>
    <phoneticPr fontId="6"/>
  </si>
  <si>
    <t>LTM2AX</t>
    <phoneticPr fontId="6"/>
  </si>
  <si>
    <t>AXI bus clock of LTM pipe2.</t>
    <phoneticPr fontId="6"/>
  </si>
  <si>
    <t>LTM2CK</t>
    <phoneticPr fontId="6"/>
  </si>
  <si>
    <t>clock of LTM pipe2.</t>
    <phoneticPr fontId="6"/>
  </si>
  <si>
    <t>CLKSTOP14</t>
    <phoneticPr fontId="6"/>
  </si>
  <si>
    <t>BMH1AX</t>
    <phoneticPr fontId="6"/>
  </si>
  <si>
    <t>AXI clock of BMH1.</t>
    <phoneticPr fontId="6"/>
  </si>
  <si>
    <t>RDMAAP</t>
    <phoneticPr fontId="6"/>
  </si>
  <si>
    <t>APB clock of RDMA.</t>
    <phoneticPr fontId="6"/>
  </si>
  <si>
    <t>RDMAAX</t>
    <phoneticPr fontId="6"/>
  </si>
  <si>
    <t>AXI clock of RDMA.</t>
    <phoneticPr fontId="6"/>
  </si>
  <si>
    <t>BMH0AX</t>
    <phoneticPr fontId="6"/>
  </si>
  <si>
    <t>AXI clock of BMH0.</t>
    <phoneticPr fontId="6"/>
  </si>
  <si>
    <t>BMH0CK</t>
    <phoneticPr fontId="6"/>
  </si>
  <si>
    <t>clock of BMH0.</t>
    <phoneticPr fontId="6"/>
  </si>
  <si>
    <t>PASCK</t>
    <phoneticPr fontId="6"/>
  </si>
  <si>
    <t>clock of STAT.</t>
    <phoneticPr fontId="6"/>
  </si>
  <si>
    <t>EXSAP</t>
    <phoneticPr fontId="6"/>
  </si>
  <si>
    <t>APB clock of EXS.</t>
    <phoneticPr fontId="6"/>
  </si>
  <si>
    <t>EXSAH</t>
    <phoneticPr fontId="6"/>
  </si>
  <si>
    <t>AHB clock of EXS.</t>
    <phoneticPr fontId="6"/>
  </si>
  <si>
    <t>GYROCK</t>
    <phoneticPr fontId="6"/>
  </si>
  <si>
    <t>clock of GYRO.</t>
    <phoneticPr fontId="6"/>
  </si>
  <si>
    <t>SENMSKCK</t>
    <phoneticPr fontId="6"/>
  </si>
  <si>
    <t>PERIAP</t>
    <phoneticPr fontId="6"/>
  </si>
  <si>
    <t>APB bus clock of PERI.</t>
    <phoneticPr fontId="6"/>
  </si>
  <si>
    <t>PERIAH</t>
    <phoneticPr fontId="6"/>
  </si>
  <si>
    <t>STATAP</t>
    <phoneticPr fontId="6"/>
  </si>
  <si>
    <t>APB bus clock of STAT.</t>
    <phoneticPr fontId="6"/>
  </si>
  <si>
    <t>STATAH</t>
    <phoneticPr fontId="6"/>
  </si>
  <si>
    <t>AHB bus clock of STAT.</t>
    <phoneticPr fontId="6"/>
  </si>
  <si>
    <t>STATAX</t>
    <phoneticPr fontId="6"/>
  </si>
  <si>
    <t>AXI bus clock of STAT.</t>
    <phoneticPr fontId="6"/>
  </si>
  <si>
    <t>0/1</t>
    <phoneticPr fontId="6"/>
  </si>
  <si>
    <t>PLLCNT1</t>
    <phoneticPr fontId="6"/>
  </si>
  <si>
    <t>31:19</t>
    <phoneticPr fontId="6"/>
  </si>
  <si>
    <t>18</t>
    <phoneticPr fontId="6"/>
  </si>
  <si>
    <t>DPL12ST</t>
    <phoneticPr fontId="6"/>
  </si>
  <si>
    <t>17</t>
    <phoneticPr fontId="6"/>
  </si>
  <si>
    <t>DPL11ST</t>
    <phoneticPr fontId="6"/>
  </si>
  <si>
    <t>16</t>
  </si>
  <si>
    <t>DPL10ST</t>
    <phoneticPr fontId="6"/>
  </si>
  <si>
    <t>15</t>
  </si>
  <si>
    <t>DPL02ST</t>
  </si>
  <si>
    <t>14</t>
  </si>
  <si>
    <t>DPL01ST</t>
  </si>
  <si>
    <t>13</t>
  </si>
  <si>
    <t>DPL00ST</t>
    <phoneticPr fontId="6"/>
  </si>
  <si>
    <t>12</t>
  </si>
  <si>
    <t>PL11ST</t>
    <phoneticPr fontId="6"/>
  </si>
  <si>
    <t>eMMC, IPU, SENSOR</t>
    <phoneticPr fontId="6"/>
  </si>
  <si>
    <t>11</t>
  </si>
  <si>
    <t>PL10AST</t>
    <phoneticPr fontId="6"/>
  </si>
  <si>
    <t>10</t>
  </si>
  <si>
    <t>PL10ST</t>
    <phoneticPr fontId="6"/>
  </si>
  <si>
    <t>SPI, PWM, 32bit Timer, UDC, SENSOR</t>
    <phoneticPr fontId="6"/>
  </si>
  <si>
    <t>9</t>
  </si>
  <si>
    <t>PL08ST</t>
    <phoneticPr fontId="6"/>
  </si>
  <si>
    <t>MIPI</t>
    <phoneticPr fontId="6"/>
  </si>
  <si>
    <t>8</t>
  </si>
  <si>
    <t>PL07ST</t>
    <phoneticPr fontId="6"/>
  </si>
  <si>
    <t>SD, NF, M0</t>
    <phoneticPr fontId="6"/>
  </si>
  <si>
    <t>7</t>
  </si>
  <si>
    <t>PL06ST</t>
    <phoneticPr fontId="6"/>
  </si>
  <si>
    <t>SD, RIBERY</t>
    <phoneticPr fontId="6"/>
  </si>
  <si>
    <t>6</t>
  </si>
  <si>
    <t>PL05AST</t>
    <phoneticPr fontId="6"/>
  </si>
  <si>
    <t>DISP</t>
    <phoneticPr fontId="6"/>
  </si>
  <si>
    <t>5</t>
  </si>
  <si>
    <t>PL05ST</t>
    <phoneticPr fontId="6"/>
  </si>
  <si>
    <t>4</t>
  </si>
  <si>
    <t>PL04ST</t>
    <phoneticPr fontId="6"/>
  </si>
  <si>
    <t>LCD</t>
    <phoneticPr fontId="6"/>
  </si>
  <si>
    <t>3</t>
  </si>
  <si>
    <t>PL03ST</t>
    <phoneticPr fontId="6"/>
  </si>
  <si>
    <t>DDR</t>
    <phoneticPr fontId="6"/>
  </si>
  <si>
    <t>2</t>
  </si>
  <si>
    <t>PL02ST</t>
    <phoneticPr fontId="6"/>
  </si>
  <si>
    <t>ARM</t>
    <phoneticPr fontId="6"/>
  </si>
  <si>
    <t>1</t>
  </si>
  <si>
    <t>PL01ST</t>
    <phoneticPr fontId="6"/>
  </si>
  <si>
    <t>each Macro</t>
    <phoneticPr fontId="6"/>
  </si>
  <si>
    <t>PL00ST</t>
    <phoneticPr fontId="6"/>
  </si>
  <si>
    <t>SENSOR</t>
    <phoneticPr fontId="6"/>
  </si>
  <si>
    <t>PLLCNT2</t>
    <phoneticPr fontId="6"/>
  </si>
  <si>
    <t>PL02SSEN</t>
    <phoneticPr fontId="6"/>
  </si>
  <si>
    <t>Initial value(disable)</t>
    <phoneticPr fontId="6"/>
  </si>
  <si>
    <t>PL01SSEN</t>
    <phoneticPr fontId="6"/>
  </si>
  <si>
    <t>15:13</t>
    <phoneticPr fontId="6"/>
  </si>
  <si>
    <t>PL11SEL</t>
    <phoneticPr fontId="6"/>
  </si>
  <si>
    <t>PL10ASEL</t>
    <phoneticPr fontId="6"/>
  </si>
  <si>
    <t>PL10SEL</t>
    <phoneticPr fontId="6"/>
  </si>
  <si>
    <t>PL08SEL</t>
    <phoneticPr fontId="6"/>
  </si>
  <si>
    <t>PL07SEL</t>
    <phoneticPr fontId="6"/>
  </si>
  <si>
    <t>PL06SEL</t>
    <phoneticPr fontId="6"/>
  </si>
  <si>
    <t>PL05ASEL</t>
    <phoneticPr fontId="6"/>
  </si>
  <si>
    <t>PL05SEL</t>
    <phoneticPr fontId="6"/>
  </si>
  <si>
    <t>PL04SEL</t>
    <phoneticPr fontId="6"/>
  </si>
  <si>
    <t>PL03SEL</t>
    <phoneticPr fontId="6"/>
  </si>
  <si>
    <t>PL02SEL</t>
    <phoneticPr fontId="6"/>
  </si>
  <si>
    <t>PL01SEL</t>
    <phoneticPr fontId="6"/>
  </si>
  <si>
    <t>PL00SEL</t>
    <phoneticPr fontId="6"/>
  </si>
  <si>
    <t>PLLCNT3</t>
    <phoneticPr fontId="6"/>
  </si>
  <si>
    <t>31:24</t>
    <phoneticPr fontId="6"/>
  </si>
  <si>
    <t>31:24</t>
    <phoneticPr fontId="6"/>
  </si>
  <si>
    <t>23:16</t>
    <phoneticPr fontId="6"/>
  </si>
  <si>
    <t>P00PLLDIV</t>
    <phoneticPr fontId="6"/>
  </si>
  <si>
    <t>0x34</t>
    <phoneticPr fontId="6"/>
  </si>
  <si>
    <t>15:10</t>
    <phoneticPr fontId="6"/>
  </si>
  <si>
    <t>P00PREDIV</t>
    <phoneticPr fontId="6"/>
  </si>
  <si>
    <t>7:0</t>
    <phoneticPr fontId="6"/>
  </si>
  <si>
    <t>P00POSTDIV</t>
    <phoneticPr fontId="6"/>
  </si>
  <si>
    <t>0xC7</t>
    <phoneticPr fontId="6"/>
  </si>
  <si>
    <t>PLLCNT4</t>
    <phoneticPr fontId="6"/>
  </si>
  <si>
    <t>31:0</t>
    <phoneticPr fontId="6"/>
  </si>
  <si>
    <t>P00FNUM</t>
    <phoneticPr fontId="6"/>
  </si>
  <si>
    <t>Initial value</t>
    <phoneticPr fontId="6"/>
  </si>
  <si>
    <t>PLLCNT5</t>
    <phoneticPr fontId="6"/>
  </si>
  <si>
    <t>P00FDEN</t>
    <phoneticPr fontId="6"/>
  </si>
  <si>
    <t>PLLCNT6</t>
    <phoneticPr fontId="6"/>
  </si>
  <si>
    <t>31:29</t>
    <phoneticPr fontId="6"/>
  </si>
  <si>
    <t>31:29</t>
    <phoneticPr fontId="6"/>
  </si>
  <si>
    <t>28</t>
    <phoneticPr fontId="6"/>
  </si>
  <si>
    <t>P02MODE</t>
    <phoneticPr fontId="6"/>
  </si>
  <si>
    <t>P02FREQ</t>
    <phoneticPr fontId="6"/>
  </si>
  <si>
    <t>25:16</t>
    <phoneticPr fontId="6"/>
  </si>
  <si>
    <t>P02RATE</t>
    <phoneticPr fontId="6"/>
  </si>
  <si>
    <t>0xA4</t>
    <phoneticPr fontId="6"/>
  </si>
  <si>
    <t>12</t>
    <phoneticPr fontId="6"/>
  </si>
  <si>
    <t>P01MODE</t>
    <phoneticPr fontId="6"/>
  </si>
  <si>
    <t>P01FREQ</t>
    <phoneticPr fontId="6"/>
  </si>
  <si>
    <t>9:0</t>
    <phoneticPr fontId="6"/>
  </si>
  <si>
    <t>P01RATE</t>
    <phoneticPr fontId="6"/>
  </si>
  <si>
    <t>PLLCNT7</t>
    <phoneticPr fontId="6"/>
  </si>
  <si>
    <t>29</t>
    <phoneticPr fontId="6"/>
  </si>
  <si>
    <t>DSEL</t>
    <phoneticPr fontId="6"/>
  </si>
  <si>
    <t>DPLX8</t>
    <phoneticPr fontId="6"/>
  </si>
  <si>
    <t>27</t>
    <phoneticPr fontId="6"/>
  </si>
  <si>
    <t>D1XOC</t>
    <phoneticPr fontId="6"/>
  </si>
  <si>
    <t>26</t>
    <phoneticPr fontId="6"/>
  </si>
  <si>
    <t>D0XOC</t>
    <phoneticPr fontId="6"/>
  </si>
  <si>
    <t>25</t>
    <phoneticPr fontId="6"/>
  </si>
  <si>
    <t>P03OC1</t>
    <phoneticPr fontId="6"/>
  </si>
  <si>
    <t>24</t>
    <phoneticPr fontId="6"/>
  </si>
  <si>
    <t>P03OC0</t>
    <phoneticPr fontId="6"/>
  </si>
  <si>
    <t>P03PLLDIV</t>
    <phoneticPr fontId="6"/>
  </si>
  <si>
    <t>15:11</t>
    <phoneticPr fontId="6"/>
  </si>
  <si>
    <t>10:8</t>
    <phoneticPr fontId="6"/>
  </si>
  <si>
    <t>P03PREDIV</t>
    <phoneticPr fontId="6"/>
  </si>
  <si>
    <t>B'100</t>
    <phoneticPr fontId="6"/>
  </si>
  <si>
    <t>7:4</t>
    <phoneticPr fontId="6"/>
  </si>
  <si>
    <t>7:4</t>
    <phoneticPr fontId="6"/>
  </si>
  <si>
    <t>P03POSTDIV1</t>
    <phoneticPr fontId="6"/>
  </si>
  <si>
    <t>3:0</t>
    <phoneticPr fontId="6"/>
  </si>
  <si>
    <t>3:0</t>
    <phoneticPr fontId="6"/>
  </si>
  <si>
    <t>P03POSTDIV0</t>
    <phoneticPr fontId="6"/>
  </si>
  <si>
    <t>PLLCNT8</t>
    <phoneticPr fontId="6"/>
  </si>
  <si>
    <t>P04PLLDIV</t>
    <phoneticPr fontId="6"/>
  </si>
  <si>
    <t>P04PREDIV</t>
    <phoneticPr fontId="6"/>
  </si>
  <si>
    <t>P04POSTDIV</t>
    <phoneticPr fontId="6"/>
  </si>
  <si>
    <t>PLLCNT9</t>
    <phoneticPr fontId="6"/>
  </si>
  <si>
    <t>31:17</t>
    <phoneticPr fontId="6"/>
  </si>
  <si>
    <t>31:17</t>
    <phoneticPr fontId="6"/>
  </si>
  <si>
    <t>16</t>
    <phoneticPr fontId="6"/>
  </si>
  <si>
    <t>P05CHG</t>
    <phoneticPr fontId="6"/>
  </si>
  <si>
    <t>15</t>
    <phoneticPr fontId="6"/>
  </si>
  <si>
    <t>14:8</t>
    <phoneticPr fontId="6"/>
  </si>
  <si>
    <t>P08PLLDIV</t>
    <phoneticPr fontId="6"/>
  </si>
  <si>
    <t>0x4A</t>
    <phoneticPr fontId="6"/>
  </si>
  <si>
    <t>7:2</t>
    <phoneticPr fontId="6"/>
  </si>
  <si>
    <t>P10APLLDIV</t>
    <phoneticPr fontId="6"/>
  </si>
  <si>
    <t>CRSWR</t>
  </si>
  <si>
    <t>ARESETn is asserted.</t>
    <phoneticPr fontId="6"/>
  </si>
  <si>
    <t>31:12</t>
    <phoneticPr fontId="6"/>
  </si>
  <si>
    <t>11</t>
    <phoneticPr fontId="6"/>
  </si>
  <si>
    <t>CPU3_SR</t>
    <phoneticPr fontId="6"/>
  </si>
  <si>
    <t>Reset release of CPU3</t>
    <phoneticPr fontId="6"/>
  </si>
  <si>
    <t>10</t>
    <phoneticPr fontId="6"/>
  </si>
  <si>
    <t>10</t>
    <phoneticPr fontId="6"/>
  </si>
  <si>
    <t>CPU2_SR</t>
    <phoneticPr fontId="6"/>
  </si>
  <si>
    <t>Reset release of CPU2</t>
    <phoneticPr fontId="6"/>
  </si>
  <si>
    <t>9</t>
    <phoneticPr fontId="6"/>
  </si>
  <si>
    <t>Reset release of CPU1</t>
    <phoneticPr fontId="6"/>
  </si>
  <si>
    <t>8</t>
    <phoneticPr fontId="6"/>
  </si>
  <si>
    <t>Reset release of CPU0</t>
    <phoneticPr fontId="6"/>
  </si>
  <si>
    <t>5</t>
    <phoneticPr fontId="6"/>
  </si>
  <si>
    <t>software reset of DSP is asserted.(1:assert, 0:deassert)</t>
    <phoneticPr fontId="6"/>
  </si>
  <si>
    <t>4</t>
    <phoneticPr fontId="6"/>
  </si>
  <si>
    <t>HEPXFSR</t>
    <phoneticPr fontId="6"/>
  </si>
  <si>
    <t>reset of HEVC PXF is asserted.</t>
    <phoneticPr fontId="6"/>
  </si>
  <si>
    <t>3</t>
    <phoneticPr fontId="6"/>
  </si>
  <si>
    <t>HEVDFSR</t>
    <phoneticPr fontId="6"/>
  </si>
  <si>
    <t>software reset of HEVC VDF is asserted.</t>
    <phoneticPr fontId="6"/>
  </si>
  <si>
    <t>2</t>
    <phoneticPr fontId="6"/>
  </si>
  <si>
    <t>HEIPPSYNCSR</t>
    <phoneticPr fontId="6"/>
  </si>
  <si>
    <t>software reset of HECV IPP sync is asserted.</t>
    <phoneticPr fontId="6"/>
  </si>
  <si>
    <t>1</t>
    <phoneticPr fontId="6"/>
  </si>
  <si>
    <t>HEIPPASYNCSR</t>
    <phoneticPr fontId="6"/>
  </si>
  <si>
    <t>software reset of HECV IPP async is asserted.</t>
    <phoneticPr fontId="6"/>
  </si>
  <si>
    <t>oftware reset of RIBERY is asserted.(1:assert, 0:deassert)</t>
    <phoneticPr fontId="6"/>
  </si>
  <si>
    <t>CRRSM〜割愛</t>
  </si>
  <si>
    <t>[Explanatory Note]</t>
    <phoneticPr fontId="6"/>
  </si>
  <si>
    <t>:Used</t>
    <phoneticPr fontId="6"/>
  </si>
  <si>
    <t>:Unused</t>
    <phoneticPr fontId="6"/>
  </si>
  <si>
    <t>RK_9M RTOS ver.</t>
    <phoneticPr fontId="6"/>
  </si>
  <si>
    <t>RTOS Version</t>
    <phoneticPr fontId="6"/>
  </si>
  <si>
    <t>MHz</t>
    <phoneticPr fontId="6"/>
  </si>
  <si>
    <t>RealOS
 CPU</t>
    <phoneticPr fontId="6"/>
  </si>
  <si>
    <t>CLKSEL1</t>
    <phoneticPr fontId="6"/>
  </si>
  <si>
    <t>31</t>
    <phoneticPr fontId="6"/>
  </si>
  <si>
    <t>0</t>
    <phoneticPr fontId="6"/>
  </si>
  <si>
    <t>30:28</t>
    <phoneticPr fontId="6"/>
  </si>
  <si>
    <t>EMMCCLK</t>
    <phoneticPr fontId="6"/>
  </si>
  <si>
    <t>frequency of the operating clock which is input to eMMC macro.</t>
    <phoneticPr fontId="6"/>
  </si>
  <si>
    <t>100</t>
    <phoneticPr fontId="6"/>
  </si>
  <si>
    <t>187.5MHz</t>
    <phoneticPr fontId="6"/>
  </si>
  <si>
    <t>27:22</t>
    <phoneticPr fontId="6"/>
  </si>
  <si>
    <t>NFCLK</t>
    <phoneticPr fontId="6"/>
  </si>
  <si>
    <t>frequency of the operating clock which is input to NAND Flash macro.</t>
    <phoneticPr fontId="6"/>
  </si>
  <si>
    <t>10_0000</t>
    <phoneticPr fontId="6"/>
  </si>
  <si>
    <t>100MHz</t>
    <phoneticPr fontId="6"/>
  </si>
  <si>
    <t>21:18</t>
    <phoneticPr fontId="6"/>
  </si>
  <si>
    <t>UHS2CLK</t>
    <phoneticPr fontId="6"/>
  </si>
  <si>
    <t>frequency of the operating clock which is input to UHS2 macro.</t>
    <phoneticPr fontId="6"/>
  </si>
  <si>
    <t>1000</t>
    <phoneticPr fontId="6"/>
  </si>
  <si>
    <t>51.851MHz</t>
    <phoneticPr fontId="6"/>
  </si>
  <si>
    <t>17:13</t>
    <phoneticPr fontId="6"/>
  </si>
  <si>
    <t>UHS1CLK2</t>
    <phoneticPr fontId="6"/>
  </si>
  <si>
    <t>frequency of the operating clock which is input to UHS1 ch3(SD macro SD4).</t>
    <phoneticPr fontId="6"/>
  </si>
  <si>
    <t>1_0000</t>
    <phoneticPr fontId="6"/>
  </si>
  <si>
    <t>800MHz</t>
    <phoneticPr fontId="6"/>
  </si>
  <si>
    <t>12:8</t>
    <phoneticPr fontId="6"/>
  </si>
  <si>
    <t>UHS1CLK1</t>
    <phoneticPr fontId="6"/>
  </si>
  <si>
    <t>frequency of the operating clock which is input to UHS1 ch2(SD macro SD3).</t>
    <phoneticPr fontId="6"/>
  </si>
  <si>
    <t>7:3</t>
    <phoneticPr fontId="6"/>
  </si>
  <si>
    <t>UHS1CLK0</t>
    <phoneticPr fontId="6"/>
  </si>
  <si>
    <t>frequency of the operating clock which is input to SDIO ch1(SD macro SD2).</t>
    <phoneticPr fontId="6"/>
  </si>
  <si>
    <t>2:0</t>
    <phoneticPr fontId="6"/>
  </si>
  <si>
    <t>RCLK</t>
  </si>
  <si>
    <t>frequency of the operating clock which is input to PERI BLOCK.</t>
    <phoneticPr fontId="6"/>
  </si>
  <si>
    <t>54MHz</t>
    <phoneticPr fontId="6"/>
  </si>
  <si>
    <t>CLKSEL2</t>
    <phoneticPr fontId="6"/>
  </si>
  <si>
    <t>RAWCLK</t>
    <phoneticPr fontId="6"/>
  </si>
  <si>
    <t>frequency of the operation clock which is input to RAW macro.</t>
    <phoneticPr fontId="6"/>
  </si>
  <si>
    <t>200MHz</t>
    <phoneticPr fontId="6"/>
  </si>
  <si>
    <t>27:24</t>
    <phoneticPr fontId="6"/>
  </si>
  <si>
    <t>HIFCLK</t>
    <phoneticPr fontId="6"/>
  </si>
  <si>
    <t>frequency of the HIF clock which is input to DISP macro.</t>
    <phoneticPr fontId="6"/>
  </si>
  <si>
    <t>594MHz</t>
    <phoneticPr fontId="6"/>
  </si>
  <si>
    <t>23:20</t>
    <phoneticPr fontId="6"/>
  </si>
  <si>
    <t>MIFCLK</t>
    <phoneticPr fontId="6"/>
  </si>
  <si>
    <t>frequency of the MIF clock which is input to DISP macro.</t>
    <phoneticPr fontId="6"/>
  </si>
  <si>
    <t>169.714MHz</t>
    <phoneticPr fontId="6"/>
  </si>
  <si>
    <t>19:16</t>
    <phoneticPr fontId="6"/>
  </si>
  <si>
    <t>IPUCLK</t>
    <phoneticPr fontId="6"/>
  </si>
  <si>
    <t>frequency of the IPU system clock which is input to IPU macro.</t>
    <phoneticPr fontId="6"/>
  </si>
  <si>
    <t>400MHz</t>
    <phoneticPr fontId="6"/>
  </si>
  <si>
    <t>15:12</t>
    <phoneticPr fontId="6"/>
  </si>
  <si>
    <t>IPUTMECLK</t>
    <phoneticPr fontId="6"/>
  </si>
  <si>
    <t>frequency of the IPU TME clock which is input to IPU macro.</t>
    <phoneticPr fontId="6"/>
  </si>
  <si>
    <t>500MHz</t>
    <phoneticPr fontId="6"/>
  </si>
  <si>
    <t>11:8</t>
    <phoneticPr fontId="6"/>
  </si>
  <si>
    <t>GPUCLK</t>
    <phoneticPr fontId="6"/>
  </si>
  <si>
    <t>frequency of the operation clock which is input to GPU macro.</t>
    <phoneticPr fontId="6"/>
  </si>
  <si>
    <t>466.666MHz</t>
    <phoneticPr fontId="6"/>
  </si>
  <si>
    <t>JPEGCLK</t>
    <phoneticPr fontId="6"/>
  </si>
  <si>
    <t>frequency of the operation clock which is input to JPEG macro.</t>
    <phoneticPr fontId="6"/>
  </si>
  <si>
    <t>1100</t>
    <phoneticPr fontId="6"/>
  </si>
  <si>
    <t>ELACLK</t>
    <phoneticPr fontId="6"/>
  </si>
  <si>
    <t>frequency of the operation clock which is input to ELA macro.</t>
    <phoneticPr fontId="6"/>
  </si>
  <si>
    <t>300MHz</t>
    <phoneticPr fontId="6"/>
  </si>
  <si>
    <t>CLKSEL3</t>
    <phoneticPr fontId="6"/>
  </si>
  <si>
    <t>000</t>
    <phoneticPr fontId="6"/>
  </si>
  <si>
    <t>28:27</t>
    <phoneticPr fontId="6"/>
  </si>
  <si>
    <t>PIPESEL</t>
    <phoneticPr fontId="6"/>
  </si>
  <si>
    <t>frequency to switch the source clock of the image pipe macro.</t>
    <phoneticPr fontId="6"/>
  </si>
  <si>
    <r>
      <t>Use PLL02 (300MHz</t>
    </r>
    <r>
      <rPr>
        <sz val="10"/>
        <rFont val="ＭＳ Ｐゴシック"/>
        <family val="3"/>
        <charset val="128"/>
      </rPr>
      <t>～</t>
    </r>
    <r>
      <rPr>
        <sz val="10"/>
        <rFont val="Tahoma"/>
        <family val="2"/>
      </rPr>
      <t>50MHz)</t>
    </r>
    <phoneticPr fontId="6"/>
  </si>
  <si>
    <t>23:26</t>
    <phoneticPr fontId="6"/>
  </si>
  <si>
    <t>SENCLK</t>
    <phoneticPr fontId="6"/>
  </si>
  <si>
    <t>frequency of the operation clock which is input to SENSOR macro.</t>
    <phoneticPr fontId="6"/>
  </si>
  <si>
    <t>22:21</t>
    <phoneticPr fontId="6"/>
  </si>
  <si>
    <t>SENMSKCLK</t>
    <phoneticPr fontId="6"/>
  </si>
  <si>
    <t>17:20</t>
    <phoneticPr fontId="6"/>
  </si>
  <si>
    <t>IIPCLK</t>
    <phoneticPr fontId="6"/>
  </si>
  <si>
    <t>frequency of the operation clock which is input to IIP macro.</t>
    <phoneticPr fontId="6"/>
  </si>
  <si>
    <t>16:13</t>
    <phoneticPr fontId="6"/>
  </si>
  <si>
    <t>PASCLK</t>
    <phoneticPr fontId="6"/>
  </si>
  <si>
    <t>frequency of the operation clock which is input to STAT macro.</t>
    <phoneticPr fontId="6"/>
  </si>
  <si>
    <t>IPPCLK</t>
    <phoneticPr fontId="6"/>
  </si>
  <si>
    <t>frequency of the IPP clock which is input to HEVC macro.</t>
    <phoneticPr fontId="6"/>
  </si>
  <si>
    <t>1_0100</t>
    <phoneticPr fontId="6"/>
  </si>
  <si>
    <t>700MHz</t>
    <phoneticPr fontId="6"/>
  </si>
  <si>
    <t>PXFCLK</t>
    <phoneticPr fontId="6"/>
  </si>
  <si>
    <t>frequency of the PXF clock which is input to HEVC macro.</t>
    <phoneticPr fontId="6"/>
  </si>
  <si>
    <t>VDFCLK</t>
    <phoneticPr fontId="6"/>
  </si>
  <si>
    <t>frequency of the VDF clock which is input to HEVC macro.</t>
    <phoneticPr fontId="6"/>
  </si>
  <si>
    <t>CLKSEL4</t>
    <phoneticPr fontId="6"/>
  </si>
  <si>
    <t>SRO1CLK_2</t>
    <phoneticPr fontId="6"/>
  </si>
  <si>
    <t>frequency of the operation clock which is input2 to SRO macro pipe1.</t>
    <phoneticPr fontId="6"/>
  </si>
  <si>
    <t>27:21</t>
    <phoneticPr fontId="6"/>
  </si>
  <si>
    <t>R2Y1CLK</t>
    <phoneticPr fontId="6"/>
  </si>
  <si>
    <t>frequency of the operation clock which is input to R2Y macro pipe1.</t>
    <phoneticPr fontId="6"/>
  </si>
  <si>
    <t>100_0000</t>
    <phoneticPr fontId="6"/>
  </si>
  <si>
    <t>20:14</t>
    <phoneticPr fontId="6"/>
  </si>
  <si>
    <t>LTM1CLK</t>
    <phoneticPr fontId="6"/>
  </si>
  <si>
    <t>frequency of the operation clock which is input to LTM macro pipe1.</t>
    <phoneticPr fontId="6"/>
  </si>
  <si>
    <t>13:7</t>
    <phoneticPr fontId="6"/>
  </si>
  <si>
    <t>B2R1CLK</t>
    <phoneticPr fontId="6"/>
  </si>
  <si>
    <t>frequency of the operation clock which is input to B2R macro pipe1.</t>
    <phoneticPr fontId="6"/>
  </si>
  <si>
    <t>6:0</t>
    <phoneticPr fontId="6"/>
  </si>
  <si>
    <t>CNR1CLK</t>
    <phoneticPr fontId="6"/>
  </si>
  <si>
    <t>frequency of the operation clock which is input to CNR macro pipe1.</t>
    <phoneticPr fontId="6"/>
  </si>
  <si>
    <t>CLKSEL5</t>
    <phoneticPr fontId="6"/>
  </si>
  <si>
    <t>000_0000_0000_0000</t>
    <phoneticPr fontId="6"/>
  </si>
  <si>
    <t>16:12</t>
    <phoneticPr fontId="6"/>
  </si>
  <si>
    <t>SRO1CLK</t>
    <phoneticPr fontId="6"/>
  </si>
  <si>
    <t>frequency of the operation clock which is input to SRO macro pipe1.</t>
    <phoneticPr fontId="6"/>
  </si>
  <si>
    <t>11:6</t>
    <phoneticPr fontId="6"/>
  </si>
  <si>
    <t>B2B1CLK</t>
    <phoneticPr fontId="6"/>
  </si>
  <si>
    <t>frequency of the operation clock which is input to B2B macro pipe1.</t>
    <phoneticPr fontId="6"/>
  </si>
  <si>
    <t>5:0</t>
    <phoneticPr fontId="6"/>
  </si>
  <si>
    <t>LTMRBK1CLK</t>
    <phoneticPr fontId="6"/>
  </si>
  <si>
    <t>frequency of the operation clock which is input to LTMRBK macro pipe1.</t>
    <phoneticPr fontId="6"/>
  </si>
  <si>
    <t>CLKSEL6</t>
    <phoneticPr fontId="6"/>
  </si>
  <si>
    <t>SRO2CLK_2</t>
    <phoneticPr fontId="6"/>
  </si>
  <si>
    <t>frequency of the operation clock which is input2 to SRO macro pipe2.</t>
    <phoneticPr fontId="6"/>
  </si>
  <si>
    <t>R2Y2CLK</t>
    <phoneticPr fontId="6"/>
  </si>
  <si>
    <t>frequency of the operation clock which is input to R2Y macro pipe2.</t>
    <phoneticPr fontId="6"/>
  </si>
  <si>
    <t>LTM2CLK</t>
    <phoneticPr fontId="6"/>
  </si>
  <si>
    <t>frequency of the operation clock which is input to LTM macro pipe2.</t>
    <phoneticPr fontId="6"/>
  </si>
  <si>
    <t>B2R2CLK</t>
    <phoneticPr fontId="6"/>
  </si>
  <si>
    <t>frequency of the operation clock which is input to B2R macro pipe2.</t>
    <phoneticPr fontId="6"/>
  </si>
  <si>
    <t>CNR2CLK</t>
    <phoneticPr fontId="6"/>
  </si>
  <si>
    <t>frequency of the operation clock which is input to CNR macro pipe2.</t>
    <phoneticPr fontId="6"/>
  </si>
  <si>
    <t>CLKSEL7</t>
    <phoneticPr fontId="6"/>
  </si>
  <si>
    <t>SRO2CLK</t>
    <phoneticPr fontId="6"/>
  </si>
  <si>
    <t>frequency of the operation clock which is input to SRO macro pipe2.</t>
    <phoneticPr fontId="6"/>
  </si>
  <si>
    <t>B2B2CLK</t>
    <phoneticPr fontId="6"/>
  </si>
  <si>
    <t>frequency of the operation clock which is input to B2B macro pipe2.</t>
    <phoneticPr fontId="6"/>
  </si>
  <si>
    <t>LTMRBK2CLK</t>
    <phoneticPr fontId="6"/>
  </si>
  <si>
    <t>frequency of the operation clock which is input to LTMRBK macro pipe2.</t>
    <phoneticPr fontId="6"/>
  </si>
  <si>
    <t>CLKSEL8</t>
    <phoneticPr fontId="6"/>
  </si>
  <si>
    <t>30:29</t>
    <phoneticPr fontId="6"/>
  </si>
  <si>
    <t>AP3SEL</t>
    <phoneticPr fontId="6"/>
  </si>
  <si>
    <t>frequency of SNAPCLKO3.</t>
    <phoneticPr fontId="6"/>
  </si>
  <si>
    <t>10</t>
    <phoneticPr fontId="6"/>
  </si>
  <si>
    <t>74.25MHz</t>
    <phoneticPr fontId="6"/>
  </si>
  <si>
    <t>PLL00 (fractional)</t>
    <phoneticPr fontId="6"/>
  </si>
  <si>
    <t>AP2SEL</t>
    <phoneticPr fontId="6"/>
  </si>
  <si>
    <t>frequency of SNAPCLKO2.</t>
    <phoneticPr fontId="6"/>
  </si>
  <si>
    <t>26:25</t>
    <phoneticPr fontId="6"/>
  </si>
  <si>
    <t>AP1SEL</t>
    <phoneticPr fontId="6"/>
  </si>
  <si>
    <t>frequency of SNAPCLKO1.</t>
    <phoneticPr fontId="6"/>
  </si>
  <si>
    <t>24:23</t>
    <phoneticPr fontId="6"/>
  </si>
  <si>
    <t>AP0SEL</t>
    <phoneticPr fontId="6"/>
  </si>
  <si>
    <t>frequency of SNAPCLKO0.</t>
    <phoneticPr fontId="6"/>
  </si>
  <si>
    <t>22:17</t>
    <phoneticPr fontId="6"/>
  </si>
  <si>
    <t>APCLK</t>
    <phoneticPr fontId="6"/>
  </si>
  <si>
    <t>frequency of the APCLK.</t>
    <phoneticPr fontId="6"/>
  </si>
  <si>
    <t>74.25MHz</t>
    <phoneticPr fontId="6"/>
  </si>
  <si>
    <t>16:15</t>
    <phoneticPr fontId="6"/>
  </si>
  <si>
    <t>NETAUSEL</t>
    <phoneticPr fontId="6"/>
  </si>
  <si>
    <t>frequency of the audio clock which is input to NETSEC macro.</t>
    <phoneticPr fontId="6"/>
  </si>
  <si>
    <t>14:13</t>
    <phoneticPr fontId="6"/>
  </si>
  <si>
    <t>AU3SEL</t>
    <phoneticPr fontId="6"/>
  </si>
  <si>
    <t>frequency of the audio clock which is input to audio macro 3ch.</t>
    <phoneticPr fontId="6"/>
  </si>
  <si>
    <t>12:11</t>
    <phoneticPr fontId="6"/>
  </si>
  <si>
    <t>AU2SEL</t>
    <phoneticPr fontId="6"/>
  </si>
  <si>
    <t>frequency of the clock which is input to audio macro 2ch.</t>
    <phoneticPr fontId="6"/>
  </si>
  <si>
    <t>10:9</t>
    <phoneticPr fontId="6"/>
  </si>
  <si>
    <t>AU0SEL</t>
    <phoneticPr fontId="6"/>
  </si>
  <si>
    <t>frequency of the clock which is input to audio macro 0ch.</t>
    <phoneticPr fontId="6"/>
  </si>
  <si>
    <t>8:6</t>
    <phoneticPr fontId="6"/>
  </si>
  <si>
    <t>AUCLK</t>
    <phoneticPr fontId="6"/>
  </si>
  <si>
    <t>frequency of the audio clock.</t>
    <phoneticPr fontId="6"/>
  </si>
  <si>
    <t>5:3</t>
    <phoneticPr fontId="6"/>
  </si>
  <si>
    <t>SPICLK</t>
    <phoneticPr fontId="6"/>
  </si>
  <si>
    <t>frequency of the operation clock which is input to SPI macro.</t>
    <phoneticPr fontId="6"/>
  </si>
  <si>
    <t>216MHz</t>
    <phoneticPr fontId="6"/>
  </si>
  <si>
    <t>DSPCLK</t>
    <phoneticPr fontId="6"/>
  </si>
  <si>
    <t>frequency of the operation clock which is input to DSP macro.</t>
    <phoneticPr fontId="6"/>
  </si>
  <si>
    <t>CLKSEL9</t>
    <phoneticPr fontId="6"/>
  </si>
  <si>
    <t>0000_0000</t>
    <phoneticPr fontId="6"/>
  </si>
  <si>
    <t>ACLK</t>
    <phoneticPr fontId="6"/>
  </si>
  <si>
    <t>frequency of the AXI bus clock outside EXS BLOCK.</t>
    <phoneticPr fontId="6"/>
  </si>
  <si>
    <t>1011</t>
    <phoneticPr fontId="6"/>
  </si>
  <si>
    <t>ACLKEXS</t>
    <phoneticPr fontId="6"/>
  </si>
  <si>
    <t>frequency of the AXI bus clock in EXS BLOCK.</t>
    <phoneticPr fontId="6"/>
  </si>
  <si>
    <t>HCLKBMH</t>
    <phoneticPr fontId="6"/>
  </si>
  <si>
    <t>frequency of the AHB bus clock in BMH BLOCK.</t>
    <phoneticPr fontId="6"/>
  </si>
  <si>
    <t>11:7</t>
    <phoneticPr fontId="6"/>
  </si>
  <si>
    <t>HCLK</t>
    <phoneticPr fontId="6"/>
  </si>
  <si>
    <t>frequency of the AHB bus clock.</t>
    <phoneticPr fontId="6"/>
  </si>
  <si>
    <t>1_0111</t>
    <phoneticPr fontId="6"/>
  </si>
  <si>
    <t>PCLK</t>
    <phoneticPr fontId="6"/>
  </si>
  <si>
    <t>frequency of the APB bus clock.</t>
    <phoneticPr fontId="6"/>
  </si>
  <si>
    <t>100_1111</t>
    <phoneticPr fontId="6"/>
  </si>
  <si>
    <t>50MHz</t>
    <phoneticPr fontId="6"/>
  </si>
  <si>
    <t>CLKSEL10</t>
    <phoneticPr fontId="6"/>
  </si>
  <si>
    <t>31:10</t>
    <phoneticPr fontId="6"/>
  </si>
  <si>
    <t>00_0000_0000_0000_0000_0000</t>
    <phoneticPr fontId="6"/>
  </si>
  <si>
    <t>9:7</t>
    <phoneticPr fontId="6"/>
  </si>
  <si>
    <t>MCLK400</t>
    <phoneticPr fontId="6"/>
  </si>
  <si>
    <t>frequency of the MXI bus clock.</t>
    <phoneticPr fontId="6"/>
  </si>
  <si>
    <t>101</t>
    <phoneticPr fontId="6"/>
  </si>
  <si>
    <t>6:3</t>
    <phoneticPr fontId="6"/>
  </si>
  <si>
    <t>MCLK200</t>
    <phoneticPr fontId="6"/>
  </si>
  <si>
    <t>ACLK400</t>
    <phoneticPr fontId="6"/>
  </si>
  <si>
    <t>frequency of the AXI bus clock.</t>
    <phoneticPr fontId="6"/>
  </si>
  <si>
    <t>CLKSEL11</t>
    <phoneticPr fontId="6"/>
  </si>
  <si>
    <t>DCHREQ</t>
    <phoneticPr fontId="6"/>
  </si>
  <si>
    <t>enable the division ratios selected by bit of CLKSEL9 and CLKSEL10 register.</t>
    <phoneticPr fontId="6"/>
  </si>
  <si>
    <t>CLKSEL12</t>
    <phoneticPr fontId="6"/>
  </si>
  <si>
    <t>00</t>
    <phoneticPr fontId="6"/>
  </si>
  <si>
    <t>29:26</t>
    <phoneticPr fontId="6"/>
  </si>
  <si>
    <t>SHDRCLK</t>
    <phoneticPr fontId="6"/>
  </si>
  <si>
    <t>frequency of the operation clock which is input to 3DNR macro.</t>
    <phoneticPr fontId="6"/>
  </si>
  <si>
    <t>25:21</t>
    <phoneticPr fontId="6"/>
  </si>
  <si>
    <t>RIBCLK</t>
    <phoneticPr fontId="6"/>
  </si>
  <si>
    <t>frequency of the operation clock which is input to RIBERY macro.</t>
    <phoneticPr fontId="6"/>
  </si>
  <si>
    <t>20:19</t>
    <phoneticPr fontId="6"/>
  </si>
  <si>
    <t>NFBCHCLK</t>
    <phoneticPr fontId="6"/>
  </si>
  <si>
    <t>frequency of the operation clock which is input to Nand Flash BCH macro.</t>
    <phoneticPr fontId="6"/>
  </si>
  <si>
    <t>18:16</t>
    <phoneticPr fontId="6"/>
  </si>
  <si>
    <t>MECLK</t>
    <phoneticPr fontId="6"/>
  </si>
  <si>
    <t>frequency of the operation clock which is input to ME macro.</t>
    <phoneticPr fontId="6"/>
  </si>
  <si>
    <t>FPT1CLK</t>
    <phoneticPr fontId="6"/>
  </si>
  <si>
    <t>frequency of the operation clock which is input to FPT macro 1ch.</t>
    <phoneticPr fontId="6"/>
  </si>
  <si>
    <t>FPT0CLK</t>
    <phoneticPr fontId="6"/>
  </si>
  <si>
    <t>frequency of the operation clock which is input to FPT macro 0ch.</t>
    <phoneticPr fontId="6"/>
  </si>
  <si>
    <t>7:5</t>
    <phoneticPr fontId="6"/>
  </si>
  <si>
    <t>4:2</t>
    <phoneticPr fontId="6"/>
  </si>
  <si>
    <t>GYROCLK</t>
    <phoneticPr fontId="6"/>
  </si>
  <si>
    <t>frequency of the operation clock which is input to Gyro macro.</t>
    <phoneticPr fontId="6"/>
  </si>
  <si>
    <t>ACLK300</t>
    <phoneticPr fontId="6"/>
  </si>
  <si>
    <t>M9M_SDK_IO
M9M CLKSTP
M9M CLKSEL</t>
    <phoneticPr fontId="6"/>
  </si>
  <si>
    <t>0xC</t>
    <phoneticPr fontId="6"/>
  </si>
  <si>
    <t>0x7</t>
    <phoneticPr fontId="6"/>
  </si>
  <si>
    <t>0x73</t>
    <phoneticPr fontId="6"/>
  </si>
  <si>
    <t>10_0000</t>
    <phoneticPr fontId="6"/>
  </si>
  <si>
    <t>PL5</t>
  </si>
  <si>
    <r>
      <t>PL5,PM4</t>
    </r>
    <r>
      <rPr>
        <sz val="9"/>
        <color theme="1"/>
        <rFont val="ＭＳ Ｐゴシック"/>
        <family val="3"/>
        <charset val="128"/>
      </rPr>
      <t>をLCD用に修正</t>
    </r>
    <rPh sb="11" eb="12">
      <t>ヨウ</t>
    </rPh>
    <rPh sb="13" eb="15">
      <t>シュウセイ</t>
    </rPh>
    <phoneticPr fontId="6"/>
  </si>
  <si>
    <t>LCD Reset ('L' : Reset)</t>
    <phoneticPr fontId="6"/>
  </si>
  <si>
    <t>Out</t>
    <phoneticPr fontId="6"/>
  </si>
  <si>
    <t>VLHREF</t>
    <phoneticPr fontId="6"/>
  </si>
  <si>
    <t>Data Enable for LCD</t>
    <phoneticPr fontId="6"/>
  </si>
  <si>
    <t>Vsync for LCD</t>
    <phoneticPr fontId="6"/>
  </si>
  <si>
    <t>Hsync for LCD</t>
    <phoneticPr fontId="6"/>
  </si>
  <si>
    <t>LCD BackLight Ctrl</t>
    <phoneticPr fontId="6"/>
  </si>
  <si>
    <r>
      <t>PB1,PD3</t>
    </r>
    <r>
      <rPr>
        <sz val="9"/>
        <color theme="1"/>
        <rFont val="ＭＳ Ｐゴシック"/>
        <family val="3"/>
        <charset val="128"/>
      </rPr>
      <t>を</t>
    </r>
    <r>
      <rPr>
        <sz val="9"/>
        <color theme="1"/>
        <rFont val="Tahoma"/>
        <family val="2"/>
      </rPr>
      <t>pull-up</t>
    </r>
    <r>
      <rPr>
        <sz val="9"/>
        <color theme="1"/>
        <rFont val="ＭＳ Ｐゴシック"/>
        <family val="3"/>
        <charset val="128"/>
      </rPr>
      <t>に変更</t>
    </r>
    <rPh sb="16" eb="18">
      <t>ヘンコウ</t>
    </rPh>
    <phoneticPr fontId="6"/>
  </si>
  <si>
    <r>
      <t>PM4</t>
    </r>
    <r>
      <rPr>
        <sz val="9"/>
        <color theme="1"/>
        <rFont val="ＭＳ Ｐゴシック"/>
        <family val="3"/>
        <charset val="128"/>
      </rPr>
      <t>を</t>
    </r>
    <r>
      <rPr>
        <sz val="9"/>
        <color theme="1"/>
        <rFont val="Tahoma"/>
        <family val="2"/>
      </rPr>
      <t>PWM</t>
    </r>
    <r>
      <rPr>
        <sz val="9"/>
        <color theme="1"/>
        <rFont val="ＭＳ Ｐゴシック"/>
        <family val="3"/>
        <charset val="128"/>
      </rPr>
      <t>使用に変更</t>
    </r>
  </si>
  <si>
    <t>WPPG13_1</t>
  </si>
  <si>
    <t>SD ch3(WPPG_2) / LCD BackLight(WPPG_1)</t>
    <phoneticPr fontId="6"/>
  </si>
  <si>
    <r>
      <t>PB4</t>
    </r>
    <r>
      <rPr>
        <sz val="9"/>
        <color theme="1"/>
        <rFont val="ＭＳ Ｐゴシック"/>
        <family val="3"/>
        <charset val="128"/>
      </rPr>
      <t>をEPCR=1に変更</t>
    </r>
    <rPh sb="11" eb="13">
      <t>ヘンコウ</t>
    </rPh>
    <phoneticPr fontId="6"/>
  </si>
  <si>
    <t>Audio</t>
    <phoneticPr fontId="6"/>
  </si>
  <si>
    <t>Audio</t>
    <phoneticPr fontId="6"/>
  </si>
  <si>
    <t>110</t>
    <phoneticPr fontId="6"/>
  </si>
  <si>
    <t>24.576MHz</t>
    <phoneticPr fontId="6"/>
  </si>
  <si>
    <t>8.192MHz, 24.576MHz</t>
    <phoneticPr fontId="6"/>
  </si>
  <si>
    <t>ch.0</t>
    <phoneticPr fontId="6"/>
  </si>
  <si>
    <t>ch.6</t>
    <phoneticPr fontId="6"/>
  </si>
  <si>
    <t>ch.7</t>
    <phoneticPr fontId="6"/>
  </si>
  <si>
    <t>Gyro</t>
    <phoneticPr fontId="6"/>
  </si>
  <si>
    <t>1_1000</t>
    <phoneticPr fontId="6"/>
  </si>
  <si>
    <t>HEVENCCK</t>
    <phoneticPr fontId="6"/>
  </si>
  <si>
    <t>clock of HEVENC.</t>
    <phoneticPr fontId="6"/>
  </si>
  <si>
    <t>Modify with ES3</t>
    <phoneticPr fontId="6"/>
  </si>
  <si>
    <t>HEVENCAP</t>
    <phoneticPr fontId="6"/>
  </si>
  <si>
    <t>APB bus clock of HEVENC(HEVC encoder).</t>
    <phoneticPr fontId="6"/>
  </si>
  <si>
    <t>UMCVDFMX2</t>
    <phoneticPr fontId="6"/>
  </si>
  <si>
    <t>MXI bus clock 200MHz of UMC VDF.</t>
    <phoneticPr fontId="6"/>
  </si>
  <si>
    <t>UMCHEVENCAX4</t>
    <phoneticPr fontId="6"/>
  </si>
  <si>
    <t>AXI bus clock 400MHz of HEVENC (HEVC encoder).</t>
    <phoneticPr fontId="6"/>
  </si>
  <si>
    <t>Delete with ES3</t>
    <phoneticPr fontId="6"/>
  </si>
  <si>
    <t>HEVENCSR</t>
    <phoneticPr fontId="6"/>
  </si>
  <si>
    <t>reset of HEVENC is asserted.</t>
    <phoneticPr fontId="6"/>
  </si>
  <si>
    <t>31</t>
    <phoneticPr fontId="6"/>
  </si>
  <si>
    <t>0</t>
    <phoneticPr fontId="6"/>
  </si>
  <si>
    <t>30:29</t>
    <phoneticPr fontId="6"/>
  </si>
  <si>
    <t>HEVENCSEL</t>
    <phoneticPr fontId="6"/>
  </si>
  <si>
    <t>frequency of the HEVENC clock which is input to HEVC Encoder macro.</t>
    <phoneticPr fontId="6"/>
  </si>
  <si>
    <t>frequency of the HEVENC clock which is input to HEVC Encoder macro.</t>
    <phoneticPr fontId="6"/>
  </si>
  <si>
    <t>10</t>
    <phoneticPr fontId="6"/>
  </si>
  <si>
    <t>500MHz</t>
    <phoneticPr fontId="6"/>
  </si>
  <si>
    <t>Add with ES3</t>
    <phoneticPr fontId="6"/>
  </si>
  <si>
    <t>HEVENCCLK</t>
    <phoneticPr fontId="6"/>
  </si>
  <si>
    <t>1000</t>
    <phoneticPr fontId="6"/>
  </si>
  <si>
    <t>31:25</t>
    <phoneticPr fontId="6"/>
  </si>
  <si>
    <t>000_0000</t>
    <phoneticPr fontId="6"/>
  </si>
  <si>
    <t>24:22</t>
    <phoneticPr fontId="6"/>
  </si>
  <si>
    <t>PDM1SEL</t>
    <phoneticPr fontId="6"/>
  </si>
  <si>
    <t>frequency of the clock which is input to PDM macro 1ch.</t>
    <phoneticPr fontId="6"/>
  </si>
  <si>
    <t>100</t>
    <phoneticPr fontId="6"/>
  </si>
  <si>
    <t>PDMCLK</t>
    <phoneticPr fontId="6"/>
  </si>
  <si>
    <t>Add with ES3</t>
    <phoneticPr fontId="6"/>
  </si>
  <si>
    <t>21:19</t>
    <phoneticPr fontId="6"/>
  </si>
  <si>
    <t>PDM0SEL</t>
    <phoneticPr fontId="6"/>
  </si>
  <si>
    <t>frequency of the clock which is input to PDM macro 0ch.</t>
    <phoneticPr fontId="6"/>
  </si>
  <si>
    <t>18:17</t>
    <phoneticPr fontId="6"/>
  </si>
  <si>
    <t>MIPISEL</t>
    <phoneticPr fontId="6"/>
  </si>
  <si>
    <t>frequency of the clock which is input to MIPI TX macro.</t>
    <phoneticPr fontId="6"/>
  </si>
  <si>
    <t>10</t>
    <phoneticPr fontId="6"/>
  </si>
  <si>
    <t>PLL08</t>
    <phoneticPr fontId="6"/>
  </si>
  <si>
    <t>00</t>
    <phoneticPr fontId="6"/>
  </si>
  <si>
    <t>30:26</t>
    <phoneticPr fontId="6"/>
  </si>
  <si>
    <t>SHDRCLK</t>
    <phoneticPr fontId="6"/>
  </si>
  <si>
    <t>frequency of the operation clock which is input to 3DNR macro.</t>
    <phoneticPr fontId="6"/>
  </si>
  <si>
    <t>10000</t>
    <phoneticPr fontId="6"/>
  </si>
  <si>
    <t>432MHz</t>
    <phoneticPr fontId="6"/>
  </si>
  <si>
    <t>Modify with ES3(Bit length)</t>
    <phoneticPr fontId="6"/>
  </si>
  <si>
    <t>H.Ito</t>
    <phoneticPr fontId="6"/>
  </si>
  <si>
    <t>Add these sheets.</t>
    <phoneticPr fontId="6"/>
  </si>
  <si>
    <t>M9M GIC Ipcu1</t>
    <phoneticPr fontId="6"/>
  </si>
  <si>
    <t>H.Iwabuchi</t>
    <phoneticPr fontId="6"/>
  </si>
  <si>
    <t>It will release at 12/16. ch0 and ch1 will be assigned.</t>
    <phoneticPr fontId="6"/>
  </si>
  <si>
    <t>M9M GIC Ipcu1</t>
    <phoneticPr fontId="6"/>
  </si>
  <si>
    <t>M.Sasaki</t>
    <phoneticPr fontId="6"/>
  </si>
  <si>
    <t>ch0 and ch1 assigned to IPCU-BD</t>
    <phoneticPr fontId="6"/>
  </si>
  <si>
    <t>PDMDI1</t>
  </si>
  <si>
    <t>PDMCLK1</t>
  </si>
  <si>
    <t>AudioCodec PDMI Ch1</t>
    <phoneticPr fontId="6"/>
  </si>
  <si>
    <t>AudioCodec PDMCLK Ch1</t>
    <phoneticPr fontId="6"/>
  </si>
  <si>
    <t>P10/EINT08</t>
    <phoneticPr fontId="6"/>
  </si>
  <si>
    <t>P14/EINT12</t>
    <phoneticPr fontId="6"/>
  </si>
  <si>
    <t>P15/EINT13</t>
    <phoneticPr fontId="6"/>
  </si>
  <si>
    <t>P16/EINT14</t>
    <phoneticPr fontId="6"/>
  </si>
  <si>
    <t>P17/EINT15</t>
    <phoneticPr fontId="6"/>
  </si>
  <si>
    <t>INTID.319</t>
    <phoneticPr fontId="6"/>
  </si>
  <si>
    <t>INTID.318</t>
    <phoneticPr fontId="6"/>
  </si>
  <si>
    <t>INTID.317</t>
    <phoneticPr fontId="6"/>
  </si>
  <si>
    <t>INTID.316</t>
    <phoneticPr fontId="6"/>
  </si>
  <si>
    <t>ES3 Only</t>
    <phoneticPr fontId="6"/>
  </si>
  <si>
    <t>INTID.315</t>
    <phoneticPr fontId="6"/>
  </si>
  <si>
    <t>INTID.314</t>
    <phoneticPr fontId="6"/>
  </si>
  <si>
    <t>INTID.313</t>
    <phoneticPr fontId="6"/>
  </si>
  <si>
    <t>Sd_Pcie_Detect</t>
    <phoneticPr fontId="6"/>
  </si>
  <si>
    <t>INTID.312</t>
    <phoneticPr fontId="6"/>
  </si>
  <si>
    <t>INTID.311</t>
    <phoneticPr fontId="6"/>
  </si>
  <si>
    <t>INTID.310</t>
    <phoneticPr fontId="6"/>
  </si>
  <si>
    <t>INTID.309</t>
    <phoneticPr fontId="6"/>
  </si>
  <si>
    <t>Emmc_Wakeup</t>
    <phoneticPr fontId="6"/>
  </si>
  <si>
    <t>INTID.308</t>
    <phoneticPr fontId="6"/>
  </si>
  <si>
    <t>Emmc</t>
    <phoneticPr fontId="6"/>
  </si>
  <si>
    <t>INTID.307</t>
    <phoneticPr fontId="6"/>
  </si>
  <si>
    <t>Sd_Ch1_Wakeup</t>
    <phoneticPr fontId="6"/>
  </si>
  <si>
    <t>INTID.306</t>
    <phoneticPr fontId="6"/>
  </si>
  <si>
    <t>Sd_Ch1_Sdio</t>
    <phoneticPr fontId="6"/>
  </si>
  <si>
    <t>INTID.305</t>
    <phoneticPr fontId="6"/>
  </si>
  <si>
    <t>Sd_Ch1</t>
    <phoneticPr fontId="6"/>
  </si>
  <si>
    <t>INTID.304</t>
    <phoneticPr fontId="6"/>
  </si>
  <si>
    <t>Sd_Ch2_Uhs2_Wakeup</t>
    <phoneticPr fontId="6"/>
  </si>
  <si>
    <t>INTID.303</t>
    <phoneticPr fontId="6"/>
  </si>
  <si>
    <t>Sd_Ch2_Uhs2</t>
    <phoneticPr fontId="6"/>
  </si>
  <si>
    <t>INTID.302</t>
    <phoneticPr fontId="6"/>
  </si>
  <si>
    <t>Sd_Ch2_Uhs1_Wakeup</t>
    <phoneticPr fontId="6"/>
  </si>
  <si>
    <t>INTID.301</t>
    <phoneticPr fontId="6"/>
  </si>
  <si>
    <t>Sd_Ch2_Sdio</t>
    <phoneticPr fontId="6"/>
  </si>
  <si>
    <t>INTID.300</t>
    <phoneticPr fontId="6"/>
  </si>
  <si>
    <t>Sd_Ch2_Uhs1</t>
    <phoneticPr fontId="6"/>
  </si>
  <si>
    <t>INTID.299</t>
    <phoneticPr fontId="6"/>
  </si>
  <si>
    <t>Sd_Ch3_Wakeup</t>
    <phoneticPr fontId="6"/>
  </si>
  <si>
    <t>INTID.298</t>
    <phoneticPr fontId="6"/>
  </si>
  <si>
    <t>Sd_Ch3_Sdio</t>
    <phoneticPr fontId="6"/>
  </si>
  <si>
    <t>INTID.297</t>
    <phoneticPr fontId="6"/>
  </si>
  <si>
    <t>Sd_Ch3</t>
    <phoneticPr fontId="6"/>
  </si>
  <si>
    <t>INTID.296</t>
    <phoneticPr fontId="6"/>
  </si>
  <si>
    <t>INTID.295</t>
    <phoneticPr fontId="6"/>
  </si>
  <si>
    <t>INTID.294</t>
    <phoneticPr fontId="6"/>
  </si>
  <si>
    <t>INTID.293</t>
    <phoneticPr fontId="6"/>
  </si>
  <si>
    <t>INTID.292</t>
    <phoneticPr fontId="6"/>
  </si>
  <si>
    <t>INTID.291</t>
    <phoneticPr fontId="6"/>
  </si>
  <si>
    <t>INTID.290</t>
    <phoneticPr fontId="6"/>
  </si>
  <si>
    <t>INTID.289</t>
    <phoneticPr fontId="6"/>
  </si>
  <si>
    <t>INTID.288</t>
    <phoneticPr fontId="6"/>
  </si>
  <si>
    <t>INTID.287</t>
    <phoneticPr fontId="6"/>
  </si>
  <si>
    <t>INTID.286</t>
    <phoneticPr fontId="6"/>
  </si>
  <si>
    <t>INTID.285</t>
    <phoneticPr fontId="6"/>
  </si>
  <si>
    <t>INTID.284</t>
    <phoneticPr fontId="6"/>
  </si>
  <si>
    <t>INTID.283</t>
    <phoneticPr fontId="6"/>
  </si>
  <si>
    <t>INTID.282</t>
    <phoneticPr fontId="6"/>
  </si>
  <si>
    <t>INTID.281</t>
    <phoneticPr fontId="6"/>
  </si>
  <si>
    <t>INTID.280</t>
    <phoneticPr fontId="6"/>
  </si>
  <si>
    <t>INTID.279</t>
    <phoneticPr fontId="6"/>
  </si>
  <si>
    <t>INTID.278</t>
    <phoneticPr fontId="6"/>
  </si>
  <si>
    <t>INTID.277</t>
    <phoneticPr fontId="6"/>
  </si>
  <si>
    <t>INTID.276</t>
    <phoneticPr fontId="6"/>
  </si>
  <si>
    <t>INTID.275</t>
    <phoneticPr fontId="6"/>
  </si>
  <si>
    <t>INTID.274</t>
    <phoneticPr fontId="6"/>
  </si>
  <si>
    <t>INTID.273</t>
    <phoneticPr fontId="6"/>
  </si>
  <si>
    <t>INTID.272</t>
    <phoneticPr fontId="6"/>
  </si>
  <si>
    <t>INTID.271</t>
    <phoneticPr fontId="6"/>
  </si>
  <si>
    <t>INTID.270</t>
    <phoneticPr fontId="6"/>
  </si>
  <si>
    <t>INTID.269</t>
    <phoneticPr fontId="6"/>
  </si>
  <si>
    <t>INTID.268</t>
    <phoneticPr fontId="6"/>
  </si>
  <si>
    <t>INTID.267</t>
    <phoneticPr fontId="6"/>
  </si>
  <si>
    <t>INTID.266</t>
    <phoneticPr fontId="6"/>
  </si>
  <si>
    <t>INTID.265</t>
    <phoneticPr fontId="6"/>
  </si>
  <si>
    <t>INTID.264</t>
    <phoneticPr fontId="6"/>
  </si>
  <si>
    <t>INTID.263</t>
    <phoneticPr fontId="6"/>
  </si>
  <si>
    <t>INTID.262</t>
    <phoneticPr fontId="6"/>
  </si>
  <si>
    <t>INTID.261</t>
    <phoneticPr fontId="6"/>
  </si>
  <si>
    <t>INTID.260</t>
    <phoneticPr fontId="6"/>
  </si>
  <si>
    <t>INTID.259</t>
    <phoneticPr fontId="6"/>
  </si>
  <si>
    <t>INTID.258</t>
    <phoneticPr fontId="6"/>
  </si>
  <si>
    <t>INTID.257</t>
    <phoneticPr fontId="6"/>
  </si>
  <si>
    <t>INTID.256</t>
    <phoneticPr fontId="6"/>
  </si>
  <si>
    <t>INTID.255</t>
    <phoneticPr fontId="6"/>
  </si>
  <si>
    <t>INTID.254</t>
    <phoneticPr fontId="6"/>
  </si>
  <si>
    <t>INTID.253</t>
    <phoneticPr fontId="6"/>
  </si>
  <si>
    <t>INTID.252</t>
    <phoneticPr fontId="6"/>
  </si>
  <si>
    <t>INTID.251</t>
    <phoneticPr fontId="6"/>
  </si>
  <si>
    <t>INTID.250</t>
    <phoneticPr fontId="6"/>
  </si>
  <si>
    <t>INTID.249</t>
    <phoneticPr fontId="6"/>
  </si>
  <si>
    <t>INTID.248</t>
    <phoneticPr fontId="6"/>
  </si>
  <si>
    <t>INTID.247</t>
    <phoneticPr fontId="6"/>
  </si>
  <si>
    <t>INTID.246</t>
    <phoneticPr fontId="6"/>
  </si>
  <si>
    <t>INTID.245</t>
    <phoneticPr fontId="6"/>
  </si>
  <si>
    <t>INTID.244</t>
    <phoneticPr fontId="6"/>
  </si>
  <si>
    <t>INTID.243</t>
    <phoneticPr fontId="6"/>
  </si>
  <si>
    <t>INTID.242</t>
    <phoneticPr fontId="6"/>
  </si>
  <si>
    <t>INTID.241</t>
    <phoneticPr fontId="6"/>
  </si>
  <si>
    <t>INTID.240</t>
    <phoneticPr fontId="6"/>
  </si>
  <si>
    <t>INTID.239</t>
    <phoneticPr fontId="6"/>
  </si>
  <si>
    <t>INTID.238</t>
    <phoneticPr fontId="6"/>
  </si>
  <si>
    <t>INTID.237</t>
    <phoneticPr fontId="6"/>
  </si>
  <si>
    <t>INTID.236</t>
    <phoneticPr fontId="6"/>
  </si>
  <si>
    <t>INTID.235</t>
    <phoneticPr fontId="6"/>
  </si>
  <si>
    <t>INTID.234</t>
    <phoneticPr fontId="6"/>
  </si>
  <si>
    <t>INTID.233</t>
    <phoneticPr fontId="6"/>
  </si>
  <si>
    <t>INTID.232</t>
    <phoneticPr fontId="6"/>
  </si>
  <si>
    <t>INTID.231</t>
    <phoneticPr fontId="6"/>
  </si>
  <si>
    <t>INTID.230</t>
    <phoneticPr fontId="6"/>
  </si>
  <si>
    <t>INTID.229</t>
    <phoneticPr fontId="6"/>
  </si>
  <si>
    <t>INTID.228</t>
    <phoneticPr fontId="6"/>
  </si>
  <si>
    <t>INTID.227</t>
    <phoneticPr fontId="6"/>
  </si>
  <si>
    <t>INTID.226</t>
    <phoneticPr fontId="6"/>
  </si>
  <si>
    <t>INTID.225</t>
    <phoneticPr fontId="6"/>
  </si>
  <si>
    <t>INTID.224</t>
    <phoneticPr fontId="6"/>
  </si>
  <si>
    <t>INTID.223</t>
    <phoneticPr fontId="6"/>
  </si>
  <si>
    <t>INTID.222</t>
    <phoneticPr fontId="6"/>
  </si>
  <si>
    <t>INTID.221</t>
    <phoneticPr fontId="6"/>
  </si>
  <si>
    <t>INTID.220</t>
    <phoneticPr fontId="6"/>
  </si>
  <si>
    <t>INTID.219</t>
    <phoneticPr fontId="6"/>
  </si>
  <si>
    <t>INTID.218</t>
    <phoneticPr fontId="6"/>
  </si>
  <si>
    <t>INTID.217</t>
    <phoneticPr fontId="6"/>
  </si>
  <si>
    <t>INTID.216</t>
    <phoneticPr fontId="6"/>
  </si>
  <si>
    <t>INTID.215</t>
    <phoneticPr fontId="6"/>
  </si>
  <si>
    <t>INTID.214</t>
    <phoneticPr fontId="6"/>
  </si>
  <si>
    <t>INTID.213</t>
    <phoneticPr fontId="6"/>
  </si>
  <si>
    <t>INTID.212</t>
    <phoneticPr fontId="6"/>
  </si>
  <si>
    <t>INTID.211</t>
    <phoneticPr fontId="6"/>
  </si>
  <si>
    <t>INTID.210</t>
    <phoneticPr fontId="6"/>
  </si>
  <si>
    <t>INTID.209</t>
    <phoneticPr fontId="6"/>
  </si>
  <si>
    <t>INTID.208</t>
    <phoneticPr fontId="6"/>
  </si>
  <si>
    <t>INTID.207</t>
    <phoneticPr fontId="6"/>
  </si>
  <si>
    <t>INTID.206</t>
    <phoneticPr fontId="6"/>
  </si>
  <si>
    <t>INTID.205</t>
    <phoneticPr fontId="6"/>
  </si>
  <si>
    <t>INTID.204</t>
    <phoneticPr fontId="6"/>
  </si>
  <si>
    <t>INTID.203</t>
    <phoneticPr fontId="6"/>
  </si>
  <si>
    <t>INTID.202</t>
    <phoneticPr fontId="6"/>
  </si>
  <si>
    <t>INTID.201</t>
    <phoneticPr fontId="6"/>
  </si>
  <si>
    <t>INTID.200</t>
    <phoneticPr fontId="6"/>
  </si>
  <si>
    <t>INTID.199</t>
    <phoneticPr fontId="6"/>
  </si>
  <si>
    <t>INTID.198</t>
    <phoneticPr fontId="6"/>
  </si>
  <si>
    <t>INTID.197</t>
    <phoneticPr fontId="6"/>
  </si>
  <si>
    <t>INTID.196</t>
    <phoneticPr fontId="6"/>
  </si>
  <si>
    <t>INTID.195</t>
    <phoneticPr fontId="6"/>
  </si>
  <si>
    <t>INTID.194</t>
    <phoneticPr fontId="6"/>
  </si>
  <si>
    <t>INTID.193</t>
    <phoneticPr fontId="6"/>
  </si>
  <si>
    <t>INTID.192</t>
    <phoneticPr fontId="6"/>
  </si>
  <si>
    <t>INTID.191</t>
    <phoneticPr fontId="6"/>
  </si>
  <si>
    <t>INTID.190</t>
    <phoneticPr fontId="6"/>
  </si>
  <si>
    <t>INTID.189</t>
    <phoneticPr fontId="6"/>
  </si>
  <si>
    <t>INTID.188</t>
    <phoneticPr fontId="6"/>
  </si>
  <si>
    <t>INTID.187</t>
    <phoneticPr fontId="6"/>
  </si>
  <si>
    <t>INTID.186</t>
    <phoneticPr fontId="6"/>
  </si>
  <si>
    <t>INTID.185</t>
    <phoneticPr fontId="6"/>
  </si>
  <si>
    <t>INTID.184</t>
    <phoneticPr fontId="6"/>
  </si>
  <si>
    <t>INTID.183</t>
    <phoneticPr fontId="6"/>
  </si>
  <si>
    <t>INTID.182</t>
    <phoneticPr fontId="6"/>
  </si>
  <si>
    <t>INTID.181</t>
    <phoneticPr fontId="6"/>
  </si>
  <si>
    <t>INTID.180</t>
    <phoneticPr fontId="6"/>
  </si>
  <si>
    <t>INTID.179</t>
    <phoneticPr fontId="6"/>
  </si>
  <si>
    <t>INTID.178</t>
    <phoneticPr fontId="6"/>
  </si>
  <si>
    <t>INTID.177</t>
    <phoneticPr fontId="6"/>
  </si>
  <si>
    <t>INTID.176</t>
    <phoneticPr fontId="6"/>
  </si>
  <si>
    <t>INTID.175</t>
    <phoneticPr fontId="6"/>
  </si>
  <si>
    <t>INTID.174</t>
    <phoneticPr fontId="6"/>
  </si>
  <si>
    <t>INTID.173</t>
    <phoneticPr fontId="6"/>
  </si>
  <si>
    <t>INTID.172</t>
    <phoneticPr fontId="6"/>
  </si>
  <si>
    <t>INTID.171</t>
    <phoneticPr fontId="6"/>
  </si>
  <si>
    <t>INTID.170</t>
    <phoneticPr fontId="6"/>
  </si>
  <si>
    <t>INTID.169</t>
    <phoneticPr fontId="6"/>
  </si>
  <si>
    <t>INTID.168</t>
    <phoneticPr fontId="6"/>
  </si>
  <si>
    <t>INTID.167</t>
    <phoneticPr fontId="6"/>
  </si>
  <si>
    <t>INTID.166</t>
    <phoneticPr fontId="6"/>
  </si>
  <si>
    <t>INTID.165</t>
    <phoneticPr fontId="6"/>
  </si>
  <si>
    <t>INTID.164</t>
    <phoneticPr fontId="6"/>
  </si>
  <si>
    <t>INTID.163</t>
    <phoneticPr fontId="6"/>
  </si>
  <si>
    <t>INTID.162</t>
    <phoneticPr fontId="6"/>
  </si>
  <si>
    <t>INTID.161</t>
    <phoneticPr fontId="6"/>
  </si>
  <si>
    <t>INTID.160</t>
    <phoneticPr fontId="6"/>
  </si>
  <si>
    <t>INTID.159</t>
    <phoneticPr fontId="6"/>
  </si>
  <si>
    <t>INTID.158</t>
    <phoneticPr fontId="6"/>
  </si>
  <si>
    <t>INTID.157</t>
    <phoneticPr fontId="6"/>
  </si>
  <si>
    <t>INTID.156</t>
    <phoneticPr fontId="6"/>
  </si>
  <si>
    <t>INTID.155</t>
    <phoneticPr fontId="6"/>
  </si>
  <si>
    <t>INTID.154</t>
    <phoneticPr fontId="6"/>
  </si>
  <si>
    <t>INTID.153</t>
    <phoneticPr fontId="6"/>
  </si>
  <si>
    <t>INTID.152</t>
    <phoneticPr fontId="6"/>
  </si>
  <si>
    <t>INTID.151</t>
    <phoneticPr fontId="6"/>
  </si>
  <si>
    <t>INTID.150</t>
    <phoneticPr fontId="6"/>
  </si>
  <si>
    <t>INTID.149</t>
    <phoneticPr fontId="6"/>
  </si>
  <si>
    <t>INTID.148</t>
    <phoneticPr fontId="6"/>
  </si>
  <si>
    <t>INTID.147</t>
    <phoneticPr fontId="6"/>
  </si>
  <si>
    <t>INTID.146</t>
    <phoneticPr fontId="6"/>
  </si>
  <si>
    <t>INTID.145</t>
    <phoneticPr fontId="6"/>
  </si>
  <si>
    <t>INTID.144</t>
    <phoneticPr fontId="6"/>
  </si>
  <si>
    <t>INTID.143</t>
    <phoneticPr fontId="6"/>
  </si>
  <si>
    <t>INTID.142</t>
    <phoneticPr fontId="6"/>
  </si>
  <si>
    <t>INTID.141</t>
    <phoneticPr fontId="6"/>
  </si>
  <si>
    <t>INTID.140</t>
    <phoneticPr fontId="6"/>
  </si>
  <si>
    <t>INTID.139</t>
    <phoneticPr fontId="6"/>
  </si>
  <si>
    <t>INTID.138</t>
    <phoneticPr fontId="6"/>
  </si>
  <si>
    <t>INTID.137</t>
    <phoneticPr fontId="6"/>
  </si>
  <si>
    <t>INTID.136</t>
    <phoneticPr fontId="6"/>
  </si>
  <si>
    <t>INTID.135</t>
    <phoneticPr fontId="6"/>
  </si>
  <si>
    <t>INTID.134</t>
    <phoneticPr fontId="6"/>
  </si>
  <si>
    <t>INTID.133</t>
    <phoneticPr fontId="6"/>
  </si>
  <si>
    <t>INTID.132</t>
    <phoneticPr fontId="6"/>
  </si>
  <si>
    <t>system timer</t>
    <phoneticPr fontId="6"/>
  </si>
  <si>
    <t>INTID.131</t>
    <phoneticPr fontId="6"/>
  </si>
  <si>
    <t>INTID.130</t>
    <phoneticPr fontId="6"/>
  </si>
  <si>
    <t>INTID.129</t>
    <phoneticPr fontId="6"/>
  </si>
  <si>
    <t>INTID.128</t>
    <phoneticPr fontId="6"/>
  </si>
  <si>
    <t>INTID.127</t>
    <phoneticPr fontId="6"/>
  </si>
  <si>
    <t>INTID.126</t>
    <phoneticPr fontId="6"/>
  </si>
  <si>
    <t>INTID.125</t>
    <phoneticPr fontId="6"/>
  </si>
  <si>
    <t>INTID.124</t>
    <phoneticPr fontId="6"/>
  </si>
  <si>
    <t>INTID.123</t>
    <phoneticPr fontId="6"/>
  </si>
  <si>
    <t>INTID.122</t>
    <phoneticPr fontId="6"/>
  </si>
  <si>
    <t>INTID.121</t>
    <phoneticPr fontId="6"/>
  </si>
  <si>
    <t>INTID.120</t>
    <phoneticPr fontId="6"/>
  </si>
  <si>
    <t>INTID.119</t>
    <phoneticPr fontId="6"/>
  </si>
  <si>
    <t>INTID.118</t>
    <phoneticPr fontId="6"/>
  </si>
  <si>
    <t>INTID.117</t>
    <phoneticPr fontId="6"/>
  </si>
  <si>
    <t>INTID.116</t>
    <phoneticPr fontId="6"/>
  </si>
  <si>
    <t>INTID.115</t>
    <phoneticPr fontId="6"/>
  </si>
  <si>
    <t>INTID.114</t>
    <phoneticPr fontId="6"/>
  </si>
  <si>
    <t>INTID.113</t>
    <phoneticPr fontId="6"/>
  </si>
  <si>
    <t>INTID.112</t>
    <phoneticPr fontId="6"/>
  </si>
  <si>
    <t>INTID.111</t>
    <phoneticPr fontId="6"/>
  </si>
  <si>
    <t>INTID.110</t>
    <phoneticPr fontId="6"/>
  </si>
  <si>
    <t>INTID.109</t>
    <phoneticPr fontId="6"/>
  </si>
  <si>
    <t>INTID.108</t>
    <phoneticPr fontId="6"/>
  </si>
  <si>
    <t>INTID.107</t>
    <phoneticPr fontId="6"/>
  </si>
  <si>
    <t>INTID.106</t>
    <phoneticPr fontId="6"/>
  </si>
  <si>
    <t>INTID.105</t>
    <phoneticPr fontId="6"/>
  </si>
  <si>
    <t>INTID.104</t>
    <phoneticPr fontId="6"/>
  </si>
  <si>
    <t>INTID.103</t>
    <phoneticPr fontId="6"/>
  </si>
  <si>
    <t>INTID.102</t>
    <phoneticPr fontId="6"/>
  </si>
  <si>
    <t>INTID.101</t>
    <phoneticPr fontId="6"/>
  </si>
  <si>
    <t>INTID.100</t>
    <phoneticPr fontId="6"/>
  </si>
  <si>
    <t>INTID.99</t>
    <phoneticPr fontId="6"/>
  </si>
  <si>
    <t>INTID.98</t>
    <phoneticPr fontId="6"/>
  </si>
  <si>
    <t>INTID.97</t>
    <phoneticPr fontId="6"/>
  </si>
  <si>
    <t>INTID.96</t>
    <phoneticPr fontId="6"/>
  </si>
  <si>
    <t>INTID.95</t>
    <phoneticPr fontId="6"/>
  </si>
  <si>
    <t>INTID.94</t>
    <phoneticPr fontId="6"/>
  </si>
  <si>
    <t>INTID.93</t>
    <phoneticPr fontId="6"/>
  </si>
  <si>
    <t>INTID.92</t>
    <phoneticPr fontId="6"/>
  </si>
  <si>
    <t>INTID.91</t>
    <phoneticPr fontId="6"/>
  </si>
  <si>
    <t>INTID.90</t>
    <phoneticPr fontId="6"/>
  </si>
  <si>
    <t>INTID.89</t>
    <phoneticPr fontId="6"/>
  </si>
  <si>
    <t>INTID.88</t>
    <phoneticPr fontId="6"/>
  </si>
  <si>
    <t>INTID.87</t>
    <phoneticPr fontId="6"/>
  </si>
  <si>
    <t>INTID.86</t>
    <phoneticPr fontId="6"/>
  </si>
  <si>
    <t>mailbox#7-unit1 Ack for ch7</t>
    <phoneticPr fontId="6"/>
  </si>
  <si>
    <t>INTID.85</t>
    <phoneticPr fontId="6"/>
  </si>
  <si>
    <t>mailbox#6-unit1 Ack for ch6</t>
    <phoneticPr fontId="6"/>
  </si>
  <si>
    <t>INTID.84</t>
    <phoneticPr fontId="6"/>
  </si>
  <si>
    <t>mailbox#5-unit1 Ack for ch5</t>
    <phoneticPr fontId="6"/>
  </si>
  <si>
    <t>INTID.83</t>
    <phoneticPr fontId="6"/>
  </si>
  <si>
    <t>mailbox#4-unit1 Ack for ch4</t>
    <phoneticPr fontId="6"/>
  </si>
  <si>
    <t>INTID.82</t>
    <phoneticPr fontId="6"/>
  </si>
  <si>
    <t>mailbox#3-unit1 Ack for ch3</t>
    <phoneticPr fontId="6"/>
  </si>
  <si>
    <t>INTID.81</t>
    <phoneticPr fontId="6"/>
  </si>
  <si>
    <t>mailbox#2-unit1 Ack for ch2</t>
    <phoneticPr fontId="6"/>
  </si>
  <si>
    <t>INTID.80</t>
    <phoneticPr fontId="6"/>
  </si>
  <si>
    <t>mailbox#1-unit1 Ack for ch1</t>
    <phoneticPr fontId="6"/>
  </si>
  <si>
    <t>INTID.79</t>
    <phoneticPr fontId="6"/>
  </si>
  <si>
    <t>mailbox#0-unit1 Ack for ch0</t>
    <phoneticPr fontId="6"/>
  </si>
  <si>
    <t>INTID.78</t>
    <phoneticPr fontId="6"/>
  </si>
  <si>
    <t>mailbox#7-unit1</t>
    <phoneticPr fontId="6"/>
  </si>
  <si>
    <t>INTID.77</t>
    <phoneticPr fontId="6"/>
  </si>
  <si>
    <t>mailbox#6-unit1</t>
    <phoneticPr fontId="6"/>
  </si>
  <si>
    <t>INTID.76</t>
    <phoneticPr fontId="6"/>
  </si>
  <si>
    <t>mailbox#5-unit1</t>
    <phoneticPr fontId="6"/>
  </si>
  <si>
    <t>INTID.75</t>
    <phoneticPr fontId="6"/>
  </si>
  <si>
    <t>mailbox#4-unit1</t>
    <phoneticPr fontId="6"/>
  </si>
  <si>
    <t>INTID.74</t>
    <phoneticPr fontId="6"/>
  </si>
  <si>
    <t>mailbox#3-unit1</t>
    <phoneticPr fontId="6"/>
  </si>
  <si>
    <t>INTID.73</t>
    <phoneticPr fontId="6"/>
  </si>
  <si>
    <t>mailbox#2-unit1</t>
    <phoneticPr fontId="6"/>
  </si>
  <si>
    <t>INTID.72</t>
    <phoneticPr fontId="6"/>
  </si>
  <si>
    <t>mailbox#1-unit1.IPCU-BD rtos receive</t>
    <phoneticPr fontId="6"/>
  </si>
  <si>
    <t>INTID.71</t>
    <phoneticPr fontId="6"/>
  </si>
  <si>
    <t>mailbox#0-unit1.IPCU-BD rtos send</t>
    <phoneticPr fontId="6"/>
  </si>
  <si>
    <t>INTID.70</t>
    <phoneticPr fontId="6"/>
  </si>
  <si>
    <t>INTID.69</t>
    <phoneticPr fontId="6"/>
  </si>
  <si>
    <t>INTID.68</t>
    <phoneticPr fontId="6"/>
  </si>
  <si>
    <t>INTID.67</t>
    <phoneticPr fontId="6"/>
  </si>
  <si>
    <t>INTID.66</t>
    <phoneticPr fontId="6"/>
  </si>
  <si>
    <t>INTID.65</t>
    <phoneticPr fontId="6"/>
  </si>
  <si>
    <t>INTID.64</t>
    <phoneticPr fontId="6"/>
  </si>
  <si>
    <t>mailbox#1. Ack for ch1</t>
    <phoneticPr fontId="6"/>
  </si>
  <si>
    <t>INTID.63</t>
    <phoneticPr fontId="6"/>
  </si>
  <si>
    <t>INTID.62</t>
    <phoneticPr fontId="6"/>
  </si>
  <si>
    <t>INTID.61</t>
    <phoneticPr fontId="6"/>
  </si>
  <si>
    <t>INTID.44</t>
    <phoneticPr fontId="6"/>
  </si>
  <si>
    <t>INTID.43</t>
    <phoneticPr fontId="6"/>
  </si>
  <si>
    <t>INTID.42</t>
    <phoneticPr fontId="6"/>
  </si>
  <si>
    <t>INTID.41</t>
    <phoneticPr fontId="6"/>
  </si>
  <si>
    <t>INTID.40</t>
    <phoneticPr fontId="6"/>
  </si>
  <si>
    <t>INTID.39</t>
    <phoneticPr fontId="6"/>
  </si>
  <si>
    <t>INTID.38</t>
    <phoneticPr fontId="6"/>
  </si>
  <si>
    <t>INTID.37</t>
    <phoneticPr fontId="6"/>
  </si>
  <si>
    <t>INTID.36</t>
    <phoneticPr fontId="6"/>
  </si>
  <si>
    <t>INTID.35</t>
    <phoneticPr fontId="6"/>
  </si>
  <si>
    <t>INTID.34</t>
    <phoneticPr fontId="6"/>
  </si>
  <si>
    <t>INTID.33</t>
    <phoneticPr fontId="6"/>
  </si>
  <si>
    <t>INTID.32</t>
    <phoneticPr fontId="6"/>
  </si>
  <si>
    <t>Target CPU is Own CPU</t>
    <phoneticPr fontId="6"/>
  </si>
  <si>
    <t>INTID.31</t>
    <phoneticPr fontId="6"/>
  </si>
  <si>
    <t>INTID.30</t>
    <phoneticPr fontId="6"/>
  </si>
  <si>
    <t>INTID.29</t>
    <phoneticPr fontId="6"/>
  </si>
  <si>
    <t>INTID.28</t>
    <phoneticPr fontId="6"/>
  </si>
  <si>
    <t>Target CPU is Own CPU</t>
    <phoneticPr fontId="6"/>
  </si>
  <si>
    <t>INTID.27</t>
    <phoneticPr fontId="6"/>
  </si>
  <si>
    <t>INTID.26</t>
    <phoneticPr fontId="6"/>
  </si>
  <si>
    <t>INTID.25</t>
    <phoneticPr fontId="6"/>
  </si>
  <si>
    <t>INTID.24</t>
    <phoneticPr fontId="6"/>
  </si>
  <si>
    <t>INTID.23</t>
    <phoneticPr fontId="6"/>
  </si>
  <si>
    <t>INTID.22</t>
    <phoneticPr fontId="6"/>
  </si>
  <si>
    <t>INTID.21</t>
    <phoneticPr fontId="6"/>
  </si>
  <si>
    <t>INTID.20</t>
    <phoneticPr fontId="6"/>
  </si>
  <si>
    <t>INTID.19</t>
    <phoneticPr fontId="6"/>
  </si>
  <si>
    <t>INTID.18</t>
    <phoneticPr fontId="6"/>
  </si>
  <si>
    <t>INTID.17</t>
    <phoneticPr fontId="6"/>
  </si>
  <si>
    <t>INTID.16</t>
    <phoneticPr fontId="6"/>
  </si>
  <si>
    <t>Target CPU specify at SGI register</t>
    <phoneticPr fontId="6"/>
  </si>
  <si>
    <t>INTID.15</t>
    <phoneticPr fontId="6"/>
  </si>
  <si>
    <t>INTID.14</t>
    <phoneticPr fontId="6"/>
  </si>
  <si>
    <t>INTID.13</t>
    <phoneticPr fontId="6"/>
  </si>
  <si>
    <t>INTID.12</t>
    <phoneticPr fontId="6"/>
  </si>
  <si>
    <t>Target CPU specify at SGI register</t>
    <phoneticPr fontId="6"/>
  </si>
  <si>
    <t>INTID.11</t>
    <phoneticPr fontId="6"/>
  </si>
  <si>
    <t>INTID.10</t>
    <phoneticPr fontId="6"/>
  </si>
  <si>
    <t>INTID.9</t>
    <phoneticPr fontId="6"/>
  </si>
  <si>
    <t>INTID.8</t>
    <phoneticPr fontId="6"/>
  </si>
  <si>
    <t>INTID.7</t>
    <phoneticPr fontId="6"/>
  </si>
  <si>
    <t>INTID.6</t>
    <phoneticPr fontId="6"/>
  </si>
  <si>
    <t>INTID.5</t>
    <phoneticPr fontId="6"/>
  </si>
  <si>
    <t>INTID.4</t>
    <phoneticPr fontId="6"/>
  </si>
  <si>
    <t>INTID.3</t>
    <phoneticPr fontId="6"/>
  </si>
  <si>
    <t>T-Kernel Used</t>
    <phoneticPr fontId="6"/>
  </si>
  <si>
    <t>INTID.2</t>
    <phoneticPr fontId="6"/>
  </si>
  <si>
    <t>INTID.1</t>
    <phoneticPr fontId="6"/>
  </si>
  <si>
    <t>T-Kernel Used</t>
    <phoneticPr fontId="6"/>
  </si>
  <si>
    <t>INTID.0</t>
    <phoneticPr fontId="6"/>
  </si>
  <si>
    <t>ARM</t>
    <phoneticPr fontId="6"/>
  </si>
  <si>
    <t>remark</t>
    <phoneticPr fontId="6"/>
  </si>
  <si>
    <t>Trigger</t>
    <phoneticPr fontId="6"/>
  </si>
  <si>
    <t>Interrupt
Priority</t>
    <phoneticPr fontId="6"/>
  </si>
  <si>
    <t>Terget
CPU</t>
    <phoneticPr fontId="6"/>
  </si>
  <si>
    <t>Enable
Disable</t>
    <phoneticPr fontId="6"/>
  </si>
  <si>
    <t>Channel</t>
    <phoneticPr fontId="6"/>
  </si>
  <si>
    <t>SDK : other</t>
    <phoneticPr fontId="6"/>
  </si>
  <si>
    <t>SDK : interrupt_set()</t>
    <phoneticPr fontId="6"/>
  </si>
  <si>
    <t>T-Kerne</t>
    <phoneticPr fontId="6"/>
  </si>
  <si>
    <t>RK_9M T-Kernel ver.</t>
    <phoneticPr fontId="6"/>
  </si>
  <si>
    <t>Linux:16-30</t>
    <phoneticPr fontId="6"/>
  </si>
  <si>
    <t>Edge</t>
    <phoneticPr fontId="6"/>
  </si>
  <si>
    <t>T-Kernel:0-15</t>
    <phoneticPr fontId="6"/>
  </si>
  <si>
    <t>Level</t>
    <phoneticPr fontId="6"/>
  </si>
  <si>
    <t>0-30</t>
    <phoneticPr fontId="6"/>
  </si>
  <si>
    <t>O</t>
    <phoneticPr fontId="6"/>
  </si>
  <si>
    <t>[Trigger]</t>
    <phoneticPr fontId="6"/>
  </si>
  <si>
    <t>[priority]</t>
    <phoneticPr fontId="6"/>
  </si>
  <si>
    <t>[CPU]</t>
    <phoneticPr fontId="6"/>
  </si>
  <si>
    <t>[O:Enable / -:Disable]</t>
    <phoneticPr fontId="6"/>
  </si>
  <si>
    <t>Kernel Boot Version</t>
    <phoneticPr fontId="6"/>
  </si>
  <si>
    <t>mcr
File</t>
    <phoneticPr fontId="6"/>
  </si>
  <si>
    <t>0x00</t>
    <phoneticPr fontId="6"/>
  </si>
  <si>
    <t>0x5C</t>
    <phoneticPr fontId="6"/>
  </si>
  <si>
    <t>B'011</t>
    <phoneticPr fontId="6"/>
  </si>
  <si>
    <t>mcr file</t>
    <phoneticPr fontId="6"/>
  </si>
  <si>
    <t>mcr
file</t>
    <phoneticPr fontId="6"/>
  </si>
  <si>
    <t>M9M HWMacro CH
M9M GIC</t>
    <phoneticPr fontId="6"/>
  </si>
  <si>
    <t>W.Omuro</t>
    <phoneticPr fontId="6"/>
  </si>
  <si>
    <t>Timer_ch0 was assiged to CPU0 for Sensor Low-Power Control</t>
    <phoneticPr fontId="6"/>
  </si>
  <si>
    <t>Sensor Low-Power Control</t>
    <phoneticPr fontId="6"/>
  </si>
  <si>
    <t>Video/movie(enc)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</si>
</sst>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m&quot;月&quot;dd&quot;日&quot;"/>
    <numFmt numFmtId="177" formatCode="0.0"/>
    <numFmt numFmtId="178" formatCode="0.0_ "/>
  </numFmts>
  <fonts count="42">
    <font>
      <sz val="9"/>
      <color theme="1"/>
      <name val="Tahoma"/>
      <family val="2"/>
    </font>
    <font>
      <sz val="9"/>
      <color indexed="8"/>
      <name val="Tahoma"/>
      <family val="2"/>
    </font>
    <font>
      <sz val="6"/>
      <name val="Tahoma"/>
      <family val="2"/>
    </font>
    <font>
      <b/>
      <sz val="22"/>
      <color indexed="8"/>
      <name val="Tahoma"/>
      <family val="2"/>
    </font>
    <font>
      <sz val="9"/>
      <color indexed="81"/>
      <name val="ＭＳ Ｐゴシック"/>
      <family val="3"/>
      <charset val="128"/>
    </font>
    <font>
      <sz val="9"/>
      <name val="Tahoma"/>
      <family val="2"/>
    </font>
    <font>
      <sz val="6"/>
      <name val="ＭＳ Ｐゴシック"/>
      <family val="3"/>
      <charset val="128"/>
    </font>
    <font>
      <sz val="9"/>
      <color indexed="10"/>
      <name val="Tahoma"/>
      <family val="2"/>
    </font>
    <font>
      <b/>
      <sz val="9"/>
      <color indexed="8"/>
      <name val="Tahoma"/>
      <family val="2"/>
    </font>
    <font>
      <sz val="9"/>
      <color indexed="55"/>
      <name val="Tahoma"/>
      <family val="2"/>
    </font>
    <font>
      <sz val="10"/>
      <color indexed="8"/>
      <name val="ＭＳ Ｐゴシック"/>
      <family val="3"/>
      <charset val="128"/>
    </font>
    <font>
      <sz val="9"/>
      <color theme="1"/>
      <name val="Tahoma"/>
      <family val="2"/>
    </font>
    <font>
      <sz val="9"/>
      <color theme="1"/>
      <name val="ＭＳ Ｐゴシック"/>
      <family val="3"/>
      <charset val="128"/>
    </font>
    <font>
      <sz val="10"/>
      <color indexed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name val="ＭＳ Ｐゴシック"/>
      <family val="3"/>
      <charset val="128"/>
    </font>
    <font>
      <sz val="8"/>
      <color indexed="8"/>
      <name val="Tahoma"/>
      <family val="2"/>
    </font>
    <font>
      <i/>
      <sz val="9"/>
      <color theme="1"/>
      <name val="Tahoma"/>
      <family val="2"/>
    </font>
    <font>
      <sz val="8"/>
      <name val="Tahoma"/>
      <family val="2"/>
    </font>
    <font>
      <sz val="11"/>
      <color theme="1"/>
      <name val="ＭＳ Ｐゴシック"/>
      <family val="3"/>
      <charset val="128"/>
      <scheme val="minor"/>
    </font>
    <font>
      <sz val="9"/>
      <color rgb="FF000000"/>
      <name val="Tahoma"/>
      <family val="2"/>
      <charset val="1"/>
    </font>
    <font>
      <sz val="10"/>
      <name val="TakaoPGothic"/>
      <family val="2"/>
      <charset val="1"/>
    </font>
    <font>
      <sz val="10"/>
      <name val="ＭＳ ゴシック"/>
      <family val="2"/>
      <charset val="1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000000"/>
      <name val="Tahoma"/>
      <family val="2"/>
    </font>
    <font>
      <sz val="10"/>
      <color rgb="FFFF00FF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9"/>
      <name val="ＭＳ Ｐゴシック"/>
      <family val="3"/>
      <charset val="128"/>
    </font>
    <font>
      <sz val="6"/>
      <color theme="1"/>
      <name val="Tahoma"/>
      <family val="2"/>
    </font>
    <font>
      <sz val="9"/>
      <color indexed="81"/>
      <name val="Meiryo UI"/>
      <family val="3"/>
      <charset val="128"/>
    </font>
    <font>
      <sz val="10"/>
      <name val="Meiryo UI"/>
      <family val="3"/>
      <charset val="128"/>
    </font>
    <font>
      <sz val="10"/>
      <color rgb="FFFF00FF"/>
      <name val="Meiryo UI"/>
      <family val="3"/>
      <charset val="128"/>
    </font>
    <font>
      <sz val="9"/>
      <color rgb="FF000000"/>
      <name val="Meiryo UI"/>
      <family val="3"/>
      <charset val="128"/>
    </font>
    <font>
      <sz val="10.5"/>
      <color theme="1"/>
      <name val="Arial"/>
      <family val="2"/>
    </font>
    <font>
      <sz val="10"/>
      <color theme="1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b/>
      <sz val="10"/>
      <color theme="1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lightGray">
        <fgColor theme="0" tint="-0.34998626667073579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lightGray">
        <fgColor theme="0" tint="-0.49998474074526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rgb="FF8EB4E3"/>
      </patternFill>
    </fill>
    <fill>
      <patternFill patternType="solid">
        <fgColor theme="3" tint="0.79998168889431442"/>
        <bgColor rgb="FF8EB4E3"/>
      </patternFill>
    </fill>
    <fill>
      <patternFill patternType="solid">
        <fgColor theme="5" tint="0.59999389629810485"/>
        <bgColor rgb="FF8EB4E3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rgb="FF8EB4E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thick">
        <color auto="1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</borders>
  <cellStyleXfs count="5">
    <xf numFmtId="0" fontId="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/>
  </cellStyleXfs>
  <cellXfs count="4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>
      <alignment vertical="center"/>
    </xf>
    <xf numFmtId="0" fontId="8" fillId="0" borderId="0" xfId="0" applyFo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5" fillId="0" borderId="4" xfId="0" applyFont="1" applyFill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3" borderId="12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1" fillId="0" borderId="0" xfId="0" applyFont="1" applyProtection="1">
      <alignment vertical="center"/>
      <protection locked="0"/>
    </xf>
    <xf numFmtId="0" fontId="0" fillId="0" borderId="5" xfId="0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 vertical="center"/>
    </xf>
    <xf numFmtId="0" fontId="0" fillId="10" borderId="0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10" borderId="11" xfId="0" applyFont="1" applyFill="1" applyBorder="1" applyAlignment="1">
      <alignment horizontal="center" vertical="center"/>
    </xf>
    <xf numFmtId="0" fontId="0" fillId="10" borderId="13" xfId="0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10" fillId="7" borderId="4" xfId="1" applyFont="1" applyFill="1" applyBorder="1" applyAlignment="1" applyProtection="1">
      <alignment horizontal="center" vertical="center"/>
    </xf>
    <xf numFmtId="0" fontId="10" fillId="7" borderId="5" xfId="1" applyFont="1" applyFill="1" applyBorder="1" applyAlignment="1" applyProtection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>
      <alignment vertical="center"/>
    </xf>
    <xf numFmtId="0" fontId="5" fillId="9" borderId="5" xfId="0" applyFont="1" applyFill="1" applyBorder="1">
      <alignment vertical="center"/>
    </xf>
    <xf numFmtId="0" fontId="5" fillId="9" borderId="3" xfId="0" applyFont="1" applyFill="1" applyBorder="1">
      <alignment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10" borderId="8" xfId="0" applyFont="1" applyFill="1" applyBorder="1" applyAlignment="1">
      <alignment horizontal="center" vertical="center"/>
    </xf>
    <xf numFmtId="0" fontId="0" fillId="10" borderId="14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1" fillId="11" borderId="0" xfId="0" applyFont="1" applyFill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3" fillId="0" borderId="4" xfId="1" applyFont="1" applyFill="1" applyBorder="1" applyAlignment="1" applyProtection="1">
      <alignment horizontal="center" vertical="center"/>
    </xf>
    <xf numFmtId="0" fontId="13" fillId="0" borderId="5" xfId="1" applyFont="1" applyFill="1" applyBorder="1" applyAlignment="1" applyProtection="1">
      <alignment horizontal="center" vertical="center"/>
    </xf>
    <xf numFmtId="0" fontId="14" fillId="0" borderId="4" xfId="1" applyFont="1" applyFill="1" applyBorder="1" applyAlignment="1" applyProtection="1">
      <alignment horizontal="center" vertical="center"/>
    </xf>
    <xf numFmtId="0" fontId="14" fillId="0" borderId="5" xfId="1" applyFont="1" applyFill="1" applyBorder="1" applyAlignment="1" applyProtection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0" borderId="4" xfId="0" applyFont="1" applyBorder="1" applyAlignment="1" applyProtection="1">
      <alignment horizontal="center" vertical="center"/>
      <protection locked="0"/>
    </xf>
    <xf numFmtId="0" fontId="0" fillId="0" borderId="5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6" fillId="0" borderId="4" xfId="1" applyFont="1" applyFill="1" applyBorder="1" applyAlignment="1" applyProtection="1">
      <alignment horizontal="center" vertical="center"/>
    </xf>
    <xf numFmtId="0" fontId="16" fillId="0" borderId="5" xfId="1" applyFont="1" applyFill="1" applyBorder="1" applyAlignment="1" applyProtection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0" fontId="5" fillId="0" borderId="4" xfId="0" applyFont="1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3" borderId="3" xfId="0" applyFill="1" applyBorder="1" applyAlignment="1">
      <alignment horizontal="center" vertical="center"/>
    </xf>
    <xf numFmtId="0" fontId="12" fillId="0" borderId="0" xfId="0" applyFont="1">
      <alignment vertical="center"/>
    </xf>
    <xf numFmtId="0" fontId="19" fillId="0" borderId="4" xfId="1" applyFont="1" applyFill="1" applyBorder="1" applyAlignment="1" applyProtection="1">
      <alignment horizontal="center" vertical="center"/>
    </xf>
    <xf numFmtId="0" fontId="19" fillId="0" borderId="5" xfId="1" applyFont="1" applyFill="1" applyBorder="1" applyAlignment="1" applyProtection="1">
      <alignment horizontal="center" vertical="center"/>
    </xf>
    <xf numFmtId="0" fontId="1" fillId="0" borderId="4" xfId="1" applyFont="1" applyFill="1" applyBorder="1" applyAlignment="1" applyProtection="1">
      <alignment horizontal="center" vertical="center"/>
    </xf>
    <xf numFmtId="0" fontId="17" fillId="0" borderId="4" xfId="1" applyFont="1" applyFill="1" applyBorder="1" applyAlignment="1" applyProtection="1">
      <alignment horizontal="center" vertical="center"/>
    </xf>
    <xf numFmtId="0" fontId="1" fillId="0" borderId="5" xfId="1" applyFont="1" applyFill="1" applyBorder="1" applyAlignment="1" applyProtection="1">
      <alignment horizontal="center" vertical="center"/>
    </xf>
    <xf numFmtId="0" fontId="0" fillId="0" borderId="0" xfId="0" applyFill="1" applyBorder="1">
      <alignment vertical="center"/>
    </xf>
    <xf numFmtId="0" fontId="0" fillId="12" borderId="5" xfId="0" applyFill="1" applyBorder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4" xfId="0" quotePrefix="1" applyFill="1" applyBorder="1">
      <alignment vertical="center"/>
    </xf>
    <xf numFmtId="0" fontId="0" fillId="0" borderId="0" xfId="0" applyAlignment="1">
      <alignment horizontal="left" vertical="center" shrinkToFit="1"/>
    </xf>
    <xf numFmtId="0" fontId="1" fillId="7" borderId="0" xfId="0" applyFont="1" applyFill="1" applyProtection="1">
      <alignment vertical="center"/>
      <protection locked="0"/>
    </xf>
    <xf numFmtId="0" fontId="14" fillId="0" borderId="0" xfId="4" applyFont="1"/>
    <xf numFmtId="0" fontId="26" fillId="0" borderId="0" xfId="3" applyFont="1">
      <alignment vertical="center"/>
    </xf>
    <xf numFmtId="0" fontId="27" fillId="0" borderId="0" xfId="4" applyFont="1"/>
    <xf numFmtId="0" fontId="27" fillId="0" borderId="0" xfId="4" applyFont="1" applyAlignment="1">
      <alignment horizontal="center"/>
    </xf>
    <xf numFmtId="0" fontId="28" fillId="0" borderId="0" xfId="4" applyFont="1" applyFill="1" applyBorder="1"/>
    <xf numFmtId="0" fontId="14" fillId="14" borderId="19" xfId="4" applyFont="1" applyFill="1" applyBorder="1"/>
    <xf numFmtId="0" fontId="14" fillId="14" borderId="27" xfId="4" applyFont="1" applyFill="1" applyBorder="1"/>
    <xf numFmtId="0" fontId="14" fillId="14" borderId="26" xfId="4" applyFont="1" applyFill="1" applyBorder="1"/>
    <xf numFmtId="0" fontId="14" fillId="14" borderId="15" xfId="4" applyFont="1" applyFill="1" applyBorder="1"/>
    <xf numFmtId="0" fontId="14" fillId="15" borderId="15" xfId="4" applyFont="1" applyFill="1" applyBorder="1" applyAlignment="1">
      <alignment horizontal="center"/>
    </xf>
    <xf numFmtId="0" fontId="28" fillId="15" borderId="15" xfId="4" applyFont="1" applyFill="1" applyBorder="1" applyAlignment="1">
      <alignment horizontal="center"/>
    </xf>
    <xf numFmtId="0" fontId="28" fillId="15" borderId="15" xfId="4" applyFont="1" applyFill="1" applyBorder="1"/>
    <xf numFmtId="0" fontId="28" fillId="14" borderId="15" xfId="4" applyFont="1" applyFill="1" applyBorder="1"/>
    <xf numFmtId="0" fontId="14" fillId="16" borderId="19" xfId="4" applyFont="1" applyFill="1" applyBorder="1"/>
    <xf numFmtId="0" fontId="14" fillId="16" borderId="18" xfId="4" applyFont="1" applyFill="1" applyBorder="1" applyAlignment="1">
      <alignment vertical="top"/>
    </xf>
    <xf numFmtId="0" fontId="14" fillId="16" borderId="18" xfId="4" applyFont="1" applyFill="1" applyBorder="1" applyAlignment="1">
      <alignment horizontal="center" vertical="top"/>
    </xf>
    <xf numFmtId="0" fontId="28" fillId="16" borderId="18" xfId="4" applyFont="1" applyFill="1" applyBorder="1" applyAlignment="1">
      <alignment horizontal="center" vertical="top"/>
    </xf>
    <xf numFmtId="0" fontId="28" fillId="16" borderId="18" xfId="4" applyFont="1" applyFill="1" applyBorder="1" applyAlignment="1">
      <alignment vertical="top"/>
    </xf>
    <xf numFmtId="0" fontId="28" fillId="16" borderId="17" xfId="4" applyFont="1" applyFill="1" applyBorder="1" applyAlignment="1">
      <alignment vertical="top"/>
    </xf>
    <xf numFmtId="0" fontId="14" fillId="16" borderId="20" xfId="4" applyFont="1" applyFill="1" applyBorder="1"/>
    <xf numFmtId="0" fontId="14" fillId="0" borderId="15" xfId="4" applyFont="1" applyFill="1" applyBorder="1" applyAlignment="1">
      <alignment vertical="top"/>
    </xf>
    <xf numFmtId="0" fontId="29" fillId="0" borderId="15" xfId="4" applyFont="1" applyFill="1" applyBorder="1" applyAlignment="1">
      <alignment horizontal="center" vertical="top"/>
    </xf>
    <xf numFmtId="0" fontId="14" fillId="0" borderId="15" xfId="4" applyFont="1" applyFill="1" applyBorder="1" applyAlignment="1">
      <alignment horizontal="left" vertical="top" wrapText="1"/>
    </xf>
    <xf numFmtId="0" fontId="14" fillId="0" borderId="21" xfId="4" applyFont="1" applyFill="1" applyBorder="1" applyAlignment="1">
      <alignment vertical="top"/>
    </xf>
    <xf numFmtId="0" fontId="14" fillId="0" borderId="16" xfId="4" applyFont="1" applyFill="1" applyBorder="1" applyAlignment="1">
      <alignment vertical="top"/>
    </xf>
    <xf numFmtId="176" fontId="14" fillId="0" borderId="15" xfId="4" applyNumberFormat="1" applyFont="1" applyFill="1" applyBorder="1" applyAlignment="1">
      <alignment vertical="top"/>
    </xf>
    <xf numFmtId="0" fontId="14" fillId="0" borderId="20" xfId="4" applyFont="1" applyFill="1" applyBorder="1" applyAlignment="1">
      <alignment vertical="top"/>
    </xf>
    <xf numFmtId="0" fontId="14" fillId="0" borderId="15" xfId="4" applyFont="1" applyFill="1" applyBorder="1" applyAlignment="1">
      <alignment vertical="top" wrapText="1"/>
    </xf>
    <xf numFmtId="0" fontId="14" fillId="16" borderId="16" xfId="4" applyFont="1" applyFill="1" applyBorder="1"/>
    <xf numFmtId="0" fontId="14" fillId="0" borderId="15" xfId="4" applyFont="1" applyFill="1" applyBorder="1" applyAlignment="1">
      <alignment horizontal="center" vertical="top" wrapText="1"/>
    </xf>
    <xf numFmtId="0" fontId="14" fillId="0" borderId="19" xfId="4" applyFont="1" applyFill="1" applyBorder="1" applyAlignment="1">
      <alignment vertical="top"/>
    </xf>
    <xf numFmtId="0" fontId="14" fillId="0" borderId="23" xfId="4" applyFont="1" applyFill="1" applyBorder="1" applyAlignment="1">
      <alignment vertical="top"/>
    </xf>
    <xf numFmtId="0" fontId="14" fillId="0" borderId="25" xfId="4" applyFont="1" applyFill="1" applyBorder="1" applyAlignment="1">
      <alignment vertical="top"/>
    </xf>
    <xf numFmtId="0" fontId="14" fillId="16" borderId="27" xfId="4" applyFont="1" applyFill="1" applyBorder="1" applyAlignment="1">
      <alignment vertical="top"/>
    </xf>
    <xf numFmtId="0" fontId="14" fillId="16" borderId="25" xfId="4" applyFont="1" applyFill="1" applyBorder="1"/>
    <xf numFmtId="0" fontId="28" fillId="0" borderId="0" xfId="4" applyFont="1"/>
    <xf numFmtId="0" fontId="27" fillId="0" borderId="0" xfId="4" applyFont="1" applyAlignment="1">
      <alignment horizontal="right"/>
    </xf>
    <xf numFmtId="0" fontId="14" fillId="0" borderId="0" xfId="4" applyFont="1" applyAlignment="1">
      <alignment horizontal="center"/>
    </xf>
    <xf numFmtId="0" fontId="14" fillId="13" borderId="17" xfId="4" applyFont="1" applyFill="1" applyBorder="1"/>
    <xf numFmtId="0" fontId="14" fillId="13" borderId="15" xfId="4" applyFont="1" applyFill="1" applyBorder="1"/>
    <xf numFmtId="0" fontId="14" fillId="13" borderId="15" xfId="4" applyFont="1" applyFill="1" applyBorder="1" applyAlignment="1">
      <alignment horizontal="center"/>
    </xf>
    <xf numFmtId="0" fontId="14" fillId="16" borderId="27" xfId="4" applyFont="1" applyFill="1" applyBorder="1" applyAlignment="1">
      <alignment horizontal="center"/>
    </xf>
    <xf numFmtId="0" fontId="14" fillId="16" borderId="27" xfId="4" applyFont="1" applyFill="1" applyBorder="1"/>
    <xf numFmtId="0" fontId="14" fillId="16" borderId="26" xfId="4" applyFont="1" applyFill="1" applyBorder="1" applyAlignment="1">
      <alignment horizontal="center"/>
    </xf>
    <xf numFmtId="0" fontId="14" fillId="0" borderId="15" xfId="4" applyFont="1" applyBorder="1"/>
    <xf numFmtId="0" fontId="14" fillId="0" borderId="15" xfId="4" applyFont="1" applyFill="1" applyBorder="1" applyAlignment="1">
      <alignment horizontal="center"/>
    </xf>
    <xf numFmtId="0" fontId="14" fillId="0" borderId="15" xfId="4" applyFont="1" applyBorder="1" applyAlignment="1">
      <alignment wrapText="1"/>
    </xf>
    <xf numFmtId="0" fontId="14" fillId="16" borderId="23" xfId="4" applyFont="1" applyFill="1" applyBorder="1"/>
    <xf numFmtId="0" fontId="14" fillId="0" borderId="0" xfId="4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vertical="center" wrapText="1"/>
    </xf>
    <xf numFmtId="0" fontId="14" fillId="16" borderId="17" xfId="4" applyFont="1" applyFill="1" applyBorder="1" applyAlignment="1">
      <alignment horizontal="left" vertical="top"/>
    </xf>
    <xf numFmtId="0" fontId="29" fillId="0" borderId="15" xfId="4" applyFont="1" applyFill="1" applyBorder="1" applyAlignment="1">
      <alignment horizontal="left" vertical="top"/>
    </xf>
    <xf numFmtId="177" fontId="0" fillId="0" borderId="5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4" fillId="0" borderId="0" xfId="4" applyFont="1" applyBorder="1" applyAlignment="1">
      <alignment horizontal="center"/>
    </xf>
    <xf numFmtId="0" fontId="14" fillId="0" borderId="0" xfId="4" applyFont="1" applyBorder="1"/>
    <xf numFmtId="0" fontId="14" fillId="0" borderId="0" xfId="4" applyFont="1" applyFill="1" applyBorder="1" applyAlignment="1">
      <alignment horizontal="center"/>
    </xf>
    <xf numFmtId="0" fontId="14" fillId="0" borderId="0" xfId="4" applyFont="1" applyFill="1" applyBorder="1"/>
    <xf numFmtId="49" fontId="14" fillId="0" borderId="15" xfId="4" applyNumberFormat="1" applyFont="1" applyBorder="1" applyAlignment="1">
      <alignment horizontal="center"/>
    </xf>
    <xf numFmtId="0" fontId="14" fillId="14" borderId="23" xfId="4" applyFont="1" applyFill="1" applyBorder="1" applyAlignment="1"/>
    <xf numFmtId="0" fontId="14" fillId="14" borderId="22" xfId="4" applyFont="1" applyFill="1" applyBorder="1"/>
    <xf numFmtId="0" fontId="28" fillId="14" borderId="25" xfId="4" applyFont="1" applyFill="1" applyBorder="1"/>
    <xf numFmtId="0" fontId="28" fillId="14" borderId="24" xfId="4" applyFont="1" applyFill="1" applyBorder="1"/>
    <xf numFmtId="0" fontId="24" fillId="0" borderId="15" xfId="4" applyFont="1" applyFill="1" applyBorder="1" applyAlignment="1">
      <alignment horizontal="left" vertical="top"/>
    </xf>
    <xf numFmtId="0" fontId="25" fillId="0" borderId="15" xfId="4" applyFont="1" applyFill="1" applyBorder="1" applyAlignment="1">
      <alignment horizontal="left" vertical="top"/>
    </xf>
    <xf numFmtId="0" fontId="25" fillId="0" borderId="15" xfId="4" applyFont="1" applyFill="1" applyBorder="1" applyAlignment="1">
      <alignment horizontal="left"/>
    </xf>
    <xf numFmtId="0" fontId="14" fillId="0" borderId="15" xfId="4" applyFont="1" applyFill="1" applyBorder="1" applyAlignment="1">
      <alignment horizontal="left"/>
    </xf>
    <xf numFmtId="0" fontId="25" fillId="0" borderId="0" xfId="4" applyFont="1"/>
    <xf numFmtId="0" fontId="29" fillId="0" borderId="0" xfId="4" applyFont="1"/>
    <xf numFmtId="0" fontId="14" fillId="0" borderId="15" xfId="4" applyFont="1" applyFill="1" applyBorder="1" applyAlignment="1">
      <alignment horizontal="center" vertical="top"/>
    </xf>
    <xf numFmtId="20" fontId="14" fillId="0" borderId="15" xfId="4" applyNumberFormat="1" applyFont="1" applyBorder="1"/>
    <xf numFmtId="46" fontId="14" fillId="0" borderId="15" xfId="4" applyNumberFormat="1" applyFont="1" applyBorder="1"/>
    <xf numFmtId="0" fontId="14" fillId="0" borderId="15" xfId="4" quotePrefix="1" applyFont="1" applyBorder="1"/>
    <xf numFmtId="49" fontId="14" fillId="0" borderId="15" xfId="4" quotePrefix="1" applyNumberFormat="1" applyFont="1" applyBorder="1" applyAlignment="1">
      <alignment horizontal="left"/>
    </xf>
    <xf numFmtId="0" fontId="14" fillId="15" borderId="28" xfId="4" applyFont="1" applyFill="1" applyBorder="1" applyAlignment="1">
      <alignment wrapText="1"/>
    </xf>
    <xf numFmtId="0" fontId="14" fillId="15" borderId="17" xfId="4" applyFont="1" applyFill="1" applyBorder="1" applyAlignment="1">
      <alignment wrapText="1"/>
    </xf>
    <xf numFmtId="0" fontId="14" fillId="0" borderId="28" xfId="4" applyFont="1" applyFill="1" applyBorder="1"/>
    <xf numFmtId="0" fontId="14" fillId="0" borderId="18" xfId="4" applyFont="1" applyFill="1" applyBorder="1"/>
    <xf numFmtId="0" fontId="14" fillId="0" borderId="17" xfId="4" applyFont="1" applyFill="1" applyBorder="1"/>
    <xf numFmtId="0" fontId="14" fillId="14" borderId="33" xfId="4" applyFont="1" applyFill="1" applyBorder="1" applyAlignment="1"/>
    <xf numFmtId="0" fontId="14" fillId="17" borderId="17" xfId="4" applyFont="1" applyFill="1" applyBorder="1" applyAlignment="1">
      <alignment horizontal="center" wrapText="1"/>
    </xf>
    <xf numFmtId="0" fontId="14" fillId="18" borderId="15" xfId="4" applyFont="1" applyFill="1" applyBorder="1" applyAlignment="1">
      <alignment horizontal="left" vertical="top"/>
    </xf>
    <xf numFmtId="0" fontId="14" fillId="19" borderId="15" xfId="4" applyFont="1" applyFill="1" applyBorder="1" applyAlignment="1">
      <alignment horizontal="left" vertical="top"/>
    </xf>
    <xf numFmtId="0" fontId="14" fillId="18" borderId="21" xfId="4" applyFont="1" applyFill="1" applyBorder="1" applyAlignment="1">
      <alignment vertical="top" wrapText="1"/>
    </xf>
    <xf numFmtId="0" fontId="25" fillId="18" borderId="15" xfId="4" applyFont="1" applyFill="1" applyBorder="1" applyAlignment="1">
      <alignment horizontal="left" vertical="top"/>
    </xf>
    <xf numFmtId="0" fontId="14" fillId="18" borderId="21" xfId="4" applyFont="1" applyFill="1" applyBorder="1" applyAlignment="1">
      <alignment vertical="top"/>
    </xf>
    <xf numFmtId="0" fontId="14" fillId="18" borderId="21" xfId="4" quotePrefix="1" applyFont="1" applyFill="1" applyBorder="1" applyAlignment="1">
      <alignment vertical="top"/>
    </xf>
    <xf numFmtId="0" fontId="14" fillId="19" borderId="21" xfId="4" applyFont="1" applyFill="1" applyBorder="1" applyAlignment="1">
      <alignment vertical="top" wrapText="1"/>
    </xf>
    <xf numFmtId="0" fontId="25" fillId="19" borderId="15" xfId="4" applyFont="1" applyFill="1" applyBorder="1" applyAlignment="1">
      <alignment horizontal="left" vertical="top"/>
    </xf>
    <xf numFmtId="0" fontId="14" fillId="19" borderId="21" xfId="4" applyFont="1" applyFill="1" applyBorder="1" applyAlignment="1">
      <alignment vertical="top"/>
    </xf>
    <xf numFmtId="0" fontId="14" fillId="19" borderId="21" xfId="4" quotePrefix="1" applyFont="1" applyFill="1" applyBorder="1" applyAlignment="1">
      <alignment vertical="top"/>
    </xf>
    <xf numFmtId="0" fontId="14" fillId="19" borderId="15" xfId="4" quotePrefix="1" applyFont="1" applyFill="1" applyBorder="1" applyAlignment="1">
      <alignment vertical="top"/>
    </xf>
    <xf numFmtId="0" fontId="28" fillId="14" borderId="0" xfId="4" applyFont="1" applyFill="1" applyBorder="1"/>
    <xf numFmtId="14" fontId="0" fillId="0" borderId="10" xfId="0" applyNumberFormat="1" applyFont="1" applyBorder="1" applyAlignment="1">
      <alignment horizontal="center" vertical="center"/>
    </xf>
    <xf numFmtId="178" fontId="0" fillId="0" borderId="5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4" fontId="30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5" fillId="0" borderId="10" xfId="0" quotePrefix="1" applyFont="1" applyBorder="1" applyAlignment="1">
      <alignment vertical="center" wrapText="1"/>
    </xf>
    <xf numFmtId="0" fontId="14" fillId="17" borderId="18" xfId="4" applyFont="1" applyFill="1" applyBorder="1" applyAlignment="1">
      <alignment horizontal="center" wrapText="1"/>
    </xf>
    <xf numFmtId="0" fontId="14" fillId="0" borderId="16" xfId="4" applyFont="1" applyBorder="1"/>
    <xf numFmtId="0" fontId="14" fillId="18" borderId="15" xfId="4" quotePrefix="1" applyFont="1" applyFill="1" applyBorder="1" applyAlignment="1">
      <alignment vertical="top"/>
    </xf>
    <xf numFmtId="0" fontId="14" fillId="0" borderId="15" xfId="4" applyFont="1" applyFill="1" applyBorder="1" applyAlignment="1">
      <alignment horizontal="left" vertical="top"/>
    </xf>
    <xf numFmtId="0" fontId="14" fillId="0" borderId="21" xfId="4" applyFont="1" applyFill="1" applyBorder="1" applyAlignment="1">
      <alignment horizontal="left" vertical="top"/>
    </xf>
    <xf numFmtId="0" fontId="14" fillId="0" borderId="15" xfId="4" applyFont="1" applyFill="1" applyBorder="1" applyAlignment="1">
      <alignment horizontal="left" vertical="top"/>
    </xf>
    <xf numFmtId="0" fontId="14" fillId="0" borderId="15" xfId="4" applyFont="1" applyFill="1" applyBorder="1" applyAlignment="1">
      <alignment horizontal="left" vertical="top"/>
    </xf>
    <xf numFmtId="0" fontId="27" fillId="0" borderId="0" xfId="4" applyFont="1" applyAlignment="1"/>
    <xf numFmtId="0" fontId="27" fillId="0" borderId="0" xfId="4" applyFont="1" applyAlignment="1">
      <alignment horizontal="left"/>
    </xf>
    <xf numFmtId="0" fontId="14" fillId="0" borderId="15" xfId="4" applyFont="1" applyFill="1" applyBorder="1" applyAlignment="1">
      <alignment horizontal="left" vertical="top"/>
    </xf>
    <xf numFmtId="0" fontId="14" fillId="0" borderId="0" xfId="4" applyFont="1"/>
    <xf numFmtId="0" fontId="14" fillId="16" borderId="20" xfId="4" applyFont="1" applyFill="1" applyBorder="1"/>
    <xf numFmtId="0" fontId="14" fillId="0" borderId="15" xfId="4" applyFont="1" applyFill="1" applyBorder="1" applyAlignment="1">
      <alignment horizontal="left" vertical="top" wrapText="1"/>
    </xf>
    <xf numFmtId="0" fontId="14" fillId="0" borderId="15" xfId="4" applyFont="1" applyFill="1" applyBorder="1" applyAlignment="1">
      <alignment horizontal="center" vertical="top" wrapText="1"/>
    </xf>
    <xf numFmtId="0" fontId="14" fillId="0" borderId="25" xfId="4" applyFont="1" applyFill="1" applyBorder="1" applyAlignment="1">
      <alignment vertical="top"/>
    </xf>
    <xf numFmtId="0" fontId="14" fillId="0" borderId="15" xfId="4" applyFont="1" applyFill="1" applyBorder="1" applyAlignment="1">
      <alignment horizontal="center" vertical="top"/>
    </xf>
    <xf numFmtId="0" fontId="14" fillId="0" borderId="15" xfId="4" applyFont="1" applyFill="1" applyBorder="1" applyAlignment="1">
      <alignment horizontal="left" vertical="top" wrapText="1"/>
    </xf>
    <xf numFmtId="0" fontId="14" fillId="0" borderId="15" xfId="4" applyFont="1" applyFill="1" applyBorder="1" applyAlignment="1">
      <alignment horizontal="left" vertical="top"/>
    </xf>
    <xf numFmtId="0" fontId="14" fillId="0" borderId="15" xfId="4" applyFont="1" applyFill="1" applyBorder="1" applyAlignment="1">
      <alignment horizontal="left" vertical="top"/>
    </xf>
    <xf numFmtId="176" fontId="14" fillId="0" borderId="17" xfId="4" applyNumberFormat="1" applyFont="1" applyFill="1" applyBorder="1" applyAlignment="1">
      <alignment vertical="top"/>
    </xf>
    <xf numFmtId="0" fontId="14" fillId="0" borderId="34" xfId="4" applyFont="1" applyFill="1" applyBorder="1" applyAlignment="1">
      <alignment vertical="top"/>
    </xf>
    <xf numFmtId="0" fontId="14" fillId="0" borderId="35" xfId="4" applyFont="1" applyFill="1" applyBorder="1" applyAlignment="1">
      <alignment vertical="top"/>
    </xf>
    <xf numFmtId="0" fontId="14" fillId="0" borderId="36" xfId="4" applyFont="1" applyFill="1" applyBorder="1" applyAlignment="1">
      <alignment vertical="top"/>
    </xf>
    <xf numFmtId="0" fontId="14" fillId="0" borderId="15" xfId="4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1" fillId="20" borderId="0" xfId="0" applyFont="1" applyFill="1" applyProtection="1">
      <alignment vertical="center"/>
      <protection locked="0"/>
    </xf>
    <xf numFmtId="0" fontId="1" fillId="0" borderId="0" xfId="0" applyFont="1" applyFill="1">
      <alignment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0" borderId="4" xfId="0" applyFont="1" applyFill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15" fillId="0" borderId="3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0" fillId="0" borderId="4" xfId="0" quotePrefix="1" applyFont="1" applyFill="1" applyBorder="1" applyAlignment="1">
      <alignment vertical="center"/>
    </xf>
    <xf numFmtId="0" fontId="29" fillId="0" borderId="4" xfId="1" applyFont="1" applyFill="1" applyBorder="1" applyAlignment="1" applyProtection="1">
      <alignment horizontal="center" vertical="center"/>
    </xf>
    <xf numFmtId="0" fontId="30" fillId="0" borderId="4" xfId="0" applyFont="1" applyBorder="1" applyAlignment="1" applyProtection="1">
      <alignment horizontal="center" vertical="center"/>
      <protection locked="0"/>
    </xf>
    <xf numFmtId="0" fontId="30" fillId="0" borderId="5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4" xfId="0" applyFont="1" applyFill="1" applyBorder="1">
      <alignment vertical="center"/>
    </xf>
    <xf numFmtId="0" fontId="30" fillId="8" borderId="4" xfId="0" applyFont="1" applyFill="1" applyBorder="1" applyAlignment="1">
      <alignment horizontal="left" vertical="center"/>
    </xf>
    <xf numFmtId="0" fontId="13" fillId="8" borderId="4" xfId="1" applyFont="1" applyFill="1" applyBorder="1" applyAlignment="1" applyProtection="1">
      <alignment horizontal="center" vertical="center"/>
    </xf>
    <xf numFmtId="0" fontId="0" fillId="8" borderId="4" xfId="0" applyFont="1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8" borderId="4" xfId="0" applyFont="1" applyFill="1" applyBorder="1" applyAlignment="1">
      <alignment horizontal="left" vertical="center"/>
    </xf>
    <xf numFmtId="0" fontId="0" fillId="8" borderId="4" xfId="0" applyFill="1" applyBorder="1">
      <alignment vertic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  <xf numFmtId="0" fontId="13" fillId="8" borderId="5" xfId="1" applyFont="1" applyFill="1" applyBorder="1" applyAlignment="1" applyProtection="1">
      <alignment horizontal="center" vertical="center"/>
    </xf>
    <xf numFmtId="0" fontId="0" fillId="8" borderId="5" xfId="0" applyFill="1" applyBorder="1" applyAlignment="1" applyProtection="1">
      <alignment horizontal="center" vertical="center"/>
      <protection locked="0"/>
    </xf>
    <xf numFmtId="0" fontId="15" fillId="8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0" fillId="0" borderId="5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15" fillId="8" borderId="4" xfId="0" applyFont="1" applyFill="1" applyBorder="1" applyAlignment="1">
      <alignment horizontal="center" vertical="center" wrapText="1"/>
    </xf>
    <xf numFmtId="0" fontId="0" fillId="8" borderId="6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0" fillId="0" borderId="4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0" fillId="8" borderId="3" xfId="0" applyFill="1" applyBorder="1">
      <alignment vertical="center"/>
    </xf>
    <xf numFmtId="0" fontId="0" fillId="10" borderId="11" xfId="0" applyFill="1" applyBorder="1" applyAlignment="1">
      <alignment horizontal="center" vertical="center"/>
    </xf>
    <xf numFmtId="0" fontId="14" fillId="8" borderId="4" xfId="1" applyFont="1" applyFill="1" applyBorder="1" applyAlignment="1" applyProtection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30" fillId="0" borderId="4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vertical="center" wrapText="1"/>
    </xf>
    <xf numFmtId="0" fontId="33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35" fillId="0" borderId="0" xfId="4" applyFont="1" applyAlignment="1">
      <alignment vertical="top"/>
    </xf>
    <xf numFmtId="49" fontId="35" fillId="0" borderId="0" xfId="4" applyNumberFormat="1" applyFont="1" applyAlignment="1">
      <alignment horizontal="center" vertical="top"/>
    </xf>
    <xf numFmtId="0" fontId="23" fillId="0" borderId="0" xfId="4" applyFont="1"/>
    <xf numFmtId="0" fontId="22" fillId="0" borderId="0" xfId="4"/>
    <xf numFmtId="0" fontId="21" fillId="0" borderId="0" xfId="3">
      <alignment vertical="center"/>
    </xf>
    <xf numFmtId="0" fontId="36" fillId="0" borderId="0" xfId="4" applyFont="1" applyAlignment="1">
      <alignment vertical="top"/>
    </xf>
    <xf numFmtId="0" fontId="36" fillId="0" borderId="0" xfId="4" applyFont="1" applyAlignment="1">
      <alignment horizontal="center" vertical="top"/>
    </xf>
    <xf numFmtId="0" fontId="37" fillId="0" borderId="0" xfId="3" applyFont="1" applyAlignment="1">
      <alignment vertical="top"/>
    </xf>
    <xf numFmtId="49" fontId="37" fillId="0" borderId="0" xfId="3" applyNumberFormat="1" applyFont="1" applyAlignment="1">
      <alignment vertical="top"/>
    </xf>
    <xf numFmtId="0" fontId="35" fillId="13" borderId="28" xfId="4" applyFont="1" applyFill="1" applyBorder="1" applyAlignment="1">
      <alignment vertical="top"/>
    </xf>
    <xf numFmtId="0" fontId="35" fillId="13" borderId="18" xfId="4" applyFont="1" applyFill="1" applyBorder="1" applyAlignment="1">
      <alignment vertical="top"/>
    </xf>
    <xf numFmtId="0" fontId="35" fillId="13" borderId="17" xfId="4" applyFont="1" applyFill="1" applyBorder="1" applyAlignment="1">
      <alignment vertical="top"/>
    </xf>
    <xf numFmtId="0" fontId="35" fillId="13" borderId="15" xfId="4" applyFont="1" applyFill="1" applyBorder="1" applyAlignment="1">
      <alignment vertical="top"/>
    </xf>
    <xf numFmtId="49" fontId="35" fillId="13" borderId="15" xfId="4" applyNumberFormat="1" applyFont="1" applyFill="1" applyBorder="1" applyAlignment="1">
      <alignment horizontal="center" vertical="top"/>
    </xf>
    <xf numFmtId="0" fontId="35" fillId="15" borderId="15" xfId="4" applyFont="1" applyFill="1" applyBorder="1" applyAlignment="1">
      <alignment vertical="top" wrapText="1"/>
    </xf>
    <xf numFmtId="0" fontId="35" fillId="16" borderId="19" xfId="4" applyFont="1" applyFill="1" applyBorder="1" applyAlignment="1">
      <alignment vertical="top"/>
    </xf>
    <xf numFmtId="49" fontId="35" fillId="16" borderId="27" xfId="4" applyNumberFormat="1" applyFont="1" applyFill="1" applyBorder="1" applyAlignment="1">
      <alignment horizontal="center" vertical="top"/>
    </xf>
    <xf numFmtId="0" fontId="35" fillId="16" borderId="27" xfId="4" applyFont="1" applyFill="1" applyBorder="1" applyAlignment="1">
      <alignment vertical="top"/>
    </xf>
    <xf numFmtId="0" fontId="35" fillId="16" borderId="27" xfId="4" applyFont="1" applyFill="1" applyBorder="1" applyAlignment="1">
      <alignment horizontal="center" vertical="top"/>
    </xf>
    <xf numFmtId="0" fontId="35" fillId="16" borderId="26" xfId="4" applyFont="1" applyFill="1" applyBorder="1" applyAlignment="1">
      <alignment horizontal="center" vertical="top"/>
    </xf>
    <xf numFmtId="0" fontId="35" fillId="16" borderId="25" xfId="4" applyFont="1" applyFill="1" applyBorder="1" applyAlignment="1">
      <alignment vertical="top"/>
    </xf>
    <xf numFmtId="49" fontId="35" fillId="0" borderId="15" xfId="4" applyNumberFormat="1" applyFont="1" applyBorder="1" applyAlignment="1">
      <alignment horizontal="center" vertical="top"/>
    </xf>
    <xf numFmtId="0" fontId="35" fillId="0" borderId="15" xfId="4" applyFont="1" applyFill="1" applyBorder="1" applyAlignment="1">
      <alignment horizontal="center" vertical="top"/>
    </xf>
    <xf numFmtId="0" fontId="35" fillId="0" borderId="15" xfId="4" applyFont="1" applyBorder="1" applyAlignment="1">
      <alignment vertical="top"/>
    </xf>
    <xf numFmtId="0" fontId="35" fillId="0" borderId="15" xfId="4" applyFont="1" applyBorder="1" applyAlignment="1">
      <alignment vertical="top" wrapText="1"/>
    </xf>
    <xf numFmtId="0" fontId="35" fillId="16" borderId="23" xfId="4" applyFont="1" applyFill="1" applyBorder="1" applyAlignment="1">
      <alignment vertical="top"/>
    </xf>
    <xf numFmtId="0" fontId="35" fillId="0" borderId="15" xfId="4" applyFont="1" applyFill="1" applyBorder="1" applyAlignment="1">
      <alignment horizontal="left" vertical="top"/>
    </xf>
    <xf numFmtId="0" fontId="35" fillId="0" borderId="0" xfId="4" applyFont="1" applyFill="1" applyAlignment="1">
      <alignment horizontal="center" vertical="top"/>
    </xf>
    <xf numFmtId="0" fontId="35" fillId="16" borderId="20" xfId="4" applyFont="1" applyFill="1" applyBorder="1" applyAlignment="1">
      <alignment vertical="top"/>
    </xf>
    <xf numFmtId="0" fontId="35" fillId="16" borderId="16" xfId="4" applyFont="1" applyFill="1" applyBorder="1" applyAlignment="1">
      <alignment vertical="top"/>
    </xf>
    <xf numFmtId="0" fontId="35" fillId="0" borderId="29" xfId="4" applyFont="1" applyBorder="1" applyAlignment="1">
      <alignment vertical="top"/>
    </xf>
    <xf numFmtId="0" fontId="38" fillId="0" borderId="0" xfId="0" quotePrefix="1" applyFont="1">
      <alignment vertical="center"/>
    </xf>
    <xf numFmtId="0" fontId="30" fillId="0" borderId="10" xfId="0" applyFont="1" applyBorder="1">
      <alignment vertical="center"/>
    </xf>
    <xf numFmtId="0" fontId="30" fillId="0" borderId="4" xfId="0" applyFont="1" applyFill="1" applyBorder="1" applyAlignment="1">
      <alignment vertical="center" wrapText="1"/>
    </xf>
    <xf numFmtId="0" fontId="30" fillId="0" borderId="4" xfId="0" applyFont="1" applyFill="1" applyBorder="1">
      <alignment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14" fillId="18" borderId="15" xfId="4" applyFont="1" applyFill="1" applyBorder="1" applyAlignment="1">
      <alignment horizontal="right" vertical="top"/>
    </xf>
    <xf numFmtId="0" fontId="14" fillId="19" borderId="15" xfId="4" applyFont="1" applyFill="1" applyBorder="1" applyAlignment="1">
      <alignment horizontal="right" vertical="top"/>
    </xf>
    <xf numFmtId="0" fontId="14" fillId="18" borderId="15" xfId="4" applyFont="1" applyFill="1" applyBorder="1" applyAlignment="1">
      <alignment horizontal="center" vertical="top"/>
    </xf>
    <xf numFmtId="0" fontId="14" fillId="19" borderId="15" xfId="4" applyFont="1" applyFill="1" applyBorder="1" applyAlignment="1">
      <alignment horizontal="center" vertical="top"/>
    </xf>
    <xf numFmtId="0" fontId="14" fillId="18" borderId="15" xfId="4" applyFont="1" applyFill="1" applyBorder="1" applyAlignment="1">
      <alignment vertical="top"/>
    </xf>
    <xf numFmtId="0" fontId="14" fillId="19" borderId="15" xfId="4" applyFont="1" applyFill="1" applyBorder="1" applyAlignment="1">
      <alignment vertical="top"/>
    </xf>
    <xf numFmtId="0" fontId="39" fillId="19" borderId="15" xfId="4" applyFont="1" applyFill="1" applyBorder="1" applyAlignment="1">
      <alignment horizontal="left" vertical="top"/>
    </xf>
    <xf numFmtId="0" fontId="39" fillId="18" borderId="15" xfId="4" applyFont="1" applyFill="1" applyBorder="1" applyAlignment="1">
      <alignment horizontal="left" vertical="top"/>
    </xf>
    <xf numFmtId="0" fontId="14" fillId="0" borderId="15" xfId="4" applyFont="1" applyFill="1" applyBorder="1" applyAlignment="1">
      <alignment horizontal="left" vertical="top"/>
    </xf>
    <xf numFmtId="0" fontId="30" fillId="0" borderId="4" xfId="0" applyFont="1" applyBorder="1">
      <alignment vertical="center"/>
    </xf>
    <xf numFmtId="0" fontId="25" fillId="7" borderId="4" xfId="1" applyFont="1" applyFill="1" applyBorder="1" applyAlignment="1" applyProtection="1">
      <alignment horizontal="center" vertical="center"/>
    </xf>
    <xf numFmtId="0" fontId="40" fillId="0" borderId="15" xfId="4" applyFont="1" applyBorder="1" applyAlignment="1">
      <alignment vertical="top"/>
    </xf>
    <xf numFmtId="0" fontId="40" fillId="0" borderId="15" xfId="4" applyFont="1" applyFill="1" applyBorder="1" applyAlignment="1">
      <alignment vertical="top"/>
    </xf>
    <xf numFmtId="0" fontId="40" fillId="0" borderId="15" xfId="4" applyFont="1" applyFill="1" applyBorder="1" applyAlignment="1">
      <alignment horizontal="center" vertical="top"/>
    </xf>
    <xf numFmtId="0" fontId="40" fillId="0" borderId="15" xfId="4" applyFont="1" applyBorder="1" applyAlignment="1">
      <alignment vertical="top" wrapText="1"/>
    </xf>
    <xf numFmtId="49" fontId="29" fillId="0" borderId="15" xfId="4" applyNumberFormat="1" applyFont="1" applyBorder="1" applyAlignment="1">
      <alignment horizontal="center"/>
    </xf>
    <xf numFmtId="49" fontId="29" fillId="0" borderId="15" xfId="4" quotePrefix="1" applyNumberFormat="1" applyFont="1" applyBorder="1" applyAlignment="1">
      <alignment horizontal="left"/>
    </xf>
    <xf numFmtId="0" fontId="29" fillId="0" borderId="15" xfId="4" applyFont="1" applyBorder="1"/>
    <xf numFmtId="0" fontId="29" fillId="0" borderId="15" xfId="4" applyFont="1" applyBorder="1" applyAlignment="1">
      <alignment wrapText="1"/>
    </xf>
    <xf numFmtId="0" fontId="29" fillId="0" borderId="15" xfId="4" applyFont="1" applyFill="1" applyBorder="1" applyAlignment="1">
      <alignment horizontal="center"/>
    </xf>
    <xf numFmtId="0" fontId="29" fillId="0" borderId="15" xfId="4" applyFont="1" applyFill="1" applyBorder="1" applyAlignment="1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>
      <alignment vertical="center"/>
    </xf>
    <xf numFmtId="0" fontId="41" fillId="19" borderId="15" xfId="4" applyFont="1" applyFill="1" applyBorder="1" applyAlignment="1">
      <alignment horizontal="left" vertical="top"/>
    </xf>
    <xf numFmtId="0" fontId="14" fillId="17" borderId="28" xfId="4" applyFont="1" applyFill="1" applyBorder="1" applyAlignment="1">
      <alignment horizontal="center" wrapText="1"/>
    </xf>
    <xf numFmtId="0" fontId="14" fillId="14" borderId="40" xfId="4" applyFont="1" applyFill="1" applyBorder="1" applyAlignment="1"/>
    <xf numFmtId="0" fontId="14" fillId="14" borderId="41" xfId="4" applyFont="1" applyFill="1" applyBorder="1"/>
    <xf numFmtId="0" fontId="14" fillId="14" borderId="42" xfId="4" applyFont="1" applyFill="1" applyBorder="1" applyAlignment="1"/>
    <xf numFmtId="0" fontId="14" fillId="14" borderId="0" xfId="4" applyFont="1" applyFill="1" applyBorder="1"/>
    <xf numFmtId="0" fontId="40" fillId="15" borderId="15" xfId="4" applyFont="1" applyFill="1" applyBorder="1" applyAlignment="1">
      <alignment vertical="top" wrapText="1"/>
    </xf>
    <xf numFmtId="0" fontId="29" fillId="15" borderId="28" xfId="4" applyFont="1" applyFill="1" applyBorder="1" applyAlignment="1">
      <alignment wrapText="1"/>
    </xf>
    <xf numFmtId="0" fontId="5" fillId="9" borderId="39" xfId="0" applyFont="1" applyFill="1" applyBorder="1" applyAlignment="1">
      <alignment vertical="top"/>
    </xf>
    <xf numFmtId="0" fontId="5" fillId="9" borderId="4" xfId="0" applyFont="1" applyFill="1" applyBorder="1" applyAlignment="1">
      <alignment vertical="top"/>
    </xf>
    <xf numFmtId="0" fontId="5" fillId="9" borderId="5" xfId="0" applyFont="1" applyFill="1" applyBorder="1" applyAlignment="1">
      <alignment vertical="top"/>
    </xf>
    <xf numFmtId="0" fontId="26" fillId="0" borderId="30" xfId="3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/>
    </xf>
    <xf numFmtId="0" fontId="26" fillId="0" borderId="32" xfId="3" applyFont="1" applyBorder="1" applyAlignment="1">
      <alignment horizontal="center" vertical="center"/>
    </xf>
    <xf numFmtId="0" fontId="14" fillId="0" borderId="15" xfId="4" applyFont="1" applyFill="1" applyBorder="1" applyAlignment="1">
      <alignment horizontal="left" vertical="top"/>
    </xf>
    <xf numFmtId="0" fontId="30" fillId="0" borderId="10" xfId="0" applyFont="1" applyBorder="1" applyAlignment="1">
      <alignment horizontal="center" vertical="center" wrapText="1"/>
    </xf>
    <xf numFmtId="176" fontId="29" fillId="0" borderId="17" xfId="4" applyNumberFormat="1" applyFont="1" applyFill="1" applyBorder="1" applyAlignment="1">
      <alignment vertical="top"/>
    </xf>
    <xf numFmtId="0" fontId="29" fillId="0" borderId="15" xfId="4" applyFont="1" applyFill="1" applyBorder="1" applyAlignment="1">
      <alignment horizontal="center" vertical="top" wrapText="1"/>
    </xf>
    <xf numFmtId="0" fontId="29" fillId="0" borderId="15" xfId="4" applyFont="1" applyFill="1" applyBorder="1" applyAlignment="1">
      <alignment horizontal="left" vertical="top" wrapText="1"/>
    </xf>
  </cellXfs>
  <cellStyles count="5">
    <cellStyle name="TableStyleLight1" xfId="4"/>
    <cellStyle name="標準" xfId="0" builtinId="0"/>
    <cellStyle name="標準 2" xfId="1"/>
    <cellStyle name="標準 3" xfId="2"/>
    <cellStyle name="標準 4" xfId="3"/>
  </cellStyles>
  <dxfs count="2336"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0"/>
  <sheetViews>
    <sheetView topLeftCell="A13" zoomScaleNormal="85" workbookViewId="0">
      <selection activeCell="B23" sqref="B23:F23"/>
    </sheetView>
  </sheetViews>
  <sheetFormatPr defaultColWidth="9.140625" defaultRowHeight="11.25"/>
  <cols>
    <col min="1" max="1" width="6.85546875" style="172" customWidth="1"/>
    <col min="2" max="2" width="16.85546875" style="172" customWidth="1"/>
    <col min="3" max="3" width="16.7109375" style="72" customWidth="1"/>
    <col min="4" max="4" width="13" style="72" customWidth="1"/>
    <col min="5" max="5" width="14" style="72" bestFit="1" customWidth="1"/>
    <col min="6" max="6" width="81.7109375" style="172" customWidth="1"/>
    <col min="7" max="16384" width="9.140625" style="172"/>
  </cols>
  <sheetData>
    <row r="2" spans="2:6" ht="27">
      <c r="B2" s="171" t="s">
        <v>100</v>
      </c>
      <c r="C2" s="171"/>
    </row>
    <row r="5" spans="2:6" ht="15.75" customHeight="1" thickBot="1">
      <c r="B5" s="182" t="s">
        <v>220</v>
      </c>
      <c r="C5" s="173" t="s">
        <v>7</v>
      </c>
      <c r="D5" s="173" t="s">
        <v>9</v>
      </c>
      <c r="E5" s="173" t="s">
        <v>201</v>
      </c>
      <c r="F5" s="173" t="s">
        <v>8</v>
      </c>
    </row>
    <row r="6" spans="2:6" ht="12" thickTop="1">
      <c r="B6" s="175"/>
      <c r="C6" s="175">
        <v>42061</v>
      </c>
      <c r="D6" s="174" t="s">
        <v>205</v>
      </c>
      <c r="E6" s="174" t="s">
        <v>54</v>
      </c>
      <c r="F6" s="176" t="s">
        <v>204</v>
      </c>
    </row>
    <row r="7" spans="2:6">
      <c r="B7" s="175"/>
      <c r="C7" s="175">
        <v>42178</v>
      </c>
      <c r="D7" s="174" t="s">
        <v>217</v>
      </c>
      <c r="E7" s="174">
        <v>0.1</v>
      </c>
      <c r="F7" s="176" t="s">
        <v>218</v>
      </c>
    </row>
    <row r="8" spans="2:6">
      <c r="B8" s="181" t="s">
        <v>221</v>
      </c>
      <c r="C8" s="175">
        <v>42179</v>
      </c>
      <c r="D8" s="174" t="s">
        <v>222</v>
      </c>
      <c r="E8" s="174">
        <v>0.2</v>
      </c>
      <c r="F8" s="176" t="s">
        <v>223</v>
      </c>
    </row>
    <row r="9" spans="2:6">
      <c r="B9" s="175" t="s">
        <v>243</v>
      </c>
      <c r="C9" s="175">
        <v>42199</v>
      </c>
      <c r="D9" s="174" t="s">
        <v>205</v>
      </c>
      <c r="E9" s="174">
        <v>0.3</v>
      </c>
      <c r="F9" s="178" t="s">
        <v>244</v>
      </c>
    </row>
    <row r="10" spans="2:6">
      <c r="B10" s="177" t="s">
        <v>246</v>
      </c>
      <c r="C10" s="222">
        <v>42212</v>
      </c>
      <c r="D10" s="177" t="s">
        <v>247</v>
      </c>
      <c r="E10" s="177">
        <v>0.4</v>
      </c>
      <c r="F10" s="176" t="s">
        <v>248</v>
      </c>
    </row>
    <row r="11" spans="2:6">
      <c r="B11" s="177" t="s">
        <v>249</v>
      </c>
      <c r="C11" s="222">
        <v>42212</v>
      </c>
      <c r="D11" s="177" t="s">
        <v>247</v>
      </c>
      <c r="E11" s="177">
        <v>0.4</v>
      </c>
      <c r="F11" s="176" t="s">
        <v>250</v>
      </c>
    </row>
    <row r="12" spans="2:6">
      <c r="B12" s="177" t="s">
        <v>251</v>
      </c>
      <c r="C12" s="222">
        <v>42212</v>
      </c>
      <c r="D12" s="177" t="s">
        <v>247</v>
      </c>
      <c r="E12" s="177">
        <v>0.4</v>
      </c>
      <c r="F12" s="176" t="s">
        <v>252</v>
      </c>
    </row>
    <row r="13" spans="2:6">
      <c r="B13" s="177" t="s">
        <v>253</v>
      </c>
      <c r="C13" s="222">
        <v>42212</v>
      </c>
      <c r="D13" s="177" t="s">
        <v>247</v>
      </c>
      <c r="E13" s="177">
        <v>0.4</v>
      </c>
      <c r="F13" s="176" t="s">
        <v>254</v>
      </c>
    </row>
    <row r="14" spans="2:6">
      <c r="B14" s="177" t="s">
        <v>249</v>
      </c>
      <c r="C14" s="222">
        <v>42223</v>
      </c>
      <c r="D14" s="177" t="s">
        <v>247</v>
      </c>
      <c r="E14" s="177">
        <v>0.4</v>
      </c>
      <c r="F14" s="176" t="s">
        <v>256</v>
      </c>
    </row>
    <row r="15" spans="2:6">
      <c r="B15" s="177" t="s">
        <v>257</v>
      </c>
      <c r="C15" s="222">
        <v>42241</v>
      </c>
      <c r="D15" s="177" t="s">
        <v>258</v>
      </c>
      <c r="E15" s="223">
        <v>1</v>
      </c>
      <c r="F15" s="176" t="s">
        <v>262</v>
      </c>
    </row>
    <row r="16" spans="2:6">
      <c r="B16" s="177" t="s">
        <v>249</v>
      </c>
      <c r="C16" s="222">
        <v>42241</v>
      </c>
      <c r="D16" s="177" t="s">
        <v>258</v>
      </c>
      <c r="E16" s="223">
        <v>1</v>
      </c>
      <c r="F16" s="176" t="s">
        <v>259</v>
      </c>
    </row>
    <row r="17" spans="2:6" ht="22.5">
      <c r="B17" s="226" t="s">
        <v>296</v>
      </c>
      <c r="C17" s="227">
        <v>42334</v>
      </c>
      <c r="D17" s="226" t="s">
        <v>295</v>
      </c>
      <c r="E17" s="228">
        <v>1.3</v>
      </c>
      <c r="F17" s="229" t="s">
        <v>297</v>
      </c>
    </row>
    <row r="18" spans="2:6" ht="22.5">
      <c r="B18" s="226" t="s">
        <v>249</v>
      </c>
      <c r="C18" s="227">
        <v>42334</v>
      </c>
      <c r="D18" s="226" t="s">
        <v>295</v>
      </c>
      <c r="E18" s="228">
        <v>1.3</v>
      </c>
      <c r="F18" s="229" t="s">
        <v>298</v>
      </c>
    </row>
    <row r="19" spans="2:6" ht="13.5">
      <c r="B19" s="177" t="s">
        <v>299</v>
      </c>
      <c r="C19" s="222">
        <v>42398</v>
      </c>
      <c r="D19" s="177" t="s">
        <v>300</v>
      </c>
      <c r="E19" s="177">
        <v>1.5</v>
      </c>
      <c r="F19" s="360" t="s">
        <v>301</v>
      </c>
    </row>
    <row r="20" spans="2:6" s="115" customFormat="1" ht="33.75">
      <c r="B20" s="386" t="s">
        <v>2529</v>
      </c>
      <c r="C20" s="227">
        <v>42513</v>
      </c>
      <c r="D20" s="52" t="s">
        <v>2604</v>
      </c>
      <c r="E20" s="226"/>
      <c r="F20" s="387" t="s">
        <v>2605</v>
      </c>
    </row>
    <row r="21" spans="2:6">
      <c r="B21" s="224" t="s">
        <v>2606</v>
      </c>
      <c r="C21" s="225">
        <v>42696</v>
      </c>
      <c r="D21" s="224" t="s">
        <v>2607</v>
      </c>
      <c r="E21" s="224"/>
      <c r="F21" s="361" t="s">
        <v>2608</v>
      </c>
    </row>
    <row r="22" spans="2:6">
      <c r="B22" s="224" t="s">
        <v>2609</v>
      </c>
      <c r="C22" s="225">
        <v>42706</v>
      </c>
      <c r="D22" s="224" t="s">
        <v>2610</v>
      </c>
      <c r="E22" s="224"/>
      <c r="F22" s="361" t="s">
        <v>2611</v>
      </c>
    </row>
    <row r="23" spans="2:6" ht="22.5">
      <c r="B23" s="403" t="s">
        <v>2992</v>
      </c>
      <c r="C23" s="225">
        <v>42915</v>
      </c>
      <c r="D23" s="224" t="s">
        <v>2993</v>
      </c>
      <c r="E23" s="177"/>
      <c r="F23" s="361" t="s">
        <v>2994</v>
      </c>
    </row>
    <row r="24" spans="2:6">
      <c r="B24" s="177"/>
      <c r="C24" s="177"/>
      <c r="D24" s="177"/>
      <c r="E24" s="177"/>
      <c r="F24" s="176"/>
    </row>
    <row r="25" spans="2:6">
      <c r="B25" s="177"/>
      <c r="C25" s="177"/>
      <c r="D25" s="177"/>
      <c r="E25" s="177"/>
      <c r="F25" s="176"/>
    </row>
    <row r="27" spans="2:6">
      <c r="C27" s="172"/>
      <c r="D27" s="172"/>
      <c r="E27" s="172"/>
    </row>
    <row r="28" spans="2:6">
      <c r="C28" s="172"/>
      <c r="D28" s="172"/>
      <c r="E28" s="172"/>
    </row>
    <row r="29" spans="2:6">
      <c r="C29" s="172"/>
      <c r="D29" s="172"/>
      <c r="E29" s="172"/>
    </row>
    <row r="30" spans="2:6">
      <c r="C30" s="172"/>
      <c r="D30" s="172"/>
      <c r="E30" s="172"/>
    </row>
    <row r="31" spans="2:6">
      <c r="C31" s="172"/>
      <c r="D31" s="172"/>
      <c r="E31" s="172"/>
    </row>
    <row r="32" spans="2:6">
      <c r="C32" s="172"/>
      <c r="D32" s="172"/>
      <c r="E32" s="172"/>
    </row>
    <row r="33" spans="3:5">
      <c r="C33" s="172"/>
      <c r="D33" s="172"/>
      <c r="E33" s="172"/>
    </row>
    <row r="34" spans="3:5">
      <c r="C34" s="172"/>
      <c r="D34" s="172"/>
      <c r="E34" s="172"/>
    </row>
    <row r="35" spans="3:5">
      <c r="C35" s="172"/>
      <c r="D35" s="172"/>
      <c r="E35" s="172"/>
    </row>
    <row r="36" spans="3:5">
      <c r="C36" s="172"/>
      <c r="D36" s="172"/>
      <c r="E36" s="172"/>
    </row>
    <row r="37" spans="3:5">
      <c r="C37" s="172"/>
      <c r="D37" s="172"/>
      <c r="E37" s="172"/>
    </row>
    <row r="38" spans="3:5">
      <c r="C38" s="172"/>
      <c r="D38" s="172"/>
      <c r="E38" s="172"/>
    </row>
    <row r="39" spans="3:5">
      <c r="C39" s="172"/>
      <c r="D39" s="172"/>
      <c r="E39" s="172"/>
    </row>
    <row r="40" spans="3:5">
      <c r="C40" s="172"/>
      <c r="D40" s="172"/>
      <c r="E40" s="172"/>
    </row>
    <row r="41" spans="3:5">
      <c r="C41" s="172"/>
      <c r="D41" s="172"/>
      <c r="E41" s="172"/>
    </row>
    <row r="42" spans="3:5">
      <c r="C42" s="172"/>
      <c r="D42" s="172"/>
      <c r="E42" s="172"/>
    </row>
    <row r="43" spans="3:5">
      <c r="C43" s="172"/>
      <c r="D43" s="172"/>
      <c r="E43" s="172"/>
    </row>
    <row r="44" spans="3:5">
      <c r="C44" s="172"/>
      <c r="D44" s="172"/>
      <c r="E44" s="172"/>
    </row>
    <row r="45" spans="3:5">
      <c r="C45" s="172"/>
      <c r="D45" s="172"/>
      <c r="E45" s="172"/>
    </row>
    <row r="46" spans="3:5">
      <c r="C46" s="172"/>
      <c r="D46" s="172"/>
      <c r="E46" s="172"/>
    </row>
    <row r="47" spans="3:5">
      <c r="C47" s="172"/>
      <c r="D47" s="172"/>
      <c r="E47" s="172"/>
    </row>
    <row r="48" spans="3:5">
      <c r="C48" s="172"/>
      <c r="D48" s="172"/>
      <c r="E48" s="172"/>
    </row>
    <row r="49" spans="3:5">
      <c r="C49" s="172"/>
      <c r="D49" s="172"/>
      <c r="E49" s="172"/>
    </row>
    <row r="50" spans="3:5">
      <c r="C50" s="172"/>
      <c r="D50" s="172"/>
      <c r="E50" s="172"/>
    </row>
    <row r="51" spans="3:5">
      <c r="C51" s="172"/>
      <c r="D51" s="172"/>
      <c r="E51" s="172"/>
    </row>
    <row r="52" spans="3:5">
      <c r="C52" s="172"/>
      <c r="D52" s="172"/>
      <c r="E52" s="172"/>
    </row>
    <row r="53" spans="3:5">
      <c r="C53" s="172"/>
      <c r="D53" s="172"/>
      <c r="E53" s="172"/>
    </row>
    <row r="54" spans="3:5">
      <c r="C54" s="172"/>
      <c r="D54" s="172"/>
      <c r="E54" s="172"/>
    </row>
    <row r="55" spans="3:5">
      <c r="C55" s="172"/>
      <c r="D55" s="172"/>
      <c r="E55" s="172"/>
    </row>
    <row r="56" spans="3:5">
      <c r="C56" s="172"/>
      <c r="D56" s="172"/>
      <c r="E56" s="172"/>
    </row>
    <row r="57" spans="3:5">
      <c r="C57" s="172"/>
      <c r="D57" s="172"/>
      <c r="E57" s="172"/>
    </row>
    <row r="58" spans="3:5">
      <c r="C58" s="172"/>
      <c r="D58" s="172"/>
      <c r="E58" s="172"/>
    </row>
    <row r="59" spans="3:5">
      <c r="C59" s="172"/>
      <c r="D59" s="172"/>
      <c r="E59" s="172"/>
    </row>
    <row r="60" spans="3:5">
      <c r="C60" s="172"/>
      <c r="D60" s="172"/>
      <c r="E60" s="172"/>
    </row>
  </sheetData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AH211"/>
  <sheetViews>
    <sheetView topLeftCell="A10" zoomScaleNormal="100" workbookViewId="0">
      <selection activeCell="E21" sqref="E21"/>
    </sheetView>
  </sheetViews>
  <sheetFormatPr defaultRowHeight="11.25" outlineLevelCol="1"/>
  <cols>
    <col min="1" max="1" width="2.5703125" customWidth="1"/>
    <col min="2" max="2" width="7.28515625" customWidth="1"/>
    <col min="3" max="3" width="8.5703125" style="1" bestFit="1" customWidth="1"/>
    <col min="4" max="4" width="4.42578125" style="1" customWidth="1"/>
    <col min="5" max="5" width="29.7109375" customWidth="1"/>
    <col min="6" max="6" width="16.5703125" bestFit="1" customWidth="1"/>
    <col min="7" max="7" width="20.5703125" style="1" hidden="1" customWidth="1" outlineLevel="1"/>
    <col min="8" max="8" width="14.28515625" style="1" customWidth="1" collapsed="1"/>
    <col min="9" max="9" width="38.42578125" customWidth="1" outlineLevel="1"/>
    <col min="10" max="10" width="19.7109375" style="1" bestFit="1" customWidth="1"/>
    <col min="11" max="12" width="5.140625" style="72" customWidth="1"/>
    <col min="13" max="14" width="5.140625" style="1" customWidth="1"/>
    <col min="15" max="15" width="8" style="1" bestFit="1" customWidth="1"/>
    <col min="16" max="16" width="11.28515625" style="1" bestFit="1" customWidth="1"/>
    <col min="17" max="17" width="9.85546875" style="1" bestFit="1" customWidth="1"/>
    <col min="18" max="18" width="38.85546875" bestFit="1" customWidth="1" outlineLevel="1"/>
    <col min="19" max="20" width="8" style="1" customWidth="1" outlineLevel="1"/>
    <col min="21" max="21" width="3.85546875" customWidth="1"/>
    <col min="22" max="22" width="7.5703125" customWidth="1"/>
    <col min="23" max="23" width="4.140625" style="1" customWidth="1"/>
    <col min="24" max="28" width="5.85546875" style="1" customWidth="1"/>
    <col min="29" max="29" width="5" style="1" customWidth="1"/>
    <col min="30" max="30" width="5.140625" customWidth="1"/>
    <col min="31" max="31" width="7.85546875" customWidth="1"/>
  </cols>
  <sheetData>
    <row r="2" spans="2:34" ht="27">
      <c r="B2" s="32" t="s">
        <v>676</v>
      </c>
    </row>
    <row r="3" spans="2:34" ht="13.5" customHeight="1">
      <c r="B3" s="32"/>
      <c r="I3" s="29"/>
      <c r="J3" s="254">
        <v>42507</v>
      </c>
      <c r="K3" s="106" t="s">
        <v>677</v>
      </c>
      <c r="L3"/>
      <c r="N3" s="72"/>
      <c r="O3" s="72"/>
      <c r="P3" s="114"/>
    </row>
    <row r="4" spans="2:34">
      <c r="I4" s="29"/>
      <c r="J4" s="254">
        <v>42508</v>
      </c>
      <c r="K4" t="s">
        <v>678</v>
      </c>
      <c r="L4"/>
      <c r="N4" s="72"/>
      <c r="O4" s="72"/>
      <c r="P4" s="114"/>
      <c r="R4" s="120"/>
      <c r="AD4" s="255" t="s">
        <v>679</v>
      </c>
      <c r="AE4" s="39" t="s">
        <v>680</v>
      </c>
      <c r="AF4" s="39" t="s">
        <v>681</v>
      </c>
      <c r="AG4" s="39">
        <v>1</v>
      </c>
      <c r="AH4" s="39" t="s">
        <v>682</v>
      </c>
    </row>
    <row r="5" spans="2:34">
      <c r="I5" s="29"/>
      <c r="J5" s="254">
        <v>42510</v>
      </c>
      <c r="K5" t="s">
        <v>683</v>
      </c>
      <c r="L5"/>
      <c r="N5" s="72"/>
      <c r="O5" s="72"/>
      <c r="P5" s="114"/>
      <c r="R5" s="120"/>
      <c r="AD5" s="121" t="s">
        <v>684</v>
      </c>
      <c r="AE5" s="39" t="s">
        <v>685</v>
      </c>
      <c r="AF5" s="39" t="s">
        <v>686</v>
      </c>
      <c r="AG5" s="39">
        <v>0</v>
      </c>
      <c r="AH5" s="39" t="s">
        <v>687</v>
      </c>
    </row>
    <row r="6" spans="2:34">
      <c r="I6" s="29"/>
      <c r="J6" s="254">
        <v>42517</v>
      </c>
      <c r="K6" t="s">
        <v>2535</v>
      </c>
      <c r="L6"/>
      <c r="N6" s="72"/>
      <c r="O6" s="72"/>
      <c r="P6" s="114"/>
      <c r="Z6" s="81"/>
      <c r="AD6" s="70" t="s">
        <v>688</v>
      </c>
      <c r="AE6" s="39" t="s">
        <v>689</v>
      </c>
      <c r="AF6" s="39" t="s">
        <v>690</v>
      </c>
      <c r="AG6" s="39">
        <v>0</v>
      </c>
      <c r="AH6" s="39" t="s">
        <v>234</v>
      </c>
    </row>
    <row r="7" spans="2:34">
      <c r="I7" s="29"/>
      <c r="J7" s="254">
        <v>42530</v>
      </c>
      <c r="K7" t="s">
        <v>2543</v>
      </c>
      <c r="L7"/>
      <c r="N7" s="72"/>
      <c r="O7" s="72"/>
      <c r="P7" s="114"/>
      <c r="Z7" s="81"/>
      <c r="AD7" s="256"/>
      <c r="AE7" s="39"/>
      <c r="AF7" s="39"/>
      <c r="AG7" s="39"/>
      <c r="AH7" s="39" t="s">
        <v>691</v>
      </c>
    </row>
    <row r="8" spans="2:34">
      <c r="F8" s="1"/>
      <c r="I8" s="29"/>
      <c r="J8" s="254">
        <v>42531</v>
      </c>
      <c r="K8" s="114" t="s">
        <v>2544</v>
      </c>
      <c r="L8" s="29"/>
      <c r="M8" s="29"/>
      <c r="N8" s="29"/>
      <c r="O8" s="72"/>
      <c r="P8" s="114"/>
      <c r="Z8" s="81"/>
      <c r="AD8" s="256"/>
      <c r="AE8" s="39"/>
      <c r="AF8" s="39"/>
      <c r="AG8" s="39"/>
      <c r="AH8" t="s">
        <v>692</v>
      </c>
    </row>
    <row r="9" spans="2:34">
      <c r="F9" s="1"/>
      <c r="I9" s="29"/>
      <c r="J9" s="254">
        <v>42534</v>
      </c>
      <c r="K9" s="114" t="s">
        <v>2547</v>
      </c>
      <c r="L9" s="29"/>
      <c r="M9" s="29"/>
      <c r="N9" s="29"/>
      <c r="O9" s="72"/>
      <c r="P9" s="114"/>
      <c r="Z9" s="81"/>
      <c r="AD9" s="256"/>
      <c r="AE9" s="39"/>
      <c r="AF9" s="39"/>
      <c r="AG9" s="39"/>
    </row>
    <row r="10" spans="2:34">
      <c r="F10" s="1"/>
      <c r="H10" s="72"/>
      <c r="K10" s="1"/>
      <c r="L10" s="1"/>
      <c r="R10" s="7"/>
      <c r="S10" s="3"/>
      <c r="T10" s="3"/>
      <c r="AF10" s="39"/>
    </row>
    <row r="11" spans="2:34" ht="23.25" thickBot="1">
      <c r="B11" s="33" t="s">
        <v>693</v>
      </c>
      <c r="C11" s="34" t="s">
        <v>694</v>
      </c>
      <c r="D11" s="257"/>
      <c r="E11" s="258" t="s">
        <v>695</v>
      </c>
      <c r="F11" s="34" t="s">
        <v>696</v>
      </c>
      <c r="G11" s="34" t="s">
        <v>697</v>
      </c>
      <c r="H11" s="34" t="s">
        <v>698</v>
      </c>
      <c r="I11" s="34" t="s">
        <v>699</v>
      </c>
      <c r="J11" s="34" t="s">
        <v>700</v>
      </c>
      <c r="K11" s="73" t="s">
        <v>701</v>
      </c>
      <c r="L11" s="73" t="s">
        <v>702</v>
      </c>
      <c r="M11" s="71" t="s">
        <v>703</v>
      </c>
      <c r="N11" s="34" t="s">
        <v>704</v>
      </c>
      <c r="O11" s="34" t="s">
        <v>705</v>
      </c>
      <c r="P11" s="34" t="s">
        <v>706</v>
      </c>
      <c r="Q11" s="34" t="s">
        <v>707</v>
      </c>
      <c r="R11" s="34" t="s">
        <v>708</v>
      </c>
      <c r="S11" s="34" t="s">
        <v>709</v>
      </c>
      <c r="T11" s="34" t="s">
        <v>710</v>
      </c>
      <c r="V11" s="35" t="s">
        <v>711</v>
      </c>
      <c r="W11" s="36" t="s">
        <v>712</v>
      </c>
      <c r="X11" s="36" t="s">
        <v>713</v>
      </c>
      <c r="Y11" s="36" t="s">
        <v>714</v>
      </c>
      <c r="Z11" s="36" t="s">
        <v>715</v>
      </c>
      <c r="AA11" s="36" t="s">
        <v>716</v>
      </c>
      <c r="AB11" s="36" t="s">
        <v>717</v>
      </c>
    </row>
    <row r="12" spans="2:34" ht="13.5" thickTop="1">
      <c r="B12" s="54" t="s">
        <v>718</v>
      </c>
      <c r="C12" s="55" t="s">
        <v>719</v>
      </c>
      <c r="D12" s="259" t="s">
        <v>721</v>
      </c>
      <c r="E12" s="54" t="s">
        <v>722</v>
      </c>
      <c r="F12" s="98" t="s">
        <v>723</v>
      </c>
      <c r="G12" s="11"/>
      <c r="H12" s="101" t="s">
        <v>725</v>
      </c>
      <c r="I12" s="13" t="s">
        <v>726</v>
      </c>
      <c r="J12" s="56" t="str">
        <f t="shared" ref="J12:J17" si="0">IF(LEFT(F12,1)="P",$AD$5,$AD$6)</f>
        <v>GPIO pin</v>
      </c>
      <c r="K12" s="76" t="str">
        <f>IF(LEFT(F12,1)="E",$AE$5,$AE$6)</f>
        <v>IO</v>
      </c>
      <c r="L12" s="68" t="s">
        <v>91</v>
      </c>
      <c r="M12" s="68" t="s">
        <v>20</v>
      </c>
      <c r="N12" s="68" t="s">
        <v>20</v>
      </c>
      <c r="O12" s="68" t="s">
        <v>687</v>
      </c>
      <c r="P12" s="74"/>
      <c r="Q12" s="87"/>
      <c r="R12" s="13"/>
      <c r="S12" s="13"/>
      <c r="T12" s="101" t="s">
        <v>727</v>
      </c>
      <c r="V12" s="396" t="str">
        <f>B12</f>
        <v>PORT0</v>
      </c>
      <c r="W12" s="23">
        <v>7</v>
      </c>
      <c r="X12" s="18" t="str">
        <f t="shared" ref="X12:X75" si="1">IF(M12="H","1","0")</f>
        <v>0</v>
      </c>
      <c r="Y12" s="41" t="str">
        <f t="shared" ref="Y12:Y15" si="2">IF(LEFT(K12,1)="O","1","0")</f>
        <v>0</v>
      </c>
      <c r="Z12" s="260">
        <v>0</v>
      </c>
      <c r="AA12" s="2" t="str">
        <f t="shared" ref="AA12:AA59" si="3">IF(L12="H","1",IF(L12="L","1","0"))</f>
        <v>1</v>
      </c>
      <c r="AB12" s="64" t="str">
        <f t="shared" ref="AB12:AB75" si="4">IF(L12="H","1","0")</f>
        <v>0</v>
      </c>
      <c r="AE12" s="6" t="str">
        <f>V12</f>
        <v>PORT0</v>
      </c>
      <c r="AF12" s="20" t="s">
        <v>729</v>
      </c>
    </row>
    <row r="13" spans="2:34" ht="12.75">
      <c r="B13" s="50"/>
      <c r="C13" s="51" t="s">
        <v>730</v>
      </c>
      <c r="D13" s="261" t="s">
        <v>731</v>
      </c>
      <c r="E13" s="50" t="s">
        <v>732</v>
      </c>
      <c r="F13" s="100" t="s">
        <v>733</v>
      </c>
      <c r="G13" s="11"/>
      <c r="H13" s="101" t="s">
        <v>734</v>
      </c>
      <c r="I13" s="13" t="s">
        <v>735</v>
      </c>
      <c r="J13" s="56" t="str">
        <f t="shared" si="0"/>
        <v>GPIO pin</v>
      </c>
      <c r="K13" s="76" t="str">
        <f>IF(LEFT(F13,1)="E",$AE$5,$AE$6)</f>
        <v>IO</v>
      </c>
      <c r="L13" s="68" t="s">
        <v>91</v>
      </c>
      <c r="M13" s="68" t="s">
        <v>20</v>
      </c>
      <c r="N13" s="68" t="s">
        <v>20</v>
      </c>
      <c r="O13" s="68" t="s">
        <v>687</v>
      </c>
      <c r="P13" s="74"/>
      <c r="Q13" s="87"/>
      <c r="R13" s="13"/>
      <c r="S13" s="13"/>
      <c r="T13" s="101" t="s">
        <v>736</v>
      </c>
      <c r="V13" s="397"/>
      <c r="W13" s="21">
        <v>6</v>
      </c>
      <c r="X13" s="18" t="str">
        <f t="shared" si="1"/>
        <v>0</v>
      </c>
      <c r="Y13" s="41" t="str">
        <f t="shared" si="2"/>
        <v>0</v>
      </c>
      <c r="Z13" s="260">
        <v>0</v>
      </c>
      <c r="AA13" s="2" t="str">
        <f t="shared" si="3"/>
        <v>1</v>
      </c>
      <c r="AB13" s="64" t="str">
        <f t="shared" si="4"/>
        <v>0</v>
      </c>
      <c r="AE13" s="1" t="str">
        <f>$X$11</f>
        <v>PDR</v>
      </c>
      <c r="AF13" s="1" t="str">
        <f>DEC2HEX(((2^W12)*X12)+(2^W13*X13)+(2^W14*X14)+(2^W15*X15)+(2^W16*X16)+(2^W17*X17)+(2^W18*X18)+(2^W19*X19))</f>
        <v>2</v>
      </c>
    </row>
    <row r="14" spans="2:34" ht="12.75">
      <c r="B14" s="50"/>
      <c r="C14" s="51" t="s">
        <v>737</v>
      </c>
      <c r="D14" s="261" t="s">
        <v>738</v>
      </c>
      <c r="E14" s="50" t="s">
        <v>739</v>
      </c>
      <c r="F14" s="100" t="s">
        <v>740</v>
      </c>
      <c r="G14" s="11"/>
      <c r="H14" s="101" t="s">
        <v>741</v>
      </c>
      <c r="I14" s="114" t="s">
        <v>742</v>
      </c>
      <c r="J14" s="56" t="str">
        <f t="shared" si="0"/>
        <v>INPUT pin</v>
      </c>
      <c r="K14" s="76" t="str">
        <f t="shared" ref="K14:K19" si="5">IF(LEFT(F14,1)="E",$AE$5,$AE$6)</f>
        <v>In</v>
      </c>
      <c r="L14" s="68" t="s">
        <v>91</v>
      </c>
      <c r="M14" s="68" t="s">
        <v>20</v>
      </c>
      <c r="N14" s="68" t="s">
        <v>20</v>
      </c>
      <c r="O14" s="68"/>
      <c r="P14" s="74"/>
      <c r="Q14" s="88"/>
      <c r="R14" s="13"/>
      <c r="S14" s="13"/>
      <c r="T14" s="101" t="s">
        <v>744</v>
      </c>
      <c r="V14" s="397"/>
      <c r="W14" s="21">
        <v>5</v>
      </c>
      <c r="X14" s="18" t="str">
        <f t="shared" si="1"/>
        <v>0</v>
      </c>
      <c r="Y14" s="41" t="str">
        <f t="shared" si="2"/>
        <v>0</v>
      </c>
      <c r="Z14" s="260">
        <v>0</v>
      </c>
      <c r="AA14" s="2" t="str">
        <f t="shared" si="3"/>
        <v>1</v>
      </c>
      <c r="AB14" s="64" t="str">
        <f t="shared" si="4"/>
        <v>0</v>
      </c>
      <c r="AE14" s="1" t="str">
        <f>$Y$11</f>
        <v>DDR</v>
      </c>
      <c r="AF14" s="1" t="str">
        <f>DEC2HEX(((2^W12)*Y12)+(2^W13*Y13)+(2^W14*Y14)+(2^W15*Y15)+(2^W16*Y16)+(2^W17*Y17)+(2^W18*Y18)+(2^W19*Y19))</f>
        <v>2</v>
      </c>
    </row>
    <row r="15" spans="2:34" ht="12.75">
      <c r="B15" s="50"/>
      <c r="C15" s="51" t="s">
        <v>745</v>
      </c>
      <c r="D15" s="261" t="s">
        <v>738</v>
      </c>
      <c r="E15" s="50" t="s">
        <v>746</v>
      </c>
      <c r="F15" s="100" t="s">
        <v>747</v>
      </c>
      <c r="G15" s="11"/>
      <c r="H15" s="101" t="s">
        <v>741</v>
      </c>
      <c r="I15" s="13" t="s">
        <v>748</v>
      </c>
      <c r="J15" s="56" t="str">
        <f t="shared" si="0"/>
        <v>INPUT pin</v>
      </c>
      <c r="K15" s="76" t="str">
        <f t="shared" si="5"/>
        <v>In</v>
      </c>
      <c r="L15" s="68" t="s">
        <v>20</v>
      </c>
      <c r="M15" s="68" t="s">
        <v>20</v>
      </c>
      <c r="N15" s="68" t="s">
        <v>91</v>
      </c>
      <c r="O15" s="68"/>
      <c r="P15" s="74"/>
      <c r="Q15" s="88"/>
      <c r="R15" s="13"/>
      <c r="S15" s="13"/>
      <c r="T15" s="101" t="s">
        <v>749</v>
      </c>
      <c r="U15" s="4"/>
      <c r="V15" s="397"/>
      <c r="W15" s="25">
        <v>4</v>
      </c>
      <c r="X15" s="18" t="str">
        <f t="shared" si="1"/>
        <v>0</v>
      </c>
      <c r="Y15" s="41" t="str">
        <f t="shared" si="2"/>
        <v>0</v>
      </c>
      <c r="Z15" s="260">
        <v>0</v>
      </c>
      <c r="AA15" s="2" t="str">
        <f t="shared" si="3"/>
        <v>0</v>
      </c>
      <c r="AB15" s="64" t="str">
        <f t="shared" si="4"/>
        <v>0</v>
      </c>
      <c r="AE15" s="1" t="str">
        <f>$Z$11</f>
        <v>EPCR</v>
      </c>
      <c r="AF15" s="1" t="str">
        <f>DEC2HEX(((2^W12)*Z12)+(2^W13*Z13)+(2^W14*Z14)+(2^W15*Z15)+(2^W16*Z16)+(2^W17*Z17)+(2^W18*Z18)+(2^W19*Z19))</f>
        <v>0</v>
      </c>
    </row>
    <row r="16" spans="2:34" ht="12.75">
      <c r="B16" s="50"/>
      <c r="C16" s="51" t="s">
        <v>750</v>
      </c>
      <c r="D16" s="261" t="s">
        <v>720</v>
      </c>
      <c r="E16" s="50" t="s">
        <v>751</v>
      </c>
      <c r="F16" s="100" t="s">
        <v>752</v>
      </c>
      <c r="G16" s="11"/>
      <c r="H16" s="101" t="s">
        <v>724</v>
      </c>
      <c r="I16" s="24" t="s">
        <v>753</v>
      </c>
      <c r="J16" s="56" t="str">
        <f t="shared" si="0"/>
        <v>INPUT pin</v>
      </c>
      <c r="K16" s="76" t="str">
        <f t="shared" si="5"/>
        <v>In</v>
      </c>
      <c r="L16" s="68" t="s">
        <v>20</v>
      </c>
      <c r="M16" s="68" t="s">
        <v>20</v>
      </c>
      <c r="N16" s="68" t="s">
        <v>72</v>
      </c>
      <c r="O16" s="68"/>
      <c r="P16" s="74"/>
      <c r="Q16" s="89"/>
      <c r="R16" s="24"/>
      <c r="S16" s="101"/>
      <c r="T16" s="101" t="s">
        <v>754</v>
      </c>
      <c r="U16" s="4"/>
      <c r="V16" s="397"/>
      <c r="W16" s="21">
        <v>3</v>
      </c>
      <c r="X16" s="18" t="str">
        <f t="shared" si="1"/>
        <v>0</v>
      </c>
      <c r="Y16" s="41" t="str">
        <f>IF(LEFT(K16,1)="O","1","0")</f>
        <v>0</v>
      </c>
      <c r="Z16" s="260">
        <v>0</v>
      </c>
      <c r="AA16" s="2" t="str">
        <f t="shared" si="3"/>
        <v>0</v>
      </c>
      <c r="AB16" s="64" t="str">
        <f t="shared" si="4"/>
        <v>0</v>
      </c>
      <c r="AE16" s="1" t="str">
        <f>$AA$11</f>
        <v>PUDEN</v>
      </c>
      <c r="AF16" s="1" t="str">
        <f>DEC2HEX(((2^W12)*AA12)+(2^W13*AA13)+(2^W14*AA14)+(2^W15*AA15)+(2^W16*AA16)+(2^W17*AA17)+(2^W18*AA18)+(2^W19*AA19))</f>
        <v>E0</v>
      </c>
    </row>
    <row r="17" spans="2:32" ht="12.75">
      <c r="B17" s="50"/>
      <c r="C17" s="51" t="s">
        <v>755</v>
      </c>
      <c r="D17" s="261" t="s">
        <v>720</v>
      </c>
      <c r="E17" s="50" t="s">
        <v>756</v>
      </c>
      <c r="F17" s="100" t="s">
        <v>757</v>
      </c>
      <c r="G17" s="11"/>
      <c r="H17" s="101" t="s">
        <v>724</v>
      </c>
      <c r="I17" s="24" t="s">
        <v>758</v>
      </c>
      <c r="J17" s="56" t="str">
        <f t="shared" si="0"/>
        <v>INPUT pin</v>
      </c>
      <c r="K17" s="76" t="str">
        <f t="shared" si="5"/>
        <v>In</v>
      </c>
      <c r="L17" s="68" t="s">
        <v>20</v>
      </c>
      <c r="M17" s="68" t="s">
        <v>20</v>
      </c>
      <c r="N17" s="68" t="s">
        <v>72</v>
      </c>
      <c r="O17" s="68"/>
      <c r="P17" s="88"/>
      <c r="Q17" s="88"/>
      <c r="R17" s="24"/>
      <c r="S17" s="101" t="s">
        <v>759</v>
      </c>
      <c r="T17" s="101" t="s">
        <v>743</v>
      </c>
      <c r="U17" s="4"/>
      <c r="V17" s="397"/>
      <c r="W17" s="21">
        <v>2</v>
      </c>
      <c r="X17" s="18" t="str">
        <f t="shared" si="1"/>
        <v>0</v>
      </c>
      <c r="Y17" s="41" t="str">
        <f t="shared" ref="Y17:Y23" si="6">IF(LEFT(K17,1)="O","1","0")</f>
        <v>0</v>
      </c>
      <c r="Z17" s="260">
        <v>0</v>
      </c>
      <c r="AA17" s="2" t="str">
        <f t="shared" si="3"/>
        <v>0</v>
      </c>
      <c r="AB17" s="64" t="str">
        <f t="shared" si="4"/>
        <v>0</v>
      </c>
      <c r="AE17" s="1" t="str">
        <f>$AB$11</f>
        <v>PUDCR</v>
      </c>
      <c r="AF17" s="1" t="str">
        <f>DEC2HEX(((2^W12)*AB12)+(2^W13*AB13)+(2^W14*AB14)+(2^W15*AB15)+(2^W16*AB16)+(2^W17*AB17)+(2^W18*AB18)+(2^W19*AB19))</f>
        <v>0</v>
      </c>
    </row>
    <row r="18" spans="2:32" ht="12.75">
      <c r="B18" s="50"/>
      <c r="C18" s="51" t="s">
        <v>760</v>
      </c>
      <c r="D18" s="261" t="s">
        <v>761</v>
      </c>
      <c r="E18" s="50" t="s">
        <v>762</v>
      </c>
      <c r="F18" s="100" t="s">
        <v>763</v>
      </c>
      <c r="G18" s="11"/>
      <c r="H18" s="101" t="s">
        <v>764</v>
      </c>
      <c r="I18" s="24" t="s">
        <v>765</v>
      </c>
      <c r="J18" s="56" t="str">
        <f>IF(LEFT(F18,1)="P",$AD$5,IF(LEFT(F18,2)="AU",$AD$4,$AD$6))</f>
        <v>INPUT pin</v>
      </c>
      <c r="K18" s="76" t="s">
        <v>680</v>
      </c>
      <c r="L18" s="68" t="s">
        <v>20</v>
      </c>
      <c r="M18" s="68" t="s">
        <v>72</v>
      </c>
      <c r="N18" s="68" t="s">
        <v>91</v>
      </c>
      <c r="O18" s="68"/>
      <c r="P18" s="88"/>
      <c r="Q18" s="88"/>
      <c r="R18" s="262" t="s">
        <v>767</v>
      </c>
      <c r="S18" s="101" t="s">
        <v>768</v>
      </c>
      <c r="T18" s="101" t="s">
        <v>769</v>
      </c>
      <c r="U18" s="5"/>
      <c r="V18" s="397"/>
      <c r="W18" s="21">
        <v>1</v>
      </c>
      <c r="X18" s="18" t="str">
        <f t="shared" si="1"/>
        <v>1</v>
      </c>
      <c r="Y18" s="41" t="str">
        <f t="shared" si="6"/>
        <v>1</v>
      </c>
      <c r="Z18" s="260">
        <v>0</v>
      </c>
      <c r="AA18" s="2" t="str">
        <f t="shared" si="3"/>
        <v>0</v>
      </c>
      <c r="AB18" s="64" t="str">
        <f t="shared" si="4"/>
        <v>0</v>
      </c>
      <c r="AE18" s="27"/>
      <c r="AF18" s="27"/>
    </row>
    <row r="19" spans="2:32" ht="13.5" thickBot="1">
      <c r="B19" s="53"/>
      <c r="C19" s="52" t="s">
        <v>770</v>
      </c>
      <c r="D19" s="263" t="s">
        <v>761</v>
      </c>
      <c r="E19" s="50" t="s">
        <v>771</v>
      </c>
      <c r="F19" s="100" t="s">
        <v>772</v>
      </c>
      <c r="G19" s="11"/>
      <c r="H19" s="103" t="s">
        <v>773</v>
      </c>
      <c r="I19" s="24" t="s">
        <v>774</v>
      </c>
      <c r="J19" s="57" t="str">
        <f>IF(LEFT(F19,1)="P",$AD$5,IF(LEFT(F19,2)="AU",$AD$4,$AD$6))</f>
        <v>INPUT pin</v>
      </c>
      <c r="K19" s="77" t="str">
        <f t="shared" si="5"/>
        <v>In</v>
      </c>
      <c r="L19" s="69" t="s">
        <v>20</v>
      </c>
      <c r="M19" s="69" t="s">
        <v>20</v>
      </c>
      <c r="N19" s="69" t="s">
        <v>72</v>
      </c>
      <c r="O19" s="69"/>
      <c r="P19" s="90"/>
      <c r="Q19" s="90"/>
      <c r="R19" s="24"/>
      <c r="S19" s="12"/>
      <c r="T19" s="12" t="s">
        <v>775</v>
      </c>
      <c r="U19" s="5"/>
      <c r="V19" s="398"/>
      <c r="W19" s="22">
        <v>0</v>
      </c>
      <c r="X19" s="19" t="str">
        <f t="shared" si="1"/>
        <v>0</v>
      </c>
      <c r="Y19" s="42" t="str">
        <f t="shared" si="6"/>
        <v>0</v>
      </c>
      <c r="Z19" s="264">
        <v>0</v>
      </c>
      <c r="AA19" s="9" t="str">
        <f t="shared" si="3"/>
        <v>0</v>
      </c>
      <c r="AB19" s="65" t="str">
        <f t="shared" si="4"/>
        <v>0</v>
      </c>
    </row>
    <row r="20" spans="2:32" ht="13.5" thickTop="1">
      <c r="B20" s="54" t="s">
        <v>776</v>
      </c>
      <c r="C20" s="55" t="s">
        <v>777</v>
      </c>
      <c r="D20" s="259" t="s">
        <v>761</v>
      </c>
      <c r="E20" s="98" t="s">
        <v>2620</v>
      </c>
      <c r="F20" s="98" t="s">
        <v>778</v>
      </c>
      <c r="G20" s="265"/>
      <c r="H20" s="101" t="s">
        <v>764</v>
      </c>
      <c r="I20" s="266" t="s">
        <v>779</v>
      </c>
      <c r="J20" s="56" t="str">
        <f t="shared" ref="J20:J31" si="7">IF(LEFT(F20,1)="P",$AD$5,$AD$6)</f>
        <v>INPUT pin</v>
      </c>
      <c r="K20" s="76" t="str">
        <f>IF(LEFT(F20,1)="E",$AE$5,$AE$6)</f>
        <v>In</v>
      </c>
      <c r="L20" s="68" t="s">
        <v>20</v>
      </c>
      <c r="M20" s="68" t="s">
        <v>20</v>
      </c>
      <c r="N20" s="68" t="s">
        <v>72</v>
      </c>
      <c r="O20" s="68"/>
      <c r="P20" s="267"/>
      <c r="Q20" s="267"/>
      <c r="R20" s="265"/>
      <c r="S20" s="11" t="s">
        <v>780</v>
      </c>
      <c r="T20" s="11" t="s">
        <v>781</v>
      </c>
      <c r="U20" s="112"/>
      <c r="V20" s="396" t="str">
        <f t="shared" ref="V20:V83" si="8">B20</f>
        <v>PORT1</v>
      </c>
      <c r="W20" s="268">
        <v>7</v>
      </c>
      <c r="X20" s="18" t="str">
        <f t="shared" si="1"/>
        <v>0</v>
      </c>
      <c r="Y20" s="41" t="str">
        <f t="shared" si="6"/>
        <v>0</v>
      </c>
      <c r="Z20" s="260">
        <v>0</v>
      </c>
      <c r="AA20" s="2" t="str">
        <f t="shared" si="3"/>
        <v>0</v>
      </c>
      <c r="AB20" s="64" t="str">
        <f t="shared" si="4"/>
        <v>0</v>
      </c>
      <c r="AE20" s="6" t="str">
        <f>V20</f>
        <v>PORT1</v>
      </c>
      <c r="AF20" s="20" t="s">
        <v>728</v>
      </c>
    </row>
    <row r="21" spans="2:32" ht="12.75">
      <c r="B21" s="50"/>
      <c r="C21" s="51" t="s">
        <v>782</v>
      </c>
      <c r="D21" s="261" t="s">
        <v>720</v>
      </c>
      <c r="E21" s="100" t="s">
        <v>2619</v>
      </c>
      <c r="F21" s="100" t="s">
        <v>784</v>
      </c>
      <c r="G21" s="11"/>
      <c r="H21" s="101" t="s">
        <v>724</v>
      </c>
      <c r="I21" s="14" t="s">
        <v>785</v>
      </c>
      <c r="J21" s="56" t="str">
        <f t="shared" si="7"/>
        <v>INPUT pin</v>
      </c>
      <c r="K21" s="76" t="str">
        <f>IF(LEFT(F21,1)="E",$AE$5,$AE$6)</f>
        <v>In</v>
      </c>
      <c r="L21" s="68" t="s">
        <v>20</v>
      </c>
      <c r="M21" s="68" t="s">
        <v>20</v>
      </c>
      <c r="N21" s="68" t="s">
        <v>20</v>
      </c>
      <c r="O21" s="68"/>
      <c r="P21" s="89"/>
      <c r="Q21" s="89"/>
      <c r="R21" s="96" t="s">
        <v>786</v>
      </c>
      <c r="S21" s="11"/>
      <c r="T21" s="101" t="s">
        <v>787</v>
      </c>
      <c r="U21" s="112"/>
      <c r="V21" s="397">
        <f t="shared" si="8"/>
        <v>0</v>
      </c>
      <c r="W21" s="269">
        <v>6</v>
      </c>
      <c r="X21" s="18" t="str">
        <f t="shared" si="1"/>
        <v>0</v>
      </c>
      <c r="Y21" s="41" t="str">
        <f t="shared" si="6"/>
        <v>0</v>
      </c>
      <c r="Z21" s="260">
        <v>0</v>
      </c>
      <c r="AA21" s="2" t="str">
        <f t="shared" si="3"/>
        <v>0</v>
      </c>
      <c r="AB21" s="64" t="str">
        <f t="shared" si="4"/>
        <v>0</v>
      </c>
      <c r="AE21" s="1" t="str">
        <f>$X$11</f>
        <v>PDR</v>
      </c>
      <c r="AF21" s="1" t="str">
        <f>DEC2HEX(((2^W20)*X20)+(2^W21*X21)+(2^W22*X22)+(2^W23*X23)+(2^W24*X24)+(2^W25*X25)+(2^W26*X26)+(2^W27*X27))</f>
        <v>0</v>
      </c>
    </row>
    <row r="22" spans="2:32" ht="12.75">
      <c r="B22" s="50"/>
      <c r="C22" s="51" t="s">
        <v>788</v>
      </c>
      <c r="D22" s="261" t="s">
        <v>789</v>
      </c>
      <c r="E22" s="100" t="s">
        <v>2618</v>
      </c>
      <c r="F22" s="100" t="s">
        <v>791</v>
      </c>
      <c r="G22" s="270"/>
      <c r="H22" s="101" t="s">
        <v>792</v>
      </c>
      <c r="I22" s="14" t="s">
        <v>793</v>
      </c>
      <c r="J22" s="56" t="str">
        <f t="shared" si="7"/>
        <v>INPUT pin</v>
      </c>
      <c r="K22" s="76" t="str">
        <f t="shared" ref="K22:K27" si="9">IF(LEFT(F22,1)="E",$AE$5,$AE$6)</f>
        <v>In</v>
      </c>
      <c r="L22" s="68" t="s">
        <v>20</v>
      </c>
      <c r="M22" s="68" t="s">
        <v>20</v>
      </c>
      <c r="N22" s="68" t="s">
        <v>20</v>
      </c>
      <c r="O22" s="68"/>
      <c r="P22" s="92"/>
      <c r="Q22" s="107"/>
      <c r="R22" s="96" t="s">
        <v>786</v>
      </c>
      <c r="S22" s="11"/>
      <c r="T22" s="101" t="s">
        <v>794</v>
      </c>
      <c r="U22" s="5"/>
      <c r="V22" s="397">
        <f t="shared" si="8"/>
        <v>0</v>
      </c>
      <c r="W22" s="21">
        <v>5</v>
      </c>
      <c r="X22" s="18" t="str">
        <f t="shared" si="1"/>
        <v>0</v>
      </c>
      <c r="Y22" s="41" t="str">
        <f t="shared" si="6"/>
        <v>0</v>
      </c>
      <c r="Z22" s="260">
        <v>0</v>
      </c>
      <c r="AA22" s="2" t="str">
        <f t="shared" si="3"/>
        <v>0</v>
      </c>
      <c r="AB22" s="64" t="str">
        <f t="shared" si="4"/>
        <v>0</v>
      </c>
      <c r="AE22" s="1" t="str">
        <f>$Y$11</f>
        <v>DDR</v>
      </c>
      <c r="AF22" s="1" t="str">
        <f>DEC2HEX(((2^W20)*Y20)+(2^W21*Y21)+(2^W22*Y22)+(2^W23*Y23)+(2^W24*Y24)+(2^W25*Y25)+(2^W26*Y26)+(2^W27*Y27))</f>
        <v>0</v>
      </c>
    </row>
    <row r="23" spans="2:32" ht="12.75">
      <c r="B23" s="50"/>
      <c r="C23" s="51" t="s">
        <v>795</v>
      </c>
      <c r="D23" s="261" t="s">
        <v>720</v>
      </c>
      <c r="E23" s="100" t="s">
        <v>2617</v>
      </c>
      <c r="F23" s="100" t="s">
        <v>797</v>
      </c>
      <c r="G23" s="270"/>
      <c r="H23" s="101" t="s">
        <v>724</v>
      </c>
      <c r="I23" s="14" t="s">
        <v>798</v>
      </c>
      <c r="J23" s="56" t="str">
        <f t="shared" si="7"/>
        <v>INPUT pin</v>
      </c>
      <c r="K23" s="76" t="str">
        <f t="shared" si="9"/>
        <v>In</v>
      </c>
      <c r="L23" s="68" t="s">
        <v>20</v>
      </c>
      <c r="M23" s="68" t="s">
        <v>20</v>
      </c>
      <c r="N23" s="68" t="s">
        <v>72</v>
      </c>
      <c r="O23" s="68"/>
      <c r="P23" s="88"/>
      <c r="Q23" s="107"/>
      <c r="R23" s="13"/>
      <c r="S23" s="101" t="s">
        <v>759</v>
      </c>
      <c r="T23" s="101" t="s">
        <v>799</v>
      </c>
      <c r="U23" s="5"/>
      <c r="V23" s="397">
        <f t="shared" si="8"/>
        <v>0</v>
      </c>
      <c r="W23" s="25">
        <v>4</v>
      </c>
      <c r="X23" s="18" t="str">
        <f t="shared" si="1"/>
        <v>0</v>
      </c>
      <c r="Y23" s="41" t="str">
        <f t="shared" si="6"/>
        <v>0</v>
      </c>
      <c r="Z23" s="260">
        <v>0</v>
      </c>
      <c r="AA23" s="2" t="str">
        <f t="shared" si="3"/>
        <v>0</v>
      </c>
      <c r="AB23" s="64" t="str">
        <f t="shared" si="4"/>
        <v>0</v>
      </c>
      <c r="AE23" s="1" t="str">
        <f>$Z$11</f>
        <v>EPCR</v>
      </c>
      <c r="AF23" s="1" t="str">
        <f>DEC2HEX(((2^W20)*Z20)+(2^W21*Z21)+(2^W22*Z22)+(2^W23*Z23)+(2^W24*Z24)+(2^W25*Z25)+(2^W26*Z26)+(2^W27*Z27))</f>
        <v>0</v>
      </c>
    </row>
    <row r="24" spans="2:32" ht="12.75">
      <c r="B24" s="50"/>
      <c r="C24" s="51" t="s">
        <v>800</v>
      </c>
      <c r="D24" s="261" t="s">
        <v>761</v>
      </c>
      <c r="E24" s="100" t="s">
        <v>796</v>
      </c>
      <c r="F24" s="100" t="s">
        <v>801</v>
      </c>
      <c r="G24" s="11"/>
      <c r="H24" s="101" t="s">
        <v>802</v>
      </c>
      <c r="I24" s="14" t="s">
        <v>803</v>
      </c>
      <c r="J24" s="56" t="str">
        <f t="shared" si="7"/>
        <v>INPUT pin</v>
      </c>
      <c r="K24" s="76" t="str">
        <f t="shared" si="9"/>
        <v>In</v>
      </c>
      <c r="L24" s="68" t="s">
        <v>20</v>
      </c>
      <c r="M24" s="68" t="s">
        <v>20</v>
      </c>
      <c r="N24" s="68" t="s">
        <v>72</v>
      </c>
      <c r="O24" s="68"/>
      <c r="P24" s="88"/>
      <c r="Q24" s="107"/>
      <c r="R24" s="13"/>
      <c r="S24" s="101" t="s">
        <v>804</v>
      </c>
      <c r="T24" s="11" t="s">
        <v>805</v>
      </c>
      <c r="U24" s="5"/>
      <c r="V24" s="397">
        <f t="shared" si="8"/>
        <v>0</v>
      </c>
      <c r="W24" s="21">
        <v>3</v>
      </c>
      <c r="X24" s="18" t="str">
        <f t="shared" si="1"/>
        <v>0</v>
      </c>
      <c r="Y24" s="41" t="str">
        <f>IF(LEFT(K24,1)="O","1","0")</f>
        <v>0</v>
      </c>
      <c r="Z24" s="260">
        <v>0</v>
      </c>
      <c r="AA24" s="2" t="str">
        <f t="shared" si="3"/>
        <v>0</v>
      </c>
      <c r="AB24" s="64" t="str">
        <f t="shared" si="4"/>
        <v>0</v>
      </c>
      <c r="AE24" s="1" t="str">
        <f>$AA$11</f>
        <v>PUDEN</v>
      </c>
      <c r="AF24" s="1" t="str">
        <f>DEC2HEX(((2^W20)*AA20)+(2^W21*AA21)+(2^W22*AA22)+(2^W23*AA23)+(2^W24*AA24)+(2^W25*AA25)+(2^W26*AA26)+(2^W27*AA27))</f>
        <v>0</v>
      </c>
    </row>
    <row r="25" spans="2:32" ht="12.75">
      <c r="B25" s="50"/>
      <c r="C25" s="51" t="s">
        <v>806</v>
      </c>
      <c r="D25" s="261" t="s">
        <v>731</v>
      </c>
      <c r="E25" s="100" t="s">
        <v>790</v>
      </c>
      <c r="F25" s="100" t="s">
        <v>807</v>
      </c>
      <c r="G25" s="11"/>
      <c r="H25" s="101" t="s">
        <v>734</v>
      </c>
      <c r="I25" s="14" t="s">
        <v>808</v>
      </c>
      <c r="J25" s="56" t="str">
        <f t="shared" si="7"/>
        <v>INPUT pin</v>
      </c>
      <c r="K25" s="76" t="str">
        <f t="shared" si="9"/>
        <v>In</v>
      </c>
      <c r="L25" s="68" t="s">
        <v>20</v>
      </c>
      <c r="M25" s="68" t="s">
        <v>20</v>
      </c>
      <c r="N25" s="68" t="s">
        <v>72</v>
      </c>
      <c r="O25" s="68"/>
      <c r="P25" s="92"/>
      <c r="Q25" s="107"/>
      <c r="R25" s="13"/>
      <c r="S25" s="101" t="s">
        <v>809</v>
      </c>
      <c r="T25" s="11" t="s">
        <v>810</v>
      </c>
      <c r="U25" s="5"/>
      <c r="V25" s="397">
        <f t="shared" si="8"/>
        <v>0</v>
      </c>
      <c r="W25" s="21">
        <v>2</v>
      </c>
      <c r="X25" s="18" t="str">
        <f t="shared" si="1"/>
        <v>0</v>
      </c>
      <c r="Y25" s="41" t="str">
        <f t="shared" ref="Y25:Y43" si="10">IF(LEFT(K25,1)="O","1","0")</f>
        <v>0</v>
      </c>
      <c r="Z25" s="260">
        <v>0</v>
      </c>
      <c r="AA25" s="2" t="str">
        <f t="shared" si="3"/>
        <v>0</v>
      </c>
      <c r="AB25" s="64" t="str">
        <f t="shared" si="4"/>
        <v>0</v>
      </c>
      <c r="AE25" s="1" t="str">
        <f>$AB$11</f>
        <v>PUDCR</v>
      </c>
      <c r="AF25" s="1" t="str">
        <f>DEC2HEX(((2^W20)*AB20)+(2^W21*AB21)+(2^W22*AB22)+(2^W23*AB23)+(2^W24*AB24)+(2^W25*AB25)+(2^W26*AB26)+(2^W27*AB27))</f>
        <v>0</v>
      </c>
    </row>
    <row r="26" spans="2:32" ht="12.75">
      <c r="B26" s="50"/>
      <c r="C26" s="51" t="s">
        <v>811</v>
      </c>
      <c r="D26" s="261" t="s">
        <v>720</v>
      </c>
      <c r="E26" s="100" t="s">
        <v>783</v>
      </c>
      <c r="F26" s="100" t="s">
        <v>812</v>
      </c>
      <c r="G26" s="11"/>
      <c r="H26" s="101" t="s">
        <v>724</v>
      </c>
      <c r="I26" s="14" t="s">
        <v>813</v>
      </c>
      <c r="J26" s="56" t="str">
        <f t="shared" si="7"/>
        <v>INPUT pin</v>
      </c>
      <c r="K26" s="76" t="str">
        <f t="shared" si="9"/>
        <v>In</v>
      </c>
      <c r="L26" s="68" t="s">
        <v>20</v>
      </c>
      <c r="M26" s="68" t="s">
        <v>20</v>
      </c>
      <c r="N26" s="68" t="s">
        <v>72</v>
      </c>
      <c r="O26" s="68"/>
      <c r="P26" s="92"/>
      <c r="Q26" s="92"/>
      <c r="R26" s="13"/>
      <c r="S26" s="11"/>
      <c r="T26" s="11" t="s">
        <v>814</v>
      </c>
      <c r="U26" s="5"/>
      <c r="V26" s="397">
        <f t="shared" si="8"/>
        <v>0</v>
      </c>
      <c r="W26" s="21">
        <v>1</v>
      </c>
      <c r="X26" s="18" t="str">
        <f t="shared" si="1"/>
        <v>0</v>
      </c>
      <c r="Y26" s="41" t="str">
        <f t="shared" si="10"/>
        <v>0</v>
      </c>
      <c r="Z26" s="260">
        <v>0</v>
      </c>
      <c r="AA26" s="2" t="str">
        <f t="shared" si="3"/>
        <v>0</v>
      </c>
      <c r="AB26" s="64" t="str">
        <f t="shared" si="4"/>
        <v>0</v>
      </c>
      <c r="AE26" s="27"/>
      <c r="AF26" s="27"/>
    </row>
    <row r="27" spans="2:32" ht="13.5" thickBot="1">
      <c r="B27" s="53"/>
      <c r="C27" s="51" t="s">
        <v>815</v>
      </c>
      <c r="D27" s="263" t="s">
        <v>720</v>
      </c>
      <c r="E27" s="104" t="s">
        <v>2616</v>
      </c>
      <c r="F27" s="104" t="s">
        <v>816</v>
      </c>
      <c r="G27" s="12"/>
      <c r="H27" s="103" t="s">
        <v>773</v>
      </c>
      <c r="I27" s="15" t="s">
        <v>817</v>
      </c>
      <c r="J27" s="57" t="str">
        <f t="shared" si="7"/>
        <v>INPUT pin</v>
      </c>
      <c r="K27" s="77" t="str">
        <f t="shared" si="9"/>
        <v>In</v>
      </c>
      <c r="L27" s="69" t="s">
        <v>20</v>
      </c>
      <c r="M27" s="69" t="s">
        <v>20</v>
      </c>
      <c r="N27" s="69" t="s">
        <v>72</v>
      </c>
      <c r="O27" s="69"/>
      <c r="P27" s="93"/>
      <c r="Q27" s="111" t="str">
        <f>IF(LEFT(F27,1)="V","Check 'VDOSEL'","")</f>
        <v/>
      </c>
      <c r="R27" s="15"/>
      <c r="S27" s="12"/>
      <c r="T27" s="12" t="s">
        <v>818</v>
      </c>
      <c r="U27" s="5"/>
      <c r="V27" s="398">
        <f t="shared" si="8"/>
        <v>0</v>
      </c>
      <c r="W27" s="22">
        <v>0</v>
      </c>
      <c r="X27" s="19" t="str">
        <f t="shared" si="1"/>
        <v>0</v>
      </c>
      <c r="Y27" s="42" t="str">
        <f t="shared" si="10"/>
        <v>0</v>
      </c>
      <c r="Z27" s="264">
        <v>0</v>
      </c>
      <c r="AA27" s="9" t="str">
        <f t="shared" si="3"/>
        <v>0</v>
      </c>
      <c r="AB27" s="65" t="str">
        <f t="shared" si="4"/>
        <v>0</v>
      </c>
    </row>
    <row r="28" spans="2:32" ht="13.5" thickTop="1">
      <c r="B28" s="54" t="s">
        <v>819</v>
      </c>
      <c r="C28" s="55" t="s">
        <v>820</v>
      </c>
      <c r="D28" s="261" t="s">
        <v>821</v>
      </c>
      <c r="E28" s="24" t="s">
        <v>822</v>
      </c>
      <c r="F28" s="95" t="s">
        <v>823</v>
      </c>
      <c r="G28" s="10"/>
      <c r="H28" s="101" t="s">
        <v>824</v>
      </c>
      <c r="I28" s="14" t="s">
        <v>826</v>
      </c>
      <c r="J28" s="56" t="str">
        <f t="shared" si="7"/>
        <v>GPIO pin</v>
      </c>
      <c r="K28" s="76" t="str">
        <f>IF(LEFT(F28,1)="W",$AE$5,$AE$6)</f>
        <v>IO</v>
      </c>
      <c r="L28" s="68" t="s">
        <v>20</v>
      </c>
      <c r="M28" s="68" t="s">
        <v>91</v>
      </c>
      <c r="N28" s="68" t="s">
        <v>72</v>
      </c>
      <c r="O28" s="68"/>
      <c r="P28" s="87"/>
      <c r="Q28" s="87"/>
      <c r="R28" s="265"/>
      <c r="S28" s="99"/>
      <c r="T28" s="99" t="s">
        <v>827</v>
      </c>
      <c r="U28" s="5"/>
      <c r="V28" s="396" t="str">
        <f t="shared" si="8"/>
        <v>PORT2</v>
      </c>
      <c r="W28" s="23">
        <v>7</v>
      </c>
      <c r="X28" s="18" t="str">
        <f t="shared" si="1"/>
        <v>0</v>
      </c>
      <c r="Y28" s="41" t="str">
        <f t="shared" si="10"/>
        <v>0</v>
      </c>
      <c r="Z28" s="260">
        <v>0</v>
      </c>
      <c r="AA28" s="2" t="str">
        <f t="shared" si="3"/>
        <v>0</v>
      </c>
      <c r="AB28" s="64" t="str">
        <f t="shared" si="4"/>
        <v>0</v>
      </c>
      <c r="AE28" s="6" t="str">
        <f>V28</f>
        <v>PORT2</v>
      </c>
      <c r="AF28" s="20" t="s">
        <v>728</v>
      </c>
    </row>
    <row r="29" spans="2:32" ht="12.75">
      <c r="B29" s="50"/>
      <c r="C29" s="51" t="s">
        <v>828</v>
      </c>
      <c r="D29" s="271" t="s">
        <v>720</v>
      </c>
      <c r="E29" s="100" t="s">
        <v>829</v>
      </c>
      <c r="F29" s="24" t="s">
        <v>830</v>
      </c>
      <c r="G29" s="11"/>
      <c r="H29" s="101" t="s">
        <v>724</v>
      </c>
      <c r="I29" s="14" t="s">
        <v>825</v>
      </c>
      <c r="J29" s="56" t="str">
        <f t="shared" si="7"/>
        <v>GPIO pin</v>
      </c>
      <c r="K29" s="76" t="str">
        <f>IF(LEFT(F29,1)="W",$AE$5,$AE$6)</f>
        <v>IO</v>
      </c>
      <c r="L29" s="68" t="s">
        <v>20</v>
      </c>
      <c r="M29" s="68" t="s">
        <v>91</v>
      </c>
      <c r="N29" s="68" t="s">
        <v>72</v>
      </c>
      <c r="O29" s="68"/>
      <c r="P29" s="88"/>
      <c r="Q29" s="87"/>
      <c r="R29" s="13"/>
      <c r="S29" s="11"/>
      <c r="T29" s="11" t="s">
        <v>831</v>
      </c>
      <c r="U29" s="5"/>
      <c r="V29" s="397">
        <f t="shared" si="8"/>
        <v>0</v>
      </c>
      <c r="W29" s="21">
        <v>6</v>
      </c>
      <c r="X29" s="18" t="str">
        <f t="shared" si="1"/>
        <v>0</v>
      </c>
      <c r="Y29" s="41" t="str">
        <f t="shared" si="10"/>
        <v>0</v>
      </c>
      <c r="Z29" s="260">
        <v>0</v>
      </c>
      <c r="AA29" s="2" t="str">
        <f t="shared" si="3"/>
        <v>0</v>
      </c>
      <c r="AB29" s="64" t="str">
        <f t="shared" si="4"/>
        <v>0</v>
      </c>
      <c r="AE29" s="1" t="str">
        <f>$X$11</f>
        <v>PDR</v>
      </c>
      <c r="AF29" s="1" t="str">
        <f>DEC2HEX(((2^W28)*X28)+(2^W29*X29)+(2^W30*X30)+(2^W31*X31)+(2^W32*X32)+(2^W33*X33)+(2^W34*X34)+(2^W35*X35))</f>
        <v>0</v>
      </c>
    </row>
    <row r="30" spans="2:32" ht="12.75">
      <c r="B30" s="50"/>
      <c r="C30" s="51" t="s">
        <v>832</v>
      </c>
      <c r="D30" s="271" t="s">
        <v>720</v>
      </c>
      <c r="E30" s="100" t="s">
        <v>833</v>
      </c>
      <c r="F30" s="24" t="s">
        <v>834</v>
      </c>
      <c r="G30" s="11"/>
      <c r="H30" s="101" t="s">
        <v>724</v>
      </c>
      <c r="I30" s="14" t="s">
        <v>825</v>
      </c>
      <c r="J30" s="56" t="str">
        <f t="shared" si="7"/>
        <v>GPIO pin</v>
      </c>
      <c r="K30" s="76" t="str">
        <f t="shared" ref="K30" si="11">IF(LEFT(F30,1)="W",$AE$5,$AE$6)</f>
        <v>IO</v>
      </c>
      <c r="L30" s="68" t="s">
        <v>20</v>
      </c>
      <c r="M30" s="68" t="s">
        <v>91</v>
      </c>
      <c r="N30" s="68" t="s">
        <v>72</v>
      </c>
      <c r="O30" s="68"/>
      <c r="P30" s="88"/>
      <c r="Q30" s="88"/>
      <c r="R30" s="13"/>
      <c r="S30" s="11"/>
      <c r="T30" s="11" t="s">
        <v>835</v>
      </c>
      <c r="V30" s="397">
        <f t="shared" si="8"/>
        <v>0</v>
      </c>
      <c r="W30" s="21">
        <v>5</v>
      </c>
      <c r="X30" s="18" t="str">
        <f t="shared" si="1"/>
        <v>0</v>
      </c>
      <c r="Y30" s="41" t="str">
        <f t="shared" si="10"/>
        <v>0</v>
      </c>
      <c r="Z30" s="260">
        <v>0</v>
      </c>
      <c r="AA30" s="2" t="str">
        <f t="shared" si="3"/>
        <v>0</v>
      </c>
      <c r="AB30" s="64" t="str">
        <f t="shared" si="4"/>
        <v>0</v>
      </c>
      <c r="AE30" s="1" t="str">
        <f>$Y$11</f>
        <v>DDR</v>
      </c>
      <c r="AF30" s="1" t="str">
        <f>DEC2HEX(((2^W28)*Y28)+(2^W29*Y29)+(2^W30*Y30)+(2^W31*Y31)+(2^W32*Y32)+(2^W33*Y33)+(2^W34*Y34)+(2^W35*Y35))</f>
        <v>1F</v>
      </c>
    </row>
    <row r="31" spans="2:32" ht="12.75">
      <c r="B31" s="50"/>
      <c r="C31" s="51" t="s">
        <v>836</v>
      </c>
      <c r="D31" s="271" t="s">
        <v>789</v>
      </c>
      <c r="E31" s="100" t="s">
        <v>837</v>
      </c>
      <c r="F31" s="24" t="s">
        <v>836</v>
      </c>
      <c r="G31" s="11"/>
      <c r="H31" s="101" t="s">
        <v>792</v>
      </c>
      <c r="I31" s="14" t="s">
        <v>838</v>
      </c>
      <c r="J31" s="56" t="str">
        <f t="shared" si="7"/>
        <v>GPIO pin</v>
      </c>
      <c r="K31" s="76" t="s">
        <v>839</v>
      </c>
      <c r="L31" s="68" t="s">
        <v>20</v>
      </c>
      <c r="M31" s="68" t="s">
        <v>841</v>
      </c>
      <c r="N31" s="68" t="s">
        <v>842</v>
      </c>
      <c r="O31" s="68"/>
      <c r="P31" s="88"/>
      <c r="Q31" s="88"/>
      <c r="R31" s="13"/>
      <c r="S31" s="11"/>
      <c r="T31" s="11" t="s">
        <v>843</v>
      </c>
      <c r="V31" s="397">
        <f t="shared" si="8"/>
        <v>0</v>
      </c>
      <c r="W31" s="25">
        <v>4</v>
      </c>
      <c r="X31" s="18" t="str">
        <f t="shared" si="1"/>
        <v>0</v>
      </c>
      <c r="Y31" s="41" t="str">
        <f>IF(LEFT(K31,1)="O","1","0")</f>
        <v>1</v>
      </c>
      <c r="Z31" s="260">
        <v>0</v>
      </c>
      <c r="AA31" s="2" t="str">
        <f t="shared" si="3"/>
        <v>0</v>
      </c>
      <c r="AB31" s="64" t="str">
        <f t="shared" si="4"/>
        <v>0</v>
      </c>
      <c r="AE31" s="1" t="str">
        <f>$Z$11</f>
        <v>EPCR</v>
      </c>
      <c r="AF31" s="1" t="str">
        <f>DEC2HEX(((2^W28)*Z28)+(2^W29*Z29)+(2^W30*Z30)+(2^W31*Z31)+(2^W32*Z32)+(2^W33*Z33)+(2^W34*Z34)+(2^W35*Z35))</f>
        <v>0</v>
      </c>
    </row>
    <row r="32" spans="2:32" ht="12.75">
      <c r="B32" s="50"/>
      <c r="C32" s="51" t="s">
        <v>844</v>
      </c>
      <c r="D32" s="271" t="s">
        <v>720</v>
      </c>
      <c r="E32" s="100" t="s">
        <v>845</v>
      </c>
      <c r="F32" s="24" t="s">
        <v>844</v>
      </c>
      <c r="G32" s="11"/>
      <c r="H32" s="101" t="s">
        <v>725</v>
      </c>
      <c r="I32" s="24" t="s">
        <v>846</v>
      </c>
      <c r="J32" s="56" t="str">
        <f>IF(LEFT(F32,1)="P",$AD$5,$AD$4)</f>
        <v>GPIO pin</v>
      </c>
      <c r="K32" s="76" t="s">
        <v>847</v>
      </c>
      <c r="L32" s="79" t="s">
        <v>91</v>
      </c>
      <c r="M32" s="68" t="s">
        <v>20</v>
      </c>
      <c r="N32" s="68" t="s">
        <v>20</v>
      </c>
      <c r="O32" s="68"/>
      <c r="P32" s="88"/>
      <c r="Q32" s="92"/>
      <c r="R32" s="13" t="s">
        <v>848</v>
      </c>
      <c r="S32" s="51"/>
      <c r="T32" s="51" t="s">
        <v>849</v>
      </c>
      <c r="V32" s="397">
        <f t="shared" si="8"/>
        <v>0</v>
      </c>
      <c r="W32" s="21">
        <v>3</v>
      </c>
      <c r="X32" s="18" t="str">
        <f t="shared" si="1"/>
        <v>0</v>
      </c>
      <c r="Y32" s="41" t="str">
        <f>IF(LEFT(K32,1)="O","1","0")</f>
        <v>1</v>
      </c>
      <c r="Z32" s="3">
        <f>VLOOKUP(J32,$AD$4:$AG$6,4,FALSE)</f>
        <v>0</v>
      </c>
      <c r="AA32" s="2" t="str">
        <f t="shared" si="3"/>
        <v>1</v>
      </c>
      <c r="AB32" s="64" t="str">
        <f t="shared" si="4"/>
        <v>0</v>
      </c>
      <c r="AE32" s="1" t="str">
        <f>$AA$11</f>
        <v>PUDEN</v>
      </c>
      <c r="AF32" s="1" t="str">
        <f>DEC2HEX(((2^W28)*AA28)+(2^W29*AA29)+(2^W30*AA30)+(2^W31*AA31)+(2^W32*AA32)+(2^W33*AA33)+(2^W34*AA34)+(2^W35*AA35))</f>
        <v>8</v>
      </c>
    </row>
    <row r="33" spans="2:32" ht="12.75">
      <c r="B33" s="50"/>
      <c r="C33" s="51" t="s">
        <v>850</v>
      </c>
      <c r="D33" s="271" t="s">
        <v>851</v>
      </c>
      <c r="E33" s="100" t="s">
        <v>852</v>
      </c>
      <c r="F33" s="24" t="s">
        <v>850</v>
      </c>
      <c r="G33" s="11"/>
      <c r="H33" s="101" t="s">
        <v>802</v>
      </c>
      <c r="I33" s="14" t="s">
        <v>853</v>
      </c>
      <c r="J33" s="56" t="str">
        <f>IF(LEFT(F33,1)="P",$AD$5,$AD$4)</f>
        <v>GPIO pin</v>
      </c>
      <c r="K33" s="76" t="s">
        <v>854</v>
      </c>
      <c r="L33" s="79" t="s">
        <v>20</v>
      </c>
      <c r="M33" s="68" t="s">
        <v>91</v>
      </c>
      <c r="N33" s="68" t="s">
        <v>72</v>
      </c>
      <c r="O33" s="68"/>
      <c r="P33" s="88"/>
      <c r="Q33" s="92"/>
      <c r="R33" s="13"/>
      <c r="S33" s="11" t="s">
        <v>855</v>
      </c>
      <c r="T33" s="51" t="s">
        <v>856</v>
      </c>
      <c r="V33" s="397">
        <f t="shared" si="8"/>
        <v>0</v>
      </c>
      <c r="W33" s="21">
        <v>2</v>
      </c>
      <c r="X33" s="18" t="str">
        <f t="shared" si="1"/>
        <v>0</v>
      </c>
      <c r="Y33" s="41" t="str">
        <f t="shared" ref="Y33:Y35" si="12">IF(LEFT(K33,1)="O","1","0")</f>
        <v>1</v>
      </c>
      <c r="Z33" s="3">
        <f>VLOOKUP(J33,$AD$4:$AG$6,4,FALSE)</f>
        <v>0</v>
      </c>
      <c r="AA33" s="2" t="str">
        <f t="shared" si="3"/>
        <v>0</v>
      </c>
      <c r="AB33" s="64" t="str">
        <f t="shared" si="4"/>
        <v>0</v>
      </c>
      <c r="AC33" s="26"/>
      <c r="AE33" s="1" t="str">
        <f>$AB$11</f>
        <v>PUDCR</v>
      </c>
      <c r="AF33" s="1" t="str">
        <f>DEC2HEX(((2^W28)*AB28)+(2^W29*AB29)+(2^W30*AB30)+(2^W31*AB31)+(2^W32*AB32)+(2^W33*AB33)+(2^W34*AB34)+(2^W35*AB35))</f>
        <v>0</v>
      </c>
    </row>
    <row r="34" spans="2:32" ht="12.75">
      <c r="B34" s="50"/>
      <c r="C34" s="51" t="s">
        <v>857</v>
      </c>
      <c r="D34" s="271" t="s">
        <v>731</v>
      </c>
      <c r="E34" s="100" t="s">
        <v>858</v>
      </c>
      <c r="F34" s="24" t="s">
        <v>857</v>
      </c>
      <c r="G34" s="11"/>
      <c r="H34" s="101" t="s">
        <v>734</v>
      </c>
      <c r="I34" s="14" t="s">
        <v>859</v>
      </c>
      <c r="J34" s="56" t="str">
        <f>IF(LEFT(F34,1)="P",$AD$5,$AD$6)</f>
        <v>GPIO pin</v>
      </c>
      <c r="K34" s="76" t="s">
        <v>860</v>
      </c>
      <c r="L34" s="68" t="s">
        <v>20</v>
      </c>
      <c r="M34" s="68" t="s">
        <v>91</v>
      </c>
      <c r="N34" s="68" t="s">
        <v>72</v>
      </c>
      <c r="O34" s="68"/>
      <c r="P34" s="88"/>
      <c r="Q34" s="107"/>
      <c r="R34" s="13"/>
      <c r="S34" s="11" t="s">
        <v>861</v>
      </c>
      <c r="T34" s="11" t="s">
        <v>862</v>
      </c>
      <c r="V34" s="397">
        <f t="shared" si="8"/>
        <v>0</v>
      </c>
      <c r="W34" s="21">
        <v>1</v>
      </c>
      <c r="X34" s="18" t="str">
        <f t="shared" si="1"/>
        <v>0</v>
      </c>
      <c r="Y34" s="41" t="str">
        <f t="shared" si="12"/>
        <v>1</v>
      </c>
      <c r="Z34" s="260">
        <v>0</v>
      </c>
      <c r="AA34" s="2" t="str">
        <f t="shared" si="3"/>
        <v>0</v>
      </c>
      <c r="AB34" s="64" t="str">
        <f t="shared" si="4"/>
        <v>0</v>
      </c>
      <c r="AE34" s="27"/>
      <c r="AF34" s="27"/>
    </row>
    <row r="35" spans="2:32" ht="13.5" thickBot="1">
      <c r="B35" s="53"/>
      <c r="C35" s="51" t="s">
        <v>863</v>
      </c>
      <c r="D35" s="271" t="s">
        <v>761</v>
      </c>
      <c r="E35" s="100" t="s">
        <v>864</v>
      </c>
      <c r="F35" s="100" t="s">
        <v>863</v>
      </c>
      <c r="G35" s="12"/>
      <c r="H35" s="103" t="s">
        <v>773</v>
      </c>
      <c r="I35" s="16" t="s">
        <v>865</v>
      </c>
      <c r="J35" s="57" t="str">
        <f>IF(LEFT(F35,1)="P",$AD$5,$AD$6)</f>
        <v>GPIO pin</v>
      </c>
      <c r="K35" s="77" t="s">
        <v>680</v>
      </c>
      <c r="L35" s="69" t="s">
        <v>20</v>
      </c>
      <c r="M35" s="69" t="s">
        <v>91</v>
      </c>
      <c r="N35" s="69" t="s">
        <v>72</v>
      </c>
      <c r="O35" s="69"/>
      <c r="P35" s="90"/>
      <c r="Q35" s="108"/>
      <c r="R35" s="28"/>
      <c r="S35" s="12" t="s">
        <v>866</v>
      </c>
      <c r="T35" s="12" t="s">
        <v>867</v>
      </c>
      <c r="V35" s="398">
        <f t="shared" si="8"/>
        <v>0</v>
      </c>
      <c r="W35" s="22">
        <v>0</v>
      </c>
      <c r="X35" s="19" t="str">
        <f t="shared" si="1"/>
        <v>0</v>
      </c>
      <c r="Y35" s="42" t="str">
        <f t="shared" si="12"/>
        <v>1</v>
      </c>
      <c r="Z35" s="264">
        <v>0</v>
      </c>
      <c r="AA35" s="9" t="str">
        <f t="shared" si="3"/>
        <v>0</v>
      </c>
      <c r="AB35" s="65" t="str">
        <f t="shared" si="4"/>
        <v>0</v>
      </c>
    </row>
    <row r="36" spans="2:32" ht="13.5" thickTop="1">
      <c r="B36" s="54" t="s">
        <v>868</v>
      </c>
      <c r="C36" s="83" t="s">
        <v>869</v>
      </c>
      <c r="D36" s="272" t="s">
        <v>761</v>
      </c>
      <c r="E36" s="54" t="s">
        <v>870</v>
      </c>
      <c r="F36" s="95" t="s">
        <v>55</v>
      </c>
      <c r="G36" s="265"/>
      <c r="H36" s="101" t="s">
        <v>764</v>
      </c>
      <c r="I36" s="13" t="s">
        <v>871</v>
      </c>
      <c r="J36" s="56" t="str">
        <f>IF(LEFT(F36,1)="P",$AD$5,$AD$4)</f>
        <v>GPIO pin</v>
      </c>
      <c r="K36" s="76" t="s">
        <v>872</v>
      </c>
      <c r="L36" s="68" t="s">
        <v>20</v>
      </c>
      <c r="M36" s="68" t="s">
        <v>20</v>
      </c>
      <c r="N36" s="68" t="s">
        <v>20</v>
      </c>
      <c r="O36" s="68"/>
      <c r="P36" s="74"/>
      <c r="Q36" s="109" t="str">
        <f>IF(LEFT(F36,2)="UD","Check 'UDCTRG'","")</f>
        <v/>
      </c>
      <c r="R36" s="17"/>
      <c r="S36" s="11" t="s">
        <v>768</v>
      </c>
      <c r="T36" s="11" t="s">
        <v>873</v>
      </c>
      <c r="V36" s="396" t="str">
        <f t="shared" si="8"/>
        <v>PORT3</v>
      </c>
      <c r="W36" s="23">
        <v>7</v>
      </c>
      <c r="X36" s="18" t="str">
        <f t="shared" si="1"/>
        <v>0</v>
      </c>
      <c r="Y36" s="41" t="str">
        <f t="shared" si="10"/>
        <v>0</v>
      </c>
      <c r="Z36" s="260">
        <v>0</v>
      </c>
      <c r="AA36" s="2" t="str">
        <f>IF(L36="H","1",IF(L36="L","1","0"))</f>
        <v>0</v>
      </c>
      <c r="AB36" s="64" t="str">
        <f>IF(L36="H","1","0")</f>
        <v>0</v>
      </c>
      <c r="AE36" s="6" t="str">
        <f>V36</f>
        <v>PORT3</v>
      </c>
      <c r="AF36" s="20" t="s">
        <v>728</v>
      </c>
    </row>
    <row r="37" spans="2:32" ht="12.75">
      <c r="B37" s="50"/>
      <c r="C37" s="10" t="s">
        <v>874</v>
      </c>
      <c r="D37" s="273" t="s">
        <v>738</v>
      </c>
      <c r="E37" s="50" t="s">
        <v>875</v>
      </c>
      <c r="F37" s="100" t="s">
        <v>876</v>
      </c>
      <c r="G37" s="11"/>
      <c r="H37" s="101" t="s">
        <v>741</v>
      </c>
      <c r="I37" s="24" t="s">
        <v>877</v>
      </c>
      <c r="J37" s="56" t="str">
        <f>IF(LEFT(F37,1)="P",$AD$5,$AD$6)</f>
        <v>GPIO pin</v>
      </c>
      <c r="K37" s="76" t="s">
        <v>878</v>
      </c>
      <c r="L37" s="68" t="s">
        <v>20</v>
      </c>
      <c r="M37" s="68" t="s">
        <v>20</v>
      </c>
      <c r="N37" s="68" t="s">
        <v>20</v>
      </c>
      <c r="O37" s="68"/>
      <c r="P37" s="74"/>
      <c r="Q37" s="87"/>
      <c r="R37" s="17"/>
      <c r="S37" s="101" t="s">
        <v>879</v>
      </c>
      <c r="T37" s="101" t="s">
        <v>880</v>
      </c>
      <c r="V37" s="397">
        <f t="shared" si="8"/>
        <v>0</v>
      </c>
      <c r="W37" s="21">
        <v>6</v>
      </c>
      <c r="X37" s="18" t="str">
        <f t="shared" si="1"/>
        <v>0</v>
      </c>
      <c r="Y37" s="41" t="str">
        <f t="shared" si="10"/>
        <v>0</v>
      </c>
      <c r="Z37" s="3">
        <f t="shared" ref="Z37:Z43" si="13">VLOOKUP(J37,$AD$4:$AG$6,4,FALSE)</f>
        <v>0</v>
      </c>
      <c r="AA37" s="2" t="str">
        <f>IF(L37="H","1",IF(L37="L","1","0"))</f>
        <v>0</v>
      </c>
      <c r="AB37" s="64" t="str">
        <f>IF(L37="H","1","0")</f>
        <v>0</v>
      </c>
      <c r="AE37" s="1" t="str">
        <f>$X$11</f>
        <v>PDR</v>
      </c>
      <c r="AF37" s="1" t="str">
        <f>DEC2HEX(((2^W36)*X36)+(2^W37*X37)+(2^W38*X38)+(2^W39*X39)+(2^W40*X40)+(2^W41*X41)+(2^W42*X42)+(2^W43*X43))</f>
        <v>1</v>
      </c>
    </row>
    <row r="38" spans="2:32" ht="12.75">
      <c r="B38" s="50"/>
      <c r="C38" s="10" t="s">
        <v>881</v>
      </c>
      <c r="D38" s="273" t="s">
        <v>738</v>
      </c>
      <c r="E38" s="50" t="s">
        <v>882</v>
      </c>
      <c r="F38" s="100" t="s">
        <v>10</v>
      </c>
      <c r="G38" s="11"/>
      <c r="H38" s="101" t="s">
        <v>725</v>
      </c>
      <c r="I38" s="24" t="s">
        <v>883</v>
      </c>
      <c r="J38" s="56" t="str">
        <f>IF(LEFT(F38,1)="P",$AD$5,$AD$4)</f>
        <v>GPIO pin</v>
      </c>
      <c r="K38" s="76" t="s">
        <v>884</v>
      </c>
      <c r="L38" s="11" t="str">
        <f>IF(LEFT(F38,2)="SD","H","-")</f>
        <v>-</v>
      </c>
      <c r="M38" s="68" t="s">
        <v>20</v>
      </c>
      <c r="N38" s="68" t="s">
        <v>20</v>
      </c>
      <c r="O38" s="68"/>
      <c r="P38" s="74"/>
      <c r="Q38" s="109" t="str">
        <f>IF(LEFT(F38,2)="UD","Check 'UDCTRG'","")</f>
        <v/>
      </c>
      <c r="R38" s="17"/>
      <c r="S38" s="11" t="s">
        <v>879</v>
      </c>
      <c r="T38" s="11" t="s">
        <v>885</v>
      </c>
      <c r="V38" s="397">
        <f t="shared" si="8"/>
        <v>0</v>
      </c>
      <c r="W38" s="21">
        <v>5</v>
      </c>
      <c r="X38" s="18" t="str">
        <f t="shared" si="1"/>
        <v>0</v>
      </c>
      <c r="Y38" s="41" t="str">
        <f t="shared" si="10"/>
        <v>0</v>
      </c>
      <c r="Z38" s="260">
        <v>0</v>
      </c>
      <c r="AA38" s="2" t="str">
        <f>IF(L38="H","1",IF(L38="L","1","0"))</f>
        <v>0</v>
      </c>
      <c r="AB38" s="64" t="str">
        <f>IF(L38="H","1","0")</f>
        <v>0</v>
      </c>
      <c r="AE38" s="1" t="str">
        <f>$Y$11</f>
        <v>DDR</v>
      </c>
      <c r="AF38" s="1" t="str">
        <f>DEC2HEX(((2^W36)*Y36)+(2^W37*Y37)+(2^W38*Y38)+(2^W39*Y39)+(2^W40*Y40)+(2^W41*Y41)+(2^W42*Y42)+(2^W43*Y43))</f>
        <v>1</v>
      </c>
    </row>
    <row r="39" spans="2:32" ht="12.75">
      <c r="B39" s="50"/>
      <c r="C39" s="10" t="s">
        <v>11</v>
      </c>
      <c r="D39" s="273" t="s">
        <v>738</v>
      </c>
      <c r="E39" s="50" t="s">
        <v>886</v>
      </c>
      <c r="F39" s="100" t="s">
        <v>11</v>
      </c>
      <c r="G39" s="11"/>
      <c r="H39" s="101" t="s">
        <v>741</v>
      </c>
      <c r="I39" s="24" t="s">
        <v>887</v>
      </c>
      <c r="J39" s="56" t="str">
        <f>IF(LEFT(F39,1)="P",$AD$5,$AD$6)</f>
        <v>GPIO pin</v>
      </c>
      <c r="K39" s="76" t="s">
        <v>878</v>
      </c>
      <c r="L39" s="11" t="str">
        <f>IF(LEFT(F39,2)="SD","H","-")</f>
        <v>-</v>
      </c>
      <c r="M39" s="68" t="s">
        <v>20</v>
      </c>
      <c r="N39" s="68" t="s">
        <v>20</v>
      </c>
      <c r="O39" s="68"/>
      <c r="P39" s="74"/>
      <c r="Q39" s="88"/>
      <c r="R39" s="17"/>
      <c r="S39" s="11" t="s">
        <v>879</v>
      </c>
      <c r="T39" s="11" t="s">
        <v>888</v>
      </c>
      <c r="V39" s="397">
        <f t="shared" si="8"/>
        <v>0</v>
      </c>
      <c r="W39" s="25">
        <v>4</v>
      </c>
      <c r="X39" s="18" t="str">
        <f t="shared" si="1"/>
        <v>0</v>
      </c>
      <c r="Y39" s="41" t="str">
        <f t="shared" si="10"/>
        <v>0</v>
      </c>
      <c r="Z39" s="3">
        <f t="shared" si="13"/>
        <v>0</v>
      </c>
      <c r="AA39" s="2" t="str">
        <f t="shared" ref="AA39:AA43" si="14">IF(L39="H","1",IF(L39="L","1","0"))</f>
        <v>0</v>
      </c>
      <c r="AB39" s="64" t="str">
        <f t="shared" ref="AB39:AB43" si="15">IF(L39="H","1","0")</f>
        <v>0</v>
      </c>
      <c r="AE39" s="1" t="str">
        <f>$Z$11</f>
        <v>EPCR</v>
      </c>
      <c r="AF39" s="1" t="str">
        <f>DEC2HEX(((2^W36)*Z36)+(2^W37*Z37)+(2^W38*Z38)+(2^W39*Z39)+(2^W40*Z40)+(2^W41*Z41)+(2^W42*Z42)+(2^W43*Z43))</f>
        <v>0</v>
      </c>
    </row>
    <row r="40" spans="2:32" ht="12.75">
      <c r="B40" s="50"/>
      <c r="C40" s="10" t="s">
        <v>12</v>
      </c>
      <c r="D40" s="273" t="s">
        <v>720</v>
      </c>
      <c r="E40" s="50" t="s">
        <v>889</v>
      </c>
      <c r="F40" s="100" t="s">
        <v>12</v>
      </c>
      <c r="G40" s="11"/>
      <c r="H40" s="101" t="s">
        <v>724</v>
      </c>
      <c r="I40" s="119" t="s">
        <v>890</v>
      </c>
      <c r="J40" s="56" t="str">
        <f>IF(LEFT(F40,1)="P",$AD$5,$AD$4)</f>
        <v>GPIO pin</v>
      </c>
      <c r="K40" s="76" t="s">
        <v>891</v>
      </c>
      <c r="L40" s="79" t="s">
        <v>20</v>
      </c>
      <c r="M40" s="68" t="s">
        <v>20</v>
      </c>
      <c r="N40" s="68" t="s">
        <v>20</v>
      </c>
      <c r="O40" s="68"/>
      <c r="P40" s="74"/>
      <c r="Q40" s="88"/>
      <c r="R40" s="13"/>
      <c r="S40" s="11" t="s">
        <v>759</v>
      </c>
      <c r="T40" s="11" t="s">
        <v>892</v>
      </c>
      <c r="V40" s="397">
        <f t="shared" si="8"/>
        <v>0</v>
      </c>
      <c r="W40" s="21">
        <v>3</v>
      </c>
      <c r="X40" s="18" t="str">
        <f t="shared" si="1"/>
        <v>0</v>
      </c>
      <c r="Y40" s="41" t="str">
        <f t="shared" si="10"/>
        <v>0</v>
      </c>
      <c r="Z40" s="260">
        <v>0</v>
      </c>
      <c r="AA40" s="2" t="str">
        <f t="shared" si="14"/>
        <v>0</v>
      </c>
      <c r="AB40" s="64" t="str">
        <f t="shared" si="15"/>
        <v>0</v>
      </c>
      <c r="AE40" s="1" t="str">
        <f>$AA$11</f>
        <v>PUDEN</v>
      </c>
      <c r="AF40" s="1" t="str">
        <f>DEC2HEX(((2^W36)*AA36)+(2^W37*AA37)+(2^W38*AA38)+(2^W39*AA39)+(2^W40*AA40)+(2^W41*AA41)+(2^W42*AA42)+(2^W43*AA43))</f>
        <v>0</v>
      </c>
    </row>
    <row r="41" spans="2:32" ht="12.75">
      <c r="B41" s="50"/>
      <c r="C41" s="10" t="s">
        <v>13</v>
      </c>
      <c r="D41" s="273" t="s">
        <v>789</v>
      </c>
      <c r="E41" s="50" t="s">
        <v>893</v>
      </c>
      <c r="F41" s="100" t="s">
        <v>894</v>
      </c>
      <c r="G41" s="11"/>
      <c r="H41" s="101" t="s">
        <v>792</v>
      </c>
      <c r="I41" s="119" t="s">
        <v>895</v>
      </c>
      <c r="J41" s="56" t="str">
        <f>IF(LEFT(F41,1)="P",$AD$5,$AD$6)</f>
        <v>GPIO pin</v>
      </c>
      <c r="K41" s="76" t="s">
        <v>896</v>
      </c>
      <c r="L41" s="79" t="s">
        <v>20</v>
      </c>
      <c r="M41" s="68" t="s">
        <v>20</v>
      </c>
      <c r="N41" s="68" t="s">
        <v>20</v>
      </c>
      <c r="O41" s="68"/>
      <c r="P41" s="74"/>
      <c r="Q41" s="88"/>
      <c r="R41" s="13"/>
      <c r="S41" s="11" t="s">
        <v>897</v>
      </c>
      <c r="T41" s="11" t="s">
        <v>898</v>
      </c>
      <c r="V41" s="397">
        <f t="shared" si="8"/>
        <v>0</v>
      </c>
      <c r="W41" s="21">
        <v>2</v>
      </c>
      <c r="X41" s="18" t="str">
        <f t="shared" si="1"/>
        <v>0</v>
      </c>
      <c r="Y41" s="41" t="str">
        <f t="shared" si="10"/>
        <v>0</v>
      </c>
      <c r="Z41" s="3">
        <f t="shared" si="13"/>
        <v>0</v>
      </c>
      <c r="AA41" s="2" t="str">
        <f t="shared" si="14"/>
        <v>0</v>
      </c>
      <c r="AB41" s="64" t="str">
        <f t="shared" si="15"/>
        <v>0</v>
      </c>
      <c r="AE41" s="1"/>
      <c r="AF41" s="1" t="str">
        <f>DEC2HEX(((2^W36)*AB36)+(2^W37*AB37)+(2^W38*AB38)+(2^W39*AB39)+(2^W40*AB40)+(2^W41*AB41)+(2^W42*AB42)+(2^W43*AB43))</f>
        <v>0</v>
      </c>
    </row>
    <row r="42" spans="2:32" ht="12.75">
      <c r="B42" s="50"/>
      <c r="C42" s="10" t="s">
        <v>14</v>
      </c>
      <c r="D42" s="273" t="s">
        <v>789</v>
      </c>
      <c r="E42" s="50" t="s">
        <v>899</v>
      </c>
      <c r="F42" s="100" t="s">
        <v>14</v>
      </c>
      <c r="G42" s="11"/>
      <c r="H42" s="101" t="s">
        <v>792</v>
      </c>
      <c r="I42" s="119" t="s">
        <v>900</v>
      </c>
      <c r="J42" s="56" t="str">
        <f>IF(LEFT(F42,1)="P",$AD$5,$AD$4)</f>
        <v>GPIO pin</v>
      </c>
      <c r="K42" s="76" t="s">
        <v>896</v>
      </c>
      <c r="L42" s="79" t="s">
        <v>20</v>
      </c>
      <c r="M42" s="68" t="s">
        <v>20</v>
      </c>
      <c r="N42" s="68" t="s">
        <v>20</v>
      </c>
      <c r="O42" s="68"/>
      <c r="P42" s="74"/>
      <c r="Q42" s="88"/>
      <c r="R42" s="13"/>
      <c r="S42" s="11" t="s">
        <v>897</v>
      </c>
      <c r="T42" s="11" t="s">
        <v>901</v>
      </c>
      <c r="V42" s="397">
        <f t="shared" si="8"/>
        <v>0</v>
      </c>
      <c r="W42" s="21">
        <v>1</v>
      </c>
      <c r="X42" s="18" t="str">
        <f t="shared" si="1"/>
        <v>0</v>
      </c>
      <c r="Y42" s="41" t="str">
        <f t="shared" si="10"/>
        <v>0</v>
      </c>
      <c r="Z42" s="260">
        <v>0</v>
      </c>
      <c r="AA42" s="2" t="str">
        <f t="shared" si="14"/>
        <v>0</v>
      </c>
      <c r="AB42" s="64" t="str">
        <f t="shared" si="15"/>
        <v>0</v>
      </c>
      <c r="AE42" s="27"/>
      <c r="AF42" s="27"/>
    </row>
    <row r="43" spans="2:32" ht="13.5" thickBot="1">
      <c r="B43" s="53"/>
      <c r="C43" s="274" t="s">
        <v>15</v>
      </c>
      <c r="D43" s="273" t="s">
        <v>789</v>
      </c>
      <c r="E43" s="53" t="s">
        <v>902</v>
      </c>
      <c r="F43" s="100" t="s">
        <v>903</v>
      </c>
      <c r="G43" s="11"/>
      <c r="H43" s="103" t="s">
        <v>773</v>
      </c>
      <c r="I43" s="275" t="s">
        <v>904</v>
      </c>
      <c r="J43" s="56" t="str">
        <f>IF(LEFT(F43,1)="P",$AD$5,IF(LEFT(F43,2)="WP",$AD$4,$AD$6))</f>
        <v>GPIO pin</v>
      </c>
      <c r="K43" s="276" t="s">
        <v>98</v>
      </c>
      <c r="L43" s="274" t="s">
        <v>20</v>
      </c>
      <c r="M43" s="277" t="s">
        <v>72</v>
      </c>
      <c r="N43" s="277" t="s">
        <v>91</v>
      </c>
      <c r="O43" s="69"/>
      <c r="P43" s="74"/>
      <c r="Q43" s="90"/>
      <c r="R43" s="17"/>
      <c r="S43" s="278" t="s">
        <v>879</v>
      </c>
      <c r="T43" s="279" t="s">
        <v>905</v>
      </c>
      <c r="V43" s="398">
        <f t="shared" si="8"/>
        <v>0</v>
      </c>
      <c r="W43" s="82">
        <v>0</v>
      </c>
      <c r="X43" s="18" t="str">
        <f t="shared" si="1"/>
        <v>1</v>
      </c>
      <c r="Y43" s="42" t="str">
        <f t="shared" si="10"/>
        <v>1</v>
      </c>
      <c r="Z43" s="8">
        <f t="shared" si="13"/>
        <v>0</v>
      </c>
      <c r="AA43" s="2" t="str">
        <f t="shared" si="14"/>
        <v>0</v>
      </c>
      <c r="AB43" s="64" t="str">
        <f t="shared" si="15"/>
        <v>0</v>
      </c>
      <c r="AD43" s="5"/>
    </row>
    <row r="44" spans="2:32" ht="12" thickTop="1">
      <c r="B44" s="54" t="s">
        <v>906</v>
      </c>
      <c r="C44" s="58" t="s">
        <v>907</v>
      </c>
      <c r="D44" s="280"/>
      <c r="E44" s="58"/>
      <c r="F44" s="281"/>
      <c r="G44" s="281"/>
      <c r="H44" s="281"/>
      <c r="I44" s="281"/>
      <c r="J44" s="281" t="s">
        <v>908</v>
      </c>
      <c r="K44" s="282" t="s">
        <v>908</v>
      </c>
      <c r="L44" s="282" t="s">
        <v>908</v>
      </c>
      <c r="M44" s="281" t="s">
        <v>908</v>
      </c>
      <c r="N44" s="281" t="s">
        <v>908</v>
      </c>
      <c r="O44" s="281"/>
      <c r="P44" s="283"/>
      <c r="Q44" s="283"/>
      <c r="R44" s="281"/>
      <c r="S44" s="284"/>
      <c r="T44" s="284"/>
      <c r="V44" s="396" t="str">
        <f t="shared" si="8"/>
        <v>PORT 4</v>
      </c>
      <c r="W44" s="23">
        <v>7</v>
      </c>
      <c r="X44" s="47">
        <v>0</v>
      </c>
      <c r="Y44" s="48">
        <v>0</v>
      </c>
      <c r="Z44" s="49">
        <v>0</v>
      </c>
      <c r="AA44" s="49">
        <v>0</v>
      </c>
      <c r="AB44" s="67">
        <v>0</v>
      </c>
      <c r="AE44" s="6" t="str">
        <f>V44</f>
        <v>PORT 4</v>
      </c>
      <c r="AF44" s="20" t="s">
        <v>909</v>
      </c>
    </row>
    <row r="45" spans="2:32" ht="12.75">
      <c r="B45" s="50"/>
      <c r="C45" s="51" t="s">
        <v>910</v>
      </c>
      <c r="D45" s="261" t="s">
        <v>851</v>
      </c>
      <c r="E45" s="96" t="s">
        <v>911</v>
      </c>
      <c r="F45" s="100" t="s">
        <v>911</v>
      </c>
      <c r="G45" s="11"/>
      <c r="H45" s="101" t="s">
        <v>802</v>
      </c>
      <c r="I45" s="14" t="s">
        <v>912</v>
      </c>
      <c r="J45" s="56" t="str">
        <f>IF(LEFT(F45,1)="P",$AD$5)</f>
        <v>GPIO pin</v>
      </c>
      <c r="K45" s="76" t="s">
        <v>854</v>
      </c>
      <c r="L45" s="79" t="s">
        <v>20</v>
      </c>
      <c r="M45" s="11" t="s">
        <v>913</v>
      </c>
      <c r="N45" s="11" t="s">
        <v>913</v>
      </c>
      <c r="O45" s="11"/>
      <c r="P45" s="89" t="s">
        <v>914</v>
      </c>
      <c r="Q45" s="89"/>
      <c r="R45" s="11"/>
      <c r="S45" s="11" t="s">
        <v>855</v>
      </c>
      <c r="T45" s="11"/>
      <c r="V45" s="397">
        <f t="shared" si="8"/>
        <v>0</v>
      </c>
      <c r="W45" s="21">
        <v>6</v>
      </c>
      <c r="X45" s="18" t="str">
        <f t="shared" ref="X45:X47" si="16">IF(M45="H","1","0")</f>
        <v>0</v>
      </c>
      <c r="Y45" s="41" t="str">
        <f t="shared" ref="Y45:Y47" si="17">IF(LEFT(K45,1)="O","1","0")</f>
        <v>1</v>
      </c>
      <c r="Z45" s="260">
        <v>0</v>
      </c>
      <c r="AA45" s="2" t="str">
        <f>IF(L45="H","1",IF(L45="L","1","0"))</f>
        <v>0</v>
      </c>
      <c r="AB45" s="64" t="str">
        <f>IF(L45="H","1","0")</f>
        <v>0</v>
      </c>
      <c r="AE45" s="1" t="str">
        <f>$X$11</f>
        <v>PDR</v>
      </c>
      <c r="AF45" s="1" t="str">
        <f>DEC2HEX(((2^W44)*X44)+(2^W45*X45)+(2^W46*X46)+(2^W47*X47)+(2^W48*X48)+(2^W49*X49)+(2^W50*X50)+(2^W51*X51))</f>
        <v>0</v>
      </c>
    </row>
    <row r="46" spans="2:32" ht="12.75">
      <c r="B46" s="50"/>
      <c r="C46" s="51" t="s">
        <v>915</v>
      </c>
      <c r="D46" s="261" t="s">
        <v>851</v>
      </c>
      <c r="E46" s="96" t="s">
        <v>916</v>
      </c>
      <c r="F46" s="100" t="s">
        <v>917</v>
      </c>
      <c r="G46" s="11"/>
      <c r="H46" s="101" t="s">
        <v>824</v>
      </c>
      <c r="I46" s="14" t="s">
        <v>918</v>
      </c>
      <c r="J46" s="56" t="str">
        <f>IF(LEFT(F46,1)="P",$AD$5,$AD$4)</f>
        <v>Dedicated pin</v>
      </c>
      <c r="K46" s="76" t="str">
        <f>IF(LEFT(F46,1)="F",$AE$4,$AE$6)</f>
        <v>Out</v>
      </c>
      <c r="L46" s="79" t="s">
        <v>20</v>
      </c>
      <c r="M46" s="11" t="s">
        <v>919</v>
      </c>
      <c r="N46" s="11" t="s">
        <v>919</v>
      </c>
      <c r="O46" s="11"/>
      <c r="P46" s="89"/>
      <c r="Q46" s="89"/>
      <c r="R46" s="14" t="s">
        <v>920</v>
      </c>
      <c r="S46" s="11"/>
      <c r="T46" s="11" t="s">
        <v>921</v>
      </c>
      <c r="V46" s="397">
        <f t="shared" si="8"/>
        <v>0</v>
      </c>
      <c r="W46" s="21">
        <v>5</v>
      </c>
      <c r="X46" s="18" t="str">
        <f t="shared" si="16"/>
        <v>0</v>
      </c>
      <c r="Y46" s="41" t="str">
        <f t="shared" si="17"/>
        <v>1</v>
      </c>
      <c r="Z46" s="3">
        <f>VLOOKUP(J46,$AD$4:$AG$6,4,FALSE)</f>
        <v>1</v>
      </c>
      <c r="AA46" s="2" t="str">
        <f>IF(L46="H","1",IF(L46="L","1","0"))</f>
        <v>0</v>
      </c>
      <c r="AB46" s="64" t="str">
        <f>IF(L46="H","1","0")</f>
        <v>0</v>
      </c>
      <c r="AE46" s="1" t="str">
        <f>$Y$11</f>
        <v>DDR</v>
      </c>
      <c r="AF46" s="1" t="str">
        <f>DEC2HEX(((2^W44)*Y44)+(2^W45*Y45)+(2^W46*Y46)+(2^W47*Y47)+(2^W48*Y48)+(2^W49*Y49)+(2^W50*Y50)+(2^W51*Y51))</f>
        <v>60</v>
      </c>
    </row>
    <row r="47" spans="2:32" ht="12.75">
      <c r="B47" s="50"/>
      <c r="C47" s="51" t="s">
        <v>922</v>
      </c>
      <c r="D47" s="261" t="s">
        <v>821</v>
      </c>
      <c r="E47" s="96" t="s">
        <v>923</v>
      </c>
      <c r="F47" s="100" t="s">
        <v>92</v>
      </c>
      <c r="G47" s="11"/>
      <c r="H47" s="101" t="s">
        <v>824</v>
      </c>
      <c r="I47" s="14" t="s">
        <v>924</v>
      </c>
      <c r="J47" s="56" t="str">
        <f>IF(LEFT(F47,1)="P",$AD$5,$AD$6)</f>
        <v>INPUT pin</v>
      </c>
      <c r="K47" s="76" t="str">
        <f>IF(LEFT(F47,1)="F",$AE$5,$AE$6)</f>
        <v>In</v>
      </c>
      <c r="L47" s="79" t="s">
        <v>20</v>
      </c>
      <c r="M47" s="11" t="s">
        <v>919</v>
      </c>
      <c r="N47" s="11" t="s">
        <v>919</v>
      </c>
      <c r="O47" s="11"/>
      <c r="P47" s="89"/>
      <c r="Q47" s="89"/>
      <c r="R47" s="14" t="s">
        <v>920</v>
      </c>
      <c r="S47" s="11"/>
      <c r="T47" s="11" t="s">
        <v>925</v>
      </c>
      <c r="V47" s="397">
        <f t="shared" si="8"/>
        <v>0</v>
      </c>
      <c r="W47" s="25">
        <v>4</v>
      </c>
      <c r="X47" s="18" t="str">
        <f t="shared" si="16"/>
        <v>0</v>
      </c>
      <c r="Y47" s="41" t="str">
        <f t="shared" si="17"/>
        <v>0</v>
      </c>
      <c r="Z47" s="260">
        <v>0</v>
      </c>
      <c r="AA47" s="2" t="str">
        <f t="shared" ref="AA47" si="18">IF(L47="H","1",IF(L47="L","1","0"))</f>
        <v>0</v>
      </c>
      <c r="AB47" s="64" t="str">
        <f t="shared" ref="AB47" si="19">IF(L47="H","1","0")</f>
        <v>0</v>
      </c>
      <c r="AE47" s="1" t="str">
        <f>$Z$11</f>
        <v>EPCR</v>
      </c>
      <c r="AF47" s="1" t="str">
        <f>DEC2HEX(((2^W44)*Z44)+(2^W45*Z45)+(2^W46*Z46)+(2^W47*Z47)+(2^W48*Z48)+(2^W49*Z49)+(2^W50*Z50)+(2^W51*Z51))</f>
        <v>20</v>
      </c>
    </row>
    <row r="48" spans="2:32" ht="12.75">
      <c r="B48" s="50"/>
      <c r="C48" s="59" t="s">
        <v>926</v>
      </c>
      <c r="D48" s="285"/>
      <c r="E48" s="286"/>
      <c r="F48" s="284"/>
      <c r="G48" s="284"/>
      <c r="H48" s="284"/>
      <c r="I48" s="287"/>
      <c r="J48" s="284" t="s">
        <v>927</v>
      </c>
      <c r="K48" s="288" t="s">
        <v>928</v>
      </c>
      <c r="L48" s="289" t="s">
        <v>20</v>
      </c>
      <c r="M48" s="290" t="s">
        <v>20</v>
      </c>
      <c r="N48" s="290" t="s">
        <v>20</v>
      </c>
      <c r="O48" s="290"/>
      <c r="P48" s="291"/>
      <c r="Q48" s="288"/>
      <c r="R48" s="292"/>
      <c r="S48" s="284"/>
      <c r="T48" s="284"/>
      <c r="V48" s="397">
        <f t="shared" si="8"/>
        <v>0</v>
      </c>
      <c r="W48" s="21">
        <v>3</v>
      </c>
      <c r="X48" s="43">
        <v>0</v>
      </c>
      <c r="Y48" s="44">
        <v>0</v>
      </c>
      <c r="Z48" s="45">
        <v>0</v>
      </c>
      <c r="AA48" s="45">
        <v>0</v>
      </c>
      <c r="AB48" s="66">
        <v>0</v>
      </c>
      <c r="AE48" s="1" t="str">
        <f>$AA$11</f>
        <v>PUDEN</v>
      </c>
      <c r="AF48" s="1" t="str">
        <f>DEC2HEX(((2^W44)*AA44)+(2^W45*AA45)+(2^W46*AA46)+(2^W47*AA47)+(2^W48*AA48)+(2^W49*AA49)+(2^W50*AA50)+(2^W51*AA51))</f>
        <v>0</v>
      </c>
    </row>
    <row r="49" spans="1:32" ht="12.75">
      <c r="B49" s="50"/>
      <c r="C49" s="59" t="s">
        <v>929</v>
      </c>
      <c r="D49" s="285"/>
      <c r="E49" s="286"/>
      <c r="F49" s="284"/>
      <c r="G49" s="284"/>
      <c r="H49" s="284"/>
      <c r="I49" s="292"/>
      <c r="J49" s="284" t="s">
        <v>930</v>
      </c>
      <c r="K49" s="288" t="s">
        <v>932</v>
      </c>
      <c r="L49" s="289" t="s">
        <v>20</v>
      </c>
      <c r="M49" s="290" t="s">
        <v>20</v>
      </c>
      <c r="N49" s="290" t="s">
        <v>20</v>
      </c>
      <c r="O49" s="290"/>
      <c r="P49" s="291"/>
      <c r="Q49" s="291"/>
      <c r="R49" s="293"/>
      <c r="S49" s="284"/>
      <c r="T49" s="284"/>
      <c r="V49" s="397">
        <f t="shared" si="8"/>
        <v>0</v>
      </c>
      <c r="W49" s="21">
        <v>2</v>
      </c>
      <c r="X49" s="43">
        <v>0</v>
      </c>
      <c r="Y49" s="44">
        <v>0</v>
      </c>
      <c r="Z49" s="45">
        <v>0</v>
      </c>
      <c r="AA49" s="45">
        <v>0</v>
      </c>
      <c r="AB49" s="66">
        <v>0</v>
      </c>
      <c r="AE49" s="1" t="str">
        <f>$AB$11</f>
        <v>PUDCR</v>
      </c>
      <c r="AF49" s="1" t="str">
        <f>DEC2HEX(((2^W44)*AB44)+(2^W45*AB45)+(2^W46*AB46)+(2^W47*AB47)+(2^W48*AB48)+(2^W49*AB49)+(2^W50*AB50)+(2^W51*AB51))</f>
        <v>0</v>
      </c>
    </row>
    <row r="50" spans="1:32" ht="12.75">
      <c r="B50" s="50"/>
      <c r="C50" s="59" t="s">
        <v>70</v>
      </c>
      <c r="D50" s="285"/>
      <c r="E50" s="286"/>
      <c r="F50" s="284"/>
      <c r="G50" s="284"/>
      <c r="H50" s="284"/>
      <c r="I50" s="294"/>
      <c r="J50" s="284" t="s">
        <v>908</v>
      </c>
      <c r="K50" s="288" t="s">
        <v>931</v>
      </c>
      <c r="L50" s="289" t="s">
        <v>20</v>
      </c>
      <c r="M50" s="290" t="s">
        <v>20</v>
      </c>
      <c r="N50" s="290" t="s">
        <v>20</v>
      </c>
      <c r="O50" s="290"/>
      <c r="P50" s="291"/>
      <c r="Q50" s="291"/>
      <c r="R50" s="292"/>
      <c r="S50" s="284"/>
      <c r="T50" s="284"/>
      <c r="V50" s="397">
        <f t="shared" si="8"/>
        <v>0</v>
      </c>
      <c r="W50" s="21">
        <v>1</v>
      </c>
      <c r="X50" s="43">
        <v>0</v>
      </c>
      <c r="Y50" s="44">
        <v>0</v>
      </c>
      <c r="Z50" s="45">
        <v>0</v>
      </c>
      <c r="AA50" s="45">
        <v>0</v>
      </c>
      <c r="AB50" s="66">
        <v>0</v>
      </c>
      <c r="AE50" s="27"/>
      <c r="AF50" s="27"/>
    </row>
    <row r="51" spans="1:32" ht="13.5" thickBot="1">
      <c r="B51" s="53"/>
      <c r="C51" s="59" t="s">
        <v>71</v>
      </c>
      <c r="D51" s="285"/>
      <c r="E51" s="286"/>
      <c r="F51" s="284"/>
      <c r="G51" s="284"/>
      <c r="H51" s="295"/>
      <c r="I51" s="296"/>
      <c r="J51" s="295" t="s">
        <v>908</v>
      </c>
      <c r="K51" s="297" t="s">
        <v>931</v>
      </c>
      <c r="L51" s="295" t="s">
        <v>931</v>
      </c>
      <c r="M51" s="290" t="s">
        <v>20</v>
      </c>
      <c r="N51" s="290" t="s">
        <v>20</v>
      </c>
      <c r="O51" s="298"/>
      <c r="P51" s="288"/>
      <c r="Q51" s="299"/>
      <c r="R51" s="292"/>
      <c r="S51" s="295"/>
      <c r="T51" s="295"/>
      <c r="V51" s="398">
        <f t="shared" si="8"/>
        <v>0</v>
      </c>
      <c r="W51" s="22">
        <v>0</v>
      </c>
      <c r="X51" s="43">
        <v>0</v>
      </c>
      <c r="Y51" s="44">
        <v>0</v>
      </c>
      <c r="Z51" s="84">
        <v>0</v>
      </c>
      <c r="AA51" s="45">
        <v>0</v>
      </c>
      <c r="AB51" s="66">
        <v>0</v>
      </c>
    </row>
    <row r="52" spans="1:32" ht="13.5" thickTop="1">
      <c r="B52" s="54" t="s">
        <v>933</v>
      </c>
      <c r="C52" s="55" t="s">
        <v>934</v>
      </c>
      <c r="D52" s="259"/>
      <c r="E52" s="300" t="s">
        <v>935</v>
      </c>
      <c r="F52" s="95" t="s">
        <v>73</v>
      </c>
      <c r="G52" s="265"/>
      <c r="H52" s="101" t="s">
        <v>937</v>
      </c>
      <c r="I52" s="266" t="s">
        <v>939</v>
      </c>
      <c r="J52" s="56" t="str">
        <f t="shared" ref="J52:J67" si="20">IF(LEFT(F52,1)="P",$AD$5,$AD$6)</f>
        <v>GPIO pin</v>
      </c>
      <c r="K52" s="76" t="s">
        <v>940</v>
      </c>
      <c r="L52" s="68" t="s">
        <v>20</v>
      </c>
      <c r="M52" s="265" t="s">
        <v>942</v>
      </c>
      <c r="N52" s="265" t="s">
        <v>943</v>
      </c>
      <c r="O52" s="265"/>
      <c r="P52" s="267"/>
      <c r="Q52" s="267"/>
      <c r="R52" s="265"/>
      <c r="S52" s="11"/>
      <c r="T52" s="11" t="s">
        <v>944</v>
      </c>
      <c r="U52" s="301"/>
      <c r="V52" s="396" t="str">
        <f t="shared" si="8"/>
        <v>PORT 6</v>
      </c>
      <c r="W52" s="268">
        <v>7</v>
      </c>
      <c r="X52" s="302">
        <v>0</v>
      </c>
      <c r="Y52" s="46">
        <v>0</v>
      </c>
      <c r="Z52" s="260">
        <v>0</v>
      </c>
      <c r="AA52" s="303">
        <v>0</v>
      </c>
      <c r="AB52" s="63">
        <v>0</v>
      </c>
      <c r="AE52" s="6" t="str">
        <f>V52</f>
        <v>PORT 6</v>
      </c>
      <c r="AF52" s="20" t="s">
        <v>945</v>
      </c>
    </row>
    <row r="53" spans="1:32" ht="12.75">
      <c r="B53" s="50"/>
      <c r="C53" s="51" t="s">
        <v>946</v>
      </c>
      <c r="D53" s="261"/>
      <c r="E53" s="96" t="s">
        <v>947</v>
      </c>
      <c r="F53" s="24" t="s">
        <v>74</v>
      </c>
      <c r="G53" s="11"/>
      <c r="H53" s="101" t="s">
        <v>936</v>
      </c>
      <c r="I53" s="14" t="s">
        <v>938</v>
      </c>
      <c r="J53" s="56" t="str">
        <f t="shared" si="20"/>
        <v>GPIO pin</v>
      </c>
      <c r="K53" s="76" t="s">
        <v>766</v>
      </c>
      <c r="L53" s="68" t="s">
        <v>20</v>
      </c>
      <c r="M53" s="11" t="s">
        <v>941</v>
      </c>
      <c r="N53" s="11" t="s">
        <v>908</v>
      </c>
      <c r="O53" s="11"/>
      <c r="P53" s="89"/>
      <c r="Q53" s="89"/>
      <c r="R53" s="11"/>
      <c r="S53" s="11"/>
      <c r="T53" s="11" t="s">
        <v>948</v>
      </c>
      <c r="U53" s="301"/>
      <c r="V53" s="397">
        <f t="shared" si="8"/>
        <v>0</v>
      </c>
      <c r="W53" s="269">
        <v>6</v>
      </c>
      <c r="X53" s="18">
        <v>0</v>
      </c>
      <c r="Y53" s="2">
        <v>0</v>
      </c>
      <c r="Z53" s="260">
        <v>0</v>
      </c>
      <c r="AA53" s="304">
        <v>0</v>
      </c>
      <c r="AB53" s="64">
        <v>0</v>
      </c>
      <c r="AE53" s="1" t="str">
        <f>$X$11</f>
        <v>PDR</v>
      </c>
      <c r="AF53" s="1" t="str">
        <f>DEC2HEX(((2^W52)*X52)+(2^W53*X53)+(2^W54*X54)+(2^W55*X55)+(2^W56*X56)+(2^W57*X57)+(2^W58*X58)+(2^W59*X59))</f>
        <v>30</v>
      </c>
    </row>
    <row r="54" spans="1:32" ht="12.75">
      <c r="B54" s="50"/>
      <c r="C54" s="51" t="s">
        <v>949</v>
      </c>
      <c r="D54" s="261"/>
      <c r="E54" s="50" t="s">
        <v>950</v>
      </c>
      <c r="F54" s="24" t="s">
        <v>951</v>
      </c>
      <c r="G54" s="11"/>
      <c r="H54" s="101" t="s">
        <v>952</v>
      </c>
      <c r="I54" s="13" t="s">
        <v>953</v>
      </c>
      <c r="J54" s="56" t="str">
        <f t="shared" si="20"/>
        <v>GPIO pin</v>
      </c>
      <c r="K54" s="76" t="s">
        <v>839</v>
      </c>
      <c r="L54" s="68" t="s">
        <v>20</v>
      </c>
      <c r="M54" s="11" t="s">
        <v>954</v>
      </c>
      <c r="N54" s="11" t="s">
        <v>954</v>
      </c>
      <c r="O54" s="68"/>
      <c r="P54" s="88"/>
      <c r="Q54" s="88"/>
      <c r="R54" s="305" t="s">
        <v>955</v>
      </c>
      <c r="S54" s="11" t="s">
        <v>956</v>
      </c>
      <c r="T54" s="11" t="s">
        <v>957</v>
      </c>
      <c r="V54" s="397">
        <f t="shared" si="8"/>
        <v>0</v>
      </c>
      <c r="W54" s="21">
        <v>5</v>
      </c>
      <c r="X54" s="18" t="str">
        <f t="shared" si="1"/>
        <v>1</v>
      </c>
      <c r="Y54" s="41" t="str">
        <f t="shared" ref="Y54:Y59" si="21">IF(LEFT(K54,1)="O","1","0")</f>
        <v>1</v>
      </c>
      <c r="Z54" s="260">
        <v>0</v>
      </c>
      <c r="AA54" s="2" t="str">
        <f t="shared" si="3"/>
        <v>0</v>
      </c>
      <c r="AB54" s="64" t="str">
        <f t="shared" si="4"/>
        <v>0</v>
      </c>
      <c r="AE54" s="1" t="str">
        <f>$Y$11</f>
        <v>DDR</v>
      </c>
      <c r="AF54" s="1" t="str">
        <f>DEC2HEX(((2^W52)*Y52)+(2^W53*Y53)+(2^W54*Y54)+(2^W55*Y55)+(2^W56*Y56)+(2^W57*Y57)+(2^W58*Y58)+(2^W59*Y59))</f>
        <v>3F</v>
      </c>
    </row>
    <row r="55" spans="1:32" ht="12.75">
      <c r="B55" s="50"/>
      <c r="C55" s="51" t="s">
        <v>958</v>
      </c>
      <c r="D55" s="261"/>
      <c r="E55" s="50" t="s">
        <v>959</v>
      </c>
      <c r="F55" s="24" t="s">
        <v>958</v>
      </c>
      <c r="G55" s="11"/>
      <c r="H55" s="101" t="s">
        <v>936</v>
      </c>
      <c r="I55" s="13" t="s">
        <v>960</v>
      </c>
      <c r="J55" s="56" t="str">
        <f t="shared" si="20"/>
        <v>GPIO pin</v>
      </c>
      <c r="K55" s="76" t="s">
        <v>839</v>
      </c>
      <c r="L55" s="68" t="s">
        <v>20</v>
      </c>
      <c r="M55" s="11" t="s">
        <v>954</v>
      </c>
      <c r="N55" s="11" t="s">
        <v>954</v>
      </c>
      <c r="O55" s="68"/>
      <c r="P55" s="88"/>
      <c r="Q55" s="88"/>
      <c r="R55" s="305" t="s">
        <v>955</v>
      </c>
      <c r="S55" s="11" t="s">
        <v>956</v>
      </c>
      <c r="T55" s="11" t="s">
        <v>961</v>
      </c>
      <c r="V55" s="397">
        <f t="shared" si="8"/>
        <v>0</v>
      </c>
      <c r="W55" s="25">
        <v>4</v>
      </c>
      <c r="X55" s="18" t="str">
        <f t="shared" si="1"/>
        <v>1</v>
      </c>
      <c r="Y55" s="41" t="str">
        <f t="shared" si="21"/>
        <v>1</v>
      </c>
      <c r="Z55" s="260">
        <v>0</v>
      </c>
      <c r="AA55" s="2" t="str">
        <f t="shared" si="3"/>
        <v>0</v>
      </c>
      <c r="AB55" s="64" t="str">
        <f t="shared" si="4"/>
        <v>0</v>
      </c>
      <c r="AE55" s="1" t="str">
        <f>$Z$11</f>
        <v>EPCR</v>
      </c>
      <c r="AF55" s="1" t="str">
        <f>DEC2HEX(((2^W52)*Z52)+(2^W53*Z53)+(2^W54*Z54)+(2^W55*Z55)+(2^W56*Z56)+(2^W57*Z57)+(2^W58*Z58)+(2^W59*Z59))</f>
        <v>0</v>
      </c>
    </row>
    <row r="56" spans="1:32" ht="12.75">
      <c r="B56" s="50"/>
      <c r="C56" s="51" t="s">
        <v>80</v>
      </c>
      <c r="D56" s="261"/>
      <c r="E56" s="50" t="s">
        <v>962</v>
      </c>
      <c r="F56" s="24" t="s">
        <v>80</v>
      </c>
      <c r="G56" s="11"/>
      <c r="H56" s="101" t="s">
        <v>963</v>
      </c>
      <c r="I56" s="13" t="s">
        <v>964</v>
      </c>
      <c r="J56" s="56" t="str">
        <f t="shared" si="20"/>
        <v>GPIO pin</v>
      </c>
      <c r="K56" s="76" t="s">
        <v>854</v>
      </c>
      <c r="L56" s="68" t="s">
        <v>20</v>
      </c>
      <c r="M56" s="11" t="s">
        <v>965</v>
      </c>
      <c r="N56" s="11" t="s">
        <v>913</v>
      </c>
      <c r="O56" s="68"/>
      <c r="P56" s="88"/>
      <c r="Q56" s="88"/>
      <c r="R56" s="13"/>
      <c r="S56" s="11"/>
      <c r="T56" s="11" t="s">
        <v>966</v>
      </c>
      <c r="V56" s="397">
        <f t="shared" si="8"/>
        <v>0</v>
      </c>
      <c r="W56" s="21">
        <v>3</v>
      </c>
      <c r="X56" s="18" t="str">
        <f t="shared" si="1"/>
        <v>0</v>
      </c>
      <c r="Y56" s="41" t="str">
        <f t="shared" si="21"/>
        <v>1</v>
      </c>
      <c r="Z56" s="260">
        <v>0</v>
      </c>
      <c r="AA56" s="2" t="str">
        <f t="shared" si="3"/>
        <v>0</v>
      </c>
      <c r="AB56" s="64" t="str">
        <f t="shared" si="4"/>
        <v>0</v>
      </c>
      <c r="AE56" s="1" t="str">
        <f>$AA$11</f>
        <v>PUDEN</v>
      </c>
      <c r="AF56" s="1" t="str">
        <f>DEC2HEX(((2^W52)*AA52)+(2^W53*AA53)+(2^W54*AA54)+(2^W55*AA55)+(2^W56*AA56)+(2^W57*AA57)+(2^W58*AA58)+(2^W59*AA59))</f>
        <v>0</v>
      </c>
    </row>
    <row r="57" spans="1:32" ht="12.75">
      <c r="B57" s="50"/>
      <c r="C57" s="51" t="s">
        <v>75</v>
      </c>
      <c r="D57" s="261"/>
      <c r="E57" s="50" t="s">
        <v>967</v>
      </c>
      <c r="F57" s="24" t="s">
        <v>968</v>
      </c>
      <c r="G57" s="11"/>
      <c r="H57" s="101" t="s">
        <v>969</v>
      </c>
      <c r="I57" s="13" t="s">
        <v>970</v>
      </c>
      <c r="J57" s="56" t="str">
        <f t="shared" si="20"/>
        <v>GPIO pin</v>
      </c>
      <c r="K57" s="76" t="s">
        <v>680</v>
      </c>
      <c r="L57" s="79" t="s">
        <v>20</v>
      </c>
      <c r="M57" s="11" t="s">
        <v>971</v>
      </c>
      <c r="N57" s="11" t="s">
        <v>927</v>
      </c>
      <c r="O57" s="68"/>
      <c r="P57" s="88"/>
      <c r="Q57" s="88"/>
      <c r="R57" s="13"/>
      <c r="S57" s="11"/>
      <c r="T57" s="11" t="s">
        <v>972</v>
      </c>
      <c r="V57" s="397">
        <f t="shared" si="8"/>
        <v>0</v>
      </c>
      <c r="W57" s="21">
        <v>2</v>
      </c>
      <c r="X57" s="18" t="str">
        <f t="shared" si="1"/>
        <v>0</v>
      </c>
      <c r="Y57" s="41" t="str">
        <f t="shared" si="21"/>
        <v>1</v>
      </c>
      <c r="Z57" s="260">
        <v>0</v>
      </c>
      <c r="AA57" s="2" t="str">
        <f t="shared" si="3"/>
        <v>0</v>
      </c>
      <c r="AB57" s="64" t="str">
        <f t="shared" si="4"/>
        <v>0</v>
      </c>
      <c r="AE57" s="1" t="str">
        <f>$AB$11</f>
        <v>PUDCR</v>
      </c>
      <c r="AF57" s="1" t="str">
        <f>DEC2HEX(((2^W52)*AB52)+(2^W53*AB53)+(2^W54*AB54)+(2^W55*AB55)+(2^W56*AB56)+(2^W57*AB57)+(2^W58*AB58)+(2^W59*AB59))</f>
        <v>0</v>
      </c>
    </row>
    <row r="58" spans="1:32" ht="12.75">
      <c r="B58" s="50"/>
      <c r="C58" s="51" t="s">
        <v>76</v>
      </c>
      <c r="D58" s="261"/>
      <c r="E58" s="50" t="s">
        <v>973</v>
      </c>
      <c r="F58" s="24" t="s">
        <v>974</v>
      </c>
      <c r="G58" s="11"/>
      <c r="H58" s="101" t="s">
        <v>975</v>
      </c>
      <c r="I58" s="13" t="s">
        <v>976</v>
      </c>
      <c r="J58" s="56" t="str">
        <f t="shared" si="20"/>
        <v>GPIO pin</v>
      </c>
      <c r="K58" s="76" t="s">
        <v>860</v>
      </c>
      <c r="L58" s="79" t="s">
        <v>20</v>
      </c>
      <c r="M58" s="11" t="s">
        <v>977</v>
      </c>
      <c r="N58" s="11" t="s">
        <v>930</v>
      </c>
      <c r="O58" s="68"/>
      <c r="P58" s="74" t="str">
        <f>IF(LEFT(F58,2)="UD","UDT2AS=b'00","")</f>
        <v/>
      </c>
      <c r="Q58" s="88"/>
      <c r="R58" s="13"/>
      <c r="S58" s="11"/>
      <c r="T58" s="11" t="s">
        <v>978</v>
      </c>
      <c r="V58" s="397">
        <f t="shared" si="8"/>
        <v>0</v>
      </c>
      <c r="W58" s="21">
        <v>1</v>
      </c>
      <c r="X58" s="18" t="str">
        <f t="shared" si="1"/>
        <v>0</v>
      </c>
      <c r="Y58" s="41" t="str">
        <f t="shared" si="21"/>
        <v>1</v>
      </c>
      <c r="Z58" s="260">
        <v>0</v>
      </c>
      <c r="AA58" s="2" t="str">
        <f t="shared" si="3"/>
        <v>0</v>
      </c>
      <c r="AB58" s="64" t="str">
        <f t="shared" si="4"/>
        <v>0</v>
      </c>
      <c r="AE58" s="27"/>
      <c r="AF58" s="27"/>
    </row>
    <row r="59" spans="1:32" ht="13.5" thickBot="1">
      <c r="A59" s="115"/>
      <c r="B59" s="53"/>
      <c r="C59" s="51" t="s">
        <v>77</v>
      </c>
      <c r="D59" s="261"/>
      <c r="E59" s="53" t="s">
        <v>979</v>
      </c>
      <c r="F59" s="28" t="s">
        <v>980</v>
      </c>
      <c r="G59" s="11"/>
      <c r="H59" s="103" t="s">
        <v>981</v>
      </c>
      <c r="I59" s="13" t="s">
        <v>982</v>
      </c>
      <c r="J59" s="57" t="str">
        <f t="shared" si="20"/>
        <v>GPIO pin</v>
      </c>
      <c r="K59" s="77" t="s">
        <v>847</v>
      </c>
      <c r="L59" s="12" t="s">
        <v>690</v>
      </c>
      <c r="M59" s="11" t="s">
        <v>983</v>
      </c>
      <c r="N59" s="11" t="s">
        <v>984</v>
      </c>
      <c r="O59" s="69"/>
      <c r="P59" s="74" t="str">
        <f>IF(LEFT(F59,2)="UD","UDT3AS=b'00","")</f>
        <v/>
      </c>
      <c r="Q59" s="90"/>
      <c r="R59" s="13"/>
      <c r="S59" s="12"/>
      <c r="T59" s="12" t="s">
        <v>985</v>
      </c>
      <c r="V59" s="398">
        <f t="shared" si="8"/>
        <v>0</v>
      </c>
      <c r="W59" s="22">
        <v>0</v>
      </c>
      <c r="X59" s="18" t="str">
        <f t="shared" si="1"/>
        <v>0</v>
      </c>
      <c r="Y59" s="41" t="str">
        <f t="shared" si="21"/>
        <v>1</v>
      </c>
      <c r="Z59" s="264">
        <v>0</v>
      </c>
      <c r="AA59" s="2" t="str">
        <f t="shared" si="3"/>
        <v>0</v>
      </c>
      <c r="AB59" s="64" t="str">
        <f t="shared" si="4"/>
        <v>0</v>
      </c>
    </row>
    <row r="60" spans="1:32" ht="13.5" thickTop="1">
      <c r="B60" s="54" t="s">
        <v>986</v>
      </c>
      <c r="C60" s="55" t="s">
        <v>987</v>
      </c>
      <c r="D60" s="259"/>
      <c r="E60" s="300" t="s">
        <v>988</v>
      </c>
      <c r="F60" s="95" t="s">
        <v>989</v>
      </c>
      <c r="G60" s="265"/>
      <c r="H60" s="101" t="s">
        <v>981</v>
      </c>
      <c r="I60" s="266" t="s">
        <v>990</v>
      </c>
      <c r="J60" s="56" t="str">
        <f t="shared" si="20"/>
        <v>INPUT pin</v>
      </c>
      <c r="K60" s="76" t="str">
        <f t="shared" ref="K60:K61" si="22">IF(LEFT(F60,1)="E",$AE$5,$AE$6)</f>
        <v>In</v>
      </c>
      <c r="L60" s="68" t="s">
        <v>20</v>
      </c>
      <c r="M60" s="265" t="s">
        <v>984</v>
      </c>
      <c r="N60" s="265" t="s">
        <v>984</v>
      </c>
      <c r="O60" s="265"/>
      <c r="P60" s="267"/>
      <c r="Q60" s="267"/>
      <c r="R60" s="265"/>
      <c r="S60" s="11" t="s">
        <v>992</v>
      </c>
      <c r="T60" s="11" t="s">
        <v>993</v>
      </c>
      <c r="V60" s="396" t="str">
        <f t="shared" si="8"/>
        <v>PORT 7</v>
      </c>
      <c r="W60" s="23">
        <v>7</v>
      </c>
      <c r="X60" s="302">
        <v>0</v>
      </c>
      <c r="Y60" s="46">
        <v>0</v>
      </c>
      <c r="Z60" s="260">
        <v>0</v>
      </c>
      <c r="AA60" s="303">
        <v>0</v>
      </c>
      <c r="AB60" s="63">
        <v>0</v>
      </c>
      <c r="AE60" s="6" t="str">
        <f>V60</f>
        <v>PORT 7</v>
      </c>
      <c r="AF60" s="20" t="s">
        <v>728</v>
      </c>
    </row>
    <row r="61" spans="1:32" ht="12.75">
      <c r="B61" s="50"/>
      <c r="C61" s="51" t="s">
        <v>994</v>
      </c>
      <c r="D61" s="261"/>
      <c r="E61" s="96" t="s">
        <v>995</v>
      </c>
      <c r="F61" s="24" t="s">
        <v>996</v>
      </c>
      <c r="G61" s="11"/>
      <c r="H61" s="101" t="s">
        <v>936</v>
      </c>
      <c r="I61" s="14" t="s">
        <v>997</v>
      </c>
      <c r="J61" s="56" t="str">
        <f t="shared" si="20"/>
        <v>INPUT pin</v>
      </c>
      <c r="K61" s="76" t="str">
        <f t="shared" si="22"/>
        <v>In</v>
      </c>
      <c r="L61" s="68" t="s">
        <v>20</v>
      </c>
      <c r="M61" s="11" t="s">
        <v>908</v>
      </c>
      <c r="N61" s="11" t="s">
        <v>908</v>
      </c>
      <c r="O61" s="11"/>
      <c r="P61" s="89"/>
      <c r="Q61" s="89"/>
      <c r="R61" s="11"/>
      <c r="S61" s="11" t="s">
        <v>991</v>
      </c>
      <c r="T61" s="11" t="s">
        <v>998</v>
      </c>
      <c r="V61" s="397">
        <f t="shared" si="8"/>
        <v>0</v>
      </c>
      <c r="W61" s="21">
        <v>6</v>
      </c>
      <c r="X61" s="18">
        <v>0</v>
      </c>
      <c r="Y61" s="2">
        <v>0</v>
      </c>
      <c r="Z61" s="260">
        <v>0</v>
      </c>
      <c r="AA61" s="304">
        <v>0</v>
      </c>
      <c r="AB61" s="64">
        <v>0</v>
      </c>
      <c r="AE61" s="1" t="str">
        <f>$X$11</f>
        <v>PDR</v>
      </c>
      <c r="AF61" s="1" t="str">
        <f>DEC2HEX(((2^W60)*X60)+(2^W61*X61)+(2^W62*X62)+(2^W63*X63)+(2^W64*X64)+(2^W65*X65)+(2^W66*X66)+(2^W67*X67))</f>
        <v>1F</v>
      </c>
    </row>
    <row r="62" spans="1:32" ht="12.75">
      <c r="B62" s="50"/>
      <c r="C62" s="51" t="s">
        <v>999</v>
      </c>
      <c r="D62" s="261"/>
      <c r="E62" s="50" t="s">
        <v>1000</v>
      </c>
      <c r="F62" s="24" t="s">
        <v>1001</v>
      </c>
      <c r="G62" s="11"/>
      <c r="H62" s="101" t="s">
        <v>936</v>
      </c>
      <c r="I62" s="13" t="s">
        <v>1002</v>
      </c>
      <c r="J62" s="56" t="str">
        <f t="shared" si="20"/>
        <v>GPIO pin</v>
      </c>
      <c r="K62" s="76" t="s">
        <v>891</v>
      </c>
      <c r="L62" s="68" t="s">
        <v>91</v>
      </c>
      <c r="M62" s="68" t="s">
        <v>931</v>
      </c>
      <c r="N62" s="68" t="s">
        <v>20</v>
      </c>
      <c r="O62" s="68"/>
      <c r="Q62" s="74" t="str">
        <f>IF(LEFT(F62,2)="NF","ExtPullUp","")</f>
        <v/>
      </c>
      <c r="R62" s="13"/>
      <c r="S62" s="11"/>
      <c r="T62" s="11" t="s">
        <v>1003</v>
      </c>
      <c r="V62" s="397">
        <f t="shared" si="8"/>
        <v>0</v>
      </c>
      <c r="W62" s="21">
        <v>5</v>
      </c>
      <c r="X62" s="18" t="str">
        <f t="shared" ref="X62:X67" si="23">IF(M62="H","1","0")</f>
        <v>0</v>
      </c>
      <c r="Y62" s="41" t="str">
        <f t="shared" ref="Y62:Y67" si="24">IF(LEFT(K62,1)="O","1","0")</f>
        <v>0</v>
      </c>
      <c r="Z62" s="260">
        <v>0</v>
      </c>
      <c r="AA62" s="2" t="str">
        <f t="shared" ref="AA62:AA83" si="25">IF(L62="H","1",IF(L62="L","1","0"))</f>
        <v>1</v>
      </c>
      <c r="AB62" s="64" t="str">
        <f t="shared" ref="AB62:AB67" si="26">IF(L62="H","1","0")</f>
        <v>0</v>
      </c>
      <c r="AE62" s="1" t="str">
        <f>$Y$11</f>
        <v>DDR</v>
      </c>
      <c r="AF62" s="1" t="str">
        <f>DEC2HEX(((2^W60)*Y60)+(2^W61*Y61)+(2^W62*Y62)+(2^W63*Y63)+(2^W64*Y64)+(2^W65*Y65)+(2^W66*Y66)+(2^W67*Y67))</f>
        <v>1F</v>
      </c>
    </row>
    <row r="63" spans="1:32" ht="12.75">
      <c r="B63" s="50"/>
      <c r="C63" s="51" t="s">
        <v>1004</v>
      </c>
      <c r="D63" s="261"/>
      <c r="E63" s="50" t="s">
        <v>1005</v>
      </c>
      <c r="F63" s="24" t="s">
        <v>1006</v>
      </c>
      <c r="G63" s="11"/>
      <c r="H63" s="101" t="s">
        <v>952</v>
      </c>
      <c r="I63" s="13" t="s">
        <v>1007</v>
      </c>
      <c r="J63" s="56" t="str">
        <f t="shared" si="20"/>
        <v>GPIO pin</v>
      </c>
      <c r="K63" s="76" t="s">
        <v>839</v>
      </c>
      <c r="L63" s="68"/>
      <c r="M63" s="68" t="s">
        <v>72</v>
      </c>
      <c r="N63" s="68" t="s">
        <v>91</v>
      </c>
      <c r="O63" s="68"/>
      <c r="P63" s="88"/>
      <c r="Q63" s="74"/>
      <c r="R63" s="13"/>
      <c r="S63" s="11"/>
      <c r="T63" s="11" t="s">
        <v>1008</v>
      </c>
      <c r="V63" s="397">
        <f t="shared" si="8"/>
        <v>0</v>
      </c>
      <c r="W63" s="25">
        <v>4</v>
      </c>
      <c r="X63" s="18" t="str">
        <f t="shared" si="23"/>
        <v>1</v>
      </c>
      <c r="Y63" s="41" t="str">
        <f t="shared" si="24"/>
        <v>1</v>
      </c>
      <c r="Z63" s="260">
        <v>0</v>
      </c>
      <c r="AA63" s="2" t="str">
        <f t="shared" si="25"/>
        <v>0</v>
      </c>
      <c r="AB63" s="64" t="str">
        <f t="shared" si="26"/>
        <v>0</v>
      </c>
      <c r="AE63" s="1" t="str">
        <f>$Z$11</f>
        <v>EPCR</v>
      </c>
      <c r="AF63" s="1" t="str">
        <f>DEC2HEX(((2^W60)*Z60)+(2^W61*Z61)+(2^W62*Z62)+(2^W63*Z63)+(2^W64*Z64)+(2^W65*Z65)+(2^W66*Z66)+(2^W67*Z67))</f>
        <v>0</v>
      </c>
    </row>
    <row r="64" spans="1:32" ht="12.75">
      <c r="B64" s="50"/>
      <c r="C64" s="51" t="s">
        <v>1009</v>
      </c>
      <c r="D64" s="261"/>
      <c r="E64" s="50" t="s">
        <v>1010</v>
      </c>
      <c r="F64" s="24" t="s">
        <v>1009</v>
      </c>
      <c r="G64" s="11"/>
      <c r="H64" s="101" t="s">
        <v>936</v>
      </c>
      <c r="I64" s="13" t="s">
        <v>1011</v>
      </c>
      <c r="J64" s="56" t="str">
        <f t="shared" si="20"/>
        <v>GPIO pin</v>
      </c>
      <c r="K64" s="76" t="s">
        <v>766</v>
      </c>
      <c r="L64" s="68" t="s">
        <v>20</v>
      </c>
      <c r="M64" s="68" t="s">
        <v>72</v>
      </c>
      <c r="N64" s="68" t="s">
        <v>91</v>
      </c>
      <c r="O64" s="68"/>
      <c r="P64" s="88"/>
      <c r="Q64" s="88"/>
      <c r="R64" s="13"/>
      <c r="S64" s="13"/>
      <c r="T64" s="11" t="s">
        <v>1012</v>
      </c>
      <c r="V64" s="397">
        <f t="shared" si="8"/>
        <v>0</v>
      </c>
      <c r="W64" s="21">
        <v>3</v>
      </c>
      <c r="X64" s="18" t="str">
        <f t="shared" si="23"/>
        <v>1</v>
      </c>
      <c r="Y64" s="41" t="str">
        <f t="shared" si="24"/>
        <v>1</v>
      </c>
      <c r="Z64" s="260">
        <v>0</v>
      </c>
      <c r="AA64" s="2" t="str">
        <f t="shared" si="25"/>
        <v>0</v>
      </c>
      <c r="AB64" s="64" t="str">
        <f t="shared" si="26"/>
        <v>0</v>
      </c>
      <c r="AE64" s="1" t="str">
        <f>$AA$11</f>
        <v>PUDEN</v>
      </c>
      <c r="AF64" s="1" t="str">
        <f>DEC2HEX(((2^W60)*AA60)+(2^W61*AA61)+(2^W62*AA62)+(2^W63*AA63)+(2^W64*AA64)+(2^W65*AA65)+(2^W66*AA66)+(2^W67*AA67))</f>
        <v>20</v>
      </c>
    </row>
    <row r="65" spans="2:32" ht="12.75">
      <c r="B65" s="50"/>
      <c r="C65" s="51" t="s">
        <v>78</v>
      </c>
      <c r="D65" s="261"/>
      <c r="E65" s="50" t="s">
        <v>1013</v>
      </c>
      <c r="F65" s="24" t="s">
        <v>78</v>
      </c>
      <c r="G65" s="11"/>
      <c r="H65" s="101" t="s">
        <v>969</v>
      </c>
      <c r="I65" s="24" t="s">
        <v>1014</v>
      </c>
      <c r="J65" s="56" t="str">
        <f t="shared" si="20"/>
        <v>GPIO pin</v>
      </c>
      <c r="K65" s="76" t="s">
        <v>680</v>
      </c>
      <c r="L65" s="79" t="s">
        <v>20</v>
      </c>
      <c r="M65" s="68" t="s">
        <v>72</v>
      </c>
      <c r="N65" s="68" t="s">
        <v>91</v>
      </c>
      <c r="O65" s="68"/>
      <c r="P65" s="88"/>
      <c r="Q65" s="88"/>
      <c r="R65" s="13"/>
      <c r="S65" s="13"/>
      <c r="T65" s="11" t="s">
        <v>1015</v>
      </c>
      <c r="V65" s="397">
        <f t="shared" si="8"/>
        <v>0</v>
      </c>
      <c r="W65" s="21">
        <v>2</v>
      </c>
      <c r="X65" s="18" t="str">
        <f t="shared" si="23"/>
        <v>1</v>
      </c>
      <c r="Y65" s="41" t="str">
        <f t="shared" si="24"/>
        <v>1</v>
      </c>
      <c r="Z65" s="260">
        <v>0</v>
      </c>
      <c r="AA65" s="2" t="str">
        <f t="shared" si="25"/>
        <v>0</v>
      </c>
      <c r="AB65" s="64" t="str">
        <f t="shared" si="26"/>
        <v>0</v>
      </c>
      <c r="AE65" s="1" t="str">
        <f>$AB$11</f>
        <v>PUDCR</v>
      </c>
      <c r="AF65" s="1" t="str">
        <f>DEC2HEX(((2^W60)*AB60)+(2^W61*AB61)+(2^W62*AB62)+(2^W63*AB63)+(2^W64*AB64)+(2^W65*AB65)+(2^W66*AB66)+(2^W67*AB67))</f>
        <v>0</v>
      </c>
    </row>
    <row r="66" spans="2:32" ht="12.75">
      <c r="B66" s="50"/>
      <c r="C66" s="51" t="s">
        <v>79</v>
      </c>
      <c r="D66" s="261"/>
      <c r="E66" s="50" t="s">
        <v>1016</v>
      </c>
      <c r="F66" s="24" t="s">
        <v>79</v>
      </c>
      <c r="G66" s="11"/>
      <c r="H66" s="101" t="s">
        <v>937</v>
      </c>
      <c r="I66" s="24" t="s">
        <v>1017</v>
      </c>
      <c r="J66" s="56" t="str">
        <f t="shared" si="20"/>
        <v>GPIO pin</v>
      </c>
      <c r="K66" s="76" t="s">
        <v>940</v>
      </c>
      <c r="L66" s="79" t="s">
        <v>20</v>
      </c>
      <c r="M66" s="68" t="s">
        <v>72</v>
      </c>
      <c r="N66" s="68" t="s">
        <v>91</v>
      </c>
      <c r="O66" s="68"/>
      <c r="P66" s="88"/>
      <c r="Q66" s="88"/>
      <c r="R66" s="13"/>
      <c r="S66" s="101"/>
      <c r="T66" s="11" t="s">
        <v>1018</v>
      </c>
      <c r="V66" s="397">
        <f t="shared" si="8"/>
        <v>0</v>
      </c>
      <c r="W66" s="21">
        <v>1</v>
      </c>
      <c r="X66" s="18" t="str">
        <f t="shared" si="23"/>
        <v>1</v>
      </c>
      <c r="Y66" s="41" t="str">
        <f t="shared" si="24"/>
        <v>1</v>
      </c>
      <c r="Z66" s="260">
        <v>0</v>
      </c>
      <c r="AA66" s="2" t="str">
        <f t="shared" si="25"/>
        <v>0</v>
      </c>
      <c r="AB66" s="64" t="str">
        <f t="shared" si="26"/>
        <v>0</v>
      </c>
      <c r="AE66" s="27"/>
      <c r="AF66" s="27"/>
    </row>
    <row r="67" spans="2:32" ht="13.5" thickBot="1">
      <c r="B67" s="53"/>
      <c r="C67" s="51" t="s">
        <v>1019</v>
      </c>
      <c r="D67" s="52"/>
      <c r="E67" s="53" t="s">
        <v>1020</v>
      </c>
      <c r="F67" s="28" t="s">
        <v>1019</v>
      </c>
      <c r="G67" s="12"/>
      <c r="H67" s="103" t="s">
        <v>975</v>
      </c>
      <c r="I67" s="28" t="s">
        <v>1021</v>
      </c>
      <c r="J67" s="57" t="str">
        <f t="shared" si="20"/>
        <v>GPIO pin</v>
      </c>
      <c r="K67" s="77" t="s">
        <v>860</v>
      </c>
      <c r="L67" s="12" t="s">
        <v>932</v>
      </c>
      <c r="M67" s="306" t="s">
        <v>72</v>
      </c>
      <c r="N67" s="306" t="s">
        <v>91</v>
      </c>
      <c r="O67" s="306"/>
      <c r="P67" s="90"/>
      <c r="Q67" s="90"/>
      <c r="R67" s="15"/>
      <c r="S67" s="103"/>
      <c r="T67" s="11" t="s">
        <v>1022</v>
      </c>
      <c r="V67" s="398">
        <f t="shared" si="8"/>
        <v>0</v>
      </c>
      <c r="W67" s="22">
        <v>0</v>
      </c>
      <c r="X67" s="19" t="str">
        <f t="shared" si="23"/>
        <v>1</v>
      </c>
      <c r="Y67" s="42" t="str">
        <f t="shared" si="24"/>
        <v>1</v>
      </c>
      <c r="Z67" s="264">
        <v>0</v>
      </c>
      <c r="AA67" s="9" t="str">
        <f t="shared" si="25"/>
        <v>0</v>
      </c>
      <c r="AB67" s="65" t="str">
        <f t="shared" si="26"/>
        <v>0</v>
      </c>
    </row>
    <row r="68" spans="2:32" ht="13.5" thickTop="1">
      <c r="B68" s="54" t="s">
        <v>1023</v>
      </c>
      <c r="C68" s="55" t="s">
        <v>1024</v>
      </c>
      <c r="D68" s="271"/>
      <c r="E68" s="100" t="s">
        <v>1025</v>
      </c>
      <c r="F68" s="100" t="s">
        <v>1026</v>
      </c>
      <c r="G68" s="11"/>
      <c r="H68" s="101" t="s">
        <v>981</v>
      </c>
      <c r="I68" s="17" t="s">
        <v>1027</v>
      </c>
      <c r="J68" s="56" t="str">
        <f>IF(LEFT(F68,1)="P",$AD$5,IF(LEFT(F68,2)="FP",$AD$4,$AD$6))</f>
        <v>INPUT pin</v>
      </c>
      <c r="K68" s="74" t="s">
        <v>847</v>
      </c>
      <c r="L68" s="68" t="s">
        <v>91</v>
      </c>
      <c r="M68" s="68" t="s">
        <v>20</v>
      </c>
      <c r="N68" s="68" t="s">
        <v>20</v>
      </c>
      <c r="O68" s="68"/>
      <c r="P68" s="74"/>
      <c r="Q68" s="110"/>
      <c r="R68" s="13"/>
      <c r="S68" s="99"/>
      <c r="T68" s="99" t="s">
        <v>1028</v>
      </c>
      <c r="U68" s="5"/>
      <c r="V68" s="396" t="str">
        <f t="shared" si="8"/>
        <v>PORT 8</v>
      </c>
      <c r="W68" s="23">
        <v>7</v>
      </c>
      <c r="X68" s="18" t="str">
        <f t="shared" si="1"/>
        <v>0</v>
      </c>
      <c r="Y68" s="41" t="str">
        <f>IF(LEFT(K68,1)="O","1","0")</f>
        <v>1</v>
      </c>
      <c r="Z68" s="3">
        <f t="shared" ref="Z68" si="27">VLOOKUP(J68,$AD$4:$AG$6,4,FALSE)</f>
        <v>0</v>
      </c>
      <c r="AA68" s="2" t="str">
        <f t="shared" si="25"/>
        <v>1</v>
      </c>
      <c r="AB68" s="64" t="str">
        <f t="shared" si="4"/>
        <v>0</v>
      </c>
      <c r="AE68" s="6" t="str">
        <f>V68</f>
        <v>PORT 8</v>
      </c>
      <c r="AF68" s="20" t="s">
        <v>1029</v>
      </c>
    </row>
    <row r="69" spans="2:32" ht="12.75">
      <c r="B69" s="50"/>
      <c r="C69" s="51" t="s">
        <v>1030</v>
      </c>
      <c r="D69" s="271"/>
      <c r="E69" s="100" t="s">
        <v>1031</v>
      </c>
      <c r="F69" s="100" t="s">
        <v>1032</v>
      </c>
      <c r="G69" s="11"/>
      <c r="H69" s="101" t="s">
        <v>937</v>
      </c>
      <c r="I69" s="17" t="s">
        <v>1033</v>
      </c>
      <c r="J69" s="56" t="str">
        <f>IF(LEFT(F69,1)="P",$AD$5,IF(LEFT(F69,2)="FP",$AD$4,$AD$6))</f>
        <v>Dedicated pin</v>
      </c>
      <c r="K69" s="76" t="s">
        <v>940</v>
      </c>
      <c r="L69" s="68" t="s">
        <v>91</v>
      </c>
      <c r="M69" s="68" t="s">
        <v>20</v>
      </c>
      <c r="N69" s="68" t="s">
        <v>20</v>
      </c>
      <c r="O69" s="68"/>
      <c r="P69" s="74"/>
      <c r="Q69" s="87"/>
      <c r="R69" s="13"/>
      <c r="S69" s="11"/>
      <c r="T69" s="11" t="s">
        <v>1034</v>
      </c>
      <c r="U69" s="5"/>
      <c r="V69" s="397">
        <f t="shared" si="8"/>
        <v>0</v>
      </c>
      <c r="W69" s="21">
        <v>6</v>
      </c>
      <c r="X69" s="18" t="str">
        <f t="shared" si="1"/>
        <v>0</v>
      </c>
      <c r="Y69" s="41" t="str">
        <f t="shared" ref="Y69:Y71" si="28">IF(LEFT(K69,1)="O","1","0")</f>
        <v>1</v>
      </c>
      <c r="Z69" s="3">
        <f>VLOOKUP(J69,$AD$4:$AG$6,4,FALSE)</f>
        <v>1</v>
      </c>
      <c r="AA69" s="2" t="str">
        <f t="shared" si="25"/>
        <v>1</v>
      </c>
      <c r="AB69" s="64" t="str">
        <f t="shared" si="4"/>
        <v>0</v>
      </c>
      <c r="AE69" s="1" t="str">
        <f>$X$11</f>
        <v>PDR</v>
      </c>
      <c r="AF69" s="1" t="str">
        <f>DEC2HEX(((2^W68)*X68)+(2^W69*X69)+(2^W70*X70)+(2^W71*X71)+(2^W72*X72)+(2^W73*X73)+(2^W74*X74)+(2^W75*X75))</f>
        <v>0</v>
      </c>
    </row>
    <row r="70" spans="2:32" ht="12.75">
      <c r="B70" s="50"/>
      <c r="C70" s="51" t="s">
        <v>1035</v>
      </c>
      <c r="D70" s="271"/>
      <c r="E70" s="100" t="s">
        <v>1036</v>
      </c>
      <c r="F70" s="100" t="s">
        <v>1037</v>
      </c>
      <c r="G70" s="37"/>
      <c r="H70" s="101" t="s">
        <v>936</v>
      </c>
      <c r="I70" s="17" t="s">
        <v>1038</v>
      </c>
      <c r="J70" s="56" t="str">
        <f>IF(LEFT(F70,1)="P",$AD$5,IF(LEFT(F70,2)="FP",$AD$4,$AD$6))</f>
        <v>Dedicated pin</v>
      </c>
      <c r="K70" s="74" t="s">
        <v>766</v>
      </c>
      <c r="L70" s="68" t="s">
        <v>840</v>
      </c>
      <c r="M70" s="68" t="s">
        <v>20</v>
      </c>
      <c r="N70" s="68" t="s">
        <v>20</v>
      </c>
      <c r="O70" s="68"/>
      <c r="P70" s="74" t="str">
        <f>IF(LEFT(F70,2)="SD","PUDEDR=1","")</f>
        <v/>
      </c>
      <c r="Q70" s="109" t="str">
        <f>IF(LEFT(F70,2)="UD","Check 'UDCTRG'","")</f>
        <v/>
      </c>
      <c r="R70" s="13"/>
      <c r="S70" s="11"/>
      <c r="T70" s="11" t="s">
        <v>1039</v>
      </c>
      <c r="V70" s="397">
        <f t="shared" si="8"/>
        <v>0</v>
      </c>
      <c r="W70" s="21">
        <v>5</v>
      </c>
      <c r="X70" s="18" t="str">
        <f t="shared" si="1"/>
        <v>0</v>
      </c>
      <c r="Y70" s="41" t="str">
        <f t="shared" si="28"/>
        <v>1</v>
      </c>
      <c r="Z70" s="3">
        <f>VLOOKUP(J70,$AD$4:$AG$6,4,FALSE)</f>
        <v>1</v>
      </c>
      <c r="AA70" s="2" t="str">
        <f t="shared" si="25"/>
        <v>1</v>
      </c>
      <c r="AB70" s="64" t="str">
        <f t="shared" si="4"/>
        <v>0</v>
      </c>
      <c r="AE70" s="1" t="str">
        <f>$Y$11</f>
        <v>DDR</v>
      </c>
      <c r="AF70" s="1" t="str">
        <f>DEC2HEX(((2^W68)*Y68)+(2^W69*Y69)+(2^W70*Y70)+(2^W71*Y71)+(2^W72*Y72)+(2^W73*Y73)+(2^W74*Y74)+(2^W75*Y75))</f>
        <v>F1</v>
      </c>
    </row>
    <row r="71" spans="2:32" ht="12.75">
      <c r="B71" s="50"/>
      <c r="C71" s="51" t="s">
        <v>0</v>
      </c>
      <c r="D71" s="271"/>
      <c r="E71" s="100" t="s">
        <v>1040</v>
      </c>
      <c r="F71" s="100" t="s">
        <v>1041</v>
      </c>
      <c r="G71" s="37"/>
      <c r="H71" s="101" t="s">
        <v>936</v>
      </c>
      <c r="I71" s="17" t="s">
        <v>1042</v>
      </c>
      <c r="J71" s="56" t="str">
        <f>IF(LEFT(F71,1)="P",$AD$5,IF(LEFT(F71,3)="FPS",$AD$4,$AD$6))</f>
        <v>Dedicated pin</v>
      </c>
      <c r="K71" s="74" t="s">
        <v>766</v>
      </c>
      <c r="L71" s="68" t="s">
        <v>91</v>
      </c>
      <c r="M71" s="68" t="s">
        <v>20</v>
      </c>
      <c r="N71" s="68" t="s">
        <v>20</v>
      </c>
      <c r="O71" s="68"/>
      <c r="P71" s="74"/>
      <c r="Q71" s="109" t="str">
        <f>IF(LEFT(F71,2)="UD","Check 'UDCTRG'","")</f>
        <v/>
      </c>
      <c r="R71" s="13"/>
      <c r="S71" s="11"/>
      <c r="T71" s="11" t="s">
        <v>1043</v>
      </c>
      <c r="V71" s="397">
        <f t="shared" si="8"/>
        <v>0</v>
      </c>
      <c r="W71" s="25">
        <v>4</v>
      </c>
      <c r="X71" s="18" t="str">
        <f t="shared" si="1"/>
        <v>0</v>
      </c>
      <c r="Y71" s="41" t="str">
        <f t="shared" si="28"/>
        <v>1</v>
      </c>
      <c r="Z71" s="3">
        <f t="shared" ref="Z71:Z75" si="29">VLOOKUP(J71,$AD$4:$AG$6,4,FALSE)</f>
        <v>1</v>
      </c>
      <c r="AA71" s="2" t="str">
        <f t="shared" si="25"/>
        <v>1</v>
      </c>
      <c r="AB71" s="64" t="str">
        <f t="shared" si="4"/>
        <v>0</v>
      </c>
      <c r="AE71" s="1" t="str">
        <f>$Z$11</f>
        <v>EPCR</v>
      </c>
      <c r="AF71" s="1" t="str">
        <f>DEC2HEX(((2^W68)*Z68)+(2^W69*Z69)+(2^W70*Z70)+(2^W71*Z71)+(2^W72*Z72)+(2^W73*Z73)+(2^W74*Z74)+(2^W75*Z75))</f>
        <v>70</v>
      </c>
    </row>
    <row r="72" spans="2:32" ht="12.75">
      <c r="B72" s="50"/>
      <c r="C72" s="51" t="s">
        <v>1</v>
      </c>
      <c r="D72" s="271"/>
      <c r="E72" s="100" t="s">
        <v>1044</v>
      </c>
      <c r="F72" s="100" t="s">
        <v>1</v>
      </c>
      <c r="G72" s="307"/>
      <c r="H72" s="101" t="s">
        <v>936</v>
      </c>
      <c r="I72" s="24" t="s">
        <v>1045</v>
      </c>
      <c r="J72" s="56" t="str">
        <f>IF(LEFT(F72,1)="P",$AD$5,$AD$4)</f>
        <v>GPIO pin</v>
      </c>
      <c r="K72" s="74" t="s">
        <v>891</v>
      </c>
      <c r="L72" s="68" t="s">
        <v>840</v>
      </c>
      <c r="M72" s="68" t="s">
        <v>20</v>
      </c>
      <c r="N72" s="68" t="s">
        <v>20</v>
      </c>
      <c r="O72" s="68"/>
      <c r="P72" s="74"/>
      <c r="Q72" s="109" t="str">
        <f>IF(LEFT(F72,2)="UD","Check 'UDCTRG'","")</f>
        <v/>
      </c>
      <c r="R72" s="13"/>
      <c r="S72" s="11"/>
      <c r="T72" s="116" t="s">
        <v>1046</v>
      </c>
      <c r="V72" s="397">
        <f t="shared" si="8"/>
        <v>0</v>
      </c>
      <c r="W72" s="21">
        <v>3</v>
      </c>
      <c r="X72" s="18" t="str">
        <f t="shared" si="1"/>
        <v>0</v>
      </c>
      <c r="Y72" s="41" t="str">
        <f>IF(LEFT(K72,1)="O","1","0")</f>
        <v>0</v>
      </c>
      <c r="Z72" s="3">
        <f t="shared" si="29"/>
        <v>0</v>
      </c>
      <c r="AA72" s="2" t="str">
        <f t="shared" si="25"/>
        <v>1</v>
      </c>
      <c r="AB72" s="64" t="str">
        <f t="shared" si="4"/>
        <v>0</v>
      </c>
      <c r="AE72" s="1" t="str">
        <f>$AA$11</f>
        <v>PUDEN</v>
      </c>
      <c r="AF72" s="1" t="str">
        <f>DEC2HEX(((2^W68)*AA68)+(2^W69*AA69)+(2^W70*AA70)+(2^W71*AA71)+(2^W72*AA72)+(2^W73*AA73)+(2^W74*AA74)+(2^W75*AA75))</f>
        <v>FE</v>
      </c>
    </row>
    <row r="73" spans="2:32" ht="12.75">
      <c r="B73" s="50"/>
      <c r="C73" s="51" t="s">
        <v>2</v>
      </c>
      <c r="D73" s="271"/>
      <c r="E73" s="100" t="s">
        <v>1047</v>
      </c>
      <c r="F73" s="100" t="s">
        <v>2</v>
      </c>
      <c r="G73" s="307"/>
      <c r="H73" s="101" t="s">
        <v>969</v>
      </c>
      <c r="I73" s="24" t="s">
        <v>1048</v>
      </c>
      <c r="J73" s="56" t="str">
        <f>IF(LEFT(F73,1)="P",$AD$5,$AD$4)</f>
        <v>GPIO pin</v>
      </c>
      <c r="K73" s="76" t="s">
        <v>872</v>
      </c>
      <c r="L73" s="79" t="s">
        <v>1049</v>
      </c>
      <c r="M73" s="68" t="s">
        <v>20</v>
      </c>
      <c r="N73" s="68" t="s">
        <v>20</v>
      </c>
      <c r="O73" s="68"/>
      <c r="P73" s="74" t="str">
        <f>IF(LEFT(F73,2)="UD","UDT1BS=b'00","")</f>
        <v/>
      </c>
      <c r="Q73" s="92"/>
      <c r="R73" s="13"/>
      <c r="S73" s="102"/>
      <c r="T73" s="116" t="s">
        <v>1050</v>
      </c>
      <c r="V73" s="397">
        <f t="shared" si="8"/>
        <v>0</v>
      </c>
      <c r="W73" s="21">
        <v>2</v>
      </c>
      <c r="X73" s="18" t="str">
        <f t="shared" si="1"/>
        <v>0</v>
      </c>
      <c r="Y73" s="41" t="str">
        <f t="shared" ref="Y73:Y75" si="30">IF(LEFT(K73,1)="O","1","0")</f>
        <v>0</v>
      </c>
      <c r="Z73" s="3">
        <f t="shared" si="29"/>
        <v>0</v>
      </c>
      <c r="AA73" s="2" t="str">
        <f t="shared" si="25"/>
        <v>1</v>
      </c>
      <c r="AB73" s="64" t="str">
        <f t="shared" si="4"/>
        <v>0</v>
      </c>
      <c r="AC73" s="26"/>
      <c r="AE73" s="1" t="str">
        <f>$AB$11</f>
        <v>PUDCR</v>
      </c>
      <c r="AF73" s="1" t="str">
        <f>DEC2HEX(((2^W68)*AB68)+(2^W69*AB69)+(2^W70*AB70)+(2^W71*AB71)+(2^W72*AB72)+(2^W73*AB73)+(2^W74*AB74)+(2^W75*AB75))</f>
        <v>0</v>
      </c>
    </row>
    <row r="74" spans="2:32" ht="12.75">
      <c r="B74" s="50"/>
      <c r="C74" s="51" t="s">
        <v>3</v>
      </c>
      <c r="D74" s="271"/>
      <c r="E74" s="100" t="s">
        <v>1051</v>
      </c>
      <c r="F74" s="100" t="s">
        <v>3</v>
      </c>
      <c r="G74" s="307"/>
      <c r="H74" s="101" t="s">
        <v>937</v>
      </c>
      <c r="I74" s="24" t="s">
        <v>1052</v>
      </c>
      <c r="J74" s="56" t="str">
        <f>IF(LEFT(F74,1)="P",$AD$5,$AD$4)</f>
        <v>GPIO pin</v>
      </c>
      <c r="K74" s="76" t="s">
        <v>878</v>
      </c>
      <c r="L74" s="79" t="s">
        <v>1053</v>
      </c>
      <c r="M74" s="68" t="s">
        <v>20</v>
      </c>
      <c r="N74" s="68" t="s">
        <v>20</v>
      </c>
      <c r="O74" s="68"/>
      <c r="P74" s="74" t="str">
        <f>IF(LEFT(F74,2)="UD","UDT0BS=b'00","")</f>
        <v/>
      </c>
      <c r="Q74" s="88"/>
      <c r="R74" s="13"/>
      <c r="S74" s="11"/>
      <c r="T74" s="116" t="s">
        <v>1054</v>
      </c>
      <c r="V74" s="397">
        <f t="shared" si="8"/>
        <v>0</v>
      </c>
      <c r="W74" s="21">
        <v>1</v>
      </c>
      <c r="X74" s="18" t="str">
        <f t="shared" si="1"/>
        <v>0</v>
      </c>
      <c r="Y74" s="41" t="str">
        <f t="shared" si="30"/>
        <v>0</v>
      </c>
      <c r="Z74" s="3">
        <f t="shared" si="29"/>
        <v>0</v>
      </c>
      <c r="AA74" s="2" t="str">
        <f t="shared" si="25"/>
        <v>1</v>
      </c>
      <c r="AB74" s="64" t="str">
        <f t="shared" si="4"/>
        <v>0</v>
      </c>
      <c r="AE74" s="27"/>
      <c r="AF74" s="27"/>
    </row>
    <row r="75" spans="2:32" ht="13.5" thickBot="1">
      <c r="B75" s="53"/>
      <c r="C75" s="51" t="s">
        <v>4</v>
      </c>
      <c r="D75" s="52"/>
      <c r="E75" s="104" t="s">
        <v>1055</v>
      </c>
      <c r="F75" s="104" t="s">
        <v>4</v>
      </c>
      <c r="G75" s="40"/>
      <c r="H75" s="103" t="s">
        <v>937</v>
      </c>
      <c r="I75" s="97" t="s">
        <v>1056</v>
      </c>
      <c r="J75" s="57" t="str">
        <f>IF(LEFT(F75,1)="P",$AD$5,$AD$4)</f>
        <v>GPIO pin</v>
      </c>
      <c r="K75" s="77" t="s">
        <v>940</v>
      </c>
      <c r="L75" s="12" t="s">
        <v>1057</v>
      </c>
      <c r="M75" s="69" t="s">
        <v>91</v>
      </c>
      <c r="N75" s="69" t="s">
        <v>91</v>
      </c>
      <c r="O75" s="69" t="s">
        <v>691</v>
      </c>
      <c r="P75" s="75"/>
      <c r="Q75" s="111" t="str">
        <f>IF(LEFT(F75,2)="RL","Check 'RLSELx'","")</f>
        <v/>
      </c>
      <c r="R75" s="28" t="s">
        <v>1058</v>
      </c>
      <c r="S75" s="12"/>
      <c r="T75" s="308" t="s">
        <v>1059</v>
      </c>
      <c r="V75" s="398">
        <f t="shared" si="8"/>
        <v>0</v>
      </c>
      <c r="W75" s="22">
        <v>0</v>
      </c>
      <c r="X75" s="19" t="str">
        <f t="shared" si="1"/>
        <v>0</v>
      </c>
      <c r="Y75" s="42" t="str">
        <f t="shared" si="30"/>
        <v>1</v>
      </c>
      <c r="Z75" s="8">
        <f t="shared" si="29"/>
        <v>0</v>
      </c>
      <c r="AA75" s="9" t="str">
        <f t="shared" si="25"/>
        <v>0</v>
      </c>
      <c r="AB75" s="65" t="str">
        <f t="shared" si="4"/>
        <v>0</v>
      </c>
    </row>
    <row r="76" spans="2:32" ht="13.5" thickTop="1">
      <c r="B76" s="54" t="s">
        <v>1060</v>
      </c>
      <c r="C76" s="58" t="s">
        <v>1061</v>
      </c>
      <c r="D76" s="309"/>
      <c r="E76" s="294"/>
      <c r="F76" s="284"/>
      <c r="G76" s="284"/>
      <c r="H76" s="284"/>
      <c r="I76" s="310"/>
      <c r="J76" s="284" t="s">
        <v>943</v>
      </c>
      <c r="K76" s="288" t="s">
        <v>1057</v>
      </c>
      <c r="L76" s="289" t="s">
        <v>20</v>
      </c>
      <c r="M76" s="290" t="s">
        <v>20</v>
      </c>
      <c r="N76" s="290" t="s">
        <v>20</v>
      </c>
      <c r="O76" s="290"/>
      <c r="P76" s="311"/>
      <c r="Q76" s="311"/>
      <c r="R76" s="310"/>
      <c r="S76" s="310"/>
      <c r="T76" s="310"/>
      <c r="U76" s="5"/>
      <c r="V76" s="396" t="str">
        <f t="shared" si="8"/>
        <v>PORT 9</v>
      </c>
      <c r="W76" s="23">
        <v>7</v>
      </c>
      <c r="X76" s="312">
        <v>0</v>
      </c>
      <c r="Y76" s="309">
        <v>0</v>
      </c>
      <c r="Z76" s="309">
        <v>0</v>
      </c>
      <c r="AA76" s="313">
        <v>0</v>
      </c>
      <c r="AB76" s="67">
        <v>0</v>
      </c>
      <c r="AE76" s="6" t="str">
        <f>V76</f>
        <v>PORT 9</v>
      </c>
      <c r="AF76" s="20" t="s">
        <v>945</v>
      </c>
    </row>
    <row r="77" spans="2:32" ht="12.75">
      <c r="B77" s="50"/>
      <c r="C77" s="59" t="s">
        <v>1062</v>
      </c>
      <c r="D77" s="309"/>
      <c r="E77" s="294"/>
      <c r="F77" s="314"/>
      <c r="G77" s="314"/>
      <c r="H77" s="284"/>
      <c r="I77" s="315"/>
      <c r="J77" s="284" t="s">
        <v>1063</v>
      </c>
      <c r="K77" s="288" t="s">
        <v>1064</v>
      </c>
      <c r="L77" s="289" t="s">
        <v>20</v>
      </c>
      <c r="M77" s="290" t="s">
        <v>20</v>
      </c>
      <c r="N77" s="290" t="s">
        <v>20</v>
      </c>
      <c r="O77" s="290"/>
      <c r="P77" s="311"/>
      <c r="Q77" s="311"/>
      <c r="R77" s="315"/>
      <c r="S77" s="315"/>
      <c r="T77" s="315"/>
      <c r="U77" s="5"/>
      <c r="V77" s="397">
        <f t="shared" si="8"/>
        <v>0</v>
      </c>
      <c r="W77" s="21">
        <v>6</v>
      </c>
      <c r="X77" s="312">
        <v>0</v>
      </c>
      <c r="Y77" s="309">
        <v>0</v>
      </c>
      <c r="Z77" s="309">
        <v>0</v>
      </c>
      <c r="AA77" s="313">
        <v>0</v>
      </c>
      <c r="AB77" s="66">
        <v>0</v>
      </c>
      <c r="AE77" s="1" t="str">
        <f>$X$11</f>
        <v>PDR</v>
      </c>
      <c r="AF77" s="1" t="str">
        <f>DEC2HEX(((2^W76)*X76)+(2^W77*X77)+(2^W78*X78)+(2^W79*X79)+(2^W80*X80)+(2^W81*X81)+(2^W82*X82)+(2^W83*X83))</f>
        <v>0</v>
      </c>
    </row>
    <row r="78" spans="2:32" ht="12.75">
      <c r="B78" s="50"/>
      <c r="C78" s="59" t="s">
        <v>1065</v>
      </c>
      <c r="D78" s="309"/>
      <c r="E78" s="294"/>
      <c r="F78" s="314"/>
      <c r="G78" s="314"/>
      <c r="H78" s="284"/>
      <c r="I78" s="315"/>
      <c r="J78" s="284" t="s">
        <v>908</v>
      </c>
      <c r="K78" s="288" t="s">
        <v>931</v>
      </c>
      <c r="L78" s="289" t="s">
        <v>20</v>
      </c>
      <c r="M78" s="290" t="s">
        <v>20</v>
      </c>
      <c r="N78" s="290" t="s">
        <v>20</v>
      </c>
      <c r="O78" s="290"/>
      <c r="P78" s="291"/>
      <c r="Q78" s="291"/>
      <c r="R78" s="315"/>
      <c r="S78" s="315"/>
      <c r="T78" s="315"/>
      <c r="V78" s="397">
        <f t="shared" si="8"/>
        <v>0</v>
      </c>
      <c r="W78" s="21">
        <v>5</v>
      </c>
      <c r="X78" s="312">
        <v>0</v>
      </c>
      <c r="Y78" s="309">
        <v>0</v>
      </c>
      <c r="Z78" s="309">
        <v>0</v>
      </c>
      <c r="AA78" s="313">
        <v>0</v>
      </c>
      <c r="AB78" s="66">
        <v>0</v>
      </c>
      <c r="AE78" s="1" t="str">
        <f>$Y$11</f>
        <v>DDR</v>
      </c>
      <c r="AF78" s="1" t="str">
        <f>DEC2HEX(((2^W76)*Y76)+(2^W77*Y77)+(2^W78*Y78)+(2^W79*Y79)+(2^W80*Y80)+(2^W81*Y81)+(2^W82*Y82)+(2^W83*Y83))</f>
        <v>5</v>
      </c>
    </row>
    <row r="79" spans="2:32" ht="12.75">
      <c r="B79" s="50"/>
      <c r="C79" s="59" t="s">
        <v>1066</v>
      </c>
      <c r="D79" s="309"/>
      <c r="E79" s="294"/>
      <c r="F79" s="314"/>
      <c r="G79" s="314"/>
      <c r="H79" s="284"/>
      <c r="I79" s="315"/>
      <c r="J79" s="284" t="s">
        <v>913</v>
      </c>
      <c r="K79" s="288" t="s">
        <v>1067</v>
      </c>
      <c r="L79" s="284" t="s">
        <v>1067</v>
      </c>
      <c r="M79" s="290" t="s">
        <v>20</v>
      </c>
      <c r="N79" s="290" t="s">
        <v>20</v>
      </c>
      <c r="O79" s="290"/>
      <c r="P79" s="291"/>
      <c r="Q79" s="291"/>
      <c r="R79" s="315"/>
      <c r="S79" s="315"/>
      <c r="T79" s="315"/>
      <c r="V79" s="397">
        <f t="shared" si="8"/>
        <v>0</v>
      </c>
      <c r="W79" s="25">
        <v>4</v>
      </c>
      <c r="X79" s="312">
        <v>0</v>
      </c>
      <c r="Y79" s="309">
        <v>0</v>
      </c>
      <c r="Z79" s="309">
        <v>0</v>
      </c>
      <c r="AA79" s="313">
        <v>0</v>
      </c>
      <c r="AB79" s="66">
        <v>0</v>
      </c>
      <c r="AE79" s="1" t="str">
        <f>$Z$11</f>
        <v>EPCR</v>
      </c>
      <c r="AF79" s="1" t="str">
        <f>DEC2HEX(((2^W76)*Z76)+(2^W77*Z77)+(2^W78*Z78)+(2^W79*Z79)+(2^W80*Z80)+(2^W81*Z81)+(2^W82*Z82)+(2^W83*Z83))</f>
        <v>5</v>
      </c>
    </row>
    <row r="80" spans="2:32" ht="12.75">
      <c r="B80" s="50"/>
      <c r="C80" s="51" t="s">
        <v>16</v>
      </c>
      <c r="D80" s="271"/>
      <c r="E80" s="100" t="s">
        <v>1068</v>
      </c>
      <c r="F80" s="374" t="s">
        <v>2612</v>
      </c>
      <c r="G80" s="37"/>
      <c r="H80" s="101" t="s">
        <v>975</v>
      </c>
      <c r="I80" s="362" t="s">
        <v>2614</v>
      </c>
      <c r="J80" s="56" t="str">
        <f>IF(LEFT(F80,2)="PD",$AD$6,$AD$5)</f>
        <v>INPUT pin</v>
      </c>
      <c r="K80" s="76" t="s">
        <v>1069</v>
      </c>
      <c r="L80" s="277" t="s">
        <v>20</v>
      </c>
      <c r="M80" s="68" t="s">
        <v>20</v>
      </c>
      <c r="N80" s="68" t="s">
        <v>20</v>
      </c>
      <c r="O80" s="68"/>
      <c r="P80" s="92"/>
      <c r="Q80" s="92"/>
      <c r="R80" s="14"/>
      <c r="S80" s="11"/>
      <c r="T80" s="11"/>
      <c r="V80" s="397">
        <f t="shared" si="8"/>
        <v>0</v>
      </c>
      <c r="W80" s="21">
        <v>3</v>
      </c>
      <c r="X80" s="18" t="str">
        <f t="shared" ref="X80:X139" si="31">IF(M80="H","1","0")</f>
        <v>0</v>
      </c>
      <c r="Y80" s="41" t="str">
        <f>IF(LEFT(K80,1)="O","1","0")</f>
        <v>0</v>
      </c>
      <c r="Z80" s="260">
        <v>0</v>
      </c>
      <c r="AA80" s="2" t="str">
        <f t="shared" si="25"/>
        <v>0</v>
      </c>
      <c r="AB80" s="64" t="str">
        <f t="shared" ref="AB80:AB91" si="32">IF(L80="H","1","0")</f>
        <v>0</v>
      </c>
      <c r="AE80" s="1" t="str">
        <f>$AA$11</f>
        <v>PUDEN</v>
      </c>
      <c r="AF80" s="1" t="str">
        <f>DEC2HEX(((2^W76)*AA76)+(2^W77*AA77)+(2^W78*AA78)+(2^W79*AA79)+(2^W80*AA80)+(2^W81*AA81)+(2^W82*AA82)+(2^W83*AA83))</f>
        <v>0</v>
      </c>
    </row>
    <row r="81" spans="2:32" ht="12.75">
      <c r="B81" s="50"/>
      <c r="C81" s="51" t="s">
        <v>17</v>
      </c>
      <c r="D81" s="271"/>
      <c r="E81" s="100" t="s">
        <v>1070</v>
      </c>
      <c r="F81" s="374" t="s">
        <v>2613</v>
      </c>
      <c r="G81" s="37"/>
      <c r="H81" s="101" t="s">
        <v>936</v>
      </c>
      <c r="I81" s="362" t="s">
        <v>2615</v>
      </c>
      <c r="J81" s="56" t="str">
        <f>IF(LEFT(F81,2)="P9",$AD$5,$AD$4)</f>
        <v>Dedicated pin</v>
      </c>
      <c r="K81" s="276" t="s">
        <v>90</v>
      </c>
      <c r="L81" s="277" t="s">
        <v>20</v>
      </c>
      <c r="M81" s="68" t="s">
        <v>20</v>
      </c>
      <c r="N81" s="68" t="s">
        <v>20</v>
      </c>
      <c r="O81" s="68"/>
      <c r="P81" s="88"/>
      <c r="Q81" s="92"/>
      <c r="R81" s="14"/>
      <c r="S81" s="11"/>
      <c r="T81" s="11"/>
      <c r="V81" s="397">
        <f t="shared" si="8"/>
        <v>0</v>
      </c>
      <c r="W81" s="21">
        <v>2</v>
      </c>
      <c r="X81" s="18" t="str">
        <f t="shared" si="31"/>
        <v>0</v>
      </c>
      <c r="Y81" s="41" t="str">
        <f t="shared" ref="Y81:Y83" si="33">IF(LEFT(K81,1)="O","1","0")</f>
        <v>1</v>
      </c>
      <c r="Z81" s="3">
        <f t="shared" ref="Z81:Z84" si="34">VLOOKUP(J81,$AD$4:$AG$6,4,FALSE)</f>
        <v>1</v>
      </c>
      <c r="AA81" s="2" t="str">
        <f t="shared" si="25"/>
        <v>0</v>
      </c>
      <c r="AB81" s="64" t="str">
        <f t="shared" si="32"/>
        <v>0</v>
      </c>
      <c r="AC81" s="26"/>
      <c r="AE81" s="1" t="str">
        <f>$AB$11</f>
        <v>PUDCR</v>
      </c>
      <c r="AF81" s="1" t="str">
        <f>DEC2HEX(((2^W76)*AB76)+(2^W77*AB77)+(2^W78*AB78)+(2^W79*AB79)+(2^W80*AB80)+(2^W81*AB81)+(2^W82*AB82)+(2^W83*AB83))</f>
        <v>0</v>
      </c>
    </row>
    <row r="82" spans="2:32" ht="12.75">
      <c r="B82" s="50"/>
      <c r="C82" s="51" t="s">
        <v>18</v>
      </c>
      <c r="D82" s="271"/>
      <c r="E82" s="100" t="s">
        <v>1071</v>
      </c>
      <c r="F82" s="100" t="s">
        <v>1072</v>
      </c>
      <c r="G82" s="37"/>
      <c r="H82" s="101" t="s">
        <v>936</v>
      </c>
      <c r="I82" s="38" t="s">
        <v>1073</v>
      </c>
      <c r="J82" s="56" t="str">
        <f>IF(LEFT(F82,2)="P9",$AD$5,$AD$6)</f>
        <v>INPUT pin</v>
      </c>
      <c r="K82" s="76" t="str">
        <f>IF(LEFT(F82,2)="P9",$AE$6,$AE$5)</f>
        <v>In</v>
      </c>
      <c r="L82" s="79" t="s">
        <v>20</v>
      </c>
      <c r="M82" s="68" t="s">
        <v>931</v>
      </c>
      <c r="N82" s="68" t="s">
        <v>20</v>
      </c>
      <c r="O82" s="68"/>
      <c r="P82" s="88"/>
      <c r="Q82" s="88"/>
      <c r="R82" s="24"/>
      <c r="S82" s="11"/>
      <c r="T82" s="11"/>
      <c r="V82" s="397">
        <f t="shared" si="8"/>
        <v>0</v>
      </c>
      <c r="W82" s="21">
        <v>1</v>
      </c>
      <c r="X82" s="18" t="str">
        <f t="shared" si="31"/>
        <v>0</v>
      </c>
      <c r="Y82" s="41" t="str">
        <f>IF(LEFT(K82,1)="O","1","0")</f>
        <v>0</v>
      </c>
      <c r="Z82" s="260">
        <v>0</v>
      </c>
      <c r="AA82" s="2" t="str">
        <f t="shared" si="25"/>
        <v>0</v>
      </c>
      <c r="AB82" s="64" t="str">
        <f t="shared" si="32"/>
        <v>0</v>
      </c>
      <c r="AE82" s="27"/>
      <c r="AF82" s="27"/>
    </row>
    <row r="83" spans="2:32" ht="13.5" thickBot="1">
      <c r="B83" s="53"/>
      <c r="C83" s="51" t="s">
        <v>19</v>
      </c>
      <c r="D83" s="52"/>
      <c r="E83" s="104" t="s">
        <v>1074</v>
      </c>
      <c r="F83" s="100" t="s">
        <v>1075</v>
      </c>
      <c r="G83" s="40"/>
      <c r="H83" s="103" t="s">
        <v>936</v>
      </c>
      <c r="I83" s="117" t="s">
        <v>1076</v>
      </c>
      <c r="J83" s="57" t="str">
        <f>IF(LEFT(F83,2)="P9",$AD$5,$AD$4)</f>
        <v>Dedicated pin</v>
      </c>
      <c r="K83" s="77" t="str">
        <f>IF(LEFT(F83,2)="P9",$AE$6,$AE$4)</f>
        <v>Out</v>
      </c>
      <c r="L83" s="12" t="str">
        <f>IF(LEFT(F83,2)="SD","H","-")</f>
        <v>-</v>
      </c>
      <c r="M83" s="69" t="s">
        <v>20</v>
      </c>
      <c r="N83" s="69" t="s">
        <v>20</v>
      </c>
      <c r="O83" s="69"/>
      <c r="P83" s="90"/>
      <c r="Q83" s="90"/>
      <c r="R83" s="28"/>
      <c r="S83" s="11"/>
      <c r="T83" s="11"/>
      <c r="V83" s="398">
        <f t="shared" si="8"/>
        <v>0</v>
      </c>
      <c r="W83" s="22">
        <v>0</v>
      </c>
      <c r="X83" s="19" t="str">
        <f t="shared" si="31"/>
        <v>0</v>
      </c>
      <c r="Y83" s="42" t="str">
        <f t="shared" si="33"/>
        <v>1</v>
      </c>
      <c r="Z83" s="8">
        <f t="shared" si="34"/>
        <v>1</v>
      </c>
      <c r="AA83" s="2" t="str">
        <f t="shared" si="25"/>
        <v>0</v>
      </c>
      <c r="AB83" s="65" t="str">
        <f t="shared" si="32"/>
        <v>0</v>
      </c>
    </row>
    <row r="84" spans="2:32" ht="13.5" thickTop="1">
      <c r="B84" s="54" t="s">
        <v>1077</v>
      </c>
      <c r="C84" s="55" t="s">
        <v>1078</v>
      </c>
      <c r="D84" s="261"/>
      <c r="E84" s="24" t="s">
        <v>1079</v>
      </c>
      <c r="F84" s="98" t="s">
        <v>1080</v>
      </c>
      <c r="G84" s="11"/>
      <c r="H84" s="101" t="s">
        <v>981</v>
      </c>
      <c r="I84" s="13" t="s">
        <v>1081</v>
      </c>
      <c r="J84" s="56" t="str">
        <f>IF(LEFT(F84,1)="P",$AD$5,IF(LEFT(F84,2)="FP",$AD$6,$AD$4))</f>
        <v>Dedicated pin</v>
      </c>
      <c r="K84" s="74" t="str">
        <f>IF(LEFT(F84,1)="P",$AE$6,IF(LEFT(F84,2)="FP",$AE$5,$AE$4))</f>
        <v>Out</v>
      </c>
      <c r="L84" s="11" t="str">
        <f>IF(LEFT(F84,2)="SD","H","-")</f>
        <v>-</v>
      </c>
      <c r="M84" s="68" t="s">
        <v>20</v>
      </c>
      <c r="N84" s="68" t="s">
        <v>20</v>
      </c>
      <c r="O84" s="68"/>
      <c r="P84" s="74" t="str">
        <f t="shared" ref="P84:P107" si="35">IF(LEFT(F84,2)="VL","VMDHS1=00",IF(LEFT(F84,2)="VM","VMDHS1=01",""))</f>
        <v/>
      </c>
      <c r="Q84" s="76"/>
      <c r="R84" s="13"/>
      <c r="S84" s="99"/>
      <c r="T84" s="99"/>
      <c r="U84" s="5"/>
      <c r="V84" s="396" t="str">
        <f t="shared" ref="V84:V147" si="36">B84</f>
        <v>PORT A</v>
      </c>
      <c r="W84" s="23">
        <v>7</v>
      </c>
      <c r="X84" s="18" t="str">
        <f t="shared" si="31"/>
        <v>0</v>
      </c>
      <c r="Y84" s="41" t="str">
        <f>IF(LEFT(K84,1)="O","1","0")</f>
        <v>1</v>
      </c>
      <c r="Z84" s="3">
        <f t="shared" si="34"/>
        <v>1</v>
      </c>
      <c r="AA84" s="46">
        <v>0</v>
      </c>
      <c r="AB84" s="64" t="str">
        <f t="shared" si="32"/>
        <v>0</v>
      </c>
      <c r="AE84" s="6" t="str">
        <f>V84</f>
        <v>PORT A</v>
      </c>
      <c r="AF84" s="20" t="s">
        <v>728</v>
      </c>
    </row>
    <row r="85" spans="2:32" ht="12.75">
      <c r="B85" s="50"/>
      <c r="C85" s="51" t="s">
        <v>1082</v>
      </c>
      <c r="D85" s="271"/>
      <c r="E85" s="100" t="s">
        <v>1083</v>
      </c>
      <c r="F85" s="100" t="s">
        <v>1084</v>
      </c>
      <c r="G85" s="11"/>
      <c r="H85" s="101" t="s">
        <v>936</v>
      </c>
      <c r="I85" s="13" t="s">
        <v>1085</v>
      </c>
      <c r="J85" s="56" t="str">
        <f>IF(LEFT(F85,1)="P",$AD$5,IF(LEFT(F85,2)="FP",$AD$6,$AD$6))</f>
        <v>INPUT pin</v>
      </c>
      <c r="K85" s="74" t="s">
        <v>891</v>
      </c>
      <c r="L85" s="11" t="str">
        <f>IF(LEFT(F85,2)="SD","H","-")</f>
        <v>-</v>
      </c>
      <c r="M85" s="68" t="s">
        <v>20</v>
      </c>
      <c r="N85" s="68" t="s">
        <v>20</v>
      </c>
      <c r="O85" s="68"/>
      <c r="P85" s="74" t="str">
        <f t="shared" si="35"/>
        <v/>
      </c>
      <c r="Q85" s="76"/>
      <c r="R85" s="13"/>
      <c r="S85" s="11"/>
      <c r="T85" s="11"/>
      <c r="U85" s="5"/>
      <c r="V85" s="397">
        <f t="shared" si="36"/>
        <v>0</v>
      </c>
      <c r="W85" s="21">
        <v>6</v>
      </c>
      <c r="X85" s="18" t="str">
        <f t="shared" si="31"/>
        <v>0</v>
      </c>
      <c r="Y85" s="41" t="str">
        <f t="shared" ref="Y85:Y87" si="37">IF(LEFT(K85,1)="O","1","0")</f>
        <v>0</v>
      </c>
      <c r="Z85" s="260">
        <v>0</v>
      </c>
      <c r="AA85" s="2" t="str">
        <f t="shared" ref="AA85:AA91" si="38">IF(L85="H","1",IF(L85="L","1","0"))</f>
        <v>0</v>
      </c>
      <c r="AB85" s="64" t="str">
        <f t="shared" si="32"/>
        <v>0</v>
      </c>
      <c r="AE85" s="1" t="str">
        <f>$X$11</f>
        <v>PDR</v>
      </c>
      <c r="AF85" s="1" t="str">
        <f>DEC2HEX(((2^W84)*X84)+(2^W85*X85)+(2^W86*X86)+(2^W87*X87)+(2^W88*X88)+(2^W89*X89)+(2^W90*X90)+(2^W91*X91))</f>
        <v>0</v>
      </c>
    </row>
    <row r="86" spans="2:32" ht="12.75">
      <c r="B86" s="50"/>
      <c r="C86" s="51" t="s">
        <v>21</v>
      </c>
      <c r="D86" s="271"/>
      <c r="E86" s="50" t="s">
        <v>1086</v>
      </c>
      <c r="F86" s="100" t="s">
        <v>1087</v>
      </c>
      <c r="G86" s="11"/>
      <c r="H86" s="101" t="s">
        <v>963</v>
      </c>
      <c r="I86" s="13" t="s">
        <v>1088</v>
      </c>
      <c r="J86" s="56" t="str">
        <f>IF(LEFT(F86,1)="P",$AD$5,$AD$4)</f>
        <v>Dedicated pin</v>
      </c>
      <c r="K86" s="74" t="str">
        <f>IF(LEFT(F86,1)="P",$AE$6,$AE$4)</f>
        <v>Out</v>
      </c>
      <c r="L86" s="11" t="str">
        <f>IF(LEFT(F86,2)="SD","H","-")</f>
        <v>-</v>
      </c>
      <c r="M86" s="68" t="s">
        <v>20</v>
      </c>
      <c r="N86" s="68" t="s">
        <v>20</v>
      </c>
      <c r="O86" s="68"/>
      <c r="P86" s="74" t="str">
        <f t="shared" si="35"/>
        <v/>
      </c>
      <c r="Q86" s="76"/>
      <c r="R86" s="13"/>
      <c r="S86" s="11"/>
      <c r="T86" s="11"/>
      <c r="V86" s="397">
        <f t="shared" si="36"/>
        <v>0</v>
      </c>
      <c r="W86" s="21">
        <v>5</v>
      </c>
      <c r="X86" s="18" t="str">
        <f t="shared" si="31"/>
        <v>0</v>
      </c>
      <c r="Y86" s="41" t="str">
        <f t="shared" si="37"/>
        <v>1</v>
      </c>
      <c r="Z86" s="3">
        <f>VLOOKUP(J86,$AD$4:$AG$6,4,FALSE)</f>
        <v>1</v>
      </c>
      <c r="AA86" s="2" t="str">
        <f t="shared" si="38"/>
        <v>0</v>
      </c>
      <c r="AB86" s="64" t="str">
        <f t="shared" si="32"/>
        <v>0</v>
      </c>
      <c r="AE86" s="1" t="str">
        <f>$Y$11</f>
        <v>DDR</v>
      </c>
      <c r="AF86" s="1" t="str">
        <f>DEC2HEX(((2^W84)*Y84)+(2^W85*Y85)+(2^W86*Y86)+(2^W87*Y87)+(2^W88*Y88)+(2^W89*Y89)+(2^W90*Y90)+(2^W91*Y91))</f>
        <v>AB</v>
      </c>
    </row>
    <row r="87" spans="2:32" ht="12.75">
      <c r="B87" s="50"/>
      <c r="C87" s="51" t="s">
        <v>22</v>
      </c>
      <c r="D87" s="271"/>
      <c r="E87" s="50" t="s">
        <v>1089</v>
      </c>
      <c r="F87" s="100" t="s">
        <v>1090</v>
      </c>
      <c r="G87" s="11"/>
      <c r="H87" s="101" t="s">
        <v>969</v>
      </c>
      <c r="I87" s="13" t="s">
        <v>1091</v>
      </c>
      <c r="J87" s="56" t="str">
        <f>IF(LEFT(F87,1)="P",$AD$5,IF(LEFT(F87,2)="WP",$AD$4,$AD$6))</f>
        <v>INPUT pin</v>
      </c>
      <c r="K87" s="74" t="str">
        <f>IF(LEFT(F87,1)="P",$AE$6,IF(LEFT(F87,1)="A",$AE$5,$AE$4))</f>
        <v>In</v>
      </c>
      <c r="L87" s="11" t="str">
        <f>IF(LEFT(F87,2)="SD","H","-")</f>
        <v>-</v>
      </c>
      <c r="M87" s="68" t="s">
        <v>20</v>
      </c>
      <c r="N87" s="68" t="s">
        <v>20</v>
      </c>
      <c r="O87" s="68"/>
      <c r="P87" s="74" t="str">
        <f t="shared" si="35"/>
        <v/>
      </c>
      <c r="Q87" s="76"/>
      <c r="R87" s="13"/>
      <c r="S87" s="11"/>
      <c r="T87" s="11"/>
      <c r="V87" s="397">
        <f t="shared" si="36"/>
        <v>0</v>
      </c>
      <c r="W87" s="25">
        <v>4</v>
      </c>
      <c r="X87" s="18" t="str">
        <f t="shared" si="31"/>
        <v>0</v>
      </c>
      <c r="Y87" s="41" t="str">
        <f t="shared" si="37"/>
        <v>0</v>
      </c>
      <c r="Z87" s="3">
        <f t="shared" ref="Z87:Z91" si="39">VLOOKUP(J87,$AD$4:$AG$6,4,FALSE)</f>
        <v>0</v>
      </c>
      <c r="AA87" s="2" t="str">
        <f t="shared" si="38"/>
        <v>0</v>
      </c>
      <c r="AB87" s="64" t="str">
        <f t="shared" si="32"/>
        <v>0</v>
      </c>
      <c r="AE87" s="1" t="str">
        <f>$Z$11</f>
        <v>EPCR</v>
      </c>
      <c r="AF87" s="1" t="str">
        <f>DEC2HEX(((2^W84)*Z84)+(2^W85*Z85)+(2^W86*Z86)+(2^W87*Z87)+(2^W88*Z88)+(2^W89*Z89)+(2^W90*Z90)+(2^W91*Z91))</f>
        <v>AB</v>
      </c>
    </row>
    <row r="88" spans="2:32" ht="12.75">
      <c r="B88" s="50"/>
      <c r="C88" s="51" t="s">
        <v>23</v>
      </c>
      <c r="D88" s="271"/>
      <c r="E88" s="100" t="s">
        <v>1092</v>
      </c>
      <c r="F88" s="100" t="s">
        <v>1093</v>
      </c>
      <c r="G88" s="11"/>
      <c r="H88" s="101" t="s">
        <v>937</v>
      </c>
      <c r="I88" s="13" t="s">
        <v>1094</v>
      </c>
      <c r="J88" s="56" t="str">
        <f>IF(LEFT(F88,1)="P",$AD$5,$AD$4)</f>
        <v>Dedicated pin</v>
      </c>
      <c r="K88" s="76" t="str">
        <f>IF(LEFT(F88,1)="A",$AE$4,$AE$6)</f>
        <v>Out</v>
      </c>
      <c r="L88" s="79" t="s">
        <v>20</v>
      </c>
      <c r="M88" s="68" t="s">
        <v>20</v>
      </c>
      <c r="N88" s="68" t="s">
        <v>20</v>
      </c>
      <c r="O88" s="68"/>
      <c r="P88" s="74" t="str">
        <f t="shared" si="35"/>
        <v/>
      </c>
      <c r="Q88" s="76"/>
      <c r="R88" s="13"/>
      <c r="S88" s="11"/>
      <c r="T88" s="11"/>
      <c r="V88" s="397">
        <f t="shared" si="36"/>
        <v>0</v>
      </c>
      <c r="W88" s="21">
        <v>3</v>
      </c>
      <c r="X88" s="18" t="str">
        <f t="shared" si="31"/>
        <v>0</v>
      </c>
      <c r="Y88" s="41" t="str">
        <f>IF(LEFT(K88,1)="O","1","0")</f>
        <v>1</v>
      </c>
      <c r="Z88" s="3">
        <f t="shared" si="39"/>
        <v>1</v>
      </c>
      <c r="AA88" s="2" t="str">
        <f t="shared" si="38"/>
        <v>0</v>
      </c>
      <c r="AB88" s="64" t="str">
        <f t="shared" si="32"/>
        <v>0</v>
      </c>
      <c r="AE88" s="1" t="str">
        <f>$AA$11</f>
        <v>PUDEN</v>
      </c>
      <c r="AF88" s="1" t="str">
        <f>DEC2HEX(((2^W84)*AA84)+(2^W85*AA85)+(2^W86*AA86)+(2^W87*AA87)+(2^W88*AA88)+(2^W89*AA89)+(2^W90*AA90)+(2^W91*AA91))</f>
        <v>0</v>
      </c>
    </row>
    <row r="89" spans="2:32" ht="12.75">
      <c r="B89" s="50"/>
      <c r="C89" s="51" t="s">
        <v>24</v>
      </c>
      <c r="D89" s="271"/>
      <c r="E89" s="100" t="s">
        <v>1095</v>
      </c>
      <c r="F89" s="100" t="s">
        <v>1096</v>
      </c>
      <c r="G89" s="11"/>
      <c r="H89" s="101" t="s">
        <v>936</v>
      </c>
      <c r="I89" s="13" t="s">
        <v>1097</v>
      </c>
      <c r="J89" s="56" t="str">
        <f>IF(LEFT(F89,1)="P",$AD$5,$AD$6)</f>
        <v>INPUT pin</v>
      </c>
      <c r="K89" s="76" t="str">
        <f>IF(LEFT(F89,1)="A",$AE$5,$AE$6)</f>
        <v>In</v>
      </c>
      <c r="L89" s="79" t="s">
        <v>20</v>
      </c>
      <c r="M89" s="68" t="s">
        <v>20</v>
      </c>
      <c r="N89" s="68" t="s">
        <v>20</v>
      </c>
      <c r="O89" s="68"/>
      <c r="P89" s="74" t="str">
        <f t="shared" si="35"/>
        <v/>
      </c>
      <c r="Q89" s="76"/>
      <c r="R89" s="13"/>
      <c r="S89" s="11"/>
      <c r="T89" s="11"/>
      <c r="V89" s="397">
        <f t="shared" si="36"/>
        <v>0</v>
      </c>
      <c r="W89" s="21">
        <v>2</v>
      </c>
      <c r="X89" s="18" t="str">
        <f t="shared" si="31"/>
        <v>0</v>
      </c>
      <c r="Y89" s="41" t="str">
        <f t="shared" ref="Y89:Y91" si="40">IF(LEFT(K89,1)="O","1","0")</f>
        <v>0</v>
      </c>
      <c r="Z89" s="260">
        <v>0</v>
      </c>
      <c r="AA89" s="2" t="str">
        <f t="shared" si="38"/>
        <v>0</v>
      </c>
      <c r="AB89" s="64" t="str">
        <f t="shared" si="32"/>
        <v>0</v>
      </c>
      <c r="AC89" s="26"/>
      <c r="AE89" s="1" t="str">
        <f>$AB$11</f>
        <v>PUDCR</v>
      </c>
      <c r="AF89" s="1" t="str">
        <f>DEC2HEX(((2^W84)*AB84)+(2^W85*AB85)+(2^W86*AB86)+(2^W87*AB87)+(2^W88*AB88)+(2^W89*AB89)+(2^W90*AB90)+(2^W91*AB91))</f>
        <v>0</v>
      </c>
    </row>
    <row r="90" spans="2:32" ht="12.75">
      <c r="B90" s="50"/>
      <c r="C90" s="51" t="s">
        <v>25</v>
      </c>
      <c r="D90" s="271"/>
      <c r="E90" s="100" t="s">
        <v>1098</v>
      </c>
      <c r="F90" s="100" t="s">
        <v>85</v>
      </c>
      <c r="G90" s="11"/>
      <c r="H90" s="101" t="s">
        <v>936</v>
      </c>
      <c r="I90" s="13" t="s">
        <v>1099</v>
      </c>
      <c r="J90" s="56" t="str">
        <f>IF(LEFT(F90,1)="P",$AD$5,IF(LEFT(F90,2)="FP",$AD$6,$AD$4))</f>
        <v>Dedicated pin</v>
      </c>
      <c r="K90" s="76" t="s">
        <v>766</v>
      </c>
      <c r="L90" s="79" t="s">
        <v>20</v>
      </c>
      <c r="M90" s="68" t="s">
        <v>931</v>
      </c>
      <c r="N90" s="68" t="s">
        <v>20</v>
      </c>
      <c r="O90" s="68"/>
      <c r="P90" s="74" t="str">
        <f t="shared" si="35"/>
        <v/>
      </c>
      <c r="Q90" s="88"/>
      <c r="R90" s="13"/>
      <c r="S90" s="11"/>
      <c r="T90" s="11"/>
      <c r="V90" s="397">
        <f t="shared" si="36"/>
        <v>0</v>
      </c>
      <c r="W90" s="21">
        <v>1</v>
      </c>
      <c r="X90" s="18" t="str">
        <f t="shared" si="31"/>
        <v>0</v>
      </c>
      <c r="Y90" s="41" t="str">
        <f t="shared" si="40"/>
        <v>1</v>
      </c>
      <c r="Z90" s="3">
        <f t="shared" si="39"/>
        <v>1</v>
      </c>
      <c r="AA90" s="2" t="str">
        <f t="shared" si="38"/>
        <v>0</v>
      </c>
      <c r="AB90" s="64" t="str">
        <f t="shared" si="32"/>
        <v>0</v>
      </c>
      <c r="AE90" s="27"/>
      <c r="AF90" s="27"/>
    </row>
    <row r="91" spans="2:32" ht="13.5" thickBot="1">
      <c r="B91" s="53"/>
      <c r="C91" s="52" t="s">
        <v>26</v>
      </c>
      <c r="D91" s="263"/>
      <c r="E91" s="104" t="s">
        <v>1100</v>
      </c>
      <c r="F91" s="104" t="s">
        <v>86</v>
      </c>
      <c r="G91" s="12"/>
      <c r="H91" s="103" t="s">
        <v>936</v>
      </c>
      <c r="I91" s="15" t="s">
        <v>1101</v>
      </c>
      <c r="J91" s="57" t="str">
        <f>IF(LEFT(F91,1)="P",$AD$5,IF(LEFT(F91,2)="FP",$AD$6,$AD$4))</f>
        <v>Dedicated pin</v>
      </c>
      <c r="K91" s="77" t="s">
        <v>766</v>
      </c>
      <c r="L91" s="80" t="s">
        <v>20</v>
      </c>
      <c r="M91" s="69" t="s">
        <v>931</v>
      </c>
      <c r="N91" s="69" t="s">
        <v>20</v>
      </c>
      <c r="O91" s="69"/>
      <c r="P91" s="75" t="str">
        <f t="shared" si="35"/>
        <v/>
      </c>
      <c r="Q91" s="90"/>
      <c r="R91" s="15"/>
      <c r="S91" s="12"/>
      <c r="T91" s="12"/>
      <c r="V91" s="398">
        <f t="shared" si="36"/>
        <v>0</v>
      </c>
      <c r="W91" s="22">
        <v>0</v>
      </c>
      <c r="X91" s="19" t="str">
        <f t="shared" si="31"/>
        <v>0</v>
      </c>
      <c r="Y91" s="42" t="str">
        <f t="shared" si="40"/>
        <v>1</v>
      </c>
      <c r="Z91" s="8">
        <f t="shared" si="39"/>
        <v>1</v>
      </c>
      <c r="AA91" s="9" t="str">
        <f t="shared" si="38"/>
        <v>0</v>
      </c>
      <c r="AB91" s="65" t="str">
        <f t="shared" si="32"/>
        <v>0</v>
      </c>
    </row>
    <row r="92" spans="2:32" ht="13.5" thickTop="1">
      <c r="B92" s="54" t="s">
        <v>1102</v>
      </c>
      <c r="C92" s="59" t="s">
        <v>1103</v>
      </c>
      <c r="D92" s="285"/>
      <c r="E92" s="294"/>
      <c r="F92" s="284"/>
      <c r="G92" s="284"/>
      <c r="H92" s="284"/>
      <c r="I92" s="292"/>
      <c r="J92" s="30" t="s">
        <v>908</v>
      </c>
      <c r="K92" s="288" t="s">
        <v>931</v>
      </c>
      <c r="L92" s="289" t="s">
        <v>20</v>
      </c>
      <c r="M92" s="290" t="s">
        <v>20</v>
      </c>
      <c r="N92" s="290" t="s">
        <v>20</v>
      </c>
      <c r="O92" s="290"/>
      <c r="P92" s="288" t="str">
        <f t="shared" si="35"/>
        <v/>
      </c>
      <c r="Q92" s="311"/>
      <c r="R92" s="292"/>
      <c r="S92" s="281"/>
      <c r="T92" s="281"/>
      <c r="U92" s="5"/>
      <c r="V92" s="396" t="str">
        <f t="shared" si="36"/>
        <v>PORT B</v>
      </c>
      <c r="W92" s="23">
        <v>7</v>
      </c>
      <c r="X92" s="312">
        <v>0</v>
      </c>
      <c r="Y92" s="309">
        <v>0</v>
      </c>
      <c r="Z92" s="309">
        <v>0</v>
      </c>
      <c r="AA92" s="313">
        <v>0</v>
      </c>
      <c r="AB92" s="67">
        <v>0</v>
      </c>
      <c r="AE92" s="6" t="str">
        <f>V92</f>
        <v>PORT B</v>
      </c>
      <c r="AF92" s="20" t="s">
        <v>729</v>
      </c>
    </row>
    <row r="93" spans="2:32" ht="12.75">
      <c r="B93" s="50"/>
      <c r="C93" s="59" t="s">
        <v>1104</v>
      </c>
      <c r="D93" s="309"/>
      <c r="E93" s="294"/>
      <c r="F93" s="284"/>
      <c r="G93" s="284"/>
      <c r="H93" s="284"/>
      <c r="I93" s="292"/>
      <c r="J93" s="284" t="s">
        <v>930</v>
      </c>
      <c r="K93" s="288" t="s">
        <v>932</v>
      </c>
      <c r="L93" s="289" t="s">
        <v>20</v>
      </c>
      <c r="M93" s="290" t="s">
        <v>20</v>
      </c>
      <c r="N93" s="290" t="s">
        <v>20</v>
      </c>
      <c r="O93" s="290"/>
      <c r="P93" s="288" t="str">
        <f t="shared" si="35"/>
        <v/>
      </c>
      <c r="Q93" s="311"/>
      <c r="R93" s="292"/>
      <c r="S93" s="284"/>
      <c r="T93" s="284"/>
      <c r="U93" s="5"/>
      <c r="V93" s="397">
        <f t="shared" si="36"/>
        <v>0</v>
      </c>
      <c r="W93" s="21">
        <v>6</v>
      </c>
      <c r="X93" s="312">
        <v>0</v>
      </c>
      <c r="Y93" s="309">
        <v>0</v>
      </c>
      <c r="Z93" s="309">
        <v>0</v>
      </c>
      <c r="AA93" s="313">
        <v>0</v>
      </c>
      <c r="AB93" s="66">
        <v>0</v>
      </c>
      <c r="AE93" s="1" t="str">
        <f>$X$11</f>
        <v>PDR</v>
      </c>
      <c r="AF93" s="1" t="str">
        <f>DEC2HEX(((2^W92)*X92)+(2^W93*X93)+(2^W94*X94)+(2^W95*X95)+(2^W96*X96)+(2^W97*X97)+(2^W98*X98)+(2^W99*X99))</f>
        <v>0</v>
      </c>
    </row>
    <row r="94" spans="2:32" ht="12.75">
      <c r="B94" s="50"/>
      <c r="C94" s="59" t="s">
        <v>1105</v>
      </c>
      <c r="D94" s="309"/>
      <c r="E94" s="294"/>
      <c r="F94" s="284"/>
      <c r="G94" s="284"/>
      <c r="H94" s="284"/>
      <c r="I94" s="292"/>
      <c r="J94" s="284" t="s">
        <v>943</v>
      </c>
      <c r="K94" s="288" t="s">
        <v>1057</v>
      </c>
      <c r="L94" s="289" t="s">
        <v>20</v>
      </c>
      <c r="M94" s="290" t="s">
        <v>20</v>
      </c>
      <c r="N94" s="290" t="s">
        <v>20</v>
      </c>
      <c r="O94" s="290"/>
      <c r="P94" s="288" t="str">
        <f t="shared" si="35"/>
        <v/>
      </c>
      <c r="Q94" s="291"/>
      <c r="R94" s="292"/>
      <c r="S94" s="284"/>
      <c r="T94" s="284"/>
      <c r="V94" s="397">
        <f t="shared" si="36"/>
        <v>0</v>
      </c>
      <c r="W94" s="21">
        <v>5</v>
      </c>
      <c r="X94" s="312">
        <v>0</v>
      </c>
      <c r="Y94" s="309">
        <v>0</v>
      </c>
      <c r="Z94" s="309">
        <v>0</v>
      </c>
      <c r="AA94" s="313">
        <v>0</v>
      </c>
      <c r="AB94" s="66">
        <v>0</v>
      </c>
      <c r="AE94" s="1" t="str">
        <f>$Y$11</f>
        <v>DDR</v>
      </c>
      <c r="AF94" s="1" t="str">
        <f>DEC2HEX(((2^W92)*Y92)+(2^W93*Y93)+(2^W94*Y94)+(2^W95*Y95)+(2^W96*Y96)+(2^W97*Y97)+(2^W98*Y98)+(2^W99*Y99))</f>
        <v>3</v>
      </c>
    </row>
    <row r="95" spans="2:32" ht="12.75">
      <c r="B95" s="50"/>
      <c r="C95" s="10" t="s">
        <v>1106</v>
      </c>
      <c r="D95" s="41"/>
      <c r="E95" s="100" t="s">
        <v>1107</v>
      </c>
      <c r="F95" s="100" t="s">
        <v>1108</v>
      </c>
      <c r="G95" s="11"/>
      <c r="H95" s="101" t="s">
        <v>936</v>
      </c>
      <c r="I95" s="13" t="s">
        <v>1109</v>
      </c>
      <c r="J95" s="375" t="str">
        <f>IF(LEFT(F95,1)="P",$AD$5,$AD$4)</f>
        <v>Dedicated pin</v>
      </c>
      <c r="K95" s="74" t="str">
        <f>IF(LEFT(F95,1)="P",$AE$6,$AE$5)</f>
        <v>In</v>
      </c>
      <c r="L95" s="79" t="s">
        <v>20</v>
      </c>
      <c r="M95" s="68" t="s">
        <v>20</v>
      </c>
      <c r="N95" s="68" t="s">
        <v>72</v>
      </c>
      <c r="O95" s="68"/>
      <c r="P95" s="74" t="str">
        <f t="shared" si="35"/>
        <v/>
      </c>
      <c r="Q95" s="88"/>
      <c r="R95" s="316" t="s">
        <v>1110</v>
      </c>
      <c r="S95" s="11"/>
      <c r="T95" s="11" t="s">
        <v>1111</v>
      </c>
      <c r="V95" s="397">
        <f t="shared" si="36"/>
        <v>0</v>
      </c>
      <c r="W95" s="25">
        <v>4</v>
      </c>
      <c r="X95" s="18" t="str">
        <f t="shared" si="31"/>
        <v>0</v>
      </c>
      <c r="Y95" s="41" t="str">
        <f t="shared" ref="Y95" si="41">IF(LEFT(K95,1)="O","1","0")</f>
        <v>0</v>
      </c>
      <c r="Z95" s="3">
        <f t="shared" ref="Z95:Z99" si="42">VLOOKUP(J95,$AD$4:$AG$6,4,FALSE)</f>
        <v>1</v>
      </c>
      <c r="AA95" s="2" t="str">
        <f t="shared" ref="AA95:AA99" si="43">IF(L95="H","1",IF(L95="L","1","0"))</f>
        <v>0</v>
      </c>
      <c r="AB95" s="64" t="str">
        <f t="shared" ref="AB95:AB99" si="44">IF(L95="H","1","0")</f>
        <v>0</v>
      </c>
      <c r="AE95" s="1" t="str">
        <f>$Z$11</f>
        <v>EPCR</v>
      </c>
      <c r="AF95" s="1" t="str">
        <f>DEC2HEX(((2^W92)*Z92)+(2^W93*Z93)+(2^W94*Z94)+(2^W95*Z95)+(2^W96*Z96)+(2^W97*Z97)+(2^W98*Z98)+(2^W99*Z99))</f>
        <v>1F</v>
      </c>
    </row>
    <row r="96" spans="2:32" ht="12.75">
      <c r="B96" s="50"/>
      <c r="C96" s="10" t="s">
        <v>1112</v>
      </c>
      <c r="D96" s="41"/>
      <c r="E96" s="100" t="s">
        <v>1113</v>
      </c>
      <c r="F96" s="100" t="s">
        <v>1114</v>
      </c>
      <c r="G96" s="11"/>
      <c r="H96" s="101" t="s">
        <v>952</v>
      </c>
      <c r="I96" s="13" t="s">
        <v>1115</v>
      </c>
      <c r="J96" s="56" t="str">
        <f>IF(LEFT(F96,1)="P",$AD$5,$AD$4)</f>
        <v>Dedicated pin</v>
      </c>
      <c r="K96" s="74" t="str">
        <f>IF(LEFT(F96,1)="P",$AE$6,$AE$5)</f>
        <v>In</v>
      </c>
      <c r="L96" s="79" t="s">
        <v>20</v>
      </c>
      <c r="M96" s="68" t="s">
        <v>20</v>
      </c>
      <c r="N96" s="68" t="s">
        <v>20</v>
      </c>
      <c r="O96" s="68"/>
      <c r="P96" s="74" t="str">
        <f t="shared" si="35"/>
        <v/>
      </c>
      <c r="Q96" s="92"/>
      <c r="R96" s="13"/>
      <c r="S96" s="11"/>
      <c r="T96" s="11" t="s">
        <v>1116</v>
      </c>
      <c r="V96" s="397">
        <f t="shared" si="36"/>
        <v>0</v>
      </c>
      <c r="W96" s="21">
        <v>3</v>
      </c>
      <c r="X96" s="18" t="str">
        <f t="shared" si="31"/>
        <v>0</v>
      </c>
      <c r="Y96" s="41" t="str">
        <f>IF(LEFT(K96,1)="O","1","0")</f>
        <v>0</v>
      </c>
      <c r="Z96" s="3">
        <f t="shared" si="42"/>
        <v>1</v>
      </c>
      <c r="AA96" s="2" t="str">
        <f t="shared" si="43"/>
        <v>0</v>
      </c>
      <c r="AB96" s="64" t="str">
        <f t="shared" si="44"/>
        <v>0</v>
      </c>
      <c r="AE96" s="1" t="str">
        <f>$AA$11</f>
        <v>PUDEN</v>
      </c>
      <c r="AF96" s="1" t="str">
        <f>DEC2HEX(((2^W92)*AA92)+(2^W93*AA93)+(2^W94*AA94)+(2^W95*AA95)+(2^W96*AA96)+(2^W97*AA97)+(2^W98*AA98)+(2^W99*AA99))</f>
        <v>2</v>
      </c>
    </row>
    <row r="97" spans="2:32" ht="12.75">
      <c r="B97" s="50"/>
      <c r="C97" s="10" t="s">
        <v>1117</v>
      </c>
      <c r="D97" s="41"/>
      <c r="E97" s="100" t="s">
        <v>1118</v>
      </c>
      <c r="F97" s="100" t="s">
        <v>1119</v>
      </c>
      <c r="G97" s="11"/>
      <c r="H97" s="101" t="s">
        <v>936</v>
      </c>
      <c r="I97" s="13" t="s">
        <v>1120</v>
      </c>
      <c r="J97" s="56" t="str">
        <f>IF(LEFT(F97,1)="P",$AD$5,IF(LEFT(F97,2)="SP",$AD$4,$AD$6))</f>
        <v>Dedicated pin</v>
      </c>
      <c r="K97" s="74" t="s">
        <v>1121</v>
      </c>
      <c r="L97" s="79" t="s">
        <v>20</v>
      </c>
      <c r="M97" s="68" t="s">
        <v>20</v>
      </c>
      <c r="N97" s="68" t="s">
        <v>20</v>
      </c>
      <c r="O97" s="68"/>
      <c r="P97" s="74" t="str">
        <f t="shared" si="35"/>
        <v/>
      </c>
      <c r="Q97" s="92"/>
      <c r="R97" s="13"/>
      <c r="S97" s="11"/>
      <c r="T97" s="11" t="s">
        <v>1122</v>
      </c>
      <c r="V97" s="397">
        <f t="shared" si="36"/>
        <v>0</v>
      </c>
      <c r="W97" s="21">
        <v>2</v>
      </c>
      <c r="X97" s="18" t="str">
        <f t="shared" si="31"/>
        <v>0</v>
      </c>
      <c r="Y97" s="41" t="str">
        <f t="shared" ref="Y97:Y99" si="45">IF(LEFT(K97,1)="O","1","0")</f>
        <v>0</v>
      </c>
      <c r="Z97" s="3">
        <f t="shared" si="42"/>
        <v>1</v>
      </c>
      <c r="AA97" s="2" t="str">
        <f t="shared" si="43"/>
        <v>0</v>
      </c>
      <c r="AB97" s="64" t="str">
        <f t="shared" si="44"/>
        <v>0</v>
      </c>
      <c r="AC97" s="26"/>
      <c r="AE97" s="1" t="str">
        <f>$AB$11</f>
        <v>PUDCR</v>
      </c>
      <c r="AF97" s="1" t="str">
        <f>DEC2HEX(((2^W92)*AB92)+(2^W93*AB93)+(2^W94*AB94)+(2^W95*AB95)+(2^W96*AB96)+(2^W97*AB97)+(2^W98*AB98)+(2^W99*AB99))</f>
        <v>2</v>
      </c>
    </row>
    <row r="98" spans="2:32" ht="12.75">
      <c r="B98" s="50"/>
      <c r="C98" s="10" t="s">
        <v>1123</v>
      </c>
      <c r="D98" s="41"/>
      <c r="E98" s="100" t="s">
        <v>1124</v>
      </c>
      <c r="F98" s="100" t="s">
        <v>1125</v>
      </c>
      <c r="G98" s="11"/>
      <c r="H98" s="101" t="s">
        <v>1126</v>
      </c>
      <c r="I98" s="13" t="s">
        <v>1127</v>
      </c>
      <c r="J98" s="56" t="str">
        <f>IF(LEFT(F98,1)="P",$AD$5,$AD$4)</f>
        <v>Dedicated pin</v>
      </c>
      <c r="K98" s="74" t="s">
        <v>1128</v>
      </c>
      <c r="L98" s="277" t="s">
        <v>72</v>
      </c>
      <c r="M98" s="68" t="s">
        <v>1129</v>
      </c>
      <c r="N98" s="68" t="s">
        <v>20</v>
      </c>
      <c r="O98" s="68"/>
      <c r="P98" s="74" t="str">
        <f t="shared" si="35"/>
        <v/>
      </c>
      <c r="Q98" s="88"/>
      <c r="R98" s="13"/>
      <c r="S98" s="11"/>
      <c r="T98" s="11" t="s">
        <v>1130</v>
      </c>
      <c r="V98" s="397">
        <f t="shared" si="36"/>
        <v>0</v>
      </c>
      <c r="W98" s="21">
        <v>1</v>
      </c>
      <c r="X98" s="18" t="str">
        <f t="shared" si="31"/>
        <v>0</v>
      </c>
      <c r="Y98" s="41" t="str">
        <f t="shared" si="45"/>
        <v>1</v>
      </c>
      <c r="Z98" s="3">
        <f t="shared" si="42"/>
        <v>1</v>
      </c>
      <c r="AA98" s="2" t="str">
        <f t="shared" si="43"/>
        <v>1</v>
      </c>
      <c r="AB98" s="64" t="str">
        <f t="shared" si="44"/>
        <v>1</v>
      </c>
      <c r="AE98" s="27"/>
      <c r="AF98" s="27"/>
    </row>
    <row r="99" spans="2:32" ht="13.5" thickBot="1">
      <c r="B99" s="53"/>
      <c r="C99" s="274" t="s">
        <v>1131</v>
      </c>
      <c r="D99" s="317"/>
      <c r="E99" s="104" t="s">
        <v>1132</v>
      </c>
      <c r="F99" s="104" t="s">
        <v>1133</v>
      </c>
      <c r="G99" s="12"/>
      <c r="H99" s="103" t="s">
        <v>1126</v>
      </c>
      <c r="I99" s="15" t="s">
        <v>1134</v>
      </c>
      <c r="J99" s="57" t="str">
        <f>IF(LEFT(F99,1)="P",$AD$5,$AD$4)</f>
        <v>Dedicated pin</v>
      </c>
      <c r="K99" s="75" t="s">
        <v>1128</v>
      </c>
      <c r="L99" s="80" t="s">
        <v>20</v>
      </c>
      <c r="M99" s="69" t="s">
        <v>1129</v>
      </c>
      <c r="N99" s="69" t="s">
        <v>20</v>
      </c>
      <c r="O99" s="69"/>
      <c r="P99" s="75" t="str">
        <f t="shared" si="35"/>
        <v/>
      </c>
      <c r="Q99" s="90"/>
      <c r="R99" s="15"/>
      <c r="S99" s="12"/>
      <c r="T99" s="11" t="s">
        <v>1135</v>
      </c>
      <c r="V99" s="398">
        <f t="shared" si="36"/>
        <v>0</v>
      </c>
      <c r="W99" s="22">
        <v>0</v>
      </c>
      <c r="X99" s="19" t="str">
        <f t="shared" si="31"/>
        <v>0</v>
      </c>
      <c r="Y99" s="42" t="str">
        <f t="shared" si="45"/>
        <v>1</v>
      </c>
      <c r="Z99" s="8">
        <f t="shared" si="42"/>
        <v>1</v>
      </c>
      <c r="AA99" s="9" t="str">
        <f t="shared" si="43"/>
        <v>0</v>
      </c>
      <c r="AB99" s="65" t="str">
        <f t="shared" si="44"/>
        <v>0</v>
      </c>
    </row>
    <row r="100" spans="2:32" ht="13.5" thickTop="1">
      <c r="B100" s="54" t="s">
        <v>1136</v>
      </c>
      <c r="C100" s="59" t="s">
        <v>1137</v>
      </c>
      <c r="D100" s="285"/>
      <c r="E100" s="286"/>
      <c r="F100" s="284"/>
      <c r="G100" s="284"/>
      <c r="H100" s="284"/>
      <c r="I100" s="292"/>
      <c r="J100" s="30" t="s">
        <v>1138</v>
      </c>
      <c r="K100" s="288" t="s">
        <v>1129</v>
      </c>
      <c r="L100" s="289" t="s">
        <v>20</v>
      </c>
      <c r="M100" s="290" t="s">
        <v>20</v>
      </c>
      <c r="N100" s="290" t="s">
        <v>20</v>
      </c>
      <c r="O100" s="290"/>
      <c r="P100" s="288" t="str">
        <f t="shared" si="35"/>
        <v/>
      </c>
      <c r="Q100" s="311"/>
      <c r="R100" s="292"/>
      <c r="S100" s="281"/>
      <c r="T100" s="281"/>
      <c r="U100" s="5"/>
      <c r="V100" s="396" t="str">
        <f t="shared" si="36"/>
        <v>PORT C</v>
      </c>
      <c r="W100" s="23">
        <v>7</v>
      </c>
      <c r="X100" s="312">
        <v>0</v>
      </c>
      <c r="Y100" s="309">
        <v>0</v>
      </c>
      <c r="Z100" s="309">
        <v>0</v>
      </c>
      <c r="AA100" s="313">
        <v>0</v>
      </c>
      <c r="AB100" s="67">
        <v>0</v>
      </c>
      <c r="AE100" s="6" t="str">
        <f>V100</f>
        <v>PORT C</v>
      </c>
      <c r="AF100" s="20" t="s">
        <v>1139</v>
      </c>
    </row>
    <row r="101" spans="2:32" ht="12.75">
      <c r="B101" s="50"/>
      <c r="C101" s="59" t="s">
        <v>1140</v>
      </c>
      <c r="D101" s="309"/>
      <c r="E101" s="286"/>
      <c r="F101" s="284"/>
      <c r="G101" s="284"/>
      <c r="H101" s="284"/>
      <c r="I101" s="292"/>
      <c r="J101" s="284" t="s">
        <v>1141</v>
      </c>
      <c r="K101" s="288" t="s">
        <v>1142</v>
      </c>
      <c r="L101" s="289" t="s">
        <v>20</v>
      </c>
      <c r="M101" s="290" t="s">
        <v>20</v>
      </c>
      <c r="N101" s="290" t="s">
        <v>20</v>
      </c>
      <c r="O101" s="290"/>
      <c r="P101" s="288" t="str">
        <f t="shared" si="35"/>
        <v/>
      </c>
      <c r="Q101" s="311"/>
      <c r="R101" s="292"/>
      <c r="S101" s="284"/>
      <c r="T101" s="284"/>
      <c r="U101" s="5"/>
      <c r="V101" s="397">
        <f t="shared" si="36"/>
        <v>0</v>
      </c>
      <c r="W101" s="21">
        <v>6</v>
      </c>
      <c r="X101" s="312">
        <v>0</v>
      </c>
      <c r="Y101" s="309">
        <v>0</v>
      </c>
      <c r="Z101" s="309">
        <v>0</v>
      </c>
      <c r="AA101" s="313">
        <v>0</v>
      </c>
      <c r="AB101" s="66">
        <v>0</v>
      </c>
      <c r="AE101" s="1" t="str">
        <f>$X$11</f>
        <v>PDR</v>
      </c>
      <c r="AF101" s="1" t="str">
        <f>DEC2HEX(((2^W100)*X100)+(2^W101*X101)+(2^W102*X102)+(2^W103*X103)+(2^W104*X104)+(2^W105*X105)+(2^W106*X106)+(2^W107*X107))</f>
        <v>0</v>
      </c>
    </row>
    <row r="102" spans="2:32" ht="12.75">
      <c r="B102" s="50"/>
      <c r="C102" s="51" t="s">
        <v>1143</v>
      </c>
      <c r="D102" s="271"/>
      <c r="E102" s="50" t="s">
        <v>1144</v>
      </c>
      <c r="F102" s="100" t="s">
        <v>87</v>
      </c>
      <c r="G102" s="11"/>
      <c r="H102" s="101" t="s">
        <v>1145</v>
      </c>
      <c r="I102" s="13" t="s">
        <v>1146</v>
      </c>
      <c r="J102" s="56" t="str">
        <f t="shared" ref="J102:J107" si="46">IF(LEFT(F102,1)="P",$AD$5,$AD$4)</f>
        <v>Dedicated pin</v>
      </c>
      <c r="K102" s="74" t="str">
        <f t="shared" ref="K102:K106" si="47">IF(LEFT(F102,1)="P",$AE$6,$AE$6)</f>
        <v>IO</v>
      </c>
      <c r="L102" s="79" t="s">
        <v>20</v>
      </c>
      <c r="M102" s="68" t="s">
        <v>20</v>
      </c>
      <c r="N102" s="68" t="s">
        <v>20</v>
      </c>
      <c r="O102" s="68"/>
      <c r="P102" s="74" t="str">
        <f t="shared" si="35"/>
        <v/>
      </c>
      <c r="Q102" s="88"/>
      <c r="R102" s="13"/>
      <c r="S102" s="11" t="s">
        <v>1147</v>
      </c>
      <c r="T102" s="11" t="s">
        <v>1148</v>
      </c>
      <c r="V102" s="397">
        <f t="shared" si="36"/>
        <v>0</v>
      </c>
      <c r="W102" s="21">
        <v>5</v>
      </c>
      <c r="X102" s="18" t="str">
        <f t="shared" si="31"/>
        <v>0</v>
      </c>
      <c r="Y102" s="41" t="str">
        <f t="shared" ref="Y102:Y103" si="48">IF(LEFT(K102,1)="O","1","0")</f>
        <v>0</v>
      </c>
      <c r="Z102" s="3">
        <f>VLOOKUP(J102,$AD$4:$AG$6,4,FALSE)</f>
        <v>1</v>
      </c>
      <c r="AA102" s="2" t="str">
        <f t="shared" ref="AA102:AA107" si="49">IF(L102="H","1",IF(L102="L","1","0"))</f>
        <v>0</v>
      </c>
      <c r="AB102" s="64" t="str">
        <f t="shared" ref="AB102:AB107" si="50">IF(L102="H","1","0")</f>
        <v>0</v>
      </c>
      <c r="AE102" s="1" t="str">
        <f>$Y$11</f>
        <v>DDR</v>
      </c>
      <c r="AF102" s="1" t="str">
        <f>DEC2HEX(((2^W100)*Y100)+(2^W101*Y101)+(2^W102*Y102)+(2^W103*Y103)+(2^W104*Y104)+(2^W105*Y105)+(2^W106*Y106)+(2^W107*Y107))</f>
        <v>0</v>
      </c>
    </row>
    <row r="103" spans="2:32" ht="12.75">
      <c r="B103" s="50"/>
      <c r="C103" s="10" t="s">
        <v>27</v>
      </c>
      <c r="D103" s="41"/>
      <c r="E103" s="50" t="s">
        <v>1149</v>
      </c>
      <c r="F103" s="100" t="s">
        <v>1150</v>
      </c>
      <c r="G103" s="11"/>
      <c r="H103" s="101" t="s">
        <v>1151</v>
      </c>
      <c r="I103" s="13" t="s">
        <v>1152</v>
      </c>
      <c r="J103" s="56" t="str">
        <f t="shared" si="46"/>
        <v>Dedicated pin</v>
      </c>
      <c r="K103" s="74" t="str">
        <f t="shared" si="47"/>
        <v>IO</v>
      </c>
      <c r="L103" s="79" t="s">
        <v>20</v>
      </c>
      <c r="M103" s="68" t="s">
        <v>20</v>
      </c>
      <c r="N103" s="68" t="s">
        <v>20</v>
      </c>
      <c r="O103" s="68"/>
      <c r="P103" s="74" t="str">
        <f t="shared" si="35"/>
        <v/>
      </c>
      <c r="Q103" s="88"/>
      <c r="R103" s="13"/>
      <c r="S103" s="11" t="s">
        <v>1153</v>
      </c>
      <c r="T103" s="11" t="s">
        <v>1154</v>
      </c>
      <c r="V103" s="397">
        <f t="shared" si="36"/>
        <v>0</v>
      </c>
      <c r="W103" s="25">
        <v>4</v>
      </c>
      <c r="X103" s="18" t="str">
        <f t="shared" si="31"/>
        <v>0</v>
      </c>
      <c r="Y103" s="41" t="str">
        <f t="shared" si="48"/>
        <v>0</v>
      </c>
      <c r="Z103" s="3">
        <f t="shared" ref="Z103:Z107" si="51">VLOOKUP(J103,$AD$4:$AG$6,4,FALSE)</f>
        <v>1</v>
      </c>
      <c r="AA103" s="2" t="str">
        <f t="shared" si="49"/>
        <v>0</v>
      </c>
      <c r="AB103" s="64" t="str">
        <f t="shared" si="50"/>
        <v>0</v>
      </c>
      <c r="AE103" s="1" t="str">
        <f>$Z$11</f>
        <v>EPCR</v>
      </c>
      <c r="AF103" s="1" t="str">
        <f>DEC2HEX(((2^W100)*Z100)+(2^W101*Z101)+(2^W102*Z102)+(2^W103*Z103)+(2^W104*Z104)+(2^W105*Z105)+(2^W106*Z106)+(2^W107*Z107))</f>
        <v>3F</v>
      </c>
    </row>
    <row r="104" spans="2:32" ht="12.75">
      <c r="B104" s="50"/>
      <c r="C104" s="51" t="s">
        <v>28</v>
      </c>
      <c r="D104" s="271"/>
      <c r="E104" s="50" t="s">
        <v>1155</v>
      </c>
      <c r="F104" s="100" t="s">
        <v>88</v>
      </c>
      <c r="G104" s="11"/>
      <c r="H104" s="101" t="s">
        <v>1156</v>
      </c>
      <c r="I104" s="13" t="s">
        <v>1157</v>
      </c>
      <c r="J104" s="56" t="str">
        <f t="shared" si="46"/>
        <v>Dedicated pin</v>
      </c>
      <c r="K104" s="74" t="str">
        <f t="shared" si="47"/>
        <v>IO</v>
      </c>
      <c r="L104" s="79" t="s">
        <v>20</v>
      </c>
      <c r="M104" s="68" t="s">
        <v>20</v>
      </c>
      <c r="N104" s="68" t="s">
        <v>20</v>
      </c>
      <c r="O104" s="68"/>
      <c r="P104" s="74" t="str">
        <f t="shared" si="35"/>
        <v/>
      </c>
      <c r="Q104" s="92"/>
      <c r="R104" s="13"/>
      <c r="S104" s="11" t="s">
        <v>1158</v>
      </c>
      <c r="T104" s="11" t="s">
        <v>1159</v>
      </c>
      <c r="V104" s="397">
        <f t="shared" si="36"/>
        <v>0</v>
      </c>
      <c r="W104" s="21">
        <v>3</v>
      </c>
      <c r="X104" s="18" t="str">
        <f t="shared" si="31"/>
        <v>0</v>
      </c>
      <c r="Y104" s="41" t="str">
        <f>IF(LEFT(K104,1)="O","1","0")</f>
        <v>0</v>
      </c>
      <c r="Z104" s="3">
        <f t="shared" si="51"/>
        <v>1</v>
      </c>
      <c r="AA104" s="2" t="str">
        <f t="shared" si="49"/>
        <v>0</v>
      </c>
      <c r="AB104" s="64" t="str">
        <f t="shared" si="50"/>
        <v>0</v>
      </c>
      <c r="AE104" s="1" t="str">
        <f>$AA$11</f>
        <v>PUDEN</v>
      </c>
      <c r="AF104" s="1" t="str">
        <f>DEC2HEX(((2^W100)*AA100)+(2^W101*AA101)+(2^W102*AA102)+(2^W103*AA103)+(2^W104*AA104)+(2^W105*AA105)+(2^W106*AA106)+(2^W107*AA107))</f>
        <v>0</v>
      </c>
    </row>
    <row r="105" spans="2:32" ht="12.75">
      <c r="B105" s="50"/>
      <c r="C105" s="10" t="s">
        <v>29</v>
      </c>
      <c r="D105" s="41"/>
      <c r="E105" s="50" t="s">
        <v>1160</v>
      </c>
      <c r="F105" s="100" t="s">
        <v>89</v>
      </c>
      <c r="G105" s="11"/>
      <c r="H105" s="101" t="s">
        <v>1161</v>
      </c>
      <c r="I105" s="13" t="s">
        <v>1162</v>
      </c>
      <c r="J105" s="56" t="str">
        <f t="shared" si="46"/>
        <v>Dedicated pin</v>
      </c>
      <c r="K105" s="74" t="str">
        <f t="shared" si="47"/>
        <v>IO</v>
      </c>
      <c r="L105" s="79" t="s">
        <v>20</v>
      </c>
      <c r="M105" s="68" t="s">
        <v>20</v>
      </c>
      <c r="N105" s="68" t="s">
        <v>20</v>
      </c>
      <c r="O105" s="68"/>
      <c r="P105" s="74" t="str">
        <f t="shared" si="35"/>
        <v/>
      </c>
      <c r="Q105" s="92"/>
      <c r="R105" s="13"/>
      <c r="S105" s="11" t="s">
        <v>1163</v>
      </c>
      <c r="T105" s="11" t="s">
        <v>1164</v>
      </c>
      <c r="V105" s="397">
        <f t="shared" si="36"/>
        <v>0</v>
      </c>
      <c r="W105" s="21">
        <v>2</v>
      </c>
      <c r="X105" s="18" t="str">
        <f t="shared" si="31"/>
        <v>0</v>
      </c>
      <c r="Y105" s="41" t="str">
        <f t="shared" ref="Y105:Y107" si="52">IF(LEFT(K105,1)="O","1","0")</f>
        <v>0</v>
      </c>
      <c r="Z105" s="3">
        <f t="shared" si="51"/>
        <v>1</v>
      </c>
      <c r="AA105" s="2" t="str">
        <f t="shared" si="49"/>
        <v>0</v>
      </c>
      <c r="AB105" s="64" t="str">
        <f t="shared" si="50"/>
        <v>0</v>
      </c>
      <c r="AC105" s="26"/>
      <c r="AE105" s="1" t="str">
        <f>$AB$11</f>
        <v>PUDCR</v>
      </c>
      <c r="AF105" s="1" t="str">
        <f>DEC2HEX(((2^W100)*AB100)+(2^W101*AB101)+(2^W102*AB102)+(2^W103*AB103)+(2^W104*AB104)+(2^W105*AB105)+(2^W106*AB106)+(2^W107*AB107))</f>
        <v>0</v>
      </c>
    </row>
    <row r="106" spans="2:32" ht="12.75">
      <c r="B106" s="50"/>
      <c r="C106" s="51" t="s">
        <v>30</v>
      </c>
      <c r="D106" s="271"/>
      <c r="E106" s="50" t="s">
        <v>1165</v>
      </c>
      <c r="F106" s="100" t="s">
        <v>93</v>
      </c>
      <c r="G106" s="11"/>
      <c r="H106" s="101" t="s">
        <v>1166</v>
      </c>
      <c r="I106" s="13" t="s">
        <v>1167</v>
      </c>
      <c r="J106" s="56" t="str">
        <f t="shared" si="46"/>
        <v>Dedicated pin</v>
      </c>
      <c r="K106" s="74" t="str">
        <f t="shared" si="47"/>
        <v>IO</v>
      </c>
      <c r="L106" s="79" t="s">
        <v>20</v>
      </c>
      <c r="M106" s="68" t="s">
        <v>1168</v>
      </c>
      <c r="N106" s="68" t="s">
        <v>20</v>
      </c>
      <c r="O106" s="68"/>
      <c r="P106" s="74" t="str">
        <f t="shared" si="35"/>
        <v/>
      </c>
      <c r="Q106" s="88"/>
      <c r="R106" s="13"/>
      <c r="S106" s="11" t="s">
        <v>1169</v>
      </c>
      <c r="T106" s="11" t="s">
        <v>1170</v>
      </c>
      <c r="V106" s="397">
        <f t="shared" si="36"/>
        <v>0</v>
      </c>
      <c r="W106" s="21">
        <v>1</v>
      </c>
      <c r="X106" s="18" t="str">
        <f t="shared" si="31"/>
        <v>0</v>
      </c>
      <c r="Y106" s="41" t="str">
        <f t="shared" si="52"/>
        <v>0</v>
      </c>
      <c r="Z106" s="3">
        <f t="shared" si="51"/>
        <v>1</v>
      </c>
      <c r="AA106" s="2" t="str">
        <f t="shared" si="49"/>
        <v>0</v>
      </c>
      <c r="AB106" s="64" t="str">
        <f t="shared" si="50"/>
        <v>0</v>
      </c>
      <c r="AE106" s="27"/>
      <c r="AF106" s="27"/>
    </row>
    <row r="107" spans="2:32" ht="13.5" thickBot="1">
      <c r="B107" s="53"/>
      <c r="C107" s="274" t="s">
        <v>31</v>
      </c>
      <c r="D107" s="317"/>
      <c r="E107" s="53" t="s">
        <v>1171</v>
      </c>
      <c r="F107" s="100" t="s">
        <v>1172</v>
      </c>
      <c r="G107" s="12"/>
      <c r="H107" s="101" t="s">
        <v>1166</v>
      </c>
      <c r="I107" s="13" t="s">
        <v>1173</v>
      </c>
      <c r="J107" s="57" t="str">
        <f t="shared" si="46"/>
        <v>Dedicated pin</v>
      </c>
      <c r="K107" s="74" t="str">
        <f>IF(LEFT(F107,1)="P",$AE$6,$AE$6)</f>
        <v>IO</v>
      </c>
      <c r="L107" s="79" t="s">
        <v>20</v>
      </c>
      <c r="M107" s="69" t="s">
        <v>1174</v>
      </c>
      <c r="N107" s="69" t="s">
        <v>20</v>
      </c>
      <c r="O107" s="69"/>
      <c r="P107" s="75" t="str">
        <f t="shared" si="35"/>
        <v/>
      </c>
      <c r="Q107" s="90"/>
      <c r="R107" s="13"/>
      <c r="S107" s="12" t="s">
        <v>1175</v>
      </c>
      <c r="T107" s="12" t="s">
        <v>1176</v>
      </c>
      <c r="V107" s="398">
        <f t="shared" si="36"/>
        <v>0</v>
      </c>
      <c r="W107" s="22">
        <v>0</v>
      </c>
      <c r="X107" s="19" t="str">
        <f t="shared" si="31"/>
        <v>0</v>
      </c>
      <c r="Y107" s="42" t="str">
        <f t="shared" si="52"/>
        <v>0</v>
      </c>
      <c r="Z107" s="8">
        <f t="shared" si="51"/>
        <v>1</v>
      </c>
      <c r="AA107" s="9" t="str">
        <f t="shared" si="49"/>
        <v>0</v>
      </c>
      <c r="AB107" s="65" t="str">
        <f t="shared" si="50"/>
        <v>0</v>
      </c>
    </row>
    <row r="108" spans="2:32" ht="12" thickTop="1">
      <c r="B108" s="50" t="s">
        <v>1177</v>
      </c>
      <c r="C108" s="59" t="s">
        <v>1178</v>
      </c>
      <c r="D108" s="285"/>
      <c r="E108" s="58"/>
      <c r="F108" s="30"/>
      <c r="G108" s="30"/>
      <c r="H108" s="30"/>
      <c r="I108" s="30"/>
      <c r="J108" s="30" t="s">
        <v>1179</v>
      </c>
      <c r="K108" s="78" t="s">
        <v>1179</v>
      </c>
      <c r="L108" s="78" t="s">
        <v>1179</v>
      </c>
      <c r="M108" s="30" t="s">
        <v>1179</v>
      </c>
      <c r="N108" s="30" t="s">
        <v>1179</v>
      </c>
      <c r="O108" s="30"/>
      <c r="P108" s="91"/>
      <c r="Q108" s="91"/>
      <c r="R108" s="30"/>
      <c r="S108" s="31"/>
      <c r="T108" s="31"/>
      <c r="U108" s="5"/>
      <c r="V108" s="396" t="str">
        <f t="shared" si="36"/>
        <v>PORT D</v>
      </c>
      <c r="W108" s="105">
        <v>7</v>
      </c>
      <c r="X108" s="49">
        <v>0</v>
      </c>
      <c r="Y108" s="49">
        <v>0</v>
      </c>
      <c r="Z108" s="49">
        <v>0</v>
      </c>
      <c r="AA108" s="49">
        <v>0</v>
      </c>
      <c r="AB108" s="85">
        <v>0</v>
      </c>
      <c r="AE108" s="6" t="str">
        <f>V108</f>
        <v>PORT D</v>
      </c>
      <c r="AF108" s="20" t="s">
        <v>1180</v>
      </c>
    </row>
    <row r="109" spans="2:32" ht="12.75">
      <c r="B109" s="50"/>
      <c r="C109" s="10" t="s">
        <v>1181</v>
      </c>
      <c r="D109" s="273"/>
      <c r="E109" s="96" t="s">
        <v>1182</v>
      </c>
      <c r="F109" s="14" t="s">
        <v>1183</v>
      </c>
      <c r="G109" s="11"/>
      <c r="H109" s="101" t="s">
        <v>1184</v>
      </c>
      <c r="I109" s="14" t="s">
        <v>1185</v>
      </c>
      <c r="J109" s="56" t="str">
        <f t="shared" ref="J109:J115" si="53">IF(LEFT(F109,1)="P",$AD$5,$AD$4)</f>
        <v>Dedicated pin</v>
      </c>
      <c r="K109" s="76" t="s">
        <v>1186</v>
      </c>
      <c r="L109" s="79" t="s">
        <v>20</v>
      </c>
      <c r="M109" s="68" t="s">
        <v>20</v>
      </c>
      <c r="N109" s="68" t="s">
        <v>20</v>
      </c>
      <c r="O109" s="68"/>
      <c r="P109" s="89"/>
      <c r="Q109" s="89"/>
      <c r="R109" s="11"/>
      <c r="S109" s="11" t="s">
        <v>1187</v>
      </c>
      <c r="T109" s="11" t="s">
        <v>1188</v>
      </c>
      <c r="U109" s="5"/>
      <c r="V109" s="397">
        <f t="shared" si="36"/>
        <v>0</v>
      </c>
      <c r="W109" s="82">
        <v>6</v>
      </c>
      <c r="X109" s="18" t="str">
        <f t="shared" ref="X109" si="54">IF(M109="H","1","0")</f>
        <v>0</v>
      </c>
      <c r="Y109" s="41" t="str">
        <f t="shared" ref="Y109:Y111" si="55">IF(LEFT(K109,1)="O","1","0")</f>
        <v>1</v>
      </c>
      <c r="Z109" s="3">
        <f>VLOOKUP(J109,$AD$4:$AG$6,4,FALSE)</f>
        <v>1</v>
      </c>
      <c r="AA109" s="2" t="str">
        <f t="shared" ref="AA109:AA115" si="56">IF(L109="H","1",IF(L109="L","1","0"))</f>
        <v>0</v>
      </c>
      <c r="AB109" s="64" t="str">
        <f t="shared" ref="AB109:AB115" si="57">IF(L109="H","1","0")</f>
        <v>0</v>
      </c>
      <c r="AE109" s="1" t="str">
        <f>$X$11</f>
        <v>PDR</v>
      </c>
      <c r="AF109" s="1" t="str">
        <f>DEC2HEX(((2^W108)*X108)+(2^W109*X109)+(2^W110*X110)+(2^W111*X111)+(2^W112*X112)+(2^W113*X113)+(2^W114*X114)+(2^W115*X115))</f>
        <v>0</v>
      </c>
    </row>
    <row r="110" spans="2:32" ht="12.75">
      <c r="B110" s="50"/>
      <c r="C110" s="10" t="s">
        <v>1189</v>
      </c>
      <c r="D110" s="41"/>
      <c r="E110" s="50" t="s">
        <v>1190</v>
      </c>
      <c r="F110" s="100" t="s">
        <v>1191</v>
      </c>
      <c r="G110" s="11"/>
      <c r="H110" s="101" t="s">
        <v>1192</v>
      </c>
      <c r="I110" s="14" t="s">
        <v>1193</v>
      </c>
      <c r="J110" s="56" t="str">
        <f t="shared" si="53"/>
        <v>Dedicated pin</v>
      </c>
      <c r="K110" s="76" t="s">
        <v>1194</v>
      </c>
      <c r="L110" s="79" t="s">
        <v>20</v>
      </c>
      <c r="M110" s="68" t="s">
        <v>20</v>
      </c>
      <c r="N110" s="68" t="s">
        <v>20</v>
      </c>
      <c r="O110" s="68"/>
      <c r="P110" s="74" t="str">
        <f>IF(LEFT(F110,5)="VLVDT","VLVREFS=1",IF(LEFT(F110,4)="VLVD","VLVREFS=0",""))</f>
        <v/>
      </c>
      <c r="Q110" s="88"/>
      <c r="R110" s="13"/>
      <c r="S110" s="11" t="s">
        <v>1195</v>
      </c>
      <c r="T110" s="11" t="s">
        <v>1196</v>
      </c>
      <c r="V110" s="397">
        <f t="shared" si="36"/>
        <v>0</v>
      </c>
      <c r="W110" s="21">
        <v>5</v>
      </c>
      <c r="X110" s="18" t="str">
        <f t="shared" si="31"/>
        <v>0</v>
      </c>
      <c r="Y110" s="41" t="str">
        <f t="shared" si="55"/>
        <v>1</v>
      </c>
      <c r="Z110" s="3">
        <f>VLOOKUP(J110,$AD$4:$AG$6,4,FALSE)</f>
        <v>1</v>
      </c>
      <c r="AA110" s="2" t="str">
        <f t="shared" si="56"/>
        <v>0</v>
      </c>
      <c r="AB110" s="64" t="str">
        <f t="shared" si="57"/>
        <v>0</v>
      </c>
      <c r="AE110" s="1" t="str">
        <f>$Y$11</f>
        <v>DDR</v>
      </c>
      <c r="AF110" s="1" t="str">
        <f>DEC2HEX(((2^W108)*Y108)+(2^W109*Y109)+(2^W110*Y110)+(2^W111*Y111)+(2^W112*Y112)+(2^W113*Y113)+(2^W114*Y114)+(2^W115*Y115))</f>
        <v>7E</v>
      </c>
    </row>
    <row r="111" spans="2:32" ht="12.75">
      <c r="B111" s="50"/>
      <c r="C111" s="10" t="s">
        <v>32</v>
      </c>
      <c r="D111" s="41"/>
      <c r="E111" s="50" t="s">
        <v>1197</v>
      </c>
      <c r="F111" s="100" t="s">
        <v>1198</v>
      </c>
      <c r="G111" s="11"/>
      <c r="H111" s="101" t="s">
        <v>1199</v>
      </c>
      <c r="I111" s="14" t="s">
        <v>1200</v>
      </c>
      <c r="J111" s="56" t="str">
        <f t="shared" si="53"/>
        <v>Dedicated pin</v>
      </c>
      <c r="K111" s="76" t="s">
        <v>1201</v>
      </c>
      <c r="L111" s="79" t="s">
        <v>20</v>
      </c>
      <c r="M111" s="68" t="s">
        <v>20</v>
      </c>
      <c r="N111" s="68" t="s">
        <v>20</v>
      </c>
      <c r="O111" s="68"/>
      <c r="P111" s="74" t="str">
        <f>IF(LEFT(F111,5)="VLHDT","VLHRS=1",IF(LEFT(F111,4)="VLHD","VLHRS=0",""))</f>
        <v/>
      </c>
      <c r="Q111" s="88"/>
      <c r="R111" s="13"/>
      <c r="S111" s="11" t="s">
        <v>1202</v>
      </c>
      <c r="T111" s="11" t="s">
        <v>1203</v>
      </c>
      <c r="V111" s="397">
        <f t="shared" si="36"/>
        <v>0</v>
      </c>
      <c r="W111" s="25">
        <v>4</v>
      </c>
      <c r="X111" s="18" t="str">
        <f t="shared" si="31"/>
        <v>0</v>
      </c>
      <c r="Y111" s="41" t="str">
        <f t="shared" si="55"/>
        <v>1</v>
      </c>
      <c r="Z111" s="3">
        <f t="shared" ref="Z111:Z115" si="58">VLOOKUP(J111,$AD$4:$AG$6,4,FALSE)</f>
        <v>1</v>
      </c>
      <c r="AA111" s="2" t="str">
        <f t="shared" si="56"/>
        <v>0</v>
      </c>
      <c r="AB111" s="64" t="str">
        <f t="shared" si="57"/>
        <v>0</v>
      </c>
      <c r="AE111" s="1" t="str">
        <f>$Z$11</f>
        <v>EPCR</v>
      </c>
      <c r="AF111" s="1" t="str">
        <f>DEC2HEX(((2^W108)*Z108)+(2^W109*Z109)+(2^W110*Z110)+(2^W111*Z111)+(2^W112*Z112)+(2^W113*Z113)+(2^W114*Z114)+(2^W115*Z115))</f>
        <v>7F</v>
      </c>
    </row>
    <row r="112" spans="2:32" ht="12.75">
      <c r="B112" s="50"/>
      <c r="C112" s="10" t="s">
        <v>33</v>
      </c>
      <c r="D112" s="41"/>
      <c r="E112" s="50" t="s">
        <v>1204</v>
      </c>
      <c r="F112" s="100" t="s">
        <v>1205</v>
      </c>
      <c r="G112" s="11"/>
      <c r="H112" s="101" t="s">
        <v>1206</v>
      </c>
      <c r="I112" s="14" t="s">
        <v>1207</v>
      </c>
      <c r="J112" s="56" t="str">
        <f t="shared" si="53"/>
        <v>Dedicated pin</v>
      </c>
      <c r="K112" s="74" t="s">
        <v>1208</v>
      </c>
      <c r="L112" s="277" t="s">
        <v>72</v>
      </c>
      <c r="M112" s="118" t="s">
        <v>1209</v>
      </c>
      <c r="N112" s="118" t="s">
        <v>20</v>
      </c>
      <c r="O112" s="68"/>
      <c r="P112" s="92"/>
      <c r="Q112" s="92"/>
      <c r="R112" s="13"/>
      <c r="S112" s="11" t="s">
        <v>1210</v>
      </c>
      <c r="T112" s="11" t="s">
        <v>1211</v>
      </c>
      <c r="V112" s="397">
        <f t="shared" si="36"/>
        <v>0</v>
      </c>
      <c r="W112" s="21">
        <v>3</v>
      </c>
      <c r="X112" s="18" t="str">
        <f t="shared" si="31"/>
        <v>0</v>
      </c>
      <c r="Y112" s="41" t="str">
        <f>IF(LEFT(K112,1)="O","1","0")</f>
        <v>1</v>
      </c>
      <c r="Z112" s="3">
        <f t="shared" si="58"/>
        <v>1</v>
      </c>
      <c r="AA112" s="2" t="str">
        <f t="shared" si="56"/>
        <v>1</v>
      </c>
      <c r="AB112" s="64" t="str">
        <f t="shared" si="57"/>
        <v>1</v>
      </c>
      <c r="AE112" s="1" t="str">
        <f>$AA$11</f>
        <v>PUDEN</v>
      </c>
      <c r="AF112" s="1" t="str">
        <f>DEC2HEX(((2^W108)*AA108)+(2^W109*AA109)+(2^W110*AA110)+(2^W111*AA111)+(2^W112*AA112)+(2^W113*AA113)+(2^W114*AA114)+(2^W115*AA115))</f>
        <v>8</v>
      </c>
    </row>
    <row r="113" spans="2:32" ht="12.75">
      <c r="B113" s="50"/>
      <c r="C113" s="10" t="s">
        <v>34</v>
      </c>
      <c r="D113" s="41"/>
      <c r="E113" s="50" t="s">
        <v>1212</v>
      </c>
      <c r="F113" s="100" t="s">
        <v>1213</v>
      </c>
      <c r="G113" s="11"/>
      <c r="H113" s="101" t="s">
        <v>1214</v>
      </c>
      <c r="I113" s="14" t="s">
        <v>1215</v>
      </c>
      <c r="J113" s="56" t="str">
        <f t="shared" si="53"/>
        <v>Dedicated pin</v>
      </c>
      <c r="K113" s="74" t="str">
        <f>IF(LEFT(F113,1)="S",$AE$4,$AE$6)</f>
        <v>Out</v>
      </c>
      <c r="L113" s="79" t="s">
        <v>20</v>
      </c>
      <c r="M113" s="118" t="s">
        <v>1216</v>
      </c>
      <c r="N113" s="118" t="s">
        <v>20</v>
      </c>
      <c r="O113" s="68"/>
      <c r="P113" s="88"/>
      <c r="Q113" s="92"/>
      <c r="R113" s="13"/>
      <c r="S113" s="11"/>
      <c r="T113" s="11" t="s">
        <v>1217</v>
      </c>
      <c r="V113" s="397">
        <f t="shared" si="36"/>
        <v>0</v>
      </c>
      <c r="W113" s="21">
        <v>2</v>
      </c>
      <c r="X113" s="18" t="str">
        <f t="shared" si="31"/>
        <v>0</v>
      </c>
      <c r="Y113" s="41" t="str">
        <f t="shared" ref="Y113:Y115" si="59">IF(LEFT(K113,1)="O","1","0")</f>
        <v>1</v>
      </c>
      <c r="Z113" s="3">
        <f t="shared" si="58"/>
        <v>1</v>
      </c>
      <c r="AA113" s="2" t="str">
        <f t="shared" si="56"/>
        <v>0</v>
      </c>
      <c r="AB113" s="64" t="str">
        <f t="shared" si="57"/>
        <v>0</v>
      </c>
      <c r="AC113" s="26"/>
      <c r="AE113" s="1" t="str">
        <f>$AB$11</f>
        <v>PUDCR</v>
      </c>
      <c r="AF113" s="1" t="str">
        <f>DEC2HEX(((2^W108)*AB108)+(2^W109*AB109)+(2^W110*AB110)+(2^W111*AB111)+(2^W112*AB112)+(2^W113*AB113)+(2^W114*AB114)+(2^W115*AB115))</f>
        <v>8</v>
      </c>
    </row>
    <row r="114" spans="2:32" ht="12.75">
      <c r="B114" s="50"/>
      <c r="C114" s="10" t="s">
        <v>35</v>
      </c>
      <c r="D114" s="41"/>
      <c r="E114" s="50" t="s">
        <v>1218</v>
      </c>
      <c r="F114" s="100" t="s">
        <v>1219</v>
      </c>
      <c r="G114" s="11"/>
      <c r="H114" s="101" t="s">
        <v>1220</v>
      </c>
      <c r="I114" s="14" t="s">
        <v>1221</v>
      </c>
      <c r="J114" s="56" t="str">
        <f t="shared" si="53"/>
        <v>Dedicated pin</v>
      </c>
      <c r="K114" s="74" t="str">
        <f>IF(LEFT(F114,1)="S",$AE$4,$AE$6)</f>
        <v>Out</v>
      </c>
      <c r="L114" s="79" t="s">
        <v>20</v>
      </c>
      <c r="M114" s="68" t="s">
        <v>1222</v>
      </c>
      <c r="N114" s="68" t="s">
        <v>20</v>
      </c>
      <c r="O114" s="68"/>
      <c r="P114" s="88"/>
      <c r="Q114" s="88"/>
      <c r="R114" s="13"/>
      <c r="S114" s="11"/>
      <c r="T114" s="11" t="s">
        <v>1223</v>
      </c>
      <c r="V114" s="397">
        <f t="shared" si="36"/>
        <v>0</v>
      </c>
      <c r="W114" s="21">
        <v>1</v>
      </c>
      <c r="X114" s="18" t="str">
        <f t="shared" si="31"/>
        <v>0</v>
      </c>
      <c r="Y114" s="41" t="str">
        <f t="shared" si="59"/>
        <v>1</v>
      </c>
      <c r="Z114" s="3">
        <f t="shared" si="58"/>
        <v>1</v>
      </c>
      <c r="AA114" s="2" t="str">
        <f t="shared" si="56"/>
        <v>0</v>
      </c>
      <c r="AB114" s="64" t="str">
        <f t="shared" si="57"/>
        <v>0</v>
      </c>
      <c r="AE114" s="27"/>
      <c r="AF114" s="27"/>
    </row>
    <row r="115" spans="2:32" ht="13.5" thickBot="1">
      <c r="B115" s="53"/>
      <c r="C115" s="274" t="s">
        <v>36</v>
      </c>
      <c r="D115" s="317"/>
      <c r="E115" s="53" t="s">
        <v>1224</v>
      </c>
      <c r="F115" s="104" t="s">
        <v>1225</v>
      </c>
      <c r="G115" s="11"/>
      <c r="H115" s="101" t="s">
        <v>1220</v>
      </c>
      <c r="I115" s="14" t="s">
        <v>1226</v>
      </c>
      <c r="J115" s="56" t="str">
        <f t="shared" si="53"/>
        <v>Dedicated pin</v>
      </c>
      <c r="K115" s="74" t="str">
        <f>IF(LEFT(F115,1)="S",$AE$5,$AE$6)</f>
        <v>In</v>
      </c>
      <c r="L115" s="79" t="s">
        <v>20</v>
      </c>
      <c r="M115" s="69" t="s">
        <v>1222</v>
      </c>
      <c r="N115" s="69" t="s">
        <v>20</v>
      </c>
      <c r="O115" s="69"/>
      <c r="P115" s="94"/>
      <c r="Q115" s="90"/>
      <c r="R115" s="15"/>
      <c r="S115" s="12"/>
      <c r="T115" s="12" t="s">
        <v>1227</v>
      </c>
      <c r="V115" s="398">
        <f t="shared" si="36"/>
        <v>0</v>
      </c>
      <c r="W115" s="22">
        <v>0</v>
      </c>
      <c r="X115" s="19" t="str">
        <f t="shared" si="31"/>
        <v>0</v>
      </c>
      <c r="Y115" s="42" t="str">
        <f t="shared" si="59"/>
        <v>0</v>
      </c>
      <c r="Z115" s="8">
        <f t="shared" si="58"/>
        <v>1</v>
      </c>
      <c r="AA115" s="9" t="str">
        <f t="shared" si="56"/>
        <v>0</v>
      </c>
      <c r="AB115" s="65" t="str">
        <f t="shared" si="57"/>
        <v>0</v>
      </c>
    </row>
    <row r="116" spans="2:32" ht="12" thickTop="1">
      <c r="B116" s="50" t="s">
        <v>1228</v>
      </c>
      <c r="C116" s="59" t="s">
        <v>1229</v>
      </c>
      <c r="D116" s="285"/>
      <c r="E116" s="58"/>
      <c r="F116" s="281"/>
      <c r="G116" s="281"/>
      <c r="H116" s="281"/>
      <c r="I116" s="281"/>
      <c r="J116" s="281" t="s">
        <v>1230</v>
      </c>
      <c r="K116" s="282" t="s">
        <v>1230</v>
      </c>
      <c r="L116" s="282" t="s">
        <v>1230</v>
      </c>
      <c r="M116" s="281" t="s">
        <v>1230</v>
      </c>
      <c r="N116" s="281" t="s">
        <v>1230</v>
      </c>
      <c r="O116" s="281"/>
      <c r="P116" s="283"/>
      <c r="Q116" s="283"/>
      <c r="R116" s="283"/>
      <c r="S116" s="283"/>
      <c r="T116" s="283"/>
      <c r="V116" s="396" t="str">
        <f t="shared" si="36"/>
        <v>PORT E</v>
      </c>
      <c r="W116" s="105">
        <v>7</v>
      </c>
      <c r="X116" s="49">
        <v>0</v>
      </c>
      <c r="Y116" s="49">
        <v>0</v>
      </c>
      <c r="Z116" s="49">
        <v>0</v>
      </c>
      <c r="AA116" s="49">
        <v>0</v>
      </c>
      <c r="AB116" s="85">
        <v>0</v>
      </c>
      <c r="AE116" s="6" t="str">
        <f>V116</f>
        <v>PORT E</v>
      </c>
      <c r="AF116" s="20" t="s">
        <v>1231</v>
      </c>
    </row>
    <row r="117" spans="2:32">
      <c r="B117" s="50"/>
      <c r="C117" s="59" t="s">
        <v>1232</v>
      </c>
      <c r="D117" s="285"/>
      <c r="E117" s="59"/>
      <c r="F117" s="284"/>
      <c r="G117" s="284"/>
      <c r="H117" s="284"/>
      <c r="I117" s="284"/>
      <c r="J117" s="284" t="s">
        <v>1233</v>
      </c>
      <c r="K117" s="318" t="s">
        <v>1233</v>
      </c>
      <c r="L117" s="318" t="s">
        <v>1233</v>
      </c>
      <c r="M117" s="284" t="s">
        <v>1233</v>
      </c>
      <c r="N117" s="284" t="s">
        <v>1233</v>
      </c>
      <c r="O117" s="284"/>
      <c r="P117" s="291"/>
      <c r="Q117" s="291"/>
      <c r="R117" s="291"/>
      <c r="S117" s="291"/>
      <c r="T117" s="291"/>
      <c r="V117" s="397">
        <f t="shared" si="36"/>
        <v>0</v>
      </c>
      <c r="W117" s="82">
        <v>6</v>
      </c>
      <c r="X117" s="45">
        <v>0</v>
      </c>
      <c r="Y117" s="45">
        <v>0</v>
      </c>
      <c r="Z117" s="45">
        <v>0</v>
      </c>
      <c r="AA117" s="45">
        <v>0</v>
      </c>
      <c r="AB117" s="86">
        <v>0</v>
      </c>
      <c r="AE117" s="1" t="str">
        <f>$X$11</f>
        <v>PDR</v>
      </c>
      <c r="AF117" s="1" t="str">
        <f>DEC2HEX(((2^W116)*X116)+(2^W117*X117)+(2^W118*X118)+(2^W119*X119)+(2^W120*X120)+(2^W121*X121)+(2^W122*X122)+(2^W123*X123))</f>
        <v>0</v>
      </c>
    </row>
    <row r="118" spans="2:32" ht="12.75">
      <c r="B118" s="50"/>
      <c r="C118" s="10" t="s">
        <v>1234</v>
      </c>
      <c r="D118" s="273"/>
      <c r="E118" s="96" t="s">
        <v>1235</v>
      </c>
      <c r="F118" s="14" t="s">
        <v>37</v>
      </c>
      <c r="G118" s="11"/>
      <c r="H118" s="101" t="s">
        <v>1236</v>
      </c>
      <c r="I118" s="14" t="s">
        <v>1237</v>
      </c>
      <c r="J118" s="56" t="str">
        <f>IF(LEFT(F118,1)="P",$AD$5,IF(LEFT(F118,2)="FP",$AD$4,$AD$6))</f>
        <v>GPIO pin</v>
      </c>
      <c r="K118" s="74" t="s">
        <v>1238</v>
      </c>
      <c r="L118" s="79"/>
      <c r="M118" s="68" t="s">
        <v>1239</v>
      </c>
      <c r="N118" s="68" t="s">
        <v>20</v>
      </c>
      <c r="O118" s="68"/>
      <c r="P118" s="89"/>
      <c r="Q118" s="89"/>
      <c r="R118" s="89"/>
      <c r="S118" s="89"/>
      <c r="T118" s="89" t="s">
        <v>1240</v>
      </c>
      <c r="V118" s="397">
        <f t="shared" si="36"/>
        <v>0</v>
      </c>
      <c r="W118" s="82">
        <v>5</v>
      </c>
      <c r="X118" s="18" t="str">
        <f t="shared" ref="X118:X123" si="60">IF(M118="H","1","0")</f>
        <v>0</v>
      </c>
      <c r="Y118" s="41" t="str">
        <f t="shared" ref="Y118:Y119" si="61">IF(LEFT(K118,1)="O","1","0")</f>
        <v>0</v>
      </c>
      <c r="Z118" s="3">
        <f t="shared" ref="Z118" si="62">VLOOKUP(J118,$AD$4:$AG$6,4,FALSE)</f>
        <v>0</v>
      </c>
      <c r="AA118" s="2" t="str">
        <f t="shared" ref="AA118:AA131" si="63">IF(L118="H","1",IF(L118="L","1","0"))</f>
        <v>0</v>
      </c>
      <c r="AB118" s="64" t="str">
        <f t="shared" ref="AB118:AB131" si="64">IF(L118="H","1","0")</f>
        <v>0</v>
      </c>
      <c r="AE118" s="1" t="str">
        <f>$Y$11</f>
        <v>DDR</v>
      </c>
      <c r="AF118" s="1" t="str">
        <f>DEC2HEX(((2^W116)*Y116)+(2^W117*Y117)+(2^W118*Y118)+(2^W119*Y119)+(2^W120*Y120)+(2^W121*Y121)+(2^W122*Y122)+(2^W123*Y123))</f>
        <v>A</v>
      </c>
    </row>
    <row r="119" spans="2:32" ht="12.75">
      <c r="B119" s="50"/>
      <c r="C119" s="10" t="s">
        <v>38</v>
      </c>
      <c r="D119" s="41"/>
      <c r="E119" s="100" t="s">
        <v>1241</v>
      </c>
      <c r="F119" s="100" t="s">
        <v>97</v>
      </c>
      <c r="G119" s="11"/>
      <c r="H119" s="101" t="s">
        <v>1242</v>
      </c>
      <c r="I119" s="24" t="s">
        <v>1243</v>
      </c>
      <c r="J119" s="56" t="str">
        <f>IF(LEFT(F119,1)="P",$AD$5,$AD$6)</f>
        <v>INPUT pin</v>
      </c>
      <c r="K119" s="76" t="str">
        <f>IF(LEFT(F119,1)="P",$AE$6,$AE$5)</f>
        <v>In</v>
      </c>
      <c r="L119" s="79"/>
      <c r="M119" s="68" t="s">
        <v>1244</v>
      </c>
      <c r="N119" s="68" t="s">
        <v>20</v>
      </c>
      <c r="O119" s="68"/>
      <c r="P119" s="87"/>
      <c r="Q119" s="88"/>
      <c r="R119" s="13"/>
      <c r="S119" s="11"/>
      <c r="T119" s="89" t="s">
        <v>1245</v>
      </c>
      <c r="V119" s="397">
        <f t="shared" si="36"/>
        <v>0</v>
      </c>
      <c r="W119" s="25">
        <v>4</v>
      </c>
      <c r="X119" s="18" t="str">
        <f t="shared" si="60"/>
        <v>0</v>
      </c>
      <c r="Y119" s="41" t="str">
        <f t="shared" si="61"/>
        <v>0</v>
      </c>
      <c r="Z119" s="260">
        <v>0</v>
      </c>
      <c r="AA119" s="2" t="str">
        <f t="shared" si="63"/>
        <v>0</v>
      </c>
      <c r="AB119" s="64" t="str">
        <f t="shared" si="64"/>
        <v>0</v>
      </c>
      <c r="AE119" s="1" t="str">
        <f>$Z$11</f>
        <v>EPCR</v>
      </c>
      <c r="AF119" s="1" t="str">
        <f>DEC2HEX(((2^W116)*Z116)+(2^W117*Z117)+(2^W118*Z118)+(2^W119*Z119)+(2^W120*Z120)+(2^W121*Z121)+(2^W122*Z122)+(2^W123*Z123))</f>
        <v>A</v>
      </c>
    </row>
    <row r="120" spans="2:32" ht="12.75">
      <c r="B120" s="50"/>
      <c r="C120" s="10" t="s">
        <v>39</v>
      </c>
      <c r="D120" s="41"/>
      <c r="E120" s="100" t="s">
        <v>1246</v>
      </c>
      <c r="F120" s="100" t="s">
        <v>1247</v>
      </c>
      <c r="G120" s="11"/>
      <c r="H120" s="101" t="s">
        <v>1248</v>
      </c>
      <c r="I120" s="14" t="s">
        <v>1249</v>
      </c>
      <c r="J120" s="56" t="str">
        <f>IF(LEFT(F120,1)="P",$AD$5,IF(LEFT(F120,2)="FP",$AD$4,$AD$6))</f>
        <v>Dedicated pin</v>
      </c>
      <c r="K120" s="74" t="str">
        <f>IF(LEFT(F120,1)="P",$AE$6,IF(LEFT(F120,1)="U",$AE$5,$AE$4))</f>
        <v>Out</v>
      </c>
      <c r="L120" s="79"/>
      <c r="M120" s="68" t="s">
        <v>1250</v>
      </c>
      <c r="N120" s="68" t="s">
        <v>20</v>
      </c>
      <c r="O120" s="68"/>
      <c r="P120" s="87"/>
      <c r="Q120" s="88"/>
      <c r="R120" s="13"/>
      <c r="S120" s="11"/>
      <c r="T120" s="89" t="s">
        <v>1251</v>
      </c>
      <c r="V120" s="397">
        <f t="shared" si="36"/>
        <v>0</v>
      </c>
      <c r="W120" s="21">
        <v>3</v>
      </c>
      <c r="X120" s="18" t="str">
        <f t="shared" si="60"/>
        <v>0</v>
      </c>
      <c r="Y120" s="41" t="str">
        <f>IF(LEFT(K120,1)="O","1","0")</f>
        <v>1</v>
      </c>
      <c r="Z120" s="3">
        <f t="shared" ref="Z120:Z122" si="65">VLOOKUP(J120,$AD$4:$AG$6,4,FALSE)</f>
        <v>1</v>
      </c>
      <c r="AA120" s="2" t="str">
        <f t="shared" si="63"/>
        <v>0</v>
      </c>
      <c r="AB120" s="64" t="str">
        <f t="shared" si="64"/>
        <v>0</v>
      </c>
      <c r="AE120" s="1" t="str">
        <f>$AA$11</f>
        <v>PUDEN</v>
      </c>
      <c r="AF120" s="1" t="str">
        <f>DEC2HEX(((2^W116)*AA116)+(2^W117*AA117)+(2^W118*AA118)+(2^W119*AA119)+(2^W120*AA120)+(2^W121*AA121)+(2^W122*AA122)+(2^W123*AA123))</f>
        <v>0</v>
      </c>
    </row>
    <row r="121" spans="2:32" ht="12.75">
      <c r="B121" s="50"/>
      <c r="C121" s="10" t="s">
        <v>40</v>
      </c>
      <c r="D121" s="41"/>
      <c r="E121" s="100" t="s">
        <v>1252</v>
      </c>
      <c r="F121" s="100" t="s">
        <v>1253</v>
      </c>
      <c r="G121" s="11"/>
      <c r="H121" s="101" t="s">
        <v>1254</v>
      </c>
      <c r="I121" s="14" t="s">
        <v>1255</v>
      </c>
      <c r="J121" s="56" t="str">
        <f>IF(LEFT(F121,1)="P",$AD$5,$AD$6)</f>
        <v>INPUT pin</v>
      </c>
      <c r="K121" s="76" t="s">
        <v>1256</v>
      </c>
      <c r="L121" s="79"/>
      <c r="M121" s="68" t="s">
        <v>1257</v>
      </c>
      <c r="N121" s="68" t="s">
        <v>20</v>
      </c>
      <c r="O121" s="68"/>
      <c r="P121" s="87"/>
      <c r="Q121" s="88"/>
      <c r="R121" s="13"/>
      <c r="S121" s="11"/>
      <c r="T121" s="89" t="s">
        <v>1258</v>
      </c>
      <c r="V121" s="397">
        <f t="shared" si="36"/>
        <v>0</v>
      </c>
      <c r="W121" s="21">
        <v>2</v>
      </c>
      <c r="X121" s="18" t="str">
        <f t="shared" si="60"/>
        <v>0</v>
      </c>
      <c r="Y121" s="41" t="str">
        <f t="shared" ref="Y121:Y123" si="66">IF(LEFT(K121,1)="O","1","0")</f>
        <v>0</v>
      </c>
      <c r="Z121" s="260">
        <v>0</v>
      </c>
      <c r="AA121" s="2" t="str">
        <f t="shared" si="63"/>
        <v>0</v>
      </c>
      <c r="AB121" s="64" t="str">
        <f t="shared" si="64"/>
        <v>0</v>
      </c>
      <c r="AE121" s="1" t="str">
        <f>$AB$11</f>
        <v>PUDCR</v>
      </c>
      <c r="AF121" s="1" t="str">
        <f>DEC2HEX(((2^W116)*AB116)+(2^W117*AB117)+(2^W118*AB118)+(2^W119*AB119)+(2^W120*AB120)+(2^W121*AB121)+(2^W122*AB122)+(2^W123*AB123))</f>
        <v>0</v>
      </c>
    </row>
    <row r="122" spans="2:32" ht="12.75">
      <c r="B122" s="50"/>
      <c r="C122" s="10" t="s">
        <v>41</v>
      </c>
      <c r="D122" s="41"/>
      <c r="E122" s="24" t="s">
        <v>1259</v>
      </c>
      <c r="F122" s="100" t="s">
        <v>95</v>
      </c>
      <c r="G122" s="11"/>
      <c r="H122" s="101" t="s">
        <v>1260</v>
      </c>
      <c r="I122" s="14" t="s">
        <v>1261</v>
      </c>
      <c r="J122" s="56" t="str">
        <f>IF(LEFT(F122,1)="P",$AD$5,IF(LEFT(F122,2)="FP",$AD$4,$AD$6))</f>
        <v>Dedicated pin</v>
      </c>
      <c r="K122" s="74" t="str">
        <f>IF(LEFT(F122,1)="P",$AE$6,IF(LEFT(F122,1)="U",$AE$5,$AE$4))</f>
        <v>Out</v>
      </c>
      <c r="L122" s="79"/>
      <c r="M122" s="68" t="s">
        <v>1262</v>
      </c>
      <c r="N122" s="68" t="s">
        <v>20</v>
      </c>
      <c r="O122" s="68"/>
      <c r="P122" s="87"/>
      <c r="Q122" s="88"/>
      <c r="R122" s="13"/>
      <c r="S122" s="11"/>
      <c r="T122" s="89" t="s">
        <v>1263</v>
      </c>
      <c r="V122" s="397">
        <f t="shared" si="36"/>
        <v>0</v>
      </c>
      <c r="W122" s="21">
        <v>1</v>
      </c>
      <c r="X122" s="18" t="str">
        <f t="shared" si="60"/>
        <v>0</v>
      </c>
      <c r="Y122" s="41" t="str">
        <f t="shared" si="66"/>
        <v>1</v>
      </c>
      <c r="Z122" s="3">
        <f t="shared" si="65"/>
        <v>1</v>
      </c>
      <c r="AA122" s="2" t="str">
        <f t="shared" si="63"/>
        <v>0</v>
      </c>
      <c r="AB122" s="64" t="str">
        <f t="shared" si="64"/>
        <v>0</v>
      </c>
    </row>
    <row r="123" spans="2:32" ht="13.5" thickBot="1">
      <c r="B123" s="53"/>
      <c r="C123" s="274" t="s">
        <v>42</v>
      </c>
      <c r="D123" s="317"/>
      <c r="E123" s="104" t="s">
        <v>1264</v>
      </c>
      <c r="F123" s="100" t="s">
        <v>94</v>
      </c>
      <c r="G123" s="12"/>
      <c r="H123" s="103" t="s">
        <v>1260</v>
      </c>
      <c r="I123" s="16" t="s">
        <v>1265</v>
      </c>
      <c r="J123" s="57" t="str">
        <f>IF(LEFT(F123,1)="P",$AD$5,$AD$6)</f>
        <v>INPUT pin</v>
      </c>
      <c r="K123" s="75" t="str">
        <f>IF(LEFT(F123,1)="P",$AE$6,$AE$5)</f>
        <v>In</v>
      </c>
      <c r="L123" s="80"/>
      <c r="M123" s="69" t="s">
        <v>1262</v>
      </c>
      <c r="N123" s="69" t="s">
        <v>20</v>
      </c>
      <c r="O123" s="69"/>
      <c r="P123" s="94"/>
      <c r="Q123" s="90"/>
      <c r="R123" s="15"/>
      <c r="S123" s="11"/>
      <c r="T123" s="11" t="s">
        <v>1266</v>
      </c>
      <c r="V123" s="398">
        <f t="shared" si="36"/>
        <v>0</v>
      </c>
      <c r="W123" s="22">
        <v>0</v>
      </c>
      <c r="X123" s="19" t="str">
        <f t="shared" si="60"/>
        <v>0</v>
      </c>
      <c r="Y123" s="42" t="str">
        <f t="shared" si="66"/>
        <v>0</v>
      </c>
      <c r="Z123" s="260">
        <v>0</v>
      </c>
      <c r="AA123" s="9" t="str">
        <f t="shared" si="63"/>
        <v>0</v>
      </c>
      <c r="AB123" s="65" t="str">
        <f t="shared" si="64"/>
        <v>0</v>
      </c>
    </row>
    <row r="124" spans="2:32" ht="13.5" thickTop="1">
      <c r="B124" s="50" t="s">
        <v>1267</v>
      </c>
      <c r="C124" s="59" t="s">
        <v>1268</v>
      </c>
      <c r="D124" s="309"/>
      <c r="E124" s="294"/>
      <c r="F124" s="319"/>
      <c r="G124" s="284"/>
      <c r="H124" s="284"/>
      <c r="I124" s="294"/>
      <c r="J124" s="281" t="s">
        <v>1269</v>
      </c>
      <c r="K124" s="288" t="s">
        <v>1270</v>
      </c>
      <c r="L124" s="282" t="s">
        <v>1269</v>
      </c>
      <c r="M124" s="290" t="s">
        <v>1262</v>
      </c>
      <c r="N124" s="290" t="s">
        <v>20</v>
      </c>
      <c r="O124" s="290"/>
      <c r="P124" s="311"/>
      <c r="Q124" s="311"/>
      <c r="R124" s="292"/>
      <c r="S124" s="281"/>
      <c r="T124" s="281"/>
      <c r="U124" s="5"/>
      <c r="V124" s="396" t="str">
        <f t="shared" si="36"/>
        <v>PORT F</v>
      </c>
      <c r="W124" s="21">
        <v>7</v>
      </c>
      <c r="X124" s="320">
        <v>0</v>
      </c>
      <c r="Y124" s="49">
        <v>0</v>
      </c>
      <c r="Z124" s="49">
        <v>0</v>
      </c>
      <c r="AA124" s="49">
        <v>0</v>
      </c>
      <c r="AB124" s="85">
        <v>0</v>
      </c>
      <c r="AE124" s="6" t="str">
        <f>V124</f>
        <v>PORT F</v>
      </c>
      <c r="AF124" s="20" t="s">
        <v>1271</v>
      </c>
    </row>
    <row r="125" spans="2:32" ht="12.75">
      <c r="B125" s="50"/>
      <c r="C125" s="59" t="s">
        <v>1272</v>
      </c>
      <c r="D125" s="309"/>
      <c r="E125" s="294"/>
      <c r="F125" s="294"/>
      <c r="G125" s="284"/>
      <c r="H125" s="284"/>
      <c r="I125" s="294"/>
      <c r="J125" s="284" t="s">
        <v>1273</v>
      </c>
      <c r="K125" s="321" t="s">
        <v>1274</v>
      </c>
      <c r="L125" s="318" t="s">
        <v>1273</v>
      </c>
      <c r="M125" s="290" t="s">
        <v>1275</v>
      </c>
      <c r="N125" s="290" t="s">
        <v>20</v>
      </c>
      <c r="O125" s="290"/>
      <c r="P125" s="311"/>
      <c r="Q125" s="311"/>
      <c r="R125" s="292"/>
      <c r="S125" s="284"/>
      <c r="T125" s="284"/>
      <c r="U125" s="5"/>
      <c r="V125" s="397">
        <f t="shared" si="36"/>
        <v>0</v>
      </c>
      <c r="W125" s="21">
        <v>6</v>
      </c>
      <c r="X125" s="322">
        <v>0</v>
      </c>
      <c r="Y125" s="45">
        <v>0</v>
      </c>
      <c r="Z125" s="45">
        <v>0</v>
      </c>
      <c r="AA125" s="45">
        <v>0</v>
      </c>
      <c r="AB125" s="86">
        <v>0</v>
      </c>
      <c r="AE125" s="1" t="str">
        <f>$X$11</f>
        <v>PDR</v>
      </c>
      <c r="AF125" s="1" t="str">
        <f>DEC2HEX(((2^W124)*X124)+(2^W125*X125)+(2^W126*X126)+(2^W127*X127)+(2^W128*X128)+(2^W129*X129)+(2^W130*X130)+(2^W131*X131))</f>
        <v>4</v>
      </c>
    </row>
    <row r="126" spans="2:32" ht="12.75">
      <c r="B126" s="50"/>
      <c r="C126" s="59" t="s">
        <v>1276</v>
      </c>
      <c r="D126" s="309"/>
      <c r="E126" s="294"/>
      <c r="F126" s="294"/>
      <c r="G126" s="284"/>
      <c r="H126" s="284"/>
      <c r="I126" s="294"/>
      <c r="J126" s="284" t="s">
        <v>1277</v>
      </c>
      <c r="K126" s="321" t="s">
        <v>1278</v>
      </c>
      <c r="L126" s="318" t="s">
        <v>1277</v>
      </c>
      <c r="M126" s="290" t="s">
        <v>1279</v>
      </c>
      <c r="N126" s="290" t="s">
        <v>20</v>
      </c>
      <c r="O126" s="290"/>
      <c r="P126" s="311"/>
      <c r="Q126" s="291"/>
      <c r="R126" s="292"/>
      <c r="S126" s="284"/>
      <c r="T126" s="284"/>
      <c r="V126" s="397">
        <f t="shared" si="36"/>
        <v>0</v>
      </c>
      <c r="W126" s="21">
        <v>5</v>
      </c>
      <c r="X126" s="312">
        <v>0</v>
      </c>
      <c r="Y126" s="309">
        <v>0</v>
      </c>
      <c r="Z126" s="309">
        <v>0</v>
      </c>
      <c r="AA126" s="313">
        <v>0</v>
      </c>
      <c r="AB126" s="66">
        <v>0</v>
      </c>
      <c r="AE126" s="1" t="str">
        <f>$Y$11</f>
        <v>DDR</v>
      </c>
      <c r="AF126" s="1" t="str">
        <f>DEC2HEX(((2^W124)*Y124)+(2^W125*Y125)+(2^W126*Y126)+(2^W127*Y127)+(2^W128*Y128)+(2^W129*Y129)+(2^W130*Y130)+(2^W131*Y131))</f>
        <v>4</v>
      </c>
    </row>
    <row r="127" spans="2:32" ht="12.75">
      <c r="B127" s="50"/>
      <c r="C127" s="10" t="s">
        <v>43</v>
      </c>
      <c r="D127" s="41"/>
      <c r="E127" s="100" t="s">
        <v>1280</v>
      </c>
      <c r="F127" s="100" t="s">
        <v>43</v>
      </c>
      <c r="G127" s="11"/>
      <c r="H127" s="101" t="s">
        <v>1281</v>
      </c>
      <c r="I127" s="24" t="s">
        <v>1282</v>
      </c>
      <c r="J127" s="56" t="str">
        <f>IF(LEFT(F127,1)="P",$AD$5,IF(LEFT(F127,2)="WT",$AD$6,$AD$4))</f>
        <v>GPIO pin</v>
      </c>
      <c r="K127" s="76" t="s">
        <v>1283</v>
      </c>
      <c r="L127" s="79" t="s">
        <v>91</v>
      </c>
      <c r="M127" s="68" t="s">
        <v>1284</v>
      </c>
      <c r="N127" s="68" t="s">
        <v>20</v>
      </c>
      <c r="O127" s="68"/>
      <c r="P127" s="87"/>
      <c r="Q127" s="88"/>
      <c r="R127" s="13"/>
      <c r="S127" s="11"/>
      <c r="T127" s="11" t="s">
        <v>1285</v>
      </c>
      <c r="V127" s="397">
        <f t="shared" si="36"/>
        <v>0</v>
      </c>
      <c r="W127" s="25">
        <v>4</v>
      </c>
      <c r="X127" s="18" t="str">
        <f t="shared" si="31"/>
        <v>0</v>
      </c>
      <c r="Y127" s="41" t="str">
        <f>IF(LEFT(K127,1)="O","1","0")</f>
        <v>0</v>
      </c>
      <c r="Z127" s="3">
        <f t="shared" ref="Z127" si="67">VLOOKUP(J127,$AD$4:$AG$6,4,FALSE)</f>
        <v>0</v>
      </c>
      <c r="AA127" s="2" t="str">
        <f t="shared" si="63"/>
        <v>1</v>
      </c>
      <c r="AB127" s="64" t="str">
        <f t="shared" si="64"/>
        <v>0</v>
      </c>
      <c r="AE127" s="1" t="str">
        <f>$Z$11</f>
        <v>EPCR</v>
      </c>
      <c r="AF127" s="1" t="str">
        <f>DEC2HEX(((2^W124)*Z124)+(2^W125*Z125)+(2^W126*Z126)+(2^W127*Z127)+(2^W128*Z128)+(2^W129*Z129)+(2^W130*Z130)+(2^W131*Z131))</f>
        <v>0</v>
      </c>
    </row>
    <row r="128" spans="2:32" ht="12.75">
      <c r="B128" s="50"/>
      <c r="C128" s="10" t="s">
        <v>44</v>
      </c>
      <c r="D128" s="41"/>
      <c r="E128" s="100" t="s">
        <v>1286</v>
      </c>
      <c r="F128" s="100" t="s">
        <v>44</v>
      </c>
      <c r="G128" s="11"/>
      <c r="H128" s="101" t="s">
        <v>1287</v>
      </c>
      <c r="I128" s="24" t="s">
        <v>1288</v>
      </c>
      <c r="J128" s="56" t="str">
        <f>IF(LEFT(F128,1)="P",$AD$5,$AD$6)</f>
        <v>GPIO pin</v>
      </c>
      <c r="K128" s="76" t="s">
        <v>1289</v>
      </c>
      <c r="L128" s="79" t="s">
        <v>91</v>
      </c>
      <c r="M128" s="68" t="s">
        <v>1290</v>
      </c>
      <c r="N128" s="68" t="s">
        <v>20</v>
      </c>
      <c r="O128" s="68"/>
      <c r="P128" s="87"/>
      <c r="Q128" s="92"/>
      <c r="R128" s="13"/>
      <c r="S128" s="11"/>
      <c r="T128" s="11" t="s">
        <v>1291</v>
      </c>
      <c r="V128" s="397">
        <f t="shared" si="36"/>
        <v>0</v>
      </c>
      <c r="W128" s="21">
        <v>3</v>
      </c>
      <c r="X128" s="18" t="str">
        <f t="shared" si="31"/>
        <v>0</v>
      </c>
      <c r="Y128" s="41" t="str">
        <f>IF(LEFT(K128,1)="O","1","0")</f>
        <v>0</v>
      </c>
      <c r="Z128" s="260">
        <v>0</v>
      </c>
      <c r="AA128" s="2" t="str">
        <f t="shared" si="63"/>
        <v>1</v>
      </c>
      <c r="AB128" s="64" t="str">
        <f t="shared" si="64"/>
        <v>0</v>
      </c>
      <c r="AE128" s="1" t="str">
        <f>$AA$11</f>
        <v>PUDEN</v>
      </c>
      <c r="AF128" s="1" t="str">
        <f>DEC2HEX(((2^W124)*AA124)+(2^W125*AA125)+(2^W126*AA126)+(2^W127*AA127)+(2^W128*AA128)+(2^W129*AA129)+(2^W130*AA130)+(2^W131*AA131))</f>
        <v>1C</v>
      </c>
    </row>
    <row r="129" spans="2:32" ht="12.75">
      <c r="B129" s="50"/>
      <c r="C129" s="10" t="s">
        <v>45</v>
      </c>
      <c r="D129" s="41"/>
      <c r="E129" s="100" t="s">
        <v>1292</v>
      </c>
      <c r="F129" s="100" t="s">
        <v>45</v>
      </c>
      <c r="G129" s="11"/>
      <c r="H129" s="101" t="s">
        <v>1293</v>
      </c>
      <c r="I129" s="24" t="s">
        <v>1294</v>
      </c>
      <c r="J129" s="56" t="str">
        <f>IF(LEFT(F129,1)="P",$AD$5,$AD$6)</f>
        <v>GPIO pin</v>
      </c>
      <c r="K129" s="76" t="s">
        <v>1295</v>
      </c>
      <c r="L129" s="79" t="s">
        <v>72</v>
      </c>
      <c r="M129" s="68" t="s">
        <v>72</v>
      </c>
      <c r="N129" s="68" t="s">
        <v>20</v>
      </c>
      <c r="O129" s="68"/>
      <c r="P129" s="87"/>
      <c r="Q129" s="92"/>
      <c r="R129" s="305" t="s">
        <v>1296</v>
      </c>
      <c r="S129" s="11"/>
      <c r="T129" s="11" t="s">
        <v>1297</v>
      </c>
      <c r="V129" s="397">
        <f t="shared" si="36"/>
        <v>0</v>
      </c>
      <c r="W129" s="21">
        <v>2</v>
      </c>
      <c r="X129" s="18" t="str">
        <f t="shared" si="31"/>
        <v>1</v>
      </c>
      <c r="Y129" s="41" t="str">
        <f t="shared" ref="Y129:Y131" si="68">IF(LEFT(K129,1)="O","1","0")</f>
        <v>1</v>
      </c>
      <c r="Z129" s="260">
        <v>0</v>
      </c>
      <c r="AA129" s="2" t="str">
        <f t="shared" si="63"/>
        <v>1</v>
      </c>
      <c r="AB129" s="64" t="str">
        <f t="shared" si="64"/>
        <v>1</v>
      </c>
      <c r="AC129" s="26"/>
      <c r="AE129" s="1" t="str">
        <f>$AB$11</f>
        <v>PUDCR</v>
      </c>
      <c r="AF129" s="1" t="str">
        <f>DEC2HEX(((2^W124)*AB124)+(2^W125*AB125)+(2^W126*AB126)+(2^W127*AB127)+(2^W128*AB128)+(2^W129*AB129)+(2^W130*AB130)+(2^W131*AB131))</f>
        <v>4</v>
      </c>
    </row>
    <row r="130" spans="2:32" ht="12.75">
      <c r="B130" s="50"/>
      <c r="C130" s="10" t="s">
        <v>46</v>
      </c>
      <c r="D130" s="41"/>
      <c r="E130" s="50" t="s">
        <v>1298</v>
      </c>
      <c r="F130" s="100" t="s">
        <v>1299</v>
      </c>
      <c r="G130" s="11"/>
      <c r="H130" s="101" t="s">
        <v>1300</v>
      </c>
      <c r="I130" s="24" t="s">
        <v>1301</v>
      </c>
      <c r="J130" s="56" t="str">
        <f>IF(LEFT(F130,1)="P",$AD$5,$AD$6)</f>
        <v>INPUT pin</v>
      </c>
      <c r="K130" s="76" t="str">
        <f>IF(LEFT(F130,1)="P",$AE$6,$AE$5)</f>
        <v>In</v>
      </c>
      <c r="L130" s="79" t="s">
        <v>20</v>
      </c>
      <c r="M130" s="68" t="s">
        <v>1302</v>
      </c>
      <c r="N130" s="68" t="s">
        <v>20</v>
      </c>
      <c r="O130" s="68"/>
      <c r="P130" s="88"/>
      <c r="Q130" s="88"/>
      <c r="R130" s="13"/>
      <c r="S130" s="11"/>
      <c r="T130" s="11" t="s">
        <v>1303</v>
      </c>
      <c r="V130" s="397">
        <f t="shared" si="36"/>
        <v>0</v>
      </c>
      <c r="W130" s="21">
        <v>1</v>
      </c>
      <c r="X130" s="18" t="str">
        <f t="shared" si="31"/>
        <v>0</v>
      </c>
      <c r="Y130" s="41" t="str">
        <f t="shared" si="68"/>
        <v>0</v>
      </c>
      <c r="Z130" s="260">
        <v>0</v>
      </c>
      <c r="AA130" s="2" t="str">
        <f t="shared" si="63"/>
        <v>0</v>
      </c>
      <c r="AB130" s="64" t="str">
        <f t="shared" si="64"/>
        <v>0</v>
      </c>
      <c r="AE130" s="27"/>
      <c r="AF130" s="27"/>
    </row>
    <row r="131" spans="2:32" ht="13.5" thickBot="1">
      <c r="B131" s="53"/>
      <c r="C131" s="274" t="s">
        <v>47</v>
      </c>
      <c r="D131" s="317"/>
      <c r="E131" s="53" t="s">
        <v>1304</v>
      </c>
      <c r="F131" s="104" t="s">
        <v>1305</v>
      </c>
      <c r="G131" s="12"/>
      <c r="H131" s="103" t="s">
        <v>1300</v>
      </c>
      <c r="I131" s="28" t="s">
        <v>1306</v>
      </c>
      <c r="J131" s="57" t="str">
        <f>IF(LEFT(F131,1)="P",$AD$5,$AD$6)</f>
        <v>INPUT pin</v>
      </c>
      <c r="K131" s="77" t="str">
        <f>IF(LEFT(F131,1)="P",$AE$6,$AE$5)</f>
        <v>In</v>
      </c>
      <c r="L131" s="80" t="s">
        <v>20</v>
      </c>
      <c r="M131" s="69" t="s">
        <v>1302</v>
      </c>
      <c r="N131" s="69" t="s">
        <v>20</v>
      </c>
      <c r="O131" s="69"/>
      <c r="P131" s="90"/>
      <c r="Q131" s="90"/>
      <c r="R131" s="28"/>
      <c r="S131" s="12"/>
      <c r="T131" s="12" t="s">
        <v>1307</v>
      </c>
      <c r="V131" s="398">
        <f t="shared" si="36"/>
        <v>0</v>
      </c>
      <c r="W131" s="22">
        <v>0</v>
      </c>
      <c r="X131" s="19" t="str">
        <f t="shared" si="31"/>
        <v>0</v>
      </c>
      <c r="Y131" s="42" t="str">
        <f t="shared" si="68"/>
        <v>0</v>
      </c>
      <c r="Z131" s="264">
        <v>0</v>
      </c>
      <c r="AA131" s="9" t="str">
        <f t="shared" si="63"/>
        <v>0</v>
      </c>
      <c r="AB131" s="65" t="str">
        <f t="shared" si="64"/>
        <v>0</v>
      </c>
    </row>
    <row r="132" spans="2:32" ht="13.5" thickTop="1">
      <c r="B132" s="50" t="s">
        <v>1308</v>
      </c>
      <c r="C132" s="10" t="s">
        <v>1309</v>
      </c>
      <c r="D132" s="273"/>
      <c r="E132" s="24" t="s">
        <v>1310</v>
      </c>
      <c r="F132" s="100" t="s">
        <v>1311</v>
      </c>
      <c r="G132" s="11"/>
      <c r="H132" s="101" t="s">
        <v>1300</v>
      </c>
      <c r="I132" s="24" t="s">
        <v>1312</v>
      </c>
      <c r="J132" s="56" t="str">
        <f>IF(LEFT(F132,1)="P",$AD$5,$AD$4)</f>
        <v>GPIO pin</v>
      </c>
      <c r="K132" s="76" t="s">
        <v>1313</v>
      </c>
      <c r="L132" s="79" t="s">
        <v>91</v>
      </c>
      <c r="M132" s="68" t="s">
        <v>20</v>
      </c>
      <c r="N132" s="68" t="s">
        <v>20</v>
      </c>
      <c r="O132" s="68"/>
      <c r="P132" s="87"/>
      <c r="Q132" s="87"/>
      <c r="R132" s="13"/>
      <c r="S132" s="99"/>
      <c r="T132" s="11"/>
      <c r="U132" s="5"/>
      <c r="V132" s="396" t="str">
        <f t="shared" si="36"/>
        <v>PORT G</v>
      </c>
      <c r="W132" s="23">
        <v>7</v>
      </c>
      <c r="X132" s="18" t="str">
        <f t="shared" si="31"/>
        <v>0</v>
      </c>
      <c r="Y132" s="41" t="str">
        <f>IF(LEFT(K132,1)="O","1","0")</f>
        <v>0</v>
      </c>
      <c r="Z132" s="3">
        <f t="shared" ref="Z132:Z139" si="69">VLOOKUP(J132,$AD$4:$AG$6,4,FALSE)</f>
        <v>0</v>
      </c>
      <c r="AA132" s="46">
        <v>0</v>
      </c>
      <c r="AB132" s="63">
        <v>0</v>
      </c>
      <c r="AE132" s="6" t="str">
        <f>V132</f>
        <v>PORT G</v>
      </c>
      <c r="AF132" s="20" t="s">
        <v>1314</v>
      </c>
    </row>
    <row r="133" spans="2:32" ht="12.75">
      <c r="B133" s="50"/>
      <c r="C133" s="10" t="s">
        <v>1315</v>
      </c>
      <c r="D133" s="41"/>
      <c r="E133" s="100" t="s">
        <v>1316</v>
      </c>
      <c r="F133" s="100" t="s">
        <v>1317</v>
      </c>
      <c r="G133" s="11"/>
      <c r="H133" s="101" t="s">
        <v>1318</v>
      </c>
      <c r="I133" s="24" t="s">
        <v>1319</v>
      </c>
      <c r="J133" s="56" t="str">
        <f>IF(LEFT(F133,1)="P",$AD$5,$AD$4)</f>
        <v>GPIO pin</v>
      </c>
      <c r="K133" s="76" t="s">
        <v>1320</v>
      </c>
      <c r="L133" s="79" t="s">
        <v>91</v>
      </c>
      <c r="M133" s="68" t="s">
        <v>20</v>
      </c>
      <c r="N133" s="68" t="s">
        <v>20</v>
      </c>
      <c r="O133" s="68"/>
      <c r="P133" s="87"/>
      <c r="Q133" s="87"/>
      <c r="R133" s="13"/>
      <c r="S133" s="11"/>
      <c r="T133" s="11"/>
      <c r="U133" s="5"/>
      <c r="V133" s="397">
        <f t="shared" si="36"/>
        <v>0</v>
      </c>
      <c r="W133" s="21">
        <v>6</v>
      </c>
      <c r="X133" s="18" t="str">
        <f t="shared" si="31"/>
        <v>0</v>
      </c>
      <c r="Y133" s="41" t="str">
        <f t="shared" ref="Y133:Y135" si="70">IF(LEFT(K133,1)="O","1","0")</f>
        <v>0</v>
      </c>
      <c r="Z133" s="3">
        <f t="shared" si="69"/>
        <v>0</v>
      </c>
      <c r="AA133" s="2">
        <v>0</v>
      </c>
      <c r="AB133" s="64">
        <v>0</v>
      </c>
      <c r="AE133" s="1" t="str">
        <f>$X$11</f>
        <v>PDR</v>
      </c>
      <c r="AF133" s="1" t="str">
        <f>DEC2HEX(((2^W132)*X132)+(2^W133*X133)+(2^W134*X134)+(2^W135*X135)+(2^W136*X136)+(2^W137*X137)+(2^W138*X138)+(2^W139*X139))</f>
        <v>0</v>
      </c>
    </row>
    <row r="134" spans="2:32" ht="12.75">
      <c r="B134" s="50"/>
      <c r="C134" s="10" t="s">
        <v>1321</v>
      </c>
      <c r="D134" s="41"/>
      <c r="E134" s="50" t="s">
        <v>1322</v>
      </c>
      <c r="F134" s="100" t="s">
        <v>48</v>
      </c>
      <c r="G134" s="11"/>
      <c r="H134" s="101" t="s">
        <v>1323</v>
      </c>
      <c r="I134" s="24" t="s">
        <v>1324</v>
      </c>
      <c r="J134" s="56" t="str">
        <f>IF(LEFT(F134,1)="P",$AD$5,IF(LEFT(F134,2)="FP",$AD$6,$AD$4))</f>
        <v>GPIO pin</v>
      </c>
      <c r="K134" s="76" t="s">
        <v>1325</v>
      </c>
      <c r="L134" s="79" t="s">
        <v>91</v>
      </c>
      <c r="M134" s="68" t="s">
        <v>20</v>
      </c>
      <c r="N134" s="68" t="s">
        <v>20</v>
      </c>
      <c r="O134" s="68"/>
      <c r="P134" s="88"/>
      <c r="Q134" s="88"/>
      <c r="R134" s="13"/>
      <c r="S134" s="11"/>
      <c r="T134" s="11"/>
      <c r="V134" s="397">
        <f t="shared" si="36"/>
        <v>0</v>
      </c>
      <c r="W134" s="21">
        <v>5</v>
      </c>
      <c r="X134" s="18" t="str">
        <f t="shared" si="31"/>
        <v>0</v>
      </c>
      <c r="Y134" s="41" t="str">
        <f t="shared" si="70"/>
        <v>0</v>
      </c>
      <c r="Z134" s="3">
        <f t="shared" si="69"/>
        <v>0</v>
      </c>
      <c r="AA134" s="2" t="str">
        <f t="shared" ref="AA134:AA139" si="71">IF(L134="H","1",IF(L134="L","1","0"))</f>
        <v>1</v>
      </c>
      <c r="AB134" s="64" t="str">
        <f t="shared" ref="AB134:AB139" si="72">IF(L134="H","1","0")</f>
        <v>0</v>
      </c>
      <c r="AE134" s="1" t="str">
        <f>$Y$11</f>
        <v>DDR</v>
      </c>
      <c r="AF134" s="1" t="str">
        <f>DEC2HEX(((2^W132)*Y132)+(2^W133*Y133)+(2^W134*Y134)+(2^W135*Y135)+(2^W136*Y136)+(2^W137*Y137)+(2^W138*Y138)+(2^W139*Y139))</f>
        <v>7</v>
      </c>
    </row>
    <row r="135" spans="2:32" ht="12.75">
      <c r="B135" s="50"/>
      <c r="C135" s="10" t="s">
        <v>49</v>
      </c>
      <c r="D135" s="41"/>
      <c r="E135" s="50" t="s">
        <v>1326</v>
      </c>
      <c r="F135" s="100" t="s">
        <v>49</v>
      </c>
      <c r="G135" s="11"/>
      <c r="H135" s="101" t="s">
        <v>1327</v>
      </c>
      <c r="I135" s="24" t="s">
        <v>1328</v>
      </c>
      <c r="J135" s="56" t="str">
        <f>IF(LEFT(F135,1)="P",$AD$5,IF(LEFT(F135,2)="FP",$AD$6,$AD$4))</f>
        <v>GPIO pin</v>
      </c>
      <c r="K135" s="76" t="s">
        <v>1329</v>
      </c>
      <c r="L135" s="79" t="s">
        <v>91</v>
      </c>
      <c r="M135" s="68" t="s">
        <v>20</v>
      </c>
      <c r="N135" s="68" t="s">
        <v>20</v>
      </c>
      <c r="O135" s="68"/>
      <c r="P135" s="88"/>
      <c r="Q135" s="88"/>
      <c r="R135" s="13"/>
      <c r="S135" s="11"/>
      <c r="T135" s="11"/>
      <c r="V135" s="397">
        <f t="shared" si="36"/>
        <v>0</v>
      </c>
      <c r="W135" s="25">
        <v>4</v>
      </c>
      <c r="X135" s="18" t="str">
        <f t="shared" si="31"/>
        <v>0</v>
      </c>
      <c r="Y135" s="41" t="str">
        <f t="shared" si="70"/>
        <v>0</v>
      </c>
      <c r="Z135" s="3">
        <f t="shared" si="69"/>
        <v>0</v>
      </c>
      <c r="AA135" s="2" t="str">
        <f t="shared" si="71"/>
        <v>1</v>
      </c>
      <c r="AB135" s="64" t="str">
        <f t="shared" si="72"/>
        <v>0</v>
      </c>
      <c r="AE135" s="1" t="str">
        <f>$Z$11</f>
        <v>EPCR</v>
      </c>
      <c r="AF135" s="1" t="str">
        <f>DEC2HEX(((2^W132)*Z132)+(2^W133*Z133)+(2^W134*Z134)+(2^W135*Z135)+(2^W136*Z136)+(2^W137*Z137)+(2^W138*Z138)+(2^W139*Z139))</f>
        <v>7</v>
      </c>
    </row>
    <row r="136" spans="2:32" ht="12.75">
      <c r="B136" s="50"/>
      <c r="C136" s="10" t="s">
        <v>50</v>
      </c>
      <c r="D136" s="41"/>
      <c r="E136" s="100" t="s">
        <v>1330</v>
      </c>
      <c r="F136" s="100" t="s">
        <v>50</v>
      </c>
      <c r="G136" s="11"/>
      <c r="H136" s="101" t="s">
        <v>1331</v>
      </c>
      <c r="I136" s="24" t="s">
        <v>1332</v>
      </c>
      <c r="J136" s="56" t="str">
        <f>IF(LEFT(F136,1)="P",$AD$5,$AD$4)</f>
        <v>GPIO pin</v>
      </c>
      <c r="K136" s="76" t="s">
        <v>1333</v>
      </c>
      <c r="L136" s="79" t="s">
        <v>91</v>
      </c>
      <c r="M136" s="68" t="s">
        <v>1334</v>
      </c>
      <c r="N136" s="68" t="s">
        <v>20</v>
      </c>
      <c r="O136" s="68"/>
      <c r="P136" s="92"/>
      <c r="Q136" s="92"/>
      <c r="R136" s="13"/>
      <c r="S136" s="11"/>
      <c r="T136" s="11"/>
      <c r="V136" s="397">
        <f t="shared" si="36"/>
        <v>0</v>
      </c>
      <c r="W136" s="21">
        <v>3</v>
      </c>
      <c r="X136" s="18" t="str">
        <f t="shared" si="31"/>
        <v>0</v>
      </c>
      <c r="Y136" s="41" t="str">
        <f>IF(LEFT(K136,1)="O","1","0")</f>
        <v>0</v>
      </c>
      <c r="Z136" s="3">
        <f t="shared" si="69"/>
        <v>0</v>
      </c>
      <c r="AA136" s="2" t="str">
        <f t="shared" si="71"/>
        <v>1</v>
      </c>
      <c r="AB136" s="64" t="str">
        <f t="shared" si="72"/>
        <v>0</v>
      </c>
      <c r="AE136" s="1" t="str">
        <f>$AA$11</f>
        <v>PUDEN</v>
      </c>
      <c r="AF136" s="1" t="str">
        <f>DEC2HEX(((2^W132)*AA132)+(2^W133*AA133)+(2^W134*AA134)+(2^W135*AA135)+(2^W136*AA136)+(2^W137*AA137)+(2^W138*AA138)+(2^W139*AA139))</f>
        <v>38</v>
      </c>
    </row>
    <row r="137" spans="2:32" ht="12.75">
      <c r="B137" s="50"/>
      <c r="C137" s="10" t="s">
        <v>51</v>
      </c>
      <c r="D137" s="41"/>
      <c r="E137" s="100" t="s">
        <v>1335</v>
      </c>
      <c r="F137" s="100" t="s">
        <v>1336</v>
      </c>
      <c r="G137" s="11"/>
      <c r="H137" s="101" t="s">
        <v>1337</v>
      </c>
      <c r="I137" s="24" t="s">
        <v>1338</v>
      </c>
      <c r="J137" s="56" t="str">
        <f>IF(LEFT(F137,1)="P",$AD$5,$AD$4)</f>
        <v>Dedicated pin</v>
      </c>
      <c r="K137" s="76" t="str">
        <f>IF(LEFT(F137,1)="S",$AE$4,$AE$6)</f>
        <v>Out</v>
      </c>
      <c r="L137" s="79" t="s">
        <v>20</v>
      </c>
      <c r="M137" s="68" t="s">
        <v>1339</v>
      </c>
      <c r="N137" s="68" t="s">
        <v>20</v>
      </c>
      <c r="O137" s="68"/>
      <c r="P137" s="88"/>
      <c r="Q137" s="92"/>
      <c r="R137" s="13"/>
      <c r="S137" s="11"/>
      <c r="T137" s="11"/>
      <c r="V137" s="397">
        <f t="shared" si="36"/>
        <v>0</v>
      </c>
      <c r="W137" s="21">
        <v>2</v>
      </c>
      <c r="X137" s="18" t="str">
        <f t="shared" si="31"/>
        <v>0</v>
      </c>
      <c r="Y137" s="41" t="str">
        <f t="shared" ref="Y137:Y139" si="73">IF(LEFT(K137,1)="O","1","0")</f>
        <v>1</v>
      </c>
      <c r="Z137" s="3">
        <f t="shared" si="69"/>
        <v>1</v>
      </c>
      <c r="AA137" s="2" t="str">
        <f t="shared" si="71"/>
        <v>0</v>
      </c>
      <c r="AB137" s="64" t="str">
        <f t="shared" si="72"/>
        <v>0</v>
      </c>
      <c r="AC137" s="26"/>
      <c r="AE137" s="1" t="str">
        <f>$AB$11</f>
        <v>PUDCR</v>
      </c>
      <c r="AF137" s="1" t="str">
        <f>DEC2HEX(((2^W132)*AB132)+(2^W133*AB133)+(2^W134*AB134)+(2^W135*AB135)+(2^W136*AB136)+(2^W137*AB137)+(2^W138*AB138)+(2^W139*AB139))</f>
        <v>0</v>
      </c>
    </row>
    <row r="138" spans="2:32" ht="12.75">
      <c r="B138" s="50"/>
      <c r="C138" s="10" t="s">
        <v>52</v>
      </c>
      <c r="D138" s="41"/>
      <c r="E138" s="100" t="s">
        <v>1340</v>
      </c>
      <c r="F138" s="100" t="s">
        <v>1341</v>
      </c>
      <c r="G138" s="11"/>
      <c r="H138" s="101" t="s">
        <v>1342</v>
      </c>
      <c r="I138" s="24" t="s">
        <v>1343</v>
      </c>
      <c r="J138" s="56" t="str">
        <f>IF(LEFT(F138,1)="P",$AD$5,$AD$4)</f>
        <v>Dedicated pin</v>
      </c>
      <c r="K138" s="76" t="s">
        <v>1344</v>
      </c>
      <c r="L138" s="79" t="s">
        <v>20</v>
      </c>
      <c r="M138" s="68" t="s">
        <v>1345</v>
      </c>
      <c r="N138" s="68" t="s">
        <v>20</v>
      </c>
      <c r="O138" s="68"/>
      <c r="P138" s="88"/>
      <c r="Q138" s="92"/>
      <c r="R138" s="13"/>
      <c r="S138" s="11"/>
      <c r="T138" s="11"/>
      <c r="V138" s="397">
        <f t="shared" si="36"/>
        <v>0</v>
      </c>
      <c r="W138" s="21">
        <v>1</v>
      </c>
      <c r="X138" s="18" t="str">
        <f t="shared" si="31"/>
        <v>0</v>
      </c>
      <c r="Y138" s="41" t="str">
        <f t="shared" si="73"/>
        <v>1</v>
      </c>
      <c r="Z138" s="3">
        <f t="shared" si="69"/>
        <v>1</v>
      </c>
      <c r="AA138" s="2" t="str">
        <f t="shared" si="71"/>
        <v>0</v>
      </c>
      <c r="AB138" s="64" t="str">
        <f t="shared" si="72"/>
        <v>0</v>
      </c>
      <c r="AE138" s="27"/>
      <c r="AF138" s="27"/>
    </row>
    <row r="139" spans="2:32" ht="13.5" thickBot="1">
      <c r="B139" s="53"/>
      <c r="C139" s="274" t="s">
        <v>53</v>
      </c>
      <c r="D139" s="317"/>
      <c r="E139" s="104" t="s">
        <v>1346</v>
      </c>
      <c r="F139" s="100" t="s">
        <v>1347</v>
      </c>
      <c r="G139" s="12"/>
      <c r="H139" s="101" t="s">
        <v>1342</v>
      </c>
      <c r="I139" s="28" t="s">
        <v>1348</v>
      </c>
      <c r="J139" s="56" t="str">
        <f>IF(LEFT(F139,1)="P",$AD$5,$AD$4)</f>
        <v>Dedicated pin</v>
      </c>
      <c r="K139" s="76" t="s">
        <v>1344</v>
      </c>
      <c r="L139" s="80" t="s">
        <v>20</v>
      </c>
      <c r="M139" s="69" t="s">
        <v>1345</v>
      </c>
      <c r="N139" s="69" t="s">
        <v>20</v>
      </c>
      <c r="O139" s="69"/>
      <c r="P139" s="90"/>
      <c r="Q139" s="90"/>
      <c r="R139" s="13"/>
      <c r="S139" s="12"/>
      <c r="T139" s="12"/>
      <c r="V139" s="398">
        <f t="shared" si="36"/>
        <v>0</v>
      </c>
      <c r="W139" s="22">
        <v>0</v>
      </c>
      <c r="X139" s="19" t="str">
        <f t="shared" si="31"/>
        <v>0</v>
      </c>
      <c r="Y139" s="42" t="str">
        <f t="shared" si="73"/>
        <v>1</v>
      </c>
      <c r="Z139" s="3">
        <f t="shared" si="69"/>
        <v>1</v>
      </c>
      <c r="AA139" s="9" t="str">
        <f t="shared" si="71"/>
        <v>0</v>
      </c>
      <c r="AB139" s="65" t="str">
        <f t="shared" si="72"/>
        <v>0</v>
      </c>
    </row>
    <row r="140" spans="2:32" ht="12" thickTop="1">
      <c r="B140" s="50" t="s">
        <v>1349</v>
      </c>
      <c r="C140" s="59" t="s">
        <v>1350</v>
      </c>
      <c r="D140" s="285"/>
      <c r="E140" s="58"/>
      <c r="F140" s="281"/>
      <c r="G140" s="281"/>
      <c r="H140" s="281"/>
      <c r="I140" s="281"/>
      <c r="J140" s="281" t="s">
        <v>1351</v>
      </c>
      <c r="K140" s="282" t="s">
        <v>1351</v>
      </c>
      <c r="L140" s="282" t="s">
        <v>1351</v>
      </c>
      <c r="M140" s="281" t="s">
        <v>1351</v>
      </c>
      <c r="N140" s="281" t="s">
        <v>1351</v>
      </c>
      <c r="O140" s="281"/>
      <c r="P140" s="283"/>
      <c r="Q140" s="283"/>
      <c r="R140" s="283"/>
      <c r="S140" s="283"/>
      <c r="T140" s="283"/>
      <c r="U140" s="112"/>
      <c r="V140" s="396" t="str">
        <f t="shared" si="36"/>
        <v>PORT H</v>
      </c>
      <c r="W140" s="268">
        <v>7</v>
      </c>
      <c r="X140" s="320">
        <v>0</v>
      </c>
      <c r="Y140" s="49">
        <v>0</v>
      </c>
      <c r="Z140" s="49">
        <v>0</v>
      </c>
      <c r="AA140" s="49">
        <v>0</v>
      </c>
      <c r="AB140" s="85">
        <v>0</v>
      </c>
      <c r="AE140" s="6" t="str">
        <f>V140</f>
        <v>PORT H</v>
      </c>
      <c r="AF140" s="20" t="s">
        <v>1352</v>
      </c>
    </row>
    <row r="141" spans="2:32">
      <c r="B141" s="50"/>
      <c r="C141" s="59" t="s">
        <v>1353</v>
      </c>
      <c r="D141" s="285"/>
      <c r="E141" s="59"/>
      <c r="F141" s="284"/>
      <c r="G141" s="284"/>
      <c r="H141" s="284"/>
      <c r="I141" s="284"/>
      <c r="J141" s="284" t="s">
        <v>1354</v>
      </c>
      <c r="K141" s="318" t="s">
        <v>1354</v>
      </c>
      <c r="L141" s="318" t="s">
        <v>1354</v>
      </c>
      <c r="M141" s="284" t="s">
        <v>1354</v>
      </c>
      <c r="N141" s="284" t="s">
        <v>1354</v>
      </c>
      <c r="O141" s="284"/>
      <c r="P141" s="291"/>
      <c r="Q141" s="291"/>
      <c r="R141" s="291"/>
      <c r="S141" s="291"/>
      <c r="T141" s="291"/>
      <c r="U141" s="112"/>
      <c r="V141" s="397">
        <f t="shared" si="36"/>
        <v>0</v>
      </c>
      <c r="W141" s="269">
        <v>6</v>
      </c>
      <c r="X141" s="322">
        <v>0</v>
      </c>
      <c r="Y141" s="45">
        <v>0</v>
      </c>
      <c r="Z141" s="45">
        <v>0</v>
      </c>
      <c r="AA141" s="45">
        <v>0</v>
      </c>
      <c r="AB141" s="86">
        <v>0</v>
      </c>
      <c r="AE141" s="1" t="str">
        <f>$X$11</f>
        <v>PDR</v>
      </c>
      <c r="AF141" s="1" t="str">
        <f>DEC2HEX(((2^W140)*X140)+(2^W141*X141)+(2^W142*X142)+(2^W143*X143)+(2^W144*X144)+(2^W145*X145)+(2^W146*X146)+(2^W147*X147))</f>
        <v>0</v>
      </c>
    </row>
    <row r="142" spans="2:32">
      <c r="B142" s="50"/>
      <c r="C142" s="59" t="s">
        <v>1355</v>
      </c>
      <c r="D142" s="285"/>
      <c r="E142" s="59"/>
      <c r="F142" s="284"/>
      <c r="G142" s="284"/>
      <c r="H142" s="284"/>
      <c r="I142" s="284"/>
      <c r="J142" s="284" t="s">
        <v>1356</v>
      </c>
      <c r="K142" s="318" t="s">
        <v>1356</v>
      </c>
      <c r="L142" s="318" t="s">
        <v>1356</v>
      </c>
      <c r="M142" s="284" t="s">
        <v>1356</v>
      </c>
      <c r="N142" s="284" t="s">
        <v>1356</v>
      </c>
      <c r="O142" s="284"/>
      <c r="P142" s="291"/>
      <c r="Q142" s="291"/>
      <c r="R142" s="291"/>
      <c r="S142" s="291"/>
      <c r="T142" s="291"/>
      <c r="U142" s="301"/>
      <c r="V142" s="397">
        <f t="shared" si="36"/>
        <v>0</v>
      </c>
      <c r="W142" s="269">
        <v>5</v>
      </c>
      <c r="X142" s="322">
        <v>0</v>
      </c>
      <c r="Y142" s="45">
        <v>0</v>
      </c>
      <c r="Z142" s="45">
        <v>0</v>
      </c>
      <c r="AA142" s="45">
        <v>0</v>
      </c>
      <c r="AB142" s="86">
        <v>0</v>
      </c>
      <c r="AE142" s="1" t="str">
        <f>$Y$11</f>
        <v>DDR</v>
      </c>
      <c r="AF142" s="1" t="str">
        <f>DEC2HEX(((2^W140)*Y140)+(2^W141*Y141)+(2^W142*Y142)+(2^W143*Y143)+(2^W144*Y144)+(2^W145*Y145)+(2^W146*Y146)+(2^W147*Y147))</f>
        <v>1</v>
      </c>
    </row>
    <row r="143" spans="2:32">
      <c r="B143" s="50"/>
      <c r="C143" s="59" t="s">
        <v>1357</v>
      </c>
      <c r="D143" s="285"/>
      <c r="E143" s="59"/>
      <c r="F143" s="284"/>
      <c r="G143" s="284"/>
      <c r="H143" s="284"/>
      <c r="I143" s="284"/>
      <c r="J143" s="284" t="s">
        <v>1358</v>
      </c>
      <c r="K143" s="318" t="s">
        <v>1358</v>
      </c>
      <c r="L143" s="318" t="s">
        <v>1358</v>
      </c>
      <c r="M143" s="284" t="s">
        <v>1358</v>
      </c>
      <c r="N143" s="284" t="s">
        <v>1358</v>
      </c>
      <c r="O143" s="284"/>
      <c r="P143" s="291"/>
      <c r="Q143" s="291"/>
      <c r="R143" s="291"/>
      <c r="S143" s="291"/>
      <c r="T143" s="291"/>
      <c r="U143" s="301"/>
      <c r="V143" s="397">
        <f t="shared" si="36"/>
        <v>0</v>
      </c>
      <c r="W143" s="323">
        <v>4</v>
      </c>
      <c r="X143" s="322">
        <v>0</v>
      </c>
      <c r="Y143" s="45">
        <v>0</v>
      </c>
      <c r="Z143" s="45">
        <v>0</v>
      </c>
      <c r="AA143" s="45">
        <v>0</v>
      </c>
      <c r="AB143" s="86">
        <v>0</v>
      </c>
      <c r="AE143" s="1" t="str">
        <f>$Z$11</f>
        <v>EPCR</v>
      </c>
      <c r="AF143" s="1" t="str">
        <f>DEC2HEX(((2^W140)*Z140)+(2^W141*Z141)+(2^W142*Z142)+(2^W143*Z143)+(2^W144*Z144)+(2^W145*Z145)+(2^W146*Z146)+(2^W147*Z147))</f>
        <v>1</v>
      </c>
    </row>
    <row r="144" spans="2:32" ht="12.75">
      <c r="B144" s="50"/>
      <c r="C144" s="10" t="s">
        <v>1359</v>
      </c>
      <c r="D144" s="273"/>
      <c r="E144" s="96" t="s">
        <v>1360</v>
      </c>
      <c r="F144" s="14" t="s">
        <v>1359</v>
      </c>
      <c r="G144" s="11"/>
      <c r="H144" s="101" t="s">
        <v>1361</v>
      </c>
      <c r="I144" s="24" t="s">
        <v>1362</v>
      </c>
      <c r="J144" s="56" t="str">
        <f>IF(LEFT(F144,1)="P",$AD$5,$AD$4)</f>
        <v>GPIO pin</v>
      </c>
      <c r="K144" s="74" t="s">
        <v>1363</v>
      </c>
      <c r="L144" s="79" t="s">
        <v>91</v>
      </c>
      <c r="M144" s="11" t="s">
        <v>1364</v>
      </c>
      <c r="N144" s="68" t="s">
        <v>20</v>
      </c>
      <c r="O144" s="11"/>
      <c r="P144" s="89"/>
      <c r="Q144" s="89"/>
      <c r="R144" s="89"/>
      <c r="S144" s="89"/>
      <c r="T144" s="89"/>
      <c r="U144" s="301"/>
      <c r="V144" s="397">
        <f t="shared" si="36"/>
        <v>0</v>
      </c>
      <c r="W144" s="269">
        <v>3</v>
      </c>
      <c r="X144" s="18" t="str">
        <f t="shared" ref="X144:X203" si="74">IF(M144="H","1","0")</f>
        <v>0</v>
      </c>
      <c r="Y144" s="41" t="str">
        <f t="shared" ref="Y144:Y147" si="75">IF(LEFT(K144,1)="O","1","0")</f>
        <v>0</v>
      </c>
      <c r="Z144" s="3">
        <f t="shared" ref="Z144:Z148" si="76">VLOOKUP(J144,$AD$4:$AG$6,4,FALSE)</f>
        <v>0</v>
      </c>
      <c r="AA144" s="2" t="str">
        <f t="shared" ref="AA144:AA203" si="77">IF(L144="H","1",IF(L144="L","1","0"))</f>
        <v>1</v>
      </c>
      <c r="AB144" s="64" t="str">
        <f t="shared" ref="AB144:AB203" si="78">IF(L144="H","1","0")</f>
        <v>0</v>
      </c>
      <c r="AE144" s="1" t="str">
        <f>$AA$11</f>
        <v>PUDEN</v>
      </c>
      <c r="AF144" s="1" t="str">
        <f>DEC2HEX(((2^W140)*AA140)+(2^W141*AA141)+(2^W142*AA142)+(2^W143*AA143)+(2^W144*AA144)+(2^W145*AA145)+(2^W146*AA146)+(2^W147*AA147))</f>
        <v>E</v>
      </c>
    </row>
    <row r="145" spans="2:32" ht="12.75">
      <c r="B145" s="50"/>
      <c r="C145" s="10" t="s">
        <v>1365</v>
      </c>
      <c r="D145" s="41"/>
      <c r="E145" s="50" t="s">
        <v>1366</v>
      </c>
      <c r="F145" s="100" t="s">
        <v>1365</v>
      </c>
      <c r="G145" s="11"/>
      <c r="H145" s="101" t="s">
        <v>1367</v>
      </c>
      <c r="I145" s="24" t="s">
        <v>1368</v>
      </c>
      <c r="J145" s="56" t="str">
        <f>IF(LEFT(F145,1)="P",$AD$5,IF(LEFT(F145,2)="FP",$AD$6,$AD$4))</f>
        <v>GPIO pin</v>
      </c>
      <c r="K145" s="74" t="s">
        <v>1369</v>
      </c>
      <c r="L145" s="79" t="s">
        <v>91</v>
      </c>
      <c r="M145" s="68" t="s">
        <v>20</v>
      </c>
      <c r="N145" s="68" t="s">
        <v>20</v>
      </c>
      <c r="O145" s="68"/>
      <c r="P145" s="88"/>
      <c r="Q145" s="92"/>
      <c r="R145" s="14"/>
      <c r="S145" s="11"/>
      <c r="T145" s="11"/>
      <c r="V145" s="397">
        <f t="shared" si="36"/>
        <v>0</v>
      </c>
      <c r="W145" s="21">
        <v>2</v>
      </c>
      <c r="X145" s="18" t="str">
        <f t="shared" si="74"/>
        <v>0</v>
      </c>
      <c r="Y145" s="41" t="str">
        <f t="shared" si="75"/>
        <v>0</v>
      </c>
      <c r="Z145" s="3">
        <f t="shared" si="76"/>
        <v>0</v>
      </c>
      <c r="AA145" s="2" t="str">
        <f t="shared" si="77"/>
        <v>1</v>
      </c>
      <c r="AB145" s="64" t="str">
        <f t="shared" si="78"/>
        <v>0</v>
      </c>
      <c r="AC145" s="26"/>
      <c r="AE145" s="1" t="str">
        <f>$AB$11</f>
        <v>PUDCR</v>
      </c>
      <c r="AF145" s="1" t="str">
        <f>DEC2HEX(((2^W140)*AB140)+(2^W141*AB141)+(2^W142*AB142)+(2^W143*AB143)+(2^W144*AB144)+(2^W145*AB145)+(2^W146*AB146)+(2^W147*AB147))</f>
        <v>0</v>
      </c>
    </row>
    <row r="146" spans="2:32" ht="12.75">
      <c r="B146" s="50"/>
      <c r="C146" s="10" t="s">
        <v>1370</v>
      </c>
      <c r="D146" s="41"/>
      <c r="E146" s="50" t="s">
        <v>1371</v>
      </c>
      <c r="F146" s="100" t="s">
        <v>1370</v>
      </c>
      <c r="G146" s="11"/>
      <c r="H146" s="101" t="s">
        <v>1372</v>
      </c>
      <c r="I146" s="24" t="s">
        <v>1373</v>
      </c>
      <c r="J146" s="56" t="str">
        <f>IF(LEFT(F146,1)="P",$AD$5,IF(LEFT(F146,2)="FP",$AD$6,$AD$4))</f>
        <v>GPIO pin</v>
      </c>
      <c r="K146" s="74" t="s">
        <v>1374</v>
      </c>
      <c r="L146" s="79" t="s">
        <v>91</v>
      </c>
      <c r="M146" s="68" t="s">
        <v>20</v>
      </c>
      <c r="N146" s="68" t="s">
        <v>20</v>
      </c>
      <c r="O146" s="68"/>
      <c r="P146" s="88"/>
      <c r="Q146" s="88"/>
      <c r="R146" s="24"/>
      <c r="S146" s="11"/>
      <c r="T146" s="11"/>
      <c r="V146" s="397">
        <f t="shared" si="36"/>
        <v>0</v>
      </c>
      <c r="W146" s="21">
        <v>1</v>
      </c>
      <c r="X146" s="18" t="str">
        <f t="shared" si="74"/>
        <v>0</v>
      </c>
      <c r="Y146" s="41" t="str">
        <f t="shared" si="75"/>
        <v>0</v>
      </c>
      <c r="Z146" s="3">
        <f t="shared" si="76"/>
        <v>0</v>
      </c>
      <c r="AA146" s="2" t="str">
        <f t="shared" si="77"/>
        <v>1</v>
      </c>
      <c r="AB146" s="64" t="str">
        <f t="shared" si="78"/>
        <v>0</v>
      </c>
      <c r="AE146" s="27"/>
      <c r="AF146" s="27"/>
    </row>
    <row r="147" spans="2:32" ht="13.5" thickBot="1">
      <c r="B147" s="53"/>
      <c r="C147" s="274" t="s">
        <v>1375</v>
      </c>
      <c r="D147" s="317"/>
      <c r="E147" s="104" t="s">
        <v>1376</v>
      </c>
      <c r="F147" s="100" t="s">
        <v>1377</v>
      </c>
      <c r="G147" s="12"/>
      <c r="H147" s="103" t="s">
        <v>1372</v>
      </c>
      <c r="I147" s="113"/>
      <c r="J147" s="57" t="str">
        <f t="shared" ref="J147:J171" si="79">IF(LEFT(F147,1)="P",$AD$5,$AD$4)</f>
        <v>Dedicated pin</v>
      </c>
      <c r="K147" s="75" t="str">
        <f>IF(LEFT(F147,1)="P",$AE$6,IF(LEFT(F147,2)="FP",$AE$5,$AE$4))</f>
        <v>Out</v>
      </c>
      <c r="L147" s="80" t="s">
        <v>20</v>
      </c>
      <c r="M147" s="69" t="s">
        <v>20</v>
      </c>
      <c r="N147" s="69" t="s">
        <v>20</v>
      </c>
      <c r="O147" s="69"/>
      <c r="P147" s="90"/>
      <c r="Q147" s="90"/>
      <c r="R147" s="28"/>
      <c r="S147" s="12"/>
      <c r="T147" s="12"/>
      <c r="V147" s="398">
        <f t="shared" si="36"/>
        <v>0</v>
      </c>
      <c r="W147" s="22">
        <v>0</v>
      </c>
      <c r="X147" s="19" t="str">
        <f t="shared" si="74"/>
        <v>0</v>
      </c>
      <c r="Y147" s="42" t="str">
        <f t="shared" si="75"/>
        <v>1</v>
      </c>
      <c r="Z147" s="8">
        <f t="shared" si="76"/>
        <v>1</v>
      </c>
      <c r="AA147" s="9" t="str">
        <f t="shared" si="77"/>
        <v>0</v>
      </c>
      <c r="AB147" s="65" t="str">
        <f t="shared" si="78"/>
        <v>0</v>
      </c>
    </row>
    <row r="148" spans="2:32" ht="13.5" thickTop="1">
      <c r="B148" s="50" t="s">
        <v>1378</v>
      </c>
      <c r="C148" s="10" t="s">
        <v>1379</v>
      </c>
      <c r="D148" s="41"/>
      <c r="E148" s="100" t="s">
        <v>1380</v>
      </c>
      <c r="F148" s="98" t="s">
        <v>64</v>
      </c>
      <c r="G148" s="11"/>
      <c r="H148" s="101" t="s">
        <v>1372</v>
      </c>
      <c r="I148" s="24" t="s">
        <v>1381</v>
      </c>
      <c r="J148" s="56" t="str">
        <f t="shared" si="79"/>
        <v>Dedicated pin</v>
      </c>
      <c r="K148" s="76" t="str">
        <f>IF(LEFT(F148,1)="V",$AE$4,$AE$6)</f>
        <v>Out</v>
      </c>
      <c r="L148" s="79" t="s">
        <v>20</v>
      </c>
      <c r="M148" s="68" t="s">
        <v>1382</v>
      </c>
      <c r="N148" s="68" t="s">
        <v>20</v>
      </c>
      <c r="O148" s="68"/>
      <c r="P148" s="87"/>
      <c r="Q148" s="87"/>
      <c r="R148" s="13"/>
      <c r="S148" s="99"/>
      <c r="T148" s="99"/>
      <c r="U148" s="5"/>
      <c r="V148" s="396" t="str">
        <f t="shared" ref="V148:V204" si="80">B148</f>
        <v>PORT W</v>
      </c>
      <c r="W148" s="23">
        <v>7</v>
      </c>
      <c r="X148" s="18" t="str">
        <f t="shared" si="74"/>
        <v>0</v>
      </c>
      <c r="Y148" s="41" t="str">
        <f>IF(LEFT(K148,1)="O","1","0")</f>
        <v>1</v>
      </c>
      <c r="Z148" s="3">
        <f t="shared" si="76"/>
        <v>1</v>
      </c>
      <c r="AA148" s="2" t="str">
        <f t="shared" si="77"/>
        <v>0</v>
      </c>
      <c r="AB148" s="64" t="str">
        <f t="shared" si="78"/>
        <v>0</v>
      </c>
      <c r="AE148" s="6" t="str">
        <f>V148</f>
        <v>PORT W</v>
      </c>
      <c r="AF148" s="20" t="s">
        <v>1383</v>
      </c>
    </row>
    <row r="149" spans="2:32" ht="12.75">
      <c r="B149" s="50"/>
      <c r="C149" s="10" t="s">
        <v>1384</v>
      </c>
      <c r="D149" s="41"/>
      <c r="E149" s="100" t="s">
        <v>1385</v>
      </c>
      <c r="F149" s="100" t="s">
        <v>65</v>
      </c>
      <c r="G149" s="11"/>
      <c r="H149" s="101" t="s">
        <v>1386</v>
      </c>
      <c r="I149" s="24" t="s">
        <v>1387</v>
      </c>
      <c r="J149" s="56" t="str">
        <f t="shared" si="79"/>
        <v>Dedicated pin</v>
      </c>
      <c r="K149" s="74" t="str">
        <f>IF(LEFT(F149,1)="V",$AE$4,$AE$6)</f>
        <v>Out</v>
      </c>
      <c r="L149" s="79" t="s">
        <v>20</v>
      </c>
      <c r="M149" s="68" t="s">
        <v>1388</v>
      </c>
      <c r="N149" s="68" t="s">
        <v>20</v>
      </c>
      <c r="O149" s="68"/>
      <c r="P149" s="87"/>
      <c r="Q149" s="87"/>
      <c r="R149" s="13"/>
      <c r="S149" s="11"/>
      <c r="T149" s="11"/>
      <c r="U149" s="5"/>
      <c r="V149" s="397">
        <f t="shared" si="80"/>
        <v>0</v>
      </c>
      <c r="W149" s="21">
        <v>6</v>
      </c>
      <c r="X149" s="18" t="str">
        <f t="shared" si="74"/>
        <v>0</v>
      </c>
      <c r="Y149" s="41" t="str">
        <f t="shared" ref="Y149:Y151" si="81">IF(LEFT(K149,1)="O","1","0")</f>
        <v>1</v>
      </c>
      <c r="Z149" s="3">
        <f>VLOOKUP(J149,$AD$4:$AG$6,4,FALSE)</f>
        <v>1</v>
      </c>
      <c r="AA149" s="2" t="str">
        <f t="shared" si="77"/>
        <v>0</v>
      </c>
      <c r="AB149" s="64" t="str">
        <f t="shared" si="78"/>
        <v>0</v>
      </c>
      <c r="AE149" s="1" t="str">
        <f>$X$11</f>
        <v>PDR</v>
      </c>
      <c r="AF149" s="1" t="str">
        <f>DEC2HEX(((2^W148)*X148)+(2^W149*X149)+(2^W150*X150)+(2^W151*X151)+(2^W152*X152)+(2^W153*X153)+(2^W154*X154)+(2^W155*X155))</f>
        <v>0</v>
      </c>
    </row>
    <row r="150" spans="2:32" ht="12.75">
      <c r="B150" s="50"/>
      <c r="C150" s="10" t="s">
        <v>1389</v>
      </c>
      <c r="D150" s="41"/>
      <c r="E150" s="100" t="s">
        <v>1390</v>
      </c>
      <c r="F150" s="100" t="s">
        <v>66</v>
      </c>
      <c r="G150" s="11"/>
      <c r="H150" s="101" t="s">
        <v>1391</v>
      </c>
      <c r="I150" s="24" t="s">
        <v>1392</v>
      </c>
      <c r="J150" s="56" t="str">
        <f t="shared" si="79"/>
        <v>Dedicated pin</v>
      </c>
      <c r="K150" s="74" t="str">
        <f>IF(LEFT(F150,1)="V",$AE$4,$AE$6)</f>
        <v>Out</v>
      </c>
      <c r="L150" s="79" t="s">
        <v>20</v>
      </c>
      <c r="M150" s="68" t="s">
        <v>1393</v>
      </c>
      <c r="N150" s="68" t="s">
        <v>20</v>
      </c>
      <c r="O150" s="68"/>
      <c r="P150" s="88"/>
      <c r="Q150" s="88"/>
      <c r="R150" s="13"/>
      <c r="S150" s="11"/>
      <c r="T150" s="11"/>
      <c r="V150" s="397">
        <f t="shared" si="80"/>
        <v>0</v>
      </c>
      <c r="W150" s="21">
        <v>5</v>
      </c>
      <c r="X150" s="18" t="str">
        <f t="shared" si="74"/>
        <v>0</v>
      </c>
      <c r="Y150" s="41" t="str">
        <f t="shared" si="81"/>
        <v>1</v>
      </c>
      <c r="Z150" s="3">
        <f>VLOOKUP(J150,$AD$4:$AG$6,4,FALSE)</f>
        <v>1</v>
      </c>
      <c r="AA150" s="2" t="str">
        <f t="shared" si="77"/>
        <v>0</v>
      </c>
      <c r="AB150" s="64" t="str">
        <f t="shared" si="78"/>
        <v>0</v>
      </c>
      <c r="AE150" s="1" t="str">
        <f>$Y$11</f>
        <v>DDR</v>
      </c>
      <c r="AF150" s="1" t="str">
        <f>DEC2HEX(((2^W148)*Y148)+(2^W149*Y149)+(2^W150*Y150)+(2^W151*Y151)+(2^W152*Y152)+(2^W153*Y153)+(2^W154*Y154)+(2^W155*Y155))</f>
        <v>FF</v>
      </c>
    </row>
    <row r="151" spans="2:32" ht="12.75">
      <c r="B151" s="50"/>
      <c r="C151" s="10" t="s">
        <v>1394</v>
      </c>
      <c r="D151" s="41"/>
      <c r="E151" s="100" t="s">
        <v>1395</v>
      </c>
      <c r="F151" s="100" t="s">
        <v>67</v>
      </c>
      <c r="G151" s="11"/>
      <c r="H151" s="101" t="s">
        <v>1396</v>
      </c>
      <c r="I151" s="24" t="s">
        <v>1397</v>
      </c>
      <c r="J151" s="56" t="str">
        <f t="shared" si="79"/>
        <v>Dedicated pin</v>
      </c>
      <c r="K151" s="74" t="str">
        <f>IF(LEFT(F151,1)="V",$AE$4,$AE$6)</f>
        <v>Out</v>
      </c>
      <c r="L151" s="79" t="s">
        <v>20</v>
      </c>
      <c r="M151" s="68" t="s">
        <v>1398</v>
      </c>
      <c r="N151" s="68" t="s">
        <v>20</v>
      </c>
      <c r="O151" s="68"/>
      <c r="P151" s="88"/>
      <c r="Q151" s="88"/>
      <c r="R151" s="13"/>
      <c r="S151" s="11"/>
      <c r="T151" s="11"/>
      <c r="V151" s="397">
        <f t="shared" si="80"/>
        <v>0</v>
      </c>
      <c r="W151" s="25">
        <v>4</v>
      </c>
      <c r="X151" s="18" t="str">
        <f t="shared" si="74"/>
        <v>0</v>
      </c>
      <c r="Y151" s="41" t="str">
        <f t="shared" si="81"/>
        <v>1</v>
      </c>
      <c r="Z151" s="3">
        <f t="shared" ref="Z151:Z156" si="82">VLOOKUP(J151,$AD$4:$AG$6,4,FALSE)</f>
        <v>1</v>
      </c>
      <c r="AA151" s="2" t="str">
        <f t="shared" si="77"/>
        <v>0</v>
      </c>
      <c r="AB151" s="64" t="str">
        <f t="shared" si="78"/>
        <v>0</v>
      </c>
      <c r="AE151" s="1" t="str">
        <f>$Z$11</f>
        <v>EPCR</v>
      </c>
      <c r="AF151" s="1" t="str">
        <f>DEC2HEX(((2^W148)*Z148)+(2^W149*Z149)+(2^W150*Z150)+(2^W151*Z151)+(2^W152*Z152)+(2^W153*Z153)+(2^W154*Z154)+(2^W155*Z155))</f>
        <v>FF</v>
      </c>
    </row>
    <row r="152" spans="2:32" ht="12.75">
      <c r="B152" s="50"/>
      <c r="C152" s="10" t="s">
        <v>1399</v>
      </c>
      <c r="D152" s="41"/>
      <c r="E152" s="100" t="s">
        <v>1400</v>
      </c>
      <c r="F152" s="100" t="s">
        <v>1401</v>
      </c>
      <c r="G152" s="11"/>
      <c r="H152" s="101" t="s">
        <v>1402</v>
      </c>
      <c r="I152" s="24" t="s">
        <v>1403</v>
      </c>
      <c r="J152" s="56" t="str">
        <f t="shared" si="79"/>
        <v>Dedicated pin</v>
      </c>
      <c r="K152" s="74" t="str">
        <f>IF(LEFT(F152,1)="V",$AE$4,$AE$6)</f>
        <v>Out</v>
      </c>
      <c r="L152" s="79" t="s">
        <v>20</v>
      </c>
      <c r="M152" s="68" t="s">
        <v>1404</v>
      </c>
      <c r="N152" s="68" t="s">
        <v>20</v>
      </c>
      <c r="O152" s="68"/>
      <c r="P152" s="92"/>
      <c r="Q152" s="109" t="str">
        <f>IF(LEFT(F152,2)="UD","UDT1BS=b11","")</f>
        <v/>
      </c>
      <c r="R152" s="13"/>
      <c r="S152" s="11"/>
      <c r="T152" s="11"/>
      <c r="V152" s="397">
        <f t="shared" si="80"/>
        <v>0</v>
      </c>
      <c r="W152" s="21">
        <v>3</v>
      </c>
      <c r="X152" s="18" t="str">
        <f t="shared" si="74"/>
        <v>0</v>
      </c>
      <c r="Y152" s="41" t="str">
        <f>IF(LEFT(K152,1)="O","1","0")</f>
        <v>1</v>
      </c>
      <c r="Z152" s="3">
        <f t="shared" si="82"/>
        <v>1</v>
      </c>
      <c r="AA152" s="2" t="str">
        <f t="shared" si="77"/>
        <v>0</v>
      </c>
      <c r="AB152" s="64" t="str">
        <f t="shared" si="78"/>
        <v>0</v>
      </c>
      <c r="AE152" s="1" t="str">
        <f>$AA$11</f>
        <v>PUDEN</v>
      </c>
      <c r="AF152" s="1" t="str">
        <f>DEC2HEX(((2^W148)*AA148)+(2^W149*AA149)+(2^W150*AA150)+(2^W151*AA151)+(2^W152*AA152)+(2^W153*AA153)+(2^W154*AA154)+(2^W155*AA155))</f>
        <v>0</v>
      </c>
    </row>
    <row r="153" spans="2:32" ht="12.75">
      <c r="B153" s="50"/>
      <c r="C153" s="10" t="s">
        <v>1405</v>
      </c>
      <c r="D153" s="41"/>
      <c r="E153" s="100" t="s">
        <v>1406</v>
      </c>
      <c r="F153" s="100" t="s">
        <v>1407</v>
      </c>
      <c r="G153" s="11"/>
      <c r="H153" s="101" t="s">
        <v>1408</v>
      </c>
      <c r="I153" s="24" t="s">
        <v>1409</v>
      </c>
      <c r="J153" s="56" t="str">
        <f t="shared" si="79"/>
        <v>Dedicated pin</v>
      </c>
      <c r="K153" s="74" t="str">
        <f t="shared" ref="K153:K155" si="83">IF(LEFT(F153,1)="V",$AE$4,$AE$6)</f>
        <v>Out</v>
      </c>
      <c r="L153" s="79" t="s">
        <v>20</v>
      </c>
      <c r="M153" s="68" t="s">
        <v>1410</v>
      </c>
      <c r="N153" s="68" t="s">
        <v>20</v>
      </c>
      <c r="O153" s="68"/>
      <c r="P153" s="88"/>
      <c r="Q153" s="109" t="str">
        <f>IF(LEFT(F153,2)="UD","UDT1AS=b11","")</f>
        <v/>
      </c>
      <c r="R153" s="13"/>
      <c r="S153" s="11"/>
      <c r="T153" s="11"/>
      <c r="V153" s="397">
        <f t="shared" si="80"/>
        <v>0</v>
      </c>
      <c r="W153" s="21">
        <v>2</v>
      </c>
      <c r="X153" s="18" t="str">
        <f t="shared" si="74"/>
        <v>0</v>
      </c>
      <c r="Y153" s="41" t="str">
        <f t="shared" ref="Y153:Y155" si="84">IF(LEFT(K153,1)="O","1","0")</f>
        <v>1</v>
      </c>
      <c r="Z153" s="3">
        <f t="shared" si="82"/>
        <v>1</v>
      </c>
      <c r="AA153" s="2" t="str">
        <f t="shared" si="77"/>
        <v>0</v>
      </c>
      <c r="AB153" s="64" t="str">
        <f t="shared" si="78"/>
        <v>0</v>
      </c>
      <c r="AC153" s="26"/>
      <c r="AE153" s="1" t="str">
        <f>$AB$11</f>
        <v>PUDCR</v>
      </c>
      <c r="AF153" s="1" t="str">
        <f>DEC2HEX(((2^W148)*AB148)+(2^W149*AB149)+(2^W150*AB150)+(2^W151*AB151)+(2^W152*AB152)+(2^W153*AB153)+(2^W154*AB154)+(2^W155*AB155))</f>
        <v>0</v>
      </c>
    </row>
    <row r="154" spans="2:32" ht="12.75">
      <c r="B154" s="50"/>
      <c r="C154" s="10" t="s">
        <v>1411</v>
      </c>
      <c r="D154" s="41"/>
      <c r="E154" s="100" t="s">
        <v>1412</v>
      </c>
      <c r="F154" s="100" t="s">
        <v>1413</v>
      </c>
      <c r="G154" s="11"/>
      <c r="H154" s="101" t="s">
        <v>1414</v>
      </c>
      <c r="I154" s="24" t="s">
        <v>1415</v>
      </c>
      <c r="J154" s="56" t="str">
        <f t="shared" si="79"/>
        <v>Dedicated pin</v>
      </c>
      <c r="K154" s="74" t="str">
        <f t="shared" si="83"/>
        <v>Out</v>
      </c>
      <c r="L154" s="79" t="s">
        <v>20</v>
      </c>
      <c r="M154" s="68" t="s">
        <v>1416</v>
      </c>
      <c r="N154" s="68" t="s">
        <v>20</v>
      </c>
      <c r="O154" s="68"/>
      <c r="P154" s="88"/>
      <c r="Q154" s="109" t="str">
        <f>IF(LEFT(F154,2)="UD","UDT0BS=b11","")</f>
        <v/>
      </c>
      <c r="R154" s="13"/>
      <c r="S154" s="11"/>
      <c r="T154" s="11"/>
      <c r="V154" s="397">
        <f t="shared" si="80"/>
        <v>0</v>
      </c>
      <c r="W154" s="21">
        <v>1</v>
      </c>
      <c r="X154" s="18" t="str">
        <f t="shared" si="74"/>
        <v>0</v>
      </c>
      <c r="Y154" s="41" t="str">
        <f t="shared" si="84"/>
        <v>1</v>
      </c>
      <c r="Z154" s="3">
        <f t="shared" si="82"/>
        <v>1</v>
      </c>
      <c r="AA154" s="2" t="str">
        <f t="shared" si="77"/>
        <v>0</v>
      </c>
      <c r="AB154" s="64" t="str">
        <f t="shared" si="78"/>
        <v>0</v>
      </c>
      <c r="AE154" s="27"/>
      <c r="AF154" s="27"/>
    </row>
    <row r="155" spans="2:32" ht="13.5" thickBot="1">
      <c r="B155" s="53"/>
      <c r="C155" s="274" t="s">
        <v>1417</v>
      </c>
      <c r="D155" s="317"/>
      <c r="E155" s="104" t="s">
        <v>1418</v>
      </c>
      <c r="F155" s="100" t="s">
        <v>1419</v>
      </c>
      <c r="G155" s="11"/>
      <c r="H155" s="103" t="s">
        <v>1414</v>
      </c>
      <c r="I155" s="28" t="s">
        <v>1420</v>
      </c>
      <c r="J155" s="57" t="str">
        <f t="shared" si="79"/>
        <v>Dedicated pin</v>
      </c>
      <c r="K155" s="75" t="str">
        <f t="shared" si="83"/>
        <v>Out</v>
      </c>
      <c r="L155" s="80" t="s">
        <v>20</v>
      </c>
      <c r="M155" s="69" t="s">
        <v>1416</v>
      </c>
      <c r="N155" s="69" t="s">
        <v>20</v>
      </c>
      <c r="O155" s="69"/>
      <c r="P155" s="90"/>
      <c r="Q155" s="111" t="str">
        <f>IF(LEFT(F155,2)="UD","UDT0AS=b11","")</f>
        <v/>
      </c>
      <c r="R155" s="15"/>
      <c r="S155" s="12"/>
      <c r="T155" s="12"/>
      <c r="V155" s="398">
        <f t="shared" si="80"/>
        <v>0</v>
      </c>
      <c r="W155" s="22">
        <v>0</v>
      </c>
      <c r="X155" s="19" t="str">
        <f t="shared" si="74"/>
        <v>0</v>
      </c>
      <c r="Y155" s="42" t="str">
        <f t="shared" si="84"/>
        <v>1</v>
      </c>
      <c r="Z155" s="8">
        <f t="shared" si="82"/>
        <v>1</v>
      </c>
      <c r="AA155" s="9" t="str">
        <f t="shared" si="77"/>
        <v>0</v>
      </c>
      <c r="AB155" s="65" t="str">
        <f t="shared" si="78"/>
        <v>0</v>
      </c>
    </row>
    <row r="156" spans="2:32" ht="13.5" thickTop="1">
      <c r="B156" s="50" t="s">
        <v>1421</v>
      </c>
      <c r="C156" s="10" t="s">
        <v>1422</v>
      </c>
      <c r="D156" s="41"/>
      <c r="E156" s="100" t="s">
        <v>1423</v>
      </c>
      <c r="F156" s="98" t="s">
        <v>58</v>
      </c>
      <c r="G156" s="11"/>
      <c r="H156" s="101" t="s">
        <v>1414</v>
      </c>
      <c r="I156" s="24" t="s">
        <v>1424</v>
      </c>
      <c r="J156" s="56" t="str">
        <f t="shared" si="79"/>
        <v>Dedicated pin</v>
      </c>
      <c r="K156" s="74" t="str">
        <f>IF(LEFT(F156,1)="V",$AE$4,$AE$6)</f>
        <v>Out</v>
      </c>
      <c r="L156" s="79" t="s">
        <v>20</v>
      </c>
      <c r="M156" s="68" t="s">
        <v>1416</v>
      </c>
      <c r="N156" s="68" t="s">
        <v>20</v>
      </c>
      <c r="O156" s="68"/>
      <c r="P156" s="87"/>
      <c r="Q156" s="87"/>
      <c r="R156" s="13"/>
      <c r="S156" s="99"/>
      <c r="T156" s="99"/>
      <c r="U156" s="5"/>
      <c r="V156" s="396" t="str">
        <f t="shared" si="80"/>
        <v>PORT J</v>
      </c>
      <c r="W156" s="23">
        <v>7</v>
      </c>
      <c r="X156" s="18" t="str">
        <f t="shared" si="74"/>
        <v>0</v>
      </c>
      <c r="Y156" s="41" t="str">
        <f>IF(LEFT(K156,1)="O","1","0")</f>
        <v>1</v>
      </c>
      <c r="Z156" s="3">
        <f t="shared" si="82"/>
        <v>1</v>
      </c>
      <c r="AA156" s="2" t="str">
        <f t="shared" si="77"/>
        <v>0</v>
      </c>
      <c r="AB156" s="64" t="str">
        <f t="shared" si="78"/>
        <v>0</v>
      </c>
      <c r="AE156" s="6" t="str">
        <f>V156</f>
        <v>PORT J</v>
      </c>
      <c r="AF156" s="20" t="s">
        <v>1425</v>
      </c>
    </row>
    <row r="157" spans="2:32" ht="12.75">
      <c r="B157" s="50"/>
      <c r="C157" s="10" t="s">
        <v>1426</v>
      </c>
      <c r="D157" s="41"/>
      <c r="E157" s="100" t="s">
        <v>1427</v>
      </c>
      <c r="F157" s="100" t="s">
        <v>59</v>
      </c>
      <c r="G157" s="11"/>
      <c r="H157" s="101" t="s">
        <v>1428</v>
      </c>
      <c r="I157" s="24" t="s">
        <v>1429</v>
      </c>
      <c r="J157" s="56" t="str">
        <f t="shared" si="79"/>
        <v>Dedicated pin</v>
      </c>
      <c r="K157" s="74" t="str">
        <f>IF(LEFT(F157,1)="V",$AE$4,$AE$6)</f>
        <v>Out</v>
      </c>
      <c r="L157" s="79" t="s">
        <v>20</v>
      </c>
      <c r="M157" s="68" t="s">
        <v>1430</v>
      </c>
      <c r="N157" s="68" t="s">
        <v>20</v>
      </c>
      <c r="O157" s="68"/>
      <c r="P157" s="87"/>
      <c r="Q157" s="87"/>
      <c r="R157" s="13"/>
      <c r="S157" s="11"/>
      <c r="T157" s="11"/>
      <c r="U157" s="5"/>
      <c r="V157" s="397">
        <f t="shared" si="80"/>
        <v>0</v>
      </c>
      <c r="W157" s="21">
        <v>6</v>
      </c>
      <c r="X157" s="18" t="str">
        <f t="shared" si="74"/>
        <v>0</v>
      </c>
      <c r="Y157" s="41" t="str">
        <f t="shared" ref="Y157:Y159" si="85">IF(LEFT(K157,1)="O","1","0")</f>
        <v>1</v>
      </c>
      <c r="Z157" s="3">
        <f>VLOOKUP(J157,$AD$4:$AG$6,4,FALSE)</f>
        <v>1</v>
      </c>
      <c r="AA157" s="2" t="str">
        <f t="shared" si="77"/>
        <v>0</v>
      </c>
      <c r="AB157" s="64" t="str">
        <f t="shared" si="78"/>
        <v>0</v>
      </c>
      <c r="AE157" s="1" t="str">
        <f>$X$11</f>
        <v>PDR</v>
      </c>
      <c r="AF157" s="1" t="str">
        <f>DEC2HEX(((2^W156)*X156)+(2^W157*X157)+(2^W158*X158)+(2^W159*X159)+(2^W160*X160)+(2^W161*X161)+(2^W162*X162)+(2^W163*X163))</f>
        <v>0</v>
      </c>
    </row>
    <row r="158" spans="2:32" ht="12.75">
      <c r="B158" s="50"/>
      <c r="C158" s="10" t="s">
        <v>1431</v>
      </c>
      <c r="D158" s="41"/>
      <c r="E158" s="100" t="s">
        <v>1432</v>
      </c>
      <c r="F158" s="100" t="s">
        <v>60</v>
      </c>
      <c r="G158" s="11"/>
      <c r="H158" s="101" t="s">
        <v>1433</v>
      </c>
      <c r="I158" s="24" t="s">
        <v>1434</v>
      </c>
      <c r="J158" s="56" t="str">
        <f t="shared" si="79"/>
        <v>Dedicated pin</v>
      </c>
      <c r="K158" s="74" t="str">
        <f t="shared" ref="K158:K163" si="86">IF(LEFT(F158,1)="V",$AE$4,$AE$6)</f>
        <v>Out</v>
      </c>
      <c r="L158" s="79" t="s">
        <v>20</v>
      </c>
      <c r="M158" s="68" t="s">
        <v>1435</v>
      </c>
      <c r="N158" s="68" t="s">
        <v>20</v>
      </c>
      <c r="O158" s="68"/>
      <c r="P158" s="88"/>
      <c r="Q158" s="88"/>
      <c r="R158" s="13"/>
      <c r="S158" s="11"/>
      <c r="T158" s="11"/>
      <c r="V158" s="397">
        <f t="shared" si="80"/>
        <v>0</v>
      </c>
      <c r="W158" s="21">
        <v>5</v>
      </c>
      <c r="X158" s="18" t="str">
        <f t="shared" si="74"/>
        <v>0</v>
      </c>
      <c r="Y158" s="41" t="str">
        <f t="shared" si="85"/>
        <v>1</v>
      </c>
      <c r="Z158" s="3">
        <f>VLOOKUP(J158,$AD$4:$AG$6,4,FALSE)</f>
        <v>1</v>
      </c>
      <c r="AA158" s="2" t="str">
        <f t="shared" si="77"/>
        <v>0</v>
      </c>
      <c r="AB158" s="64" t="str">
        <f t="shared" si="78"/>
        <v>0</v>
      </c>
      <c r="AE158" s="1" t="str">
        <f>$Y$11</f>
        <v>DDR</v>
      </c>
      <c r="AF158" s="1" t="str">
        <f>DEC2HEX(((2^W156)*Y156)+(2^W157*Y157)+(2^W158*Y158)+(2^W159*Y159)+(2^W160*Y160)+(2^W161*Y161)+(2^W162*Y162)+(2^W163*Y163))</f>
        <v>FF</v>
      </c>
    </row>
    <row r="159" spans="2:32" ht="12.75">
      <c r="B159" s="50"/>
      <c r="C159" s="10" t="s">
        <v>1436</v>
      </c>
      <c r="D159" s="41"/>
      <c r="E159" s="100" t="s">
        <v>1437</v>
      </c>
      <c r="F159" s="100" t="s">
        <v>61</v>
      </c>
      <c r="G159" s="11"/>
      <c r="H159" s="101" t="s">
        <v>1438</v>
      </c>
      <c r="I159" s="24" t="s">
        <v>1439</v>
      </c>
      <c r="J159" s="56" t="str">
        <f t="shared" si="79"/>
        <v>Dedicated pin</v>
      </c>
      <c r="K159" s="74" t="str">
        <f t="shared" si="86"/>
        <v>Out</v>
      </c>
      <c r="L159" s="79" t="s">
        <v>20</v>
      </c>
      <c r="M159" s="68" t="s">
        <v>1440</v>
      </c>
      <c r="N159" s="68" t="s">
        <v>20</v>
      </c>
      <c r="O159" s="68"/>
      <c r="P159" s="88"/>
      <c r="Q159" s="88"/>
      <c r="R159" s="13"/>
      <c r="S159" s="11"/>
      <c r="T159" s="11"/>
      <c r="V159" s="397">
        <f t="shared" si="80"/>
        <v>0</v>
      </c>
      <c r="W159" s="25">
        <v>4</v>
      </c>
      <c r="X159" s="18" t="str">
        <f t="shared" si="74"/>
        <v>0</v>
      </c>
      <c r="Y159" s="41" t="str">
        <f t="shared" si="85"/>
        <v>1</v>
      </c>
      <c r="Z159" s="3">
        <f t="shared" ref="Z159:Z164" si="87">VLOOKUP(J159,$AD$4:$AG$6,4,FALSE)</f>
        <v>1</v>
      </c>
      <c r="AA159" s="2" t="str">
        <f t="shared" si="77"/>
        <v>0</v>
      </c>
      <c r="AB159" s="64" t="str">
        <f t="shared" si="78"/>
        <v>0</v>
      </c>
      <c r="AE159" s="1" t="str">
        <f>$Z$11</f>
        <v>EPCR</v>
      </c>
      <c r="AF159" s="1" t="str">
        <f>DEC2HEX(((2^W156)*Z156)+(2^W157*Z157)+(2^W158*Z158)+(2^W159*Z159)+(2^W160*Z160)+(2^W161*Z161)+(2^W162*Z162)+(2^W163*Z163))</f>
        <v>FF</v>
      </c>
    </row>
    <row r="160" spans="2:32" ht="12.75">
      <c r="B160" s="50"/>
      <c r="C160" s="10" t="s">
        <v>1441</v>
      </c>
      <c r="D160" s="41"/>
      <c r="E160" s="100" t="s">
        <v>1442</v>
      </c>
      <c r="F160" s="100" t="s">
        <v>62</v>
      </c>
      <c r="G160" s="11"/>
      <c r="H160" s="101" t="s">
        <v>1443</v>
      </c>
      <c r="I160" s="24" t="s">
        <v>1444</v>
      </c>
      <c r="J160" s="56" t="str">
        <f t="shared" si="79"/>
        <v>Dedicated pin</v>
      </c>
      <c r="K160" s="74" t="str">
        <f t="shared" si="86"/>
        <v>Out</v>
      </c>
      <c r="L160" s="79" t="s">
        <v>20</v>
      </c>
      <c r="M160" s="68" t="s">
        <v>1445</v>
      </c>
      <c r="N160" s="68" t="s">
        <v>20</v>
      </c>
      <c r="O160" s="68"/>
      <c r="P160" s="92"/>
      <c r="Q160" s="109" t="str">
        <f>IF(LEFT(F160,2)="UD","UDT1BS=b11","")</f>
        <v/>
      </c>
      <c r="R160" s="13"/>
      <c r="S160" s="11"/>
      <c r="T160" s="11"/>
      <c r="V160" s="397">
        <f t="shared" si="80"/>
        <v>0</v>
      </c>
      <c r="W160" s="21">
        <v>3</v>
      </c>
      <c r="X160" s="18" t="str">
        <f t="shared" si="74"/>
        <v>0</v>
      </c>
      <c r="Y160" s="41" t="str">
        <f>IF(LEFT(K160,1)="O","1","0")</f>
        <v>1</v>
      </c>
      <c r="Z160" s="3">
        <f t="shared" si="87"/>
        <v>1</v>
      </c>
      <c r="AA160" s="2" t="str">
        <f t="shared" si="77"/>
        <v>0</v>
      </c>
      <c r="AB160" s="64" t="str">
        <f t="shared" si="78"/>
        <v>0</v>
      </c>
      <c r="AE160" s="1" t="str">
        <f>$AA$11</f>
        <v>PUDEN</v>
      </c>
      <c r="AF160" s="1" t="str">
        <f>DEC2HEX(((2^W156)*AA156)+(2^W157*AA157)+(2^W158*AA158)+(2^W159*AA159)+(2^W160*AA160)+(2^W161*AA161)+(2^W162*AA162)+(2^W163*AA163))</f>
        <v>0</v>
      </c>
    </row>
    <row r="161" spans="2:32" ht="12.75">
      <c r="B161" s="50"/>
      <c r="C161" s="10" t="s">
        <v>1446</v>
      </c>
      <c r="D161" s="41"/>
      <c r="E161" s="100" t="s">
        <v>1447</v>
      </c>
      <c r="F161" s="100" t="s">
        <v>63</v>
      </c>
      <c r="G161" s="11"/>
      <c r="H161" s="101" t="s">
        <v>1448</v>
      </c>
      <c r="I161" s="24" t="s">
        <v>1449</v>
      </c>
      <c r="J161" s="56" t="str">
        <f t="shared" si="79"/>
        <v>Dedicated pin</v>
      </c>
      <c r="K161" s="74" t="str">
        <f t="shared" si="86"/>
        <v>Out</v>
      </c>
      <c r="L161" s="79" t="s">
        <v>20</v>
      </c>
      <c r="M161" s="68" t="s">
        <v>1450</v>
      </c>
      <c r="N161" s="68" t="s">
        <v>20</v>
      </c>
      <c r="O161" s="68"/>
      <c r="P161" s="88"/>
      <c r="Q161" s="109" t="str">
        <f>IF(LEFT(F161,2)="UD","UDT1AS=b11","")</f>
        <v/>
      </c>
      <c r="R161" s="13"/>
      <c r="S161" s="11"/>
      <c r="T161" s="11"/>
      <c r="V161" s="397">
        <f t="shared" si="80"/>
        <v>0</v>
      </c>
      <c r="W161" s="21">
        <v>2</v>
      </c>
      <c r="X161" s="18" t="str">
        <f t="shared" si="74"/>
        <v>0</v>
      </c>
      <c r="Y161" s="41" t="str">
        <f t="shared" ref="Y161:Y163" si="88">IF(LEFT(K161,1)="O","1","0")</f>
        <v>1</v>
      </c>
      <c r="Z161" s="3">
        <f t="shared" si="87"/>
        <v>1</v>
      </c>
      <c r="AA161" s="2" t="str">
        <f t="shared" si="77"/>
        <v>0</v>
      </c>
      <c r="AB161" s="64" t="str">
        <f t="shared" si="78"/>
        <v>0</v>
      </c>
      <c r="AC161" s="26"/>
      <c r="AE161" s="1" t="str">
        <f>$AB$11</f>
        <v>PUDCR</v>
      </c>
      <c r="AF161" s="1" t="str">
        <f>DEC2HEX(((2^W156)*AB156)+(2^W157*AB157)+(2^W158*AB158)+(2^W159*AB159)+(2^W160*AB160)+(2^W161*AB161)+(2^W162*AB162)+(2^W163*AB163))</f>
        <v>0</v>
      </c>
    </row>
    <row r="162" spans="2:32" ht="12.75">
      <c r="B162" s="50"/>
      <c r="C162" s="10" t="s">
        <v>1451</v>
      </c>
      <c r="D162" s="41"/>
      <c r="E162" s="100" t="s">
        <v>1452</v>
      </c>
      <c r="F162" s="100" t="s">
        <v>1453</v>
      </c>
      <c r="G162" s="11"/>
      <c r="H162" s="101" t="s">
        <v>1454</v>
      </c>
      <c r="I162" s="24" t="s">
        <v>1455</v>
      </c>
      <c r="J162" s="56" t="str">
        <f t="shared" si="79"/>
        <v>Dedicated pin</v>
      </c>
      <c r="K162" s="74" t="str">
        <f t="shared" si="86"/>
        <v>Out</v>
      </c>
      <c r="L162" s="79" t="s">
        <v>20</v>
      </c>
      <c r="M162" s="68" t="s">
        <v>1456</v>
      </c>
      <c r="N162" s="68" t="s">
        <v>20</v>
      </c>
      <c r="O162" s="68"/>
      <c r="P162" s="88"/>
      <c r="Q162" s="109" t="str">
        <f>IF(LEFT(F162,2)="UD","UDT0BS=b11","")</f>
        <v/>
      </c>
      <c r="R162" s="13"/>
      <c r="S162" s="11"/>
      <c r="T162" s="11"/>
      <c r="V162" s="397">
        <f t="shared" si="80"/>
        <v>0</v>
      </c>
      <c r="W162" s="21">
        <v>1</v>
      </c>
      <c r="X162" s="18" t="str">
        <f t="shared" si="74"/>
        <v>0</v>
      </c>
      <c r="Y162" s="41" t="str">
        <f t="shared" si="88"/>
        <v>1</v>
      </c>
      <c r="Z162" s="3">
        <f t="shared" si="87"/>
        <v>1</v>
      </c>
      <c r="AA162" s="2" t="str">
        <f t="shared" si="77"/>
        <v>0</v>
      </c>
      <c r="AB162" s="64" t="str">
        <f t="shared" si="78"/>
        <v>0</v>
      </c>
      <c r="AE162" s="27"/>
      <c r="AF162" s="27"/>
    </row>
    <row r="163" spans="2:32" ht="13.5" thickBot="1">
      <c r="B163" s="53"/>
      <c r="C163" s="274" t="s">
        <v>1457</v>
      </c>
      <c r="D163" s="317"/>
      <c r="E163" s="104" t="s">
        <v>1458</v>
      </c>
      <c r="F163" s="104" t="s">
        <v>1459</v>
      </c>
      <c r="G163" s="11"/>
      <c r="H163" s="103" t="s">
        <v>1454</v>
      </c>
      <c r="I163" s="28" t="s">
        <v>1460</v>
      </c>
      <c r="J163" s="57" t="str">
        <f t="shared" si="79"/>
        <v>Dedicated pin</v>
      </c>
      <c r="K163" s="75" t="str">
        <f t="shared" si="86"/>
        <v>Out</v>
      </c>
      <c r="L163" s="80" t="s">
        <v>20</v>
      </c>
      <c r="M163" s="69" t="s">
        <v>1456</v>
      </c>
      <c r="N163" s="69" t="s">
        <v>20</v>
      </c>
      <c r="O163" s="69"/>
      <c r="P163" s="90"/>
      <c r="Q163" s="111" t="str">
        <f>IF(LEFT(F163,2)="UD","UDT0AS=b11","")</f>
        <v/>
      </c>
      <c r="R163" s="15"/>
      <c r="S163" s="12"/>
      <c r="T163" s="12"/>
      <c r="V163" s="398">
        <f t="shared" si="80"/>
        <v>0</v>
      </c>
      <c r="W163" s="22">
        <v>0</v>
      </c>
      <c r="X163" s="19" t="str">
        <f t="shared" si="74"/>
        <v>0</v>
      </c>
      <c r="Y163" s="42" t="str">
        <f t="shared" si="88"/>
        <v>1</v>
      </c>
      <c r="Z163" s="8">
        <f t="shared" si="87"/>
        <v>1</v>
      </c>
      <c r="AA163" s="9" t="str">
        <f t="shared" si="77"/>
        <v>0</v>
      </c>
      <c r="AB163" s="65" t="str">
        <f t="shared" si="78"/>
        <v>0</v>
      </c>
    </row>
    <row r="164" spans="2:32" ht="13.5" thickTop="1">
      <c r="B164" s="50" t="s">
        <v>1461</v>
      </c>
      <c r="C164" s="10" t="s">
        <v>1462</v>
      </c>
      <c r="D164" s="41"/>
      <c r="E164" s="100" t="s">
        <v>1463</v>
      </c>
      <c r="F164" s="100" t="s">
        <v>1464</v>
      </c>
      <c r="G164" s="11"/>
      <c r="H164" s="101" t="s">
        <v>1454</v>
      </c>
      <c r="I164" s="24" t="s">
        <v>1465</v>
      </c>
      <c r="J164" s="56" t="str">
        <f t="shared" si="79"/>
        <v>GPIO pin</v>
      </c>
      <c r="K164" s="74" t="s">
        <v>1466</v>
      </c>
      <c r="L164" s="79" t="s">
        <v>91</v>
      </c>
      <c r="M164" s="68" t="s">
        <v>1456</v>
      </c>
      <c r="N164" s="68" t="s">
        <v>20</v>
      </c>
      <c r="O164" s="68"/>
      <c r="P164" s="87"/>
      <c r="Q164" s="87"/>
      <c r="R164" s="13"/>
      <c r="S164" s="99"/>
      <c r="T164" s="99"/>
      <c r="U164" s="5"/>
      <c r="V164" s="396" t="str">
        <f t="shared" si="80"/>
        <v>PORT K</v>
      </c>
      <c r="W164" s="23">
        <v>7</v>
      </c>
      <c r="X164" s="18" t="str">
        <f t="shared" si="74"/>
        <v>0</v>
      </c>
      <c r="Y164" s="41" t="str">
        <f>IF(LEFT(K164,1)="O","1","0")</f>
        <v>0</v>
      </c>
      <c r="Z164" s="3">
        <f t="shared" si="87"/>
        <v>0</v>
      </c>
      <c r="AA164" s="2" t="str">
        <f t="shared" si="77"/>
        <v>1</v>
      </c>
      <c r="AB164" s="64" t="str">
        <f t="shared" si="78"/>
        <v>0</v>
      </c>
      <c r="AE164" s="6" t="str">
        <f>V164</f>
        <v>PORT K</v>
      </c>
      <c r="AF164" s="20" t="s">
        <v>1467</v>
      </c>
    </row>
    <row r="165" spans="2:32" ht="12.75">
      <c r="B165" s="50"/>
      <c r="C165" s="10" t="s">
        <v>1468</v>
      </c>
      <c r="D165" s="41"/>
      <c r="E165" s="100" t="s">
        <v>1469</v>
      </c>
      <c r="F165" s="100" t="s">
        <v>1470</v>
      </c>
      <c r="G165" s="11"/>
      <c r="H165" s="101" t="s">
        <v>1471</v>
      </c>
      <c r="I165" s="24" t="s">
        <v>1472</v>
      </c>
      <c r="J165" s="56" t="str">
        <f t="shared" si="79"/>
        <v>GPIO pin</v>
      </c>
      <c r="K165" s="74" t="s">
        <v>1473</v>
      </c>
      <c r="L165" s="79" t="s">
        <v>91</v>
      </c>
      <c r="M165" s="68" t="s">
        <v>1474</v>
      </c>
      <c r="N165" s="68" t="s">
        <v>20</v>
      </c>
      <c r="O165" s="68"/>
      <c r="P165" s="87"/>
      <c r="Q165" s="87"/>
      <c r="R165" s="13"/>
      <c r="S165" s="11"/>
      <c r="T165" s="11"/>
      <c r="U165" s="5"/>
      <c r="V165" s="397">
        <f t="shared" si="80"/>
        <v>0</v>
      </c>
      <c r="W165" s="21">
        <v>6</v>
      </c>
      <c r="X165" s="18" t="str">
        <f t="shared" si="74"/>
        <v>0</v>
      </c>
      <c r="Y165" s="41" t="str">
        <f t="shared" ref="Y165:Y167" si="89">IF(LEFT(K165,1)="O","1","0")</f>
        <v>0</v>
      </c>
      <c r="Z165" s="3">
        <f>VLOOKUP(J165,$AD$4:$AG$6,4,FALSE)</f>
        <v>0</v>
      </c>
      <c r="AA165" s="2" t="str">
        <f t="shared" si="77"/>
        <v>1</v>
      </c>
      <c r="AB165" s="64" t="str">
        <f t="shared" si="78"/>
        <v>0</v>
      </c>
      <c r="AE165" s="1" t="str">
        <f>$X$11</f>
        <v>PDR</v>
      </c>
      <c r="AF165" s="1" t="str">
        <f>DEC2HEX(((2^W164)*X164)+(2^W165*X165)+(2^W166*X166)+(2^W167*X167)+(2^W168*X168)+(2^W169*X169)+(2^W170*X170)+(2^W171*X171))</f>
        <v>0</v>
      </c>
    </row>
    <row r="166" spans="2:32" ht="12.75">
      <c r="B166" s="50"/>
      <c r="C166" s="10" t="s">
        <v>1475</v>
      </c>
      <c r="D166" s="41"/>
      <c r="E166" s="100" t="s">
        <v>1476</v>
      </c>
      <c r="F166" s="100" t="s">
        <v>1477</v>
      </c>
      <c r="G166" s="11"/>
      <c r="H166" s="101" t="s">
        <v>1478</v>
      </c>
      <c r="I166" s="24" t="s">
        <v>1479</v>
      </c>
      <c r="J166" s="56" t="str">
        <f t="shared" si="79"/>
        <v>GPIO pin</v>
      </c>
      <c r="K166" s="74" t="s">
        <v>1480</v>
      </c>
      <c r="L166" s="79" t="s">
        <v>91</v>
      </c>
      <c r="M166" s="68" t="s">
        <v>1481</v>
      </c>
      <c r="N166" s="68" t="s">
        <v>20</v>
      </c>
      <c r="O166" s="68"/>
      <c r="P166" s="88"/>
      <c r="Q166" s="88"/>
      <c r="R166" s="13"/>
      <c r="S166" s="11"/>
      <c r="T166" s="11"/>
      <c r="V166" s="397">
        <f t="shared" si="80"/>
        <v>0</v>
      </c>
      <c r="W166" s="21">
        <v>5</v>
      </c>
      <c r="X166" s="18" t="str">
        <f t="shared" si="74"/>
        <v>0</v>
      </c>
      <c r="Y166" s="41" t="str">
        <f t="shared" si="89"/>
        <v>0</v>
      </c>
      <c r="Z166" s="3">
        <f>VLOOKUP(J166,$AD$4:$AG$6,4,FALSE)</f>
        <v>0</v>
      </c>
      <c r="AA166" s="2" t="str">
        <f t="shared" si="77"/>
        <v>1</v>
      </c>
      <c r="AB166" s="64" t="str">
        <f t="shared" si="78"/>
        <v>0</v>
      </c>
      <c r="AE166" s="1" t="str">
        <f>$Y$11</f>
        <v>DDR</v>
      </c>
      <c r="AF166" s="1" t="str">
        <f>DEC2HEX(((2^W164)*Y164)+(2^W165*Y165)+(2^W166*Y166)+(2^W167*Y167)+(2^W168*Y168)+(2^W169*Y169)+(2^W170*Y170)+(2^W171*Y171))</f>
        <v>3</v>
      </c>
    </row>
    <row r="167" spans="2:32" ht="12.75">
      <c r="B167" s="50"/>
      <c r="C167" s="10" t="s">
        <v>1482</v>
      </c>
      <c r="D167" s="41"/>
      <c r="E167" s="100" t="s">
        <v>1483</v>
      </c>
      <c r="F167" s="100" t="s">
        <v>1482</v>
      </c>
      <c r="G167" s="11"/>
      <c r="H167" s="101" t="s">
        <v>1484</v>
      </c>
      <c r="I167" s="24" t="s">
        <v>1485</v>
      </c>
      <c r="J167" s="56" t="str">
        <f t="shared" si="79"/>
        <v>GPIO pin</v>
      </c>
      <c r="K167" s="74" t="s">
        <v>1486</v>
      </c>
      <c r="L167" s="79" t="s">
        <v>91</v>
      </c>
      <c r="M167" s="68" t="s">
        <v>1487</v>
      </c>
      <c r="N167" s="68" t="s">
        <v>20</v>
      </c>
      <c r="O167" s="68"/>
      <c r="P167" s="88"/>
      <c r="Q167" s="88"/>
      <c r="R167" s="13"/>
      <c r="S167" s="11"/>
      <c r="T167" s="11"/>
      <c r="V167" s="397">
        <f t="shared" si="80"/>
        <v>0</v>
      </c>
      <c r="W167" s="25">
        <v>4</v>
      </c>
      <c r="X167" s="18" t="str">
        <f t="shared" si="74"/>
        <v>0</v>
      </c>
      <c r="Y167" s="41" t="str">
        <f t="shared" si="89"/>
        <v>0</v>
      </c>
      <c r="Z167" s="3">
        <f t="shared" ref="Z167:Z171" si="90">VLOOKUP(J167,$AD$4:$AG$6,4,FALSE)</f>
        <v>0</v>
      </c>
      <c r="AA167" s="2" t="str">
        <f t="shared" si="77"/>
        <v>1</v>
      </c>
      <c r="AB167" s="64" t="str">
        <f t="shared" si="78"/>
        <v>0</v>
      </c>
      <c r="AE167" s="1" t="str">
        <f>$Z$11</f>
        <v>EPCR</v>
      </c>
      <c r="AF167" s="1" t="str">
        <f>DEC2HEX(((2^W164)*Z164)+(2^W165*Z165)+(2^W166*Z166)+(2^W167*Z167)+(2^W168*Z168)+(2^W169*Z169)+(2^W170*Z170)+(2^W171*Z171))</f>
        <v>3</v>
      </c>
    </row>
    <row r="168" spans="2:32" ht="12.75">
      <c r="B168" s="50"/>
      <c r="C168" s="10" t="s">
        <v>1488</v>
      </c>
      <c r="D168" s="41"/>
      <c r="E168" s="100" t="s">
        <v>1489</v>
      </c>
      <c r="F168" s="100" t="s">
        <v>1488</v>
      </c>
      <c r="G168" s="11"/>
      <c r="H168" s="101" t="s">
        <v>1490</v>
      </c>
      <c r="I168" s="24" t="s">
        <v>1491</v>
      </c>
      <c r="J168" s="56" t="str">
        <f t="shared" si="79"/>
        <v>GPIO pin</v>
      </c>
      <c r="K168" s="74" t="s">
        <v>1492</v>
      </c>
      <c r="L168" s="79" t="s">
        <v>91</v>
      </c>
      <c r="M168" s="68" t="s">
        <v>1493</v>
      </c>
      <c r="N168" s="68" t="s">
        <v>20</v>
      </c>
      <c r="O168" s="68"/>
      <c r="P168" s="92"/>
      <c r="Q168" s="109" t="str">
        <f>IF(LEFT(F168,2)="UD","UDT1BS=b11","")</f>
        <v/>
      </c>
      <c r="R168" s="13"/>
      <c r="S168" s="11"/>
      <c r="T168" s="11"/>
      <c r="V168" s="397">
        <f t="shared" si="80"/>
        <v>0</v>
      </c>
      <c r="W168" s="21">
        <v>3</v>
      </c>
      <c r="X168" s="18" t="str">
        <f t="shared" si="74"/>
        <v>0</v>
      </c>
      <c r="Y168" s="41" t="str">
        <f>IF(LEFT(K168,1)="O","1","0")</f>
        <v>0</v>
      </c>
      <c r="Z168" s="3">
        <f t="shared" si="90"/>
        <v>0</v>
      </c>
      <c r="AA168" s="2" t="str">
        <f t="shared" si="77"/>
        <v>1</v>
      </c>
      <c r="AB168" s="64" t="str">
        <f t="shared" si="78"/>
        <v>0</v>
      </c>
      <c r="AE168" s="1" t="str">
        <f>$AA$11</f>
        <v>PUDEN</v>
      </c>
      <c r="AF168" s="1" t="str">
        <f>DEC2HEX(((2^W164)*AA164)+(2^W165*AA165)+(2^W166*AA166)+(2^W167*AA167)+(2^W168*AA168)+(2^W169*AA169)+(2^W170*AA170)+(2^W171*AA171))</f>
        <v>FC</v>
      </c>
    </row>
    <row r="169" spans="2:32" ht="12.75">
      <c r="B169" s="50"/>
      <c r="C169" s="10" t="s">
        <v>1494</v>
      </c>
      <c r="D169" s="41"/>
      <c r="E169" s="100" t="s">
        <v>1495</v>
      </c>
      <c r="F169" s="100" t="s">
        <v>1494</v>
      </c>
      <c r="G169" s="11"/>
      <c r="H169" s="101" t="s">
        <v>1496</v>
      </c>
      <c r="I169" s="24" t="s">
        <v>1497</v>
      </c>
      <c r="J169" s="56" t="str">
        <f t="shared" si="79"/>
        <v>GPIO pin</v>
      </c>
      <c r="K169" s="74" t="s">
        <v>1498</v>
      </c>
      <c r="L169" s="79" t="s">
        <v>91</v>
      </c>
      <c r="M169" s="68" t="s">
        <v>1499</v>
      </c>
      <c r="N169" s="68" t="s">
        <v>20</v>
      </c>
      <c r="O169" s="68"/>
      <c r="P169" s="88"/>
      <c r="Q169" s="109" t="str">
        <f>IF(LEFT(F169,2)="UD","UDT1AS=b11","")</f>
        <v/>
      </c>
      <c r="R169" s="13"/>
      <c r="S169" s="11"/>
      <c r="T169" s="11"/>
      <c r="V169" s="397">
        <f t="shared" si="80"/>
        <v>0</v>
      </c>
      <c r="W169" s="21">
        <v>2</v>
      </c>
      <c r="X169" s="18" t="str">
        <f t="shared" si="74"/>
        <v>0</v>
      </c>
      <c r="Y169" s="41" t="str">
        <f t="shared" ref="Y169:Y171" si="91">IF(LEFT(K169,1)="O","1","0")</f>
        <v>0</v>
      </c>
      <c r="Z169" s="3">
        <f t="shared" si="90"/>
        <v>0</v>
      </c>
      <c r="AA169" s="2" t="str">
        <f t="shared" si="77"/>
        <v>1</v>
      </c>
      <c r="AB169" s="64" t="str">
        <f t="shared" si="78"/>
        <v>0</v>
      </c>
      <c r="AC169" s="26"/>
      <c r="AE169" s="1" t="str">
        <f>$AB$11</f>
        <v>PUDCR</v>
      </c>
      <c r="AF169" s="1" t="str">
        <f>DEC2HEX(((2^W164)*AB164)+(2^W165*AB165)+(2^W166*AB166)+(2^W167*AB167)+(2^W168*AB168)+(2^W169*AB169)+(2^W170*AB170)+(2^W171*AB171))</f>
        <v>0</v>
      </c>
    </row>
    <row r="170" spans="2:32" ht="12.75">
      <c r="B170" s="50"/>
      <c r="C170" s="10" t="s">
        <v>1500</v>
      </c>
      <c r="D170" s="41"/>
      <c r="E170" s="100" t="s">
        <v>1501</v>
      </c>
      <c r="F170" s="100" t="s">
        <v>56</v>
      </c>
      <c r="G170" s="11"/>
      <c r="H170" s="101" t="s">
        <v>1502</v>
      </c>
      <c r="I170" s="24" t="s">
        <v>1503</v>
      </c>
      <c r="J170" s="56" t="str">
        <f t="shared" si="79"/>
        <v>Dedicated pin</v>
      </c>
      <c r="K170" s="74" t="str">
        <f t="shared" ref="K170:K171" si="92">IF(LEFT(F170,1)="V",$AE$4,$AE$6)</f>
        <v>Out</v>
      </c>
      <c r="L170" s="79" t="s">
        <v>20</v>
      </c>
      <c r="M170" s="68" t="s">
        <v>1504</v>
      </c>
      <c r="N170" s="68" t="s">
        <v>20</v>
      </c>
      <c r="O170" s="68"/>
      <c r="P170" s="88"/>
      <c r="Q170" s="109" t="str">
        <f>IF(LEFT(F170,2)="UD","UDT0BS=b11","")</f>
        <v/>
      </c>
      <c r="R170" s="13"/>
      <c r="S170" s="11"/>
      <c r="T170" s="11"/>
      <c r="V170" s="397">
        <f t="shared" si="80"/>
        <v>0</v>
      </c>
      <c r="W170" s="21">
        <v>1</v>
      </c>
      <c r="X170" s="18" t="str">
        <f t="shared" si="74"/>
        <v>0</v>
      </c>
      <c r="Y170" s="41" t="str">
        <f t="shared" si="91"/>
        <v>1</v>
      </c>
      <c r="Z170" s="3">
        <f t="shared" si="90"/>
        <v>1</v>
      </c>
      <c r="AA170" s="2" t="str">
        <f t="shared" si="77"/>
        <v>0</v>
      </c>
      <c r="AB170" s="64" t="str">
        <f t="shared" si="78"/>
        <v>0</v>
      </c>
      <c r="AE170" s="27"/>
      <c r="AF170" s="27"/>
    </row>
    <row r="171" spans="2:32" ht="13.5" thickBot="1">
      <c r="B171" s="53"/>
      <c r="C171" s="274" t="s">
        <v>1505</v>
      </c>
      <c r="D171" s="317"/>
      <c r="E171" s="104" t="s">
        <v>1506</v>
      </c>
      <c r="F171" s="100" t="s">
        <v>57</v>
      </c>
      <c r="G171" s="11"/>
      <c r="H171" s="103" t="s">
        <v>1502</v>
      </c>
      <c r="I171" s="28" t="s">
        <v>1507</v>
      </c>
      <c r="J171" s="57" t="str">
        <f t="shared" si="79"/>
        <v>Dedicated pin</v>
      </c>
      <c r="K171" s="75" t="str">
        <f t="shared" si="92"/>
        <v>Out</v>
      </c>
      <c r="L171" s="80" t="s">
        <v>20</v>
      </c>
      <c r="M171" s="69" t="s">
        <v>1504</v>
      </c>
      <c r="N171" s="69" t="s">
        <v>20</v>
      </c>
      <c r="O171" s="69"/>
      <c r="P171" s="90"/>
      <c r="Q171" s="111" t="str">
        <f>IF(LEFT(F171,2)="UD","UDT0AS=b11","")</f>
        <v/>
      </c>
      <c r="R171" s="15"/>
      <c r="S171" s="12"/>
      <c r="T171" s="12"/>
      <c r="V171" s="398">
        <f t="shared" si="80"/>
        <v>0</v>
      </c>
      <c r="W171" s="22">
        <v>0</v>
      </c>
      <c r="X171" s="19" t="str">
        <f t="shared" si="74"/>
        <v>0</v>
      </c>
      <c r="Y171" s="42" t="str">
        <f t="shared" si="91"/>
        <v>1</v>
      </c>
      <c r="Z171" s="8">
        <f t="shared" si="90"/>
        <v>1</v>
      </c>
      <c r="AA171" s="9" t="str">
        <f t="shared" si="77"/>
        <v>0</v>
      </c>
      <c r="AB171" s="65" t="str">
        <f t="shared" si="78"/>
        <v>0</v>
      </c>
    </row>
    <row r="172" spans="2:32" ht="13.5" thickTop="1">
      <c r="B172" s="50" t="s">
        <v>1508</v>
      </c>
      <c r="C172" s="59" t="s">
        <v>1509</v>
      </c>
      <c r="D172" s="309"/>
      <c r="E172" s="294"/>
      <c r="F172" s="319"/>
      <c r="G172" s="284"/>
      <c r="H172" s="284"/>
      <c r="I172" s="294"/>
      <c r="J172" s="281" t="s">
        <v>1510</v>
      </c>
      <c r="K172" s="288"/>
      <c r="L172" s="289"/>
      <c r="M172" s="290"/>
      <c r="N172" s="290"/>
      <c r="O172" s="290"/>
      <c r="P172" s="311"/>
      <c r="Q172" s="311"/>
      <c r="R172" s="292"/>
      <c r="S172" s="281"/>
      <c r="T172" s="281"/>
      <c r="U172" s="5"/>
      <c r="V172" s="396" t="str">
        <f t="shared" si="80"/>
        <v>PORT L</v>
      </c>
      <c r="W172" s="23">
        <v>7</v>
      </c>
      <c r="X172" s="320">
        <v>0</v>
      </c>
      <c r="Y172" s="49">
        <v>0</v>
      </c>
      <c r="Z172" s="49">
        <v>0</v>
      </c>
      <c r="AA172" s="49">
        <v>0</v>
      </c>
      <c r="AB172" s="85">
        <v>0</v>
      </c>
      <c r="AE172" s="6" t="str">
        <f>V172</f>
        <v>PORT L</v>
      </c>
      <c r="AF172" s="20" t="s">
        <v>1511</v>
      </c>
    </row>
    <row r="173" spans="2:32" ht="12.75">
      <c r="B173" s="50"/>
      <c r="C173" s="59" t="s">
        <v>1512</v>
      </c>
      <c r="D173" s="309"/>
      <c r="E173" s="294"/>
      <c r="F173" s="294"/>
      <c r="G173" s="284"/>
      <c r="H173" s="284"/>
      <c r="I173" s="294"/>
      <c r="J173" s="284" t="s">
        <v>1513</v>
      </c>
      <c r="K173" s="288"/>
      <c r="L173" s="289"/>
      <c r="M173" s="290"/>
      <c r="N173" s="290"/>
      <c r="O173" s="290"/>
      <c r="P173" s="311"/>
      <c r="Q173" s="311"/>
      <c r="R173" s="292"/>
      <c r="S173" s="284"/>
      <c r="T173" s="284"/>
      <c r="U173" s="5"/>
      <c r="V173" s="397">
        <f t="shared" si="80"/>
        <v>0</v>
      </c>
      <c r="W173" s="21">
        <v>6</v>
      </c>
      <c r="X173" s="322">
        <v>0</v>
      </c>
      <c r="Y173" s="45">
        <v>0</v>
      </c>
      <c r="Z173" s="45">
        <v>0</v>
      </c>
      <c r="AA173" s="45">
        <v>0</v>
      </c>
      <c r="AB173" s="86">
        <v>0</v>
      </c>
      <c r="AE173" s="1" t="str">
        <f>$X$11</f>
        <v>PDR</v>
      </c>
      <c r="AF173" s="1" t="str">
        <f>DEC2HEX(((2^W172)*X172)+(2^W173*X173)+(2^W174*X174)+(2^W175*X175)+(2^W176*X176)+(2^W177*X177)+(2^W178*X178)+(2^W179*X179))</f>
        <v>0</v>
      </c>
    </row>
    <row r="174" spans="2:32" ht="12.75">
      <c r="B174" s="50"/>
      <c r="C174" s="10" t="s">
        <v>1514</v>
      </c>
      <c r="D174" s="41"/>
      <c r="E174" s="100" t="s">
        <v>1515</v>
      </c>
      <c r="F174" s="363" t="s">
        <v>2534</v>
      </c>
      <c r="G174" s="11"/>
      <c r="H174" s="11" t="s">
        <v>1428</v>
      </c>
      <c r="I174" s="363" t="s">
        <v>2536</v>
      </c>
      <c r="J174" s="56" t="str">
        <f t="shared" ref="J174:J179" si="93">IF(LEFT(F174,1)="P",$AD$5,$AD$4)</f>
        <v>GPIO pin</v>
      </c>
      <c r="K174" s="76" t="s">
        <v>2537</v>
      </c>
      <c r="L174" s="277" t="s">
        <v>91</v>
      </c>
      <c r="M174" s="68" t="s">
        <v>1516</v>
      </c>
      <c r="N174" s="68" t="s">
        <v>20</v>
      </c>
      <c r="O174" s="68"/>
      <c r="P174" s="88"/>
      <c r="Q174" s="88"/>
      <c r="R174" s="13"/>
      <c r="S174" s="11"/>
      <c r="T174" s="11"/>
      <c r="V174" s="397">
        <f t="shared" si="80"/>
        <v>0</v>
      </c>
      <c r="W174" s="21">
        <v>5</v>
      </c>
      <c r="X174" s="18" t="str">
        <f t="shared" si="74"/>
        <v>0</v>
      </c>
      <c r="Y174" s="41" t="str">
        <f t="shared" ref="Y174:Y175" si="94">IF(LEFT(K174,1)="O","1","0")</f>
        <v>1</v>
      </c>
      <c r="Z174" s="3">
        <f>VLOOKUP(J174,$AD$4:$AG$6,4,FALSE)</f>
        <v>0</v>
      </c>
      <c r="AA174" s="2" t="str">
        <f t="shared" si="77"/>
        <v>1</v>
      </c>
      <c r="AB174" s="64" t="str">
        <f t="shared" si="78"/>
        <v>0</v>
      </c>
      <c r="AE174" s="1" t="str">
        <f>$Y$11</f>
        <v>DDR</v>
      </c>
      <c r="AF174" s="1" t="str">
        <f>DEC2HEX(((2^W172)*Y172)+(2^W173*Y173)+(2^W174*Y174)+(2^W175*Y175)+(2^W176*Y176)+(2^W177*Y177)+(2^W178*Y178)+(2^W179*Y179))</f>
        <v>2F</v>
      </c>
    </row>
    <row r="175" spans="2:32" ht="12.75">
      <c r="B175" s="50"/>
      <c r="C175" s="10" t="s">
        <v>1517</v>
      </c>
      <c r="D175" s="41"/>
      <c r="E175" s="100" t="s">
        <v>1518</v>
      </c>
      <c r="F175" s="24" t="s">
        <v>1517</v>
      </c>
      <c r="G175" s="324"/>
      <c r="H175" s="11" t="s">
        <v>1428</v>
      </c>
      <c r="I175" s="14" t="s">
        <v>1465</v>
      </c>
      <c r="J175" s="56" t="str">
        <f t="shared" si="93"/>
        <v>GPIO pin</v>
      </c>
      <c r="K175" s="76" t="s">
        <v>1466</v>
      </c>
      <c r="L175" s="79" t="s">
        <v>91</v>
      </c>
      <c r="M175" s="68" t="s">
        <v>1504</v>
      </c>
      <c r="N175" s="68" t="s">
        <v>20</v>
      </c>
      <c r="O175" s="68"/>
      <c r="P175" s="88"/>
      <c r="Q175" s="88"/>
      <c r="R175" s="13"/>
      <c r="S175" s="11"/>
      <c r="T175" s="11"/>
      <c r="V175" s="397">
        <f t="shared" si="80"/>
        <v>0</v>
      </c>
      <c r="W175" s="25">
        <v>4</v>
      </c>
      <c r="X175" s="18" t="str">
        <f t="shared" si="74"/>
        <v>0</v>
      </c>
      <c r="Y175" s="41" t="str">
        <f t="shared" si="94"/>
        <v>0</v>
      </c>
      <c r="Z175" s="3">
        <f t="shared" ref="Z175:Z179" si="95">VLOOKUP(J175,$AD$4:$AG$6,4,FALSE)</f>
        <v>0</v>
      </c>
      <c r="AA175" s="2" t="str">
        <f t="shared" si="77"/>
        <v>1</v>
      </c>
      <c r="AB175" s="64" t="str">
        <f t="shared" si="78"/>
        <v>0</v>
      </c>
      <c r="AE175" s="1" t="str">
        <f>$Z$11</f>
        <v>EPCR</v>
      </c>
      <c r="AF175" s="1" t="str">
        <f>DEC2HEX(((2^W172)*Z172)+(2^W173*Z173)+(2^W174*Z174)+(2^W175*Z175)+(2^W176*Z176)+(2^W177*Z177)+(2^W178*Z178)+(2^W179*Z179))</f>
        <v>F</v>
      </c>
    </row>
    <row r="176" spans="2:32" ht="12.75">
      <c r="B176" s="50"/>
      <c r="C176" s="10" t="s">
        <v>1519</v>
      </c>
      <c r="D176" s="41"/>
      <c r="E176" s="100" t="s">
        <v>1520</v>
      </c>
      <c r="F176" s="24" t="s">
        <v>2538</v>
      </c>
      <c r="G176" s="11"/>
      <c r="H176" s="11" t="s">
        <v>1428</v>
      </c>
      <c r="I176" s="38" t="s">
        <v>2539</v>
      </c>
      <c r="J176" s="56" t="str">
        <f t="shared" si="93"/>
        <v>Dedicated pin</v>
      </c>
      <c r="K176" s="76" t="str">
        <f>IF(LEFT(F176,1)="V",$AE$4,$AE$6)</f>
        <v>Out</v>
      </c>
      <c r="L176" s="79" t="s">
        <v>20</v>
      </c>
      <c r="M176" s="68" t="s">
        <v>1521</v>
      </c>
      <c r="N176" s="68" t="s">
        <v>20</v>
      </c>
      <c r="O176" s="68"/>
      <c r="P176" s="92"/>
      <c r="Q176" s="109" t="str">
        <f>IF(LEFT(F176,2)="UD","UDT1BS=b11","")</f>
        <v/>
      </c>
      <c r="R176" s="13"/>
      <c r="S176" s="11"/>
      <c r="T176" s="11"/>
      <c r="V176" s="397">
        <f t="shared" si="80"/>
        <v>0</v>
      </c>
      <c r="W176" s="21">
        <v>3</v>
      </c>
      <c r="X176" s="18" t="str">
        <f t="shared" si="74"/>
        <v>0</v>
      </c>
      <c r="Y176" s="41" t="str">
        <f>IF(LEFT(K176,1)="O","1","0")</f>
        <v>1</v>
      </c>
      <c r="Z176" s="3">
        <f t="shared" si="95"/>
        <v>1</v>
      </c>
      <c r="AA176" s="2" t="str">
        <f t="shared" si="77"/>
        <v>0</v>
      </c>
      <c r="AB176" s="64" t="str">
        <f t="shared" si="78"/>
        <v>0</v>
      </c>
      <c r="AE176" s="1" t="str">
        <f>$AA$11</f>
        <v>PUDEN</v>
      </c>
      <c r="AF176" s="1" t="str">
        <f>DEC2HEX(((2^W172)*AA172)+(2^W173*AA173)+(2^W174*AA174)+(2^W175*AA175)+(2^W176*AA176)+(2^W177*AA177)+(2^W178*AA178)+(2^W179*AA179))</f>
        <v>30</v>
      </c>
    </row>
    <row r="177" spans="2:32" ht="12.75">
      <c r="B177" s="50"/>
      <c r="C177" s="10" t="s">
        <v>1522</v>
      </c>
      <c r="D177" s="41"/>
      <c r="E177" s="100" t="s">
        <v>1523</v>
      </c>
      <c r="F177" s="100" t="s">
        <v>68</v>
      </c>
      <c r="G177" s="11"/>
      <c r="H177" s="101" t="s">
        <v>1428</v>
      </c>
      <c r="I177" s="38" t="s">
        <v>2540</v>
      </c>
      <c r="J177" s="56" t="str">
        <f t="shared" si="93"/>
        <v>Dedicated pin</v>
      </c>
      <c r="K177" s="76" t="str">
        <f>IF(LEFT(F177,1)="V",$AE$4,$AE$6)</f>
        <v>Out</v>
      </c>
      <c r="L177" s="79" t="s">
        <v>20</v>
      </c>
      <c r="M177" s="68" t="s">
        <v>1516</v>
      </c>
      <c r="N177" s="68" t="s">
        <v>20</v>
      </c>
      <c r="O177" s="68"/>
      <c r="P177" s="88"/>
      <c r="Q177" s="109" t="str">
        <f>IF(LEFT(F177,2)="UD","UDT1AS=b11","")</f>
        <v/>
      </c>
      <c r="R177" s="13"/>
      <c r="S177" s="11"/>
      <c r="T177" s="11"/>
      <c r="V177" s="397">
        <f t="shared" si="80"/>
        <v>0</v>
      </c>
      <c r="W177" s="21">
        <v>2</v>
      </c>
      <c r="X177" s="18" t="str">
        <f t="shared" si="74"/>
        <v>0</v>
      </c>
      <c r="Y177" s="41" t="str">
        <f t="shared" ref="Y177:Y179" si="96">IF(LEFT(K177,1)="O","1","0")</f>
        <v>1</v>
      </c>
      <c r="Z177" s="3">
        <f t="shared" si="95"/>
        <v>1</v>
      </c>
      <c r="AA177" s="2" t="str">
        <f t="shared" si="77"/>
        <v>0</v>
      </c>
      <c r="AB177" s="64" t="str">
        <f t="shared" si="78"/>
        <v>0</v>
      </c>
      <c r="AC177" s="26"/>
      <c r="AE177" s="1" t="str">
        <f>$AB$11</f>
        <v>PUDCR</v>
      </c>
      <c r="AF177" s="1" t="str">
        <f>DEC2HEX(((2^W172)*AB172)+(2^W173*AB173)+(2^W174*AB174)+(2^W175*AB175)+(2^W176*AB176)+(2^W177*AB177)+(2^W178*AB178)+(2^W179*AB179))</f>
        <v>0</v>
      </c>
    </row>
    <row r="178" spans="2:32" ht="12.75">
      <c r="B178" s="50"/>
      <c r="C178" s="10" t="s">
        <v>1524</v>
      </c>
      <c r="D178" s="41"/>
      <c r="E178" s="100" t="s">
        <v>1525</v>
      </c>
      <c r="F178" s="100" t="s">
        <v>69</v>
      </c>
      <c r="G178" s="11"/>
      <c r="H178" s="101" t="s">
        <v>1428</v>
      </c>
      <c r="I178" s="38" t="s">
        <v>2541</v>
      </c>
      <c r="J178" s="56" t="str">
        <f t="shared" si="93"/>
        <v>Dedicated pin</v>
      </c>
      <c r="K178" s="76" t="str">
        <f>IF(LEFT(F178,1)="V",$AE$4,$AE$6)</f>
        <v>Out</v>
      </c>
      <c r="L178" s="79" t="s">
        <v>20</v>
      </c>
      <c r="M178" s="68" t="s">
        <v>1493</v>
      </c>
      <c r="N178" s="68" t="s">
        <v>20</v>
      </c>
      <c r="O178" s="68"/>
      <c r="P178" s="88"/>
      <c r="Q178" s="109" t="str">
        <f>IF(LEFT(F178,2)="UD","UDT0BS=b11","")</f>
        <v/>
      </c>
      <c r="R178" s="13"/>
      <c r="S178" s="11"/>
      <c r="T178" s="11"/>
      <c r="V178" s="397">
        <f t="shared" si="80"/>
        <v>0</v>
      </c>
      <c r="W178" s="21">
        <v>1</v>
      </c>
      <c r="X178" s="18" t="str">
        <f t="shared" si="74"/>
        <v>0</v>
      </c>
      <c r="Y178" s="41" t="str">
        <f t="shared" si="96"/>
        <v>1</v>
      </c>
      <c r="Z178" s="3">
        <f t="shared" si="95"/>
        <v>1</v>
      </c>
      <c r="AA178" s="2" t="str">
        <f t="shared" si="77"/>
        <v>0</v>
      </c>
      <c r="AB178" s="64" t="str">
        <f t="shared" si="78"/>
        <v>0</v>
      </c>
      <c r="AE178" s="27"/>
      <c r="AF178" s="27"/>
    </row>
    <row r="179" spans="2:32" ht="13.5" thickBot="1">
      <c r="B179" s="53"/>
      <c r="C179" s="274" t="s">
        <v>1526</v>
      </c>
      <c r="D179" s="317"/>
      <c r="E179" s="104" t="s">
        <v>1527</v>
      </c>
      <c r="F179" s="104" t="s">
        <v>1528</v>
      </c>
      <c r="G179" s="12"/>
      <c r="H179" s="103" t="s">
        <v>1428</v>
      </c>
      <c r="I179" s="117" t="s">
        <v>1529</v>
      </c>
      <c r="J179" s="57" t="str">
        <f t="shared" si="93"/>
        <v>Dedicated pin</v>
      </c>
      <c r="K179" s="77" t="str">
        <f>IF(LEFT(F179,1)="V",$AE$4,$AE$6)</f>
        <v>Out</v>
      </c>
      <c r="L179" s="80" t="s">
        <v>20</v>
      </c>
      <c r="M179" s="69" t="s">
        <v>1493</v>
      </c>
      <c r="N179" s="69" t="s">
        <v>20</v>
      </c>
      <c r="O179" s="69"/>
      <c r="P179" s="90"/>
      <c r="Q179" s="111" t="str">
        <f>IF(LEFT(F179,2)="UD","UDT0AS=b11","")</f>
        <v/>
      </c>
      <c r="R179" s="15"/>
      <c r="S179" s="12"/>
      <c r="T179" s="12"/>
      <c r="V179" s="398">
        <f t="shared" si="80"/>
        <v>0</v>
      </c>
      <c r="W179" s="22">
        <v>0</v>
      </c>
      <c r="X179" s="19" t="str">
        <f t="shared" si="74"/>
        <v>0</v>
      </c>
      <c r="Y179" s="42" t="str">
        <f t="shared" si="96"/>
        <v>1</v>
      </c>
      <c r="Z179" s="8">
        <f t="shared" si="95"/>
        <v>1</v>
      </c>
      <c r="AA179" s="9" t="str">
        <f t="shared" si="77"/>
        <v>0</v>
      </c>
      <c r="AB179" s="65" t="str">
        <f t="shared" si="78"/>
        <v>0</v>
      </c>
    </row>
    <row r="180" spans="2:32" ht="13.5" thickTop="1">
      <c r="B180" s="50" t="s">
        <v>1530</v>
      </c>
      <c r="C180" s="59" t="s">
        <v>1531</v>
      </c>
      <c r="D180" s="309"/>
      <c r="E180" s="294"/>
      <c r="F180" s="319"/>
      <c r="G180" s="284"/>
      <c r="H180" s="284"/>
      <c r="I180" s="294"/>
      <c r="J180" s="281" t="s">
        <v>5</v>
      </c>
      <c r="K180" s="288"/>
      <c r="L180" s="289"/>
      <c r="M180" s="290"/>
      <c r="N180" s="290"/>
      <c r="O180" s="290"/>
      <c r="P180" s="311"/>
      <c r="Q180" s="311"/>
      <c r="R180" s="292"/>
      <c r="S180" s="281"/>
      <c r="T180" s="281"/>
      <c r="U180" s="5"/>
      <c r="V180" s="396" t="str">
        <f t="shared" si="80"/>
        <v>PORT M</v>
      </c>
      <c r="W180" s="23">
        <v>7</v>
      </c>
      <c r="X180" s="320">
        <v>0</v>
      </c>
      <c r="Y180" s="49">
        <v>0</v>
      </c>
      <c r="Z180" s="49">
        <v>0</v>
      </c>
      <c r="AA180" s="49">
        <v>0</v>
      </c>
      <c r="AB180" s="85">
        <v>0</v>
      </c>
      <c r="AE180" s="6" t="str">
        <f>V180</f>
        <v>PORT M</v>
      </c>
      <c r="AF180" s="20" t="s">
        <v>1533</v>
      </c>
    </row>
    <row r="181" spans="2:32" ht="12.75">
      <c r="B181" s="50"/>
      <c r="C181" s="59" t="s">
        <v>1534</v>
      </c>
      <c r="D181" s="309"/>
      <c r="E181" s="294"/>
      <c r="F181" s="294"/>
      <c r="G181" s="284"/>
      <c r="H181" s="284"/>
      <c r="I181" s="294"/>
      <c r="J181" s="284" t="s">
        <v>5</v>
      </c>
      <c r="K181" s="288"/>
      <c r="L181" s="289"/>
      <c r="M181" s="290"/>
      <c r="N181" s="290"/>
      <c r="O181" s="290"/>
      <c r="P181" s="311"/>
      <c r="Q181" s="311"/>
      <c r="R181" s="292"/>
      <c r="S181" s="284"/>
      <c r="T181" s="284"/>
      <c r="U181" s="5"/>
      <c r="V181" s="397">
        <f t="shared" si="80"/>
        <v>0</v>
      </c>
      <c r="W181" s="21">
        <v>6</v>
      </c>
      <c r="X181" s="322">
        <v>0</v>
      </c>
      <c r="Y181" s="45">
        <v>0</v>
      </c>
      <c r="Z181" s="45">
        <v>0</v>
      </c>
      <c r="AA181" s="45">
        <v>0</v>
      </c>
      <c r="AB181" s="86">
        <v>0</v>
      </c>
      <c r="AE181" s="1" t="str">
        <f>$X$11</f>
        <v>PDR</v>
      </c>
      <c r="AF181" s="1" t="str">
        <f>DEC2HEX(((2^W180)*X180)+(2^W181*X181)+(2^W182*X182)+(2^W183*X183)+(2^W184*X184)+(2^W185*X185)+(2^W186*X186)+(2^W187*X187))</f>
        <v>0</v>
      </c>
    </row>
    <row r="182" spans="2:32" ht="12.75">
      <c r="B182" s="50"/>
      <c r="C182" s="59" t="s">
        <v>1536</v>
      </c>
      <c r="D182" s="309"/>
      <c r="E182" s="294"/>
      <c r="F182" s="294"/>
      <c r="G182" s="284"/>
      <c r="H182" s="284"/>
      <c r="I182" s="294"/>
      <c r="J182" s="284" t="s">
        <v>5</v>
      </c>
      <c r="K182" s="288"/>
      <c r="L182" s="289"/>
      <c r="M182" s="290"/>
      <c r="N182" s="290"/>
      <c r="O182" s="290"/>
      <c r="P182" s="291"/>
      <c r="Q182" s="291"/>
      <c r="R182" s="292"/>
      <c r="S182" s="284"/>
      <c r="T182" s="284"/>
      <c r="V182" s="397">
        <f t="shared" si="80"/>
        <v>0</v>
      </c>
      <c r="W182" s="21">
        <v>5</v>
      </c>
      <c r="X182" s="322">
        <v>0</v>
      </c>
      <c r="Y182" s="45">
        <v>0</v>
      </c>
      <c r="Z182" s="45">
        <v>0</v>
      </c>
      <c r="AA182" s="45">
        <v>0</v>
      </c>
      <c r="AB182" s="86">
        <v>0</v>
      </c>
      <c r="AE182" s="1" t="str">
        <f>$Y$11</f>
        <v>DDR</v>
      </c>
      <c r="AF182" s="1" t="str">
        <f>DEC2HEX(((2^W180)*Y180)+(2^W181*Y181)+(2^W182*Y182)+(2^W183*Y183)+(2^W184*Y184)+(2^W185*Y185)+(2^W186*Y186)+(2^W187*Y187))</f>
        <v>12</v>
      </c>
    </row>
    <row r="183" spans="2:32" ht="12.75">
      <c r="B183" s="50"/>
      <c r="C183" s="10" t="s">
        <v>1537</v>
      </c>
      <c r="D183" s="41"/>
      <c r="E183" s="100" t="s">
        <v>1538</v>
      </c>
      <c r="F183" s="374" t="s">
        <v>2545</v>
      </c>
      <c r="G183" s="324"/>
      <c r="H183" s="325" t="s">
        <v>1539</v>
      </c>
      <c r="I183" s="362" t="s">
        <v>2542</v>
      </c>
      <c r="J183" s="56" t="str">
        <f>IF(LEFT(F183,1)="P",$AD$5,$AD$4)</f>
        <v>Dedicated pin</v>
      </c>
      <c r="K183" s="276" t="s">
        <v>2537</v>
      </c>
      <c r="L183" s="364" t="s">
        <v>91</v>
      </c>
      <c r="M183" s="68" t="s">
        <v>1493</v>
      </c>
      <c r="N183" s="68" t="s">
        <v>20</v>
      </c>
      <c r="O183" s="68"/>
      <c r="P183" s="88"/>
      <c r="Q183" s="88"/>
      <c r="R183" s="13"/>
      <c r="S183" s="11"/>
      <c r="T183" s="11" t="s">
        <v>1540</v>
      </c>
      <c r="V183" s="397">
        <f t="shared" si="80"/>
        <v>0</v>
      </c>
      <c r="W183" s="25">
        <v>4</v>
      </c>
      <c r="X183" s="18" t="str">
        <f t="shared" si="74"/>
        <v>0</v>
      </c>
      <c r="Y183" s="41" t="str">
        <f t="shared" ref="Y183" si="97">IF(LEFT(K183,1)="O","1","0")</f>
        <v>1</v>
      </c>
      <c r="Z183" s="3">
        <f t="shared" ref="Z183:Z186" si="98">VLOOKUP(J183,$AD$4:$AG$6,4,FALSE)</f>
        <v>1</v>
      </c>
      <c r="AA183" s="2" t="str">
        <f t="shared" si="77"/>
        <v>1</v>
      </c>
      <c r="AB183" s="64" t="str">
        <f t="shared" si="78"/>
        <v>0</v>
      </c>
      <c r="AE183" s="1" t="str">
        <f>$Z$11</f>
        <v>EPCR</v>
      </c>
      <c r="AF183" s="1" t="str">
        <f>DEC2HEX(((2^W180)*Z180)+(2^W181*Z181)+(2^W182*Z182)+(2^W183*Z183)+(2^W184*Z184)+(2^W185*Z185)+(2^W186*Z186)+(2^W187*Z187))</f>
        <v>12</v>
      </c>
    </row>
    <row r="184" spans="2:32" ht="12.75">
      <c r="B184" s="50"/>
      <c r="C184" s="10" t="s">
        <v>1541</v>
      </c>
      <c r="D184" s="41"/>
      <c r="E184" s="100" t="s">
        <v>1542</v>
      </c>
      <c r="F184" s="100" t="s">
        <v>1543</v>
      </c>
      <c r="G184" s="11"/>
      <c r="H184" s="325" t="s">
        <v>1544</v>
      </c>
      <c r="I184" s="326" t="s">
        <v>1545</v>
      </c>
      <c r="J184" s="56" t="str">
        <f>IF(LEFT(F184,2)="FP",$AD$4,$AD$6)</f>
        <v>INPUT pin</v>
      </c>
      <c r="K184" s="74" t="str">
        <f>IF(LEFT(F184,1)="P",$AE$6,IF(LEFT(F184,2)="FP",$AE$4,$AE$5))</f>
        <v>In</v>
      </c>
      <c r="L184" s="79" t="s">
        <v>20</v>
      </c>
      <c r="M184" s="68" t="s">
        <v>1499</v>
      </c>
      <c r="N184" s="68" t="s">
        <v>20</v>
      </c>
      <c r="O184" s="68"/>
      <c r="P184" s="92"/>
      <c r="Q184" s="109" t="str">
        <f>IF(LEFT(F184,2)="UD","UDT1BS=b11","")</f>
        <v/>
      </c>
      <c r="R184" s="13" t="s">
        <v>1546</v>
      </c>
      <c r="S184" s="11"/>
      <c r="T184" s="11" t="s">
        <v>1547</v>
      </c>
      <c r="V184" s="397">
        <f t="shared" si="80"/>
        <v>0</v>
      </c>
      <c r="W184" s="21">
        <v>3</v>
      </c>
      <c r="X184" s="18" t="str">
        <f t="shared" si="74"/>
        <v>0</v>
      </c>
      <c r="Y184" s="41" t="str">
        <f>IF(LEFT(K184,1)="O","1","0")</f>
        <v>0</v>
      </c>
      <c r="Z184" s="3">
        <f t="shared" si="98"/>
        <v>0</v>
      </c>
      <c r="AA184" s="2" t="str">
        <f t="shared" si="77"/>
        <v>0</v>
      </c>
      <c r="AB184" s="64" t="str">
        <f t="shared" si="78"/>
        <v>0</v>
      </c>
      <c r="AE184" s="1" t="str">
        <f>$AA$11</f>
        <v>PUDEN</v>
      </c>
      <c r="AF184" s="1" t="str">
        <f>DEC2HEX(((2^W180)*AA180)+(2^W181*AA181)+(2^W182*AA182)+(2^W183*AA183)+(2^W184*AA184)+(2^W185*AA185)+(2^W186*AA186)+(2^W187*AA187))</f>
        <v>10</v>
      </c>
    </row>
    <row r="185" spans="2:32" ht="12.75">
      <c r="B185" s="50"/>
      <c r="C185" s="10" t="s">
        <v>1548</v>
      </c>
      <c r="D185" s="41"/>
      <c r="E185" s="100" t="s">
        <v>1549</v>
      </c>
      <c r="F185" s="100" t="s">
        <v>1550</v>
      </c>
      <c r="G185" s="11"/>
      <c r="H185" s="325" t="s">
        <v>1551</v>
      </c>
      <c r="I185" s="326" t="s">
        <v>1552</v>
      </c>
      <c r="J185" s="56" t="str">
        <f>IF(LEFT(F185,2)="U1",$AD$6,$AD$5)</f>
        <v>INPUT pin</v>
      </c>
      <c r="K185" s="76" t="str">
        <f>IF(LEFT(F185,1)="U",$AE$5,$AE$6)</f>
        <v>In</v>
      </c>
      <c r="L185" s="79" t="s">
        <v>20</v>
      </c>
      <c r="M185" s="68" t="s">
        <v>1504</v>
      </c>
      <c r="N185" s="68" t="s">
        <v>20</v>
      </c>
      <c r="O185" s="68"/>
      <c r="P185" s="88"/>
      <c r="Q185" s="109" t="str">
        <f>IF(LEFT(F185,2)="UD","UDT1AS=b11","")</f>
        <v/>
      </c>
      <c r="R185" s="13"/>
      <c r="S185" s="11"/>
      <c r="T185" s="11" t="s">
        <v>1553</v>
      </c>
      <c r="V185" s="397">
        <f t="shared" si="80"/>
        <v>0</v>
      </c>
      <c r="W185" s="21">
        <v>2</v>
      </c>
      <c r="X185" s="18" t="str">
        <f t="shared" si="74"/>
        <v>0</v>
      </c>
      <c r="Y185" s="41" t="str">
        <f t="shared" ref="Y185:Y187" si="99">IF(LEFT(K185,1)="O","1","0")</f>
        <v>0</v>
      </c>
      <c r="Z185" s="260">
        <v>0</v>
      </c>
      <c r="AA185" s="2" t="str">
        <f t="shared" si="77"/>
        <v>0</v>
      </c>
      <c r="AB185" s="64" t="str">
        <f t="shared" si="78"/>
        <v>0</v>
      </c>
      <c r="AC185" s="26"/>
      <c r="AE185" s="1" t="str">
        <f>$AB$11</f>
        <v>PUDCR</v>
      </c>
      <c r="AF185" s="1" t="str">
        <f>DEC2HEX(((2^W180)*AB180)+(2^W181*AB181)+(2^W182*AB182)+(2^W183*AB183)+(2^W184*AB184)+(2^W185*AB185)+(2^W186*AB186)+(2^W187*AB187))</f>
        <v>0</v>
      </c>
    </row>
    <row r="186" spans="2:32" ht="12.75">
      <c r="B186" s="50"/>
      <c r="C186" s="10" t="s">
        <v>1554</v>
      </c>
      <c r="D186" s="41"/>
      <c r="E186" s="100" t="s">
        <v>1555</v>
      </c>
      <c r="F186" s="100" t="s">
        <v>1556</v>
      </c>
      <c r="G186" s="11"/>
      <c r="H186" s="325" t="s">
        <v>1557</v>
      </c>
      <c r="I186" s="326" t="s">
        <v>1558</v>
      </c>
      <c r="J186" s="56" t="str">
        <f>IF(LEFT(F186,2)="PM",$AD$5,$AD$4)</f>
        <v>Dedicated pin</v>
      </c>
      <c r="K186" s="76" t="str">
        <f>IF(LEFT(F186,1)="P",$AE$6,$AE$4)</f>
        <v>Out</v>
      </c>
      <c r="L186" s="79" t="s">
        <v>20</v>
      </c>
      <c r="M186" s="68" t="s">
        <v>1521</v>
      </c>
      <c r="N186" s="68" t="s">
        <v>20</v>
      </c>
      <c r="O186" s="68"/>
      <c r="P186" s="88"/>
      <c r="Q186" s="109" t="str">
        <f>IF(LEFT(F186,2)="UD","UDT0BS=b11","")</f>
        <v/>
      </c>
      <c r="R186" s="13"/>
      <c r="S186" s="11"/>
      <c r="T186" s="11" t="s">
        <v>1559</v>
      </c>
      <c r="V186" s="397">
        <f t="shared" si="80"/>
        <v>0</v>
      </c>
      <c r="W186" s="21">
        <v>1</v>
      </c>
      <c r="X186" s="18" t="str">
        <f t="shared" si="74"/>
        <v>0</v>
      </c>
      <c r="Y186" s="41" t="str">
        <f t="shared" si="99"/>
        <v>1</v>
      </c>
      <c r="Z186" s="3">
        <f t="shared" si="98"/>
        <v>1</v>
      </c>
      <c r="AA186" s="2" t="str">
        <f t="shared" si="77"/>
        <v>0</v>
      </c>
      <c r="AB186" s="64" t="str">
        <f t="shared" si="78"/>
        <v>0</v>
      </c>
      <c r="AE186" s="27"/>
      <c r="AF186" s="27"/>
    </row>
    <row r="187" spans="2:32" ht="13.5" thickBot="1">
      <c r="B187" s="53"/>
      <c r="C187" s="274" t="s">
        <v>1560</v>
      </c>
      <c r="D187" s="317"/>
      <c r="E187" s="104" t="s">
        <v>1561</v>
      </c>
      <c r="F187" s="104" t="s">
        <v>1562</v>
      </c>
      <c r="G187" s="12"/>
      <c r="H187" s="327" t="s">
        <v>1557</v>
      </c>
      <c r="I187" s="328" t="s">
        <v>1563</v>
      </c>
      <c r="J187" s="57" t="str">
        <f>IF(LEFT(F187,2)="PM",$AD$5,IF(LEFT(F187,2)="UD",$AD$6,$AD$6))</f>
        <v>INPUT pin</v>
      </c>
      <c r="K187" s="77" t="str">
        <f>IF(LEFT(F187,1)="P",$AE$6,$AE$5)</f>
        <v>In</v>
      </c>
      <c r="L187" s="80" t="s">
        <v>20</v>
      </c>
      <c r="M187" s="69" t="s">
        <v>1521</v>
      </c>
      <c r="N187" s="69" t="s">
        <v>20</v>
      </c>
      <c r="O187" s="69"/>
      <c r="P187" s="90"/>
      <c r="Q187" s="111" t="str">
        <f>IF(LEFT(F187,2)="UD","UDT0AS=b11","")</f>
        <v/>
      </c>
      <c r="R187" s="15"/>
      <c r="S187" s="12"/>
      <c r="T187" s="11" t="s">
        <v>1564</v>
      </c>
      <c r="V187" s="398">
        <f t="shared" si="80"/>
        <v>0</v>
      </c>
      <c r="W187" s="22">
        <v>0</v>
      </c>
      <c r="X187" s="19" t="str">
        <f t="shared" si="74"/>
        <v>0</v>
      </c>
      <c r="Y187" s="42" t="str">
        <f t="shared" si="99"/>
        <v>0</v>
      </c>
      <c r="Z187" s="260">
        <v>0</v>
      </c>
      <c r="AA187" s="9" t="str">
        <f t="shared" si="77"/>
        <v>0</v>
      </c>
      <c r="AB187" s="65" t="str">
        <f t="shared" si="78"/>
        <v>0</v>
      </c>
    </row>
    <row r="188" spans="2:32" ht="13.5" thickTop="1">
      <c r="B188" s="50" t="s">
        <v>1565</v>
      </c>
      <c r="C188" s="59" t="s">
        <v>1566</v>
      </c>
      <c r="D188" s="309"/>
      <c r="E188" s="294"/>
      <c r="F188" s="319"/>
      <c r="G188" s="284"/>
      <c r="H188" s="284"/>
      <c r="I188" s="294"/>
      <c r="J188" s="281" t="s">
        <v>1567</v>
      </c>
      <c r="K188" s="288"/>
      <c r="L188" s="289"/>
      <c r="M188" s="290"/>
      <c r="N188" s="290"/>
      <c r="O188" s="290"/>
      <c r="P188" s="311"/>
      <c r="Q188" s="311"/>
      <c r="R188" s="292"/>
      <c r="S188" s="281"/>
      <c r="T188" s="281"/>
      <c r="U188" s="5"/>
      <c r="V188" s="396" t="str">
        <f t="shared" si="80"/>
        <v>PORT N</v>
      </c>
      <c r="W188" s="23">
        <v>7</v>
      </c>
      <c r="X188" s="320">
        <v>0</v>
      </c>
      <c r="Y188" s="49">
        <v>0</v>
      </c>
      <c r="Z188" s="49">
        <v>0</v>
      </c>
      <c r="AA188" s="49">
        <v>0</v>
      </c>
      <c r="AB188" s="85">
        <v>0</v>
      </c>
      <c r="AE188" s="6" t="str">
        <f>V188</f>
        <v>PORT N</v>
      </c>
      <c r="AF188" s="20" t="s">
        <v>1568</v>
      </c>
    </row>
    <row r="189" spans="2:32" ht="12.75">
      <c r="B189" s="50"/>
      <c r="C189" s="59" t="s">
        <v>1569</v>
      </c>
      <c r="D189" s="309"/>
      <c r="E189" s="294"/>
      <c r="F189" s="294"/>
      <c r="G189" s="284"/>
      <c r="H189" s="284"/>
      <c r="I189" s="294"/>
      <c r="J189" s="284" t="s">
        <v>1510</v>
      </c>
      <c r="K189" s="288"/>
      <c r="L189" s="289"/>
      <c r="M189" s="290"/>
      <c r="N189" s="290"/>
      <c r="O189" s="290"/>
      <c r="P189" s="311"/>
      <c r="Q189" s="311"/>
      <c r="R189" s="292"/>
      <c r="S189" s="284"/>
      <c r="T189" s="284"/>
      <c r="U189" s="5"/>
      <c r="V189" s="397">
        <f t="shared" si="80"/>
        <v>0</v>
      </c>
      <c r="W189" s="21">
        <v>6</v>
      </c>
      <c r="X189" s="322">
        <v>0</v>
      </c>
      <c r="Y189" s="45">
        <v>0</v>
      </c>
      <c r="Z189" s="45">
        <v>0</v>
      </c>
      <c r="AA189" s="45">
        <v>0</v>
      </c>
      <c r="AB189" s="86">
        <v>0</v>
      </c>
      <c r="AE189" s="1" t="str">
        <f>$X$11</f>
        <v>PDR</v>
      </c>
      <c r="AF189" s="1" t="str">
        <f>DEC2HEX(((2^W188)*X188)+(2^W189*X189)+(2^W190*X190)+(2^W191*X191)+(2^W192*X192)+(2^W193*X193)+(2^W194*X194)+(2^W195*X195))</f>
        <v>0</v>
      </c>
    </row>
    <row r="190" spans="2:32" ht="12.75">
      <c r="B190" s="50"/>
      <c r="C190" s="59" t="s">
        <v>1570</v>
      </c>
      <c r="D190" s="309"/>
      <c r="E190" s="294"/>
      <c r="F190" s="294"/>
      <c r="G190" s="284"/>
      <c r="H190" s="284"/>
      <c r="I190" s="294"/>
      <c r="J190" s="284" t="s">
        <v>1532</v>
      </c>
      <c r="K190" s="288"/>
      <c r="L190" s="289"/>
      <c r="M190" s="290"/>
      <c r="N190" s="290"/>
      <c r="O190" s="290"/>
      <c r="P190" s="291"/>
      <c r="Q190" s="291"/>
      <c r="R190" s="292"/>
      <c r="S190" s="284"/>
      <c r="T190" s="284"/>
      <c r="V190" s="397">
        <f t="shared" si="80"/>
        <v>0</v>
      </c>
      <c r="W190" s="21">
        <v>5</v>
      </c>
      <c r="X190" s="322">
        <v>0</v>
      </c>
      <c r="Y190" s="45">
        <v>0</v>
      </c>
      <c r="Z190" s="45">
        <v>0</v>
      </c>
      <c r="AA190" s="45">
        <v>0</v>
      </c>
      <c r="AB190" s="86">
        <v>0</v>
      </c>
      <c r="AE190" s="1" t="str">
        <f>$Y$11</f>
        <v>DDR</v>
      </c>
      <c r="AF190" s="1" t="str">
        <f>DEC2HEX(((2^W188)*Y188)+(2^W189*Y189)+(2^W190*Y190)+(2^W191*Y191)+(2^W192*Y192)+(2^W193*Y193)+(2^W194*Y194)+(2^W195*Y195))</f>
        <v>2</v>
      </c>
    </row>
    <row r="191" spans="2:32" ht="12.75">
      <c r="B191" s="50"/>
      <c r="C191" s="10" t="s">
        <v>1571</v>
      </c>
      <c r="D191" s="41"/>
      <c r="E191" s="100" t="s">
        <v>1572</v>
      </c>
      <c r="F191" s="100" t="s">
        <v>1571</v>
      </c>
      <c r="G191" s="324"/>
      <c r="H191" s="325" t="s">
        <v>1557</v>
      </c>
      <c r="I191" s="326" t="s">
        <v>1573</v>
      </c>
      <c r="J191" s="56" t="str">
        <f>IF(LEFT(F191,1)="P",$AD$5,$AD$4)</f>
        <v>GPIO pin</v>
      </c>
      <c r="K191" s="76" t="s">
        <v>1574</v>
      </c>
      <c r="L191" s="79" t="s">
        <v>91</v>
      </c>
      <c r="M191" s="68" t="s">
        <v>1521</v>
      </c>
      <c r="N191" s="68" t="s">
        <v>20</v>
      </c>
      <c r="O191" s="68"/>
      <c r="P191" s="88"/>
      <c r="Q191" s="88"/>
      <c r="R191" s="13"/>
      <c r="S191" s="11"/>
      <c r="T191" s="11" t="s">
        <v>1575</v>
      </c>
      <c r="V191" s="397">
        <f t="shared" si="80"/>
        <v>0</v>
      </c>
      <c r="W191" s="25">
        <v>4</v>
      </c>
      <c r="X191" s="18" t="str">
        <f t="shared" si="74"/>
        <v>0</v>
      </c>
      <c r="Y191" s="41" t="str">
        <f t="shared" ref="Y191" si="100">IF(LEFT(K191,1)="O","1","0")</f>
        <v>0</v>
      </c>
      <c r="Z191" s="3">
        <f t="shared" ref="Z191:Z196" si="101">VLOOKUP(J191,$AD$4:$AG$6,4,FALSE)</f>
        <v>0</v>
      </c>
      <c r="AA191" s="2" t="str">
        <f t="shared" si="77"/>
        <v>1</v>
      </c>
      <c r="AB191" s="64" t="str">
        <f t="shared" si="78"/>
        <v>0</v>
      </c>
      <c r="AE191" s="1" t="str">
        <f>$Z$11</f>
        <v>EPCR</v>
      </c>
      <c r="AF191" s="1" t="str">
        <f>DEC2HEX(((2^W188)*Z188)+(2^W189*Z189)+(2^W190*Z190)+(2^W191*Z191)+(2^W192*Z192)+(2^W193*Z193)+(2^W194*Z194)+(2^W195*Z195))</f>
        <v>2</v>
      </c>
    </row>
    <row r="192" spans="2:32" ht="12.75">
      <c r="B192" s="50"/>
      <c r="C192" s="10" t="s">
        <v>1576</v>
      </c>
      <c r="D192" s="41"/>
      <c r="E192" s="100" t="s">
        <v>1577</v>
      </c>
      <c r="F192" s="100" t="s">
        <v>1578</v>
      </c>
      <c r="G192" s="11"/>
      <c r="H192" s="325" t="s">
        <v>1579</v>
      </c>
      <c r="I192" s="326" t="s">
        <v>1580</v>
      </c>
      <c r="J192" s="56" t="str">
        <f>IF(LEFT(F192,2)="FP",$AD$4,$AD$6)</f>
        <v>INPUT pin</v>
      </c>
      <c r="K192" s="76" t="str">
        <f>IF(LEFT(F192,1)="U",$AE$5,$AE$6)</f>
        <v>In</v>
      </c>
      <c r="L192" s="79" t="s">
        <v>20</v>
      </c>
      <c r="M192" s="68" t="s">
        <v>1064</v>
      </c>
      <c r="N192" s="68" t="s">
        <v>20</v>
      </c>
      <c r="O192" s="68"/>
      <c r="P192" s="92"/>
      <c r="Q192" s="109" t="str">
        <f>IF(LEFT(F192,2)="UD","UDT1BS=b11","")</f>
        <v/>
      </c>
      <c r="R192" s="13" t="s">
        <v>1581</v>
      </c>
      <c r="S192" s="11"/>
      <c r="T192" s="11" t="s">
        <v>1582</v>
      </c>
      <c r="V192" s="397">
        <f t="shared" si="80"/>
        <v>0</v>
      </c>
      <c r="W192" s="21">
        <v>3</v>
      </c>
      <c r="X192" s="18" t="str">
        <f t="shared" si="74"/>
        <v>0</v>
      </c>
      <c r="Y192" s="41" t="str">
        <f>IF(LEFT(K192,1)="O","1","0")</f>
        <v>0</v>
      </c>
      <c r="Z192" s="3">
        <f t="shared" si="101"/>
        <v>0</v>
      </c>
      <c r="AA192" s="2" t="str">
        <f t="shared" si="77"/>
        <v>0</v>
      </c>
      <c r="AB192" s="64" t="str">
        <f t="shared" si="78"/>
        <v>0</v>
      </c>
      <c r="AE192" s="1" t="str">
        <f>$AA$11</f>
        <v>PUDEN</v>
      </c>
      <c r="AF192" s="1" t="str">
        <f>DEC2HEX(((2^W188)*AA188)+(2^W189*AA189)+(2^W190*AA190)+(2^W191*AA191)+(2^W192*AA192)+(2^W193*AA193)+(2^W194*AA194)+(2^W195*AA195))</f>
        <v>10</v>
      </c>
    </row>
    <row r="193" spans="2:32" ht="12.75">
      <c r="B193" s="50"/>
      <c r="C193" s="10" t="s">
        <v>1583</v>
      </c>
      <c r="D193" s="41"/>
      <c r="E193" s="100" t="s">
        <v>1584</v>
      </c>
      <c r="F193" s="100" t="s">
        <v>1585</v>
      </c>
      <c r="G193" s="11"/>
      <c r="H193" s="325" t="s">
        <v>1551</v>
      </c>
      <c r="I193" s="326" t="s">
        <v>1586</v>
      </c>
      <c r="J193" s="56" t="str">
        <f>IF(LEFT(F193,2)="U2",$AD$6,$AD$5)</f>
        <v>INPUT pin</v>
      </c>
      <c r="K193" s="76" t="str">
        <f>IF(LEFT(F193,1)="U",$AE$5,$AE$6)</f>
        <v>In</v>
      </c>
      <c r="L193" s="79" t="s">
        <v>20</v>
      </c>
      <c r="M193" s="68" t="s">
        <v>1504</v>
      </c>
      <c r="N193" s="68" t="s">
        <v>20</v>
      </c>
      <c r="O193" s="68"/>
      <c r="P193" s="88"/>
      <c r="Q193" s="109" t="str">
        <f>IF(LEFT(F193,2)="UD","UDT1AS=b11","")</f>
        <v/>
      </c>
      <c r="R193" s="13"/>
      <c r="S193" s="11"/>
      <c r="T193" s="11" t="s">
        <v>1587</v>
      </c>
      <c r="V193" s="397">
        <f t="shared" si="80"/>
        <v>0</v>
      </c>
      <c r="W193" s="21">
        <v>2</v>
      </c>
      <c r="X193" s="18" t="str">
        <f t="shared" si="74"/>
        <v>0</v>
      </c>
      <c r="Y193" s="41" t="str">
        <f t="shared" ref="Y193:Y195" si="102">IF(LEFT(K193,1)="O","1","0")</f>
        <v>0</v>
      </c>
      <c r="Z193" s="260">
        <v>0</v>
      </c>
      <c r="AA193" s="2" t="str">
        <f t="shared" si="77"/>
        <v>0</v>
      </c>
      <c r="AB193" s="64" t="str">
        <f t="shared" si="78"/>
        <v>0</v>
      </c>
      <c r="AC193" s="26"/>
      <c r="AE193" s="1" t="str">
        <f>$AB$11</f>
        <v>PUDCR</v>
      </c>
      <c r="AF193" s="1" t="str">
        <f>DEC2HEX(((2^W188)*AB188)+(2^W189*AB189)+(2^W190*AB190)+(2^W191*AB191)+(2^W192*AB192)+(2^W193*AB193)+(2^W194*AB194)+(2^W195*AB195))</f>
        <v>0</v>
      </c>
    </row>
    <row r="194" spans="2:32" ht="12.75">
      <c r="B194" s="50"/>
      <c r="C194" s="10" t="s">
        <v>1588</v>
      </c>
      <c r="D194" s="41"/>
      <c r="E194" s="100" t="s">
        <v>1589</v>
      </c>
      <c r="F194" s="100" t="s">
        <v>1590</v>
      </c>
      <c r="G194" s="11"/>
      <c r="H194" s="325" t="s">
        <v>1557</v>
      </c>
      <c r="I194" s="326" t="s">
        <v>1558</v>
      </c>
      <c r="J194" s="56" t="str">
        <f>IF(LEFT(F194,2)="PN",$AD$5,$AD$4)</f>
        <v>Dedicated pin</v>
      </c>
      <c r="K194" s="76" t="str">
        <f>IF(LEFT(F194,1)="P",$AE$6,$AE$4)</f>
        <v>Out</v>
      </c>
      <c r="L194" s="79" t="s">
        <v>20</v>
      </c>
      <c r="M194" s="68" t="s">
        <v>1521</v>
      </c>
      <c r="N194" s="68" t="s">
        <v>20</v>
      </c>
      <c r="O194" s="68"/>
      <c r="P194" s="88"/>
      <c r="Q194" s="109" t="str">
        <f>IF(LEFT(F194,2)="UD","UDT0BS=b11","")</f>
        <v/>
      </c>
      <c r="R194" s="13"/>
      <c r="S194" s="11"/>
      <c r="T194" s="11" t="s">
        <v>1591</v>
      </c>
      <c r="V194" s="397">
        <f t="shared" si="80"/>
        <v>0</v>
      </c>
      <c r="W194" s="21">
        <v>1</v>
      </c>
      <c r="X194" s="18" t="str">
        <f t="shared" si="74"/>
        <v>0</v>
      </c>
      <c r="Y194" s="41" t="str">
        <f t="shared" si="102"/>
        <v>1</v>
      </c>
      <c r="Z194" s="3">
        <f t="shared" si="101"/>
        <v>1</v>
      </c>
      <c r="AA194" s="2" t="str">
        <f t="shared" si="77"/>
        <v>0</v>
      </c>
      <c r="AB194" s="64" t="str">
        <f t="shared" si="78"/>
        <v>0</v>
      </c>
      <c r="AE194" s="27"/>
      <c r="AF194" s="27"/>
    </row>
    <row r="195" spans="2:32" ht="13.5" thickBot="1">
      <c r="B195" s="53"/>
      <c r="C195" s="274" t="s">
        <v>1592</v>
      </c>
      <c r="D195" s="317"/>
      <c r="E195" s="104" t="s">
        <v>1593</v>
      </c>
      <c r="F195" s="104" t="s">
        <v>1594</v>
      </c>
      <c r="G195" s="12"/>
      <c r="H195" s="327" t="s">
        <v>1557</v>
      </c>
      <c r="I195" s="328" t="s">
        <v>1563</v>
      </c>
      <c r="J195" s="57" t="str">
        <f>IF(LEFT(F195,2)="PN",$AD$5,$AD$6)</f>
        <v>INPUT pin</v>
      </c>
      <c r="K195" s="77" t="str">
        <f>IF(LEFT(F195,1)="P",$AE$6,$AE$5)</f>
        <v>In</v>
      </c>
      <c r="L195" s="80" t="s">
        <v>20</v>
      </c>
      <c r="M195" s="69" t="s">
        <v>1521</v>
      </c>
      <c r="N195" s="69" t="s">
        <v>20</v>
      </c>
      <c r="O195" s="69"/>
      <c r="P195" s="90"/>
      <c r="Q195" s="111" t="str">
        <f>IF(LEFT(F195,2)="UD","UDT0AS=b11","")</f>
        <v/>
      </c>
      <c r="R195" s="15"/>
      <c r="S195" s="12"/>
      <c r="T195" s="11" t="s">
        <v>1595</v>
      </c>
      <c r="V195" s="398">
        <f t="shared" si="80"/>
        <v>0</v>
      </c>
      <c r="W195" s="22">
        <v>0</v>
      </c>
      <c r="X195" s="19" t="str">
        <f t="shared" si="74"/>
        <v>0</v>
      </c>
      <c r="Y195" s="42" t="str">
        <f t="shared" si="102"/>
        <v>0</v>
      </c>
      <c r="Z195" s="264">
        <v>0</v>
      </c>
      <c r="AA195" s="9" t="str">
        <f t="shared" si="77"/>
        <v>0</v>
      </c>
      <c r="AB195" s="65" t="str">
        <f t="shared" si="78"/>
        <v>0</v>
      </c>
    </row>
    <row r="196" spans="2:32" ht="13.5" thickTop="1">
      <c r="B196" s="50" t="s">
        <v>1596</v>
      </c>
      <c r="C196" s="10" t="s">
        <v>1597</v>
      </c>
      <c r="D196" s="41"/>
      <c r="E196" s="100" t="s">
        <v>1598</v>
      </c>
      <c r="F196" s="98" t="s">
        <v>1599</v>
      </c>
      <c r="G196" s="11"/>
      <c r="H196" s="325" t="s">
        <v>1557</v>
      </c>
      <c r="I196" s="24" t="s">
        <v>1600</v>
      </c>
      <c r="J196" s="56" t="str">
        <f t="shared" ref="J196:J203" si="103">IF(LEFT(F196,2)="PY",$AD$5,$AD$4)</f>
        <v>Dedicated pin</v>
      </c>
      <c r="K196" s="76" t="str">
        <f>IF(LEFT(F196,1)="W",$AE$4,$AE$6)</f>
        <v>IO</v>
      </c>
      <c r="L196" s="79" t="s">
        <v>20</v>
      </c>
      <c r="M196" s="68" t="s">
        <v>1521</v>
      </c>
      <c r="N196" s="68" t="s">
        <v>20</v>
      </c>
      <c r="O196" s="68"/>
      <c r="P196" s="87"/>
      <c r="Q196" s="87"/>
      <c r="R196" s="13"/>
      <c r="S196" s="99"/>
      <c r="T196" s="99" t="s">
        <v>1601</v>
      </c>
      <c r="U196" s="5"/>
      <c r="V196" s="396" t="str">
        <f t="shared" si="80"/>
        <v>PORT Y</v>
      </c>
      <c r="W196" s="23">
        <v>7</v>
      </c>
      <c r="X196" s="18" t="str">
        <f t="shared" si="74"/>
        <v>0</v>
      </c>
      <c r="Y196" s="41" t="str">
        <f>IF(LEFT(K196,1)="O","1","0")</f>
        <v>0</v>
      </c>
      <c r="Z196" s="3">
        <f t="shared" si="101"/>
        <v>1</v>
      </c>
      <c r="AA196" s="2" t="str">
        <f t="shared" si="77"/>
        <v>0</v>
      </c>
      <c r="AB196" s="64" t="str">
        <f t="shared" si="78"/>
        <v>0</v>
      </c>
      <c r="AE196" s="6" t="str">
        <f>V196</f>
        <v>PORT Y</v>
      </c>
      <c r="AF196" s="20" t="s">
        <v>1533</v>
      </c>
    </row>
    <row r="197" spans="2:32" ht="12.75">
      <c r="B197" s="50"/>
      <c r="C197" s="10" t="s">
        <v>1602</v>
      </c>
      <c r="D197" s="41"/>
      <c r="E197" s="100" t="s">
        <v>1603</v>
      </c>
      <c r="F197" s="100" t="s">
        <v>1604</v>
      </c>
      <c r="G197" s="11"/>
      <c r="H197" s="325" t="s">
        <v>1605</v>
      </c>
      <c r="I197" s="24" t="s">
        <v>1606</v>
      </c>
      <c r="J197" s="56" t="str">
        <f t="shared" si="103"/>
        <v>Dedicated pin</v>
      </c>
      <c r="K197" s="76" t="str">
        <f>IF(LEFT(F197,1)="W",$AE$4,$AE$6)</f>
        <v>IO</v>
      </c>
      <c r="L197" s="79" t="s">
        <v>20</v>
      </c>
      <c r="M197" s="68" t="s">
        <v>1516</v>
      </c>
      <c r="N197" s="68" t="s">
        <v>20</v>
      </c>
      <c r="O197" s="68"/>
      <c r="P197" s="87"/>
      <c r="Q197" s="87"/>
      <c r="R197" s="13"/>
      <c r="S197" s="11"/>
      <c r="T197" s="11" t="s">
        <v>1607</v>
      </c>
      <c r="U197" s="5"/>
      <c r="V197" s="397">
        <f t="shared" si="80"/>
        <v>0</v>
      </c>
      <c r="W197" s="21">
        <v>6</v>
      </c>
      <c r="X197" s="18" t="str">
        <f t="shared" si="74"/>
        <v>0</v>
      </c>
      <c r="Y197" s="41" t="str">
        <f t="shared" ref="Y197:Y199" si="104">IF(LEFT(K197,1)="O","1","0")</f>
        <v>0</v>
      </c>
      <c r="Z197" s="3">
        <f>VLOOKUP(J197,$AD$4:$AG$6,4,FALSE)</f>
        <v>1</v>
      </c>
      <c r="AA197" s="2" t="str">
        <f t="shared" si="77"/>
        <v>0</v>
      </c>
      <c r="AB197" s="64" t="str">
        <f t="shared" si="78"/>
        <v>0</v>
      </c>
      <c r="AE197" s="1" t="str">
        <f>$X$11</f>
        <v>PDR</v>
      </c>
      <c r="AF197" s="1" t="str">
        <f>DEC2HEX(((2^W196)*X196)+(2^W197*X197)+(2^W198*X198)+(2^W199*X199)+(2^W200*X200)+(2^W201*X201)+(2^W202*X202)+(2^W203*X203))</f>
        <v>0</v>
      </c>
    </row>
    <row r="198" spans="2:32" ht="12.75">
      <c r="B198" s="50"/>
      <c r="C198" s="10" t="s">
        <v>1608</v>
      </c>
      <c r="D198" s="41"/>
      <c r="E198" s="100" t="s">
        <v>1609</v>
      </c>
      <c r="F198" s="100" t="s">
        <v>1610</v>
      </c>
      <c r="G198" s="11"/>
      <c r="H198" s="325" t="s">
        <v>1551</v>
      </c>
      <c r="I198" s="24" t="s">
        <v>1611</v>
      </c>
      <c r="J198" s="56" t="str">
        <f t="shared" si="103"/>
        <v>Dedicated pin</v>
      </c>
      <c r="K198" s="76" t="str">
        <f>IF(LEFT(F198,1)="F",$AE$4,$AE$6)</f>
        <v>IO</v>
      </c>
      <c r="L198" s="79" t="s">
        <v>20</v>
      </c>
      <c r="M198" s="68" t="s">
        <v>1504</v>
      </c>
      <c r="N198" s="68" t="s">
        <v>20</v>
      </c>
      <c r="O198" s="68"/>
      <c r="P198" s="88"/>
      <c r="Q198" s="88"/>
      <c r="R198" s="13"/>
      <c r="S198" s="11"/>
      <c r="T198" s="11" t="s">
        <v>1612</v>
      </c>
      <c r="V198" s="397">
        <f t="shared" si="80"/>
        <v>0</v>
      </c>
      <c r="W198" s="21">
        <v>5</v>
      </c>
      <c r="X198" s="18" t="str">
        <f t="shared" si="74"/>
        <v>0</v>
      </c>
      <c r="Y198" s="41" t="str">
        <f t="shared" si="104"/>
        <v>0</v>
      </c>
      <c r="Z198" s="3">
        <f>VLOOKUP(J198,$AD$4:$AG$6,4,FALSE)</f>
        <v>1</v>
      </c>
      <c r="AA198" s="2" t="str">
        <f t="shared" si="77"/>
        <v>0</v>
      </c>
      <c r="AB198" s="64" t="str">
        <f t="shared" si="78"/>
        <v>0</v>
      </c>
      <c r="AE198" s="1" t="str">
        <f>$Y$11</f>
        <v>DDR</v>
      </c>
      <c r="AF198" s="1" t="str">
        <f>DEC2HEX(((2^W196)*Y196)+(2^W197*Y197)+(2^W198*Y198)+(2^W199*Y199)+(2^W200*Y200)+(2^W201*Y201)+(2^W202*Y202)+(2^W203*Y203))</f>
        <v>0</v>
      </c>
    </row>
    <row r="199" spans="2:32" ht="12.75">
      <c r="B199" s="50"/>
      <c r="C199" s="10" t="s">
        <v>1613</v>
      </c>
      <c r="D199" s="41"/>
      <c r="E199" s="100" t="s">
        <v>1614</v>
      </c>
      <c r="F199" s="100" t="s">
        <v>1615</v>
      </c>
      <c r="G199" s="11"/>
      <c r="H199" s="325" t="s">
        <v>1539</v>
      </c>
      <c r="I199" s="24" t="s">
        <v>1616</v>
      </c>
      <c r="J199" s="56" t="str">
        <f t="shared" si="103"/>
        <v>Dedicated pin</v>
      </c>
      <c r="K199" s="76" t="str">
        <f>IF(LEFT(F199,2)="PY",$AE$6,$AE$5)</f>
        <v>In</v>
      </c>
      <c r="L199" s="79" t="s">
        <v>20</v>
      </c>
      <c r="M199" s="68" t="s">
        <v>1493</v>
      </c>
      <c r="N199" s="68" t="s">
        <v>20</v>
      </c>
      <c r="O199" s="68"/>
      <c r="P199" s="88"/>
      <c r="Q199" s="88"/>
      <c r="R199" s="13"/>
      <c r="S199" s="11"/>
      <c r="T199" s="11" t="s">
        <v>1617</v>
      </c>
      <c r="V199" s="397">
        <f t="shared" si="80"/>
        <v>0</v>
      </c>
      <c r="W199" s="25">
        <v>4</v>
      </c>
      <c r="X199" s="18" t="str">
        <f t="shared" si="74"/>
        <v>0</v>
      </c>
      <c r="Y199" s="41" t="str">
        <f t="shared" si="104"/>
        <v>0</v>
      </c>
      <c r="Z199" s="3">
        <f t="shared" ref="Z199:Z203" si="105">VLOOKUP(J199,$AD$4:$AG$6,4,FALSE)</f>
        <v>1</v>
      </c>
      <c r="AA199" s="2" t="str">
        <f t="shared" si="77"/>
        <v>0</v>
      </c>
      <c r="AB199" s="64" t="str">
        <f t="shared" si="78"/>
        <v>0</v>
      </c>
      <c r="AE199" s="1" t="str">
        <f>$Z$11</f>
        <v>EPCR</v>
      </c>
      <c r="AF199" s="1" t="str">
        <f>DEC2HEX(((2^W196)*Z196)+(2^W197*Z197)+(2^W198*Z198)+(2^W199*Z199)+(2^W200*Z200)+(2^W201*Z201)+(2^W202*Z202)+(2^W203*Z203))</f>
        <v>F3</v>
      </c>
    </row>
    <row r="200" spans="2:32" ht="12.75">
      <c r="B200" s="50"/>
      <c r="C200" s="10" t="s">
        <v>1618</v>
      </c>
      <c r="D200" s="41"/>
      <c r="E200" s="100" t="s">
        <v>1619</v>
      </c>
      <c r="F200" s="100" t="s">
        <v>1620</v>
      </c>
      <c r="G200" s="324"/>
      <c r="H200" s="325" t="s">
        <v>1557</v>
      </c>
      <c r="I200" s="13" t="s">
        <v>1621</v>
      </c>
      <c r="J200" s="56" t="str">
        <f t="shared" si="103"/>
        <v>Dedicated pin</v>
      </c>
      <c r="K200" s="76" t="str">
        <f>IF(LEFT(F200,2)="PY",$AE$6,$AE$5)</f>
        <v>In</v>
      </c>
      <c r="L200" s="79" t="s">
        <v>20</v>
      </c>
      <c r="M200" s="68" t="s">
        <v>1521</v>
      </c>
      <c r="N200" s="68" t="s">
        <v>20</v>
      </c>
      <c r="O200" s="68"/>
      <c r="P200" s="92"/>
      <c r="Q200" s="109" t="str">
        <f>IF(LEFT(F200,2)="UD","UDT1BS=b11","")</f>
        <v/>
      </c>
      <c r="R200" s="13"/>
      <c r="S200" s="11"/>
      <c r="T200" s="11" t="s">
        <v>1622</v>
      </c>
      <c r="V200" s="397">
        <f t="shared" si="80"/>
        <v>0</v>
      </c>
      <c r="W200" s="21">
        <v>3</v>
      </c>
      <c r="X200" s="18" t="str">
        <f t="shared" si="74"/>
        <v>0</v>
      </c>
      <c r="Y200" s="41" t="str">
        <f>IF(LEFT(K200,1)="O","1","0")</f>
        <v>0</v>
      </c>
      <c r="Z200" s="260">
        <v>0</v>
      </c>
      <c r="AA200" s="2" t="str">
        <f t="shared" si="77"/>
        <v>0</v>
      </c>
      <c r="AB200" s="64" t="str">
        <f t="shared" si="78"/>
        <v>0</v>
      </c>
      <c r="AE200" s="1" t="str">
        <f>$AA$11</f>
        <v>PUDEN</v>
      </c>
      <c r="AF200" s="1" t="str">
        <f>DEC2HEX(((2^W196)*AA196)+(2^W197*AA197)+(2^W198*AA198)+(2^W199*AA199)+(2^W200*AA200)+(2^W201*AA201)+(2^W202*AA202)+(2^W203*AA203))</f>
        <v>0</v>
      </c>
    </row>
    <row r="201" spans="2:32" ht="12.75">
      <c r="B201" s="50"/>
      <c r="C201" s="10" t="s">
        <v>1623</v>
      </c>
      <c r="D201" s="41"/>
      <c r="E201" s="100" t="s">
        <v>1624</v>
      </c>
      <c r="F201" s="100" t="s">
        <v>1625</v>
      </c>
      <c r="G201" s="11"/>
      <c r="H201" s="325" t="s">
        <v>1605</v>
      </c>
      <c r="I201" s="13" t="s">
        <v>1626</v>
      </c>
      <c r="J201" s="56" t="str">
        <f t="shared" si="103"/>
        <v>Dedicated pin</v>
      </c>
      <c r="K201" s="76" t="str">
        <f>IF(LEFT(F201,2)="PY",$AE$6,$AE$5)</f>
        <v>In</v>
      </c>
      <c r="L201" s="79" t="s">
        <v>20</v>
      </c>
      <c r="M201" s="68" t="s">
        <v>1516</v>
      </c>
      <c r="N201" s="68" t="s">
        <v>20</v>
      </c>
      <c r="O201" s="68"/>
      <c r="P201" s="88"/>
      <c r="Q201" s="109" t="str">
        <f>IF(LEFT(F201,2)="UD","UDT1AS=b11","")</f>
        <v/>
      </c>
      <c r="R201" s="13"/>
      <c r="S201" s="11"/>
      <c r="T201" s="11" t="s">
        <v>1627</v>
      </c>
      <c r="V201" s="397">
        <f t="shared" si="80"/>
        <v>0</v>
      </c>
      <c r="W201" s="21">
        <v>2</v>
      </c>
      <c r="X201" s="18" t="str">
        <f t="shared" si="74"/>
        <v>0</v>
      </c>
      <c r="Y201" s="41" t="str">
        <f t="shared" ref="Y201:Y203" si="106">IF(LEFT(K201,1)="O","1","0")</f>
        <v>0</v>
      </c>
      <c r="Z201" s="260">
        <v>0</v>
      </c>
      <c r="AA201" s="2" t="str">
        <f t="shared" si="77"/>
        <v>0</v>
      </c>
      <c r="AB201" s="64" t="str">
        <f t="shared" si="78"/>
        <v>0</v>
      </c>
      <c r="AC201" s="26"/>
      <c r="AE201" s="1" t="str">
        <f>$AB$11</f>
        <v>PUDCR</v>
      </c>
      <c r="AF201" s="1" t="str">
        <f>DEC2HEX(((2^W196)*AB196)+(2^W197*AB197)+(2^W198*AB198)+(2^W199*AB199)+(2^W200*AB200)+(2^W201*AB201)+(2^W202*AB202)+(2^W203*AB203))</f>
        <v>0</v>
      </c>
    </row>
    <row r="202" spans="2:32" ht="12.75">
      <c r="B202" s="50"/>
      <c r="C202" s="10" t="s">
        <v>1628</v>
      </c>
      <c r="D202" s="41"/>
      <c r="E202" s="100" t="s">
        <v>1629</v>
      </c>
      <c r="F202" s="100" t="s">
        <v>1630</v>
      </c>
      <c r="G202" s="11"/>
      <c r="H202" s="325" t="s">
        <v>1539</v>
      </c>
      <c r="I202" s="38" t="s">
        <v>1631</v>
      </c>
      <c r="J202" s="56" t="str">
        <f t="shared" si="103"/>
        <v>Dedicated pin</v>
      </c>
      <c r="K202" s="76" t="str">
        <f>IF(LEFT(F202,2)="FP",$AE$4,$AE$6)</f>
        <v>IO</v>
      </c>
      <c r="L202" s="79" t="s">
        <v>20</v>
      </c>
      <c r="M202" s="68" t="s">
        <v>1493</v>
      </c>
      <c r="N202" s="68" t="s">
        <v>20</v>
      </c>
      <c r="O202" s="68"/>
      <c r="P202" s="88"/>
      <c r="Q202" s="109" t="str">
        <f>IF(LEFT(F202,2)="UD","UDT0BS=b11","")</f>
        <v/>
      </c>
      <c r="R202" s="13"/>
      <c r="S202" s="11"/>
      <c r="T202" s="11" t="s">
        <v>1632</v>
      </c>
      <c r="V202" s="397">
        <f t="shared" si="80"/>
        <v>0</v>
      </c>
      <c r="W202" s="21">
        <v>1</v>
      </c>
      <c r="X202" s="18" t="str">
        <f t="shared" si="74"/>
        <v>0</v>
      </c>
      <c r="Y202" s="41" t="str">
        <f t="shared" si="106"/>
        <v>0</v>
      </c>
      <c r="Z202" s="3">
        <f t="shared" si="105"/>
        <v>1</v>
      </c>
      <c r="AA202" s="2" t="str">
        <f t="shared" si="77"/>
        <v>0</v>
      </c>
      <c r="AB202" s="64" t="str">
        <f t="shared" si="78"/>
        <v>0</v>
      </c>
      <c r="AE202" s="27"/>
      <c r="AF202" s="27"/>
    </row>
    <row r="203" spans="2:32" ht="12.75">
      <c r="B203" s="53"/>
      <c r="C203" s="274" t="s">
        <v>1633</v>
      </c>
      <c r="D203" s="317"/>
      <c r="E203" s="104" t="s">
        <v>1634</v>
      </c>
      <c r="F203" s="104" t="s">
        <v>1635</v>
      </c>
      <c r="G203" s="12"/>
      <c r="H203" s="327" t="s">
        <v>1551</v>
      </c>
      <c r="I203" s="117" t="s">
        <v>1636</v>
      </c>
      <c r="J203" s="56" t="str">
        <f t="shared" si="103"/>
        <v>Dedicated pin</v>
      </c>
      <c r="K203" s="77" t="s">
        <v>1637</v>
      </c>
      <c r="L203" s="80" t="s">
        <v>20</v>
      </c>
      <c r="M203" s="69" t="s">
        <v>1504</v>
      </c>
      <c r="N203" s="69" t="s">
        <v>20</v>
      </c>
      <c r="O203" s="69"/>
      <c r="P203" s="90"/>
      <c r="Q203" s="111" t="str">
        <f>IF(LEFT(F203,2)="UD","UDT0AS=b11","")</f>
        <v/>
      </c>
      <c r="R203" s="15"/>
      <c r="S203" s="12"/>
      <c r="T203" s="11" t="s">
        <v>1638</v>
      </c>
      <c r="V203" s="398">
        <f t="shared" si="80"/>
        <v>0</v>
      </c>
      <c r="W203" s="22">
        <v>0</v>
      </c>
      <c r="X203" s="19" t="str">
        <f t="shared" si="74"/>
        <v>0</v>
      </c>
      <c r="Y203" s="42" t="str">
        <f t="shared" si="106"/>
        <v>0</v>
      </c>
      <c r="Z203" s="8">
        <f t="shared" si="105"/>
        <v>1</v>
      </c>
      <c r="AA203" s="9" t="str">
        <f t="shared" si="77"/>
        <v>0</v>
      </c>
      <c r="AB203" s="65" t="str">
        <f t="shared" si="78"/>
        <v>0</v>
      </c>
    </row>
    <row r="204" spans="2:32" ht="12.75">
      <c r="B204" s="50" t="s">
        <v>1639</v>
      </c>
      <c r="C204" s="59" t="s">
        <v>1640</v>
      </c>
      <c r="D204" s="309"/>
      <c r="E204" s="294"/>
      <c r="F204" s="319"/>
      <c r="G204" s="284"/>
      <c r="H204" s="284"/>
      <c r="I204" s="294"/>
      <c r="J204" s="281" t="s">
        <v>1510</v>
      </c>
      <c r="K204" s="288"/>
      <c r="L204" s="289"/>
      <c r="M204" s="290"/>
      <c r="N204" s="290"/>
      <c r="O204" s="290"/>
      <c r="P204" s="311"/>
      <c r="Q204" s="311"/>
      <c r="R204" s="292"/>
      <c r="S204" s="281"/>
      <c r="T204" s="281"/>
      <c r="U204" s="5"/>
      <c r="V204" s="62" t="str">
        <f t="shared" si="80"/>
        <v>PORT P</v>
      </c>
      <c r="W204" s="23">
        <v>7</v>
      </c>
      <c r="X204" s="320">
        <v>0</v>
      </c>
      <c r="Y204" s="49">
        <v>0</v>
      </c>
      <c r="Z204" s="49">
        <v>0</v>
      </c>
      <c r="AA204" s="49">
        <v>0</v>
      </c>
      <c r="AB204" s="85">
        <v>0</v>
      </c>
      <c r="AE204" s="6" t="str">
        <f>V204</f>
        <v>PORT P</v>
      </c>
      <c r="AF204" s="20" t="s">
        <v>1511</v>
      </c>
    </row>
    <row r="205" spans="2:32" ht="12.75">
      <c r="B205" s="50"/>
      <c r="C205" s="59" t="s">
        <v>1641</v>
      </c>
      <c r="D205" s="309"/>
      <c r="E205" s="294"/>
      <c r="F205" s="294"/>
      <c r="G205" s="284"/>
      <c r="H205" s="284"/>
      <c r="I205" s="294"/>
      <c r="J205" s="284" t="s">
        <v>1513</v>
      </c>
      <c r="K205" s="288"/>
      <c r="L205" s="289"/>
      <c r="M205" s="290"/>
      <c r="N205" s="290"/>
      <c r="O205" s="290"/>
      <c r="P205" s="311"/>
      <c r="Q205" s="311"/>
      <c r="R205" s="292"/>
      <c r="S205" s="284"/>
      <c r="T205" s="284"/>
      <c r="U205" s="5"/>
      <c r="V205" s="60"/>
      <c r="W205" s="21">
        <v>6</v>
      </c>
      <c r="X205" s="322">
        <v>0</v>
      </c>
      <c r="Y205" s="45">
        <v>0</v>
      </c>
      <c r="Z205" s="45">
        <v>0</v>
      </c>
      <c r="AA205" s="45">
        <v>0</v>
      </c>
      <c r="AB205" s="86">
        <v>0</v>
      </c>
      <c r="AE205" s="1" t="str">
        <f>$X$11</f>
        <v>PDR</v>
      </c>
      <c r="AF205" s="1" t="str">
        <f>DEC2HEX(((2^W204)*X204)+(2^W205*X205)+(2^W206*X206)+(2^W207*X207)+(2^W208*X208)+(2^W209*X209)+(2^W210*X210)+(2^W211*X211))</f>
        <v>0</v>
      </c>
    </row>
    <row r="206" spans="2:32" ht="12.75">
      <c r="B206" s="50"/>
      <c r="C206" s="59" t="s">
        <v>1642</v>
      </c>
      <c r="D206" s="309"/>
      <c r="E206" s="294"/>
      <c r="F206" s="294"/>
      <c r="G206" s="284"/>
      <c r="H206" s="284"/>
      <c r="I206" s="294"/>
      <c r="J206" s="284" t="s">
        <v>1535</v>
      </c>
      <c r="K206" s="288"/>
      <c r="L206" s="289"/>
      <c r="M206" s="290"/>
      <c r="N206" s="290"/>
      <c r="O206" s="290"/>
      <c r="P206" s="291"/>
      <c r="Q206" s="291"/>
      <c r="R206" s="292"/>
      <c r="S206" s="284"/>
      <c r="T206" s="284"/>
      <c r="V206" s="60"/>
      <c r="W206" s="21">
        <v>5</v>
      </c>
      <c r="X206" s="322">
        <v>0</v>
      </c>
      <c r="Y206" s="45">
        <v>0</v>
      </c>
      <c r="Z206" s="45">
        <v>0</v>
      </c>
      <c r="AA206" s="45">
        <v>0</v>
      </c>
      <c r="AB206" s="86">
        <v>0</v>
      </c>
      <c r="AE206" s="1" t="str">
        <f>$Y$11</f>
        <v>DDR</v>
      </c>
      <c r="AF206" s="1" t="str">
        <f>DEC2HEX(((2^W204)*Y204)+(2^W205*Y205)+(2^W206*Y206)+(2^W207*Y207)+(2^W208*Y208)+(2^W209*Y209)+(2^W210*Y210)+(2^W211*Y211))</f>
        <v>C</v>
      </c>
    </row>
    <row r="207" spans="2:32" ht="12.75">
      <c r="B207" s="50"/>
      <c r="C207" s="59" t="s">
        <v>1643</v>
      </c>
      <c r="D207" s="309"/>
      <c r="E207" s="294"/>
      <c r="F207" s="294"/>
      <c r="G207" s="284"/>
      <c r="H207" s="284"/>
      <c r="I207" s="294"/>
      <c r="J207" s="284" t="s">
        <v>1510</v>
      </c>
      <c r="K207" s="288"/>
      <c r="L207" s="289"/>
      <c r="M207" s="290"/>
      <c r="N207" s="290"/>
      <c r="O207" s="290"/>
      <c r="P207" s="291"/>
      <c r="Q207" s="291"/>
      <c r="R207" s="292"/>
      <c r="S207" s="284"/>
      <c r="T207" s="284"/>
      <c r="V207" s="60"/>
      <c r="W207" s="25">
        <v>4</v>
      </c>
      <c r="X207" s="322">
        <v>0</v>
      </c>
      <c r="Y207" s="45">
        <v>0</v>
      </c>
      <c r="Z207" s="45">
        <v>0</v>
      </c>
      <c r="AA207" s="45">
        <v>0</v>
      </c>
      <c r="AB207" s="86">
        <v>0</v>
      </c>
      <c r="AE207" s="1" t="str">
        <f>$Z$11</f>
        <v>EPCR</v>
      </c>
      <c r="AF207" s="1" t="str">
        <f>DEC2HEX(((2^W204)*Z204)+(2^W205*Z205)+(2^W206*Z206)+(2^W207*Z207)+(2^W208*Z208)+(2^W209*Z209)+(2^W210*Z210)+(2^W211*Z211))</f>
        <v>F</v>
      </c>
    </row>
    <row r="208" spans="2:32" ht="12.75">
      <c r="B208" s="50"/>
      <c r="C208" s="10" t="s">
        <v>81</v>
      </c>
      <c r="D208" s="41"/>
      <c r="E208" s="100" t="s">
        <v>1644</v>
      </c>
      <c r="F208" s="100" t="s">
        <v>1645</v>
      </c>
      <c r="G208" s="11"/>
      <c r="H208" s="325" t="s">
        <v>1557</v>
      </c>
      <c r="I208" s="38" t="s">
        <v>1646</v>
      </c>
      <c r="J208" s="56" t="str">
        <f>IF(LEFT(F208,1)="P",$AD$5,IF(LEFT(F208,2)="UD",$AD$6,$AD$4))</f>
        <v>Dedicated pin</v>
      </c>
      <c r="K208" s="74" t="str">
        <f>IF(LEFT(F208,2)="PP",$AE$6,IF(LEFT(F208,2)="UD",$AE$5,$AE$4))</f>
        <v>Out</v>
      </c>
      <c r="L208" s="79" t="s">
        <v>20</v>
      </c>
      <c r="M208" s="68" t="s">
        <v>1521</v>
      </c>
      <c r="N208" s="68" t="s">
        <v>20</v>
      </c>
      <c r="O208" s="68"/>
      <c r="P208" s="92"/>
      <c r="Q208" s="109"/>
      <c r="R208" s="13"/>
      <c r="S208" s="11"/>
      <c r="T208" s="11" t="s">
        <v>1647</v>
      </c>
      <c r="V208" s="60"/>
      <c r="W208" s="21">
        <v>3</v>
      </c>
      <c r="X208" s="18" t="str">
        <f t="shared" ref="X208:X211" si="107">IF(M208="H","1","0")</f>
        <v>0</v>
      </c>
      <c r="Y208" s="41" t="str">
        <f>IF(LEFT(K208,1)="O","1","0")</f>
        <v>1</v>
      </c>
      <c r="Z208" s="3">
        <f t="shared" ref="Z208:Z211" si="108">VLOOKUP(J208,$AD$4:$AG$6,4,FALSE)</f>
        <v>1</v>
      </c>
      <c r="AA208" s="2" t="str">
        <f t="shared" ref="AA208:AA211" si="109">IF(L208="H","1",IF(L208="L","1","0"))</f>
        <v>0</v>
      </c>
      <c r="AB208" s="64" t="str">
        <f t="shared" ref="AB208:AB211" si="110">IF(L208="H","1","0")</f>
        <v>0</v>
      </c>
      <c r="AE208" s="1" t="str">
        <f>$AA$11</f>
        <v>PUDEN</v>
      </c>
      <c r="AF208" s="1" t="str">
        <f>DEC2HEX(((2^W204)*AA204)+(2^W205*AA205)+(2^W206*AA206)+(2^W207*AA207)+(2^W208*AA208)+(2^W209*AA209)+(2^W210*AA210)+(2^W211*AA211))</f>
        <v>0</v>
      </c>
    </row>
    <row r="209" spans="2:32" ht="12.75">
      <c r="B209" s="50"/>
      <c r="C209" s="10" t="s">
        <v>82</v>
      </c>
      <c r="D209" s="41"/>
      <c r="E209" s="100" t="s">
        <v>1648</v>
      </c>
      <c r="F209" s="100" t="s">
        <v>1649</v>
      </c>
      <c r="G209" s="11"/>
      <c r="H209" s="325" t="s">
        <v>1605</v>
      </c>
      <c r="I209" s="38" t="s">
        <v>1650</v>
      </c>
      <c r="J209" s="56" t="str">
        <f>IF(LEFT(F209,2)="PP",$AD$5,$AD$4)</f>
        <v>Dedicated pin</v>
      </c>
      <c r="K209" s="76" t="str">
        <f>IF(LEFT(F209,2)="PP",$AE$6,$AE$4)</f>
        <v>Out</v>
      </c>
      <c r="L209" s="79" t="s">
        <v>20</v>
      </c>
      <c r="M209" s="68" t="s">
        <v>1516</v>
      </c>
      <c r="N209" s="68" t="s">
        <v>20</v>
      </c>
      <c r="O209" s="68"/>
      <c r="P209" s="88"/>
      <c r="Q209" s="109"/>
      <c r="R209" s="13"/>
      <c r="S209" s="11"/>
      <c r="T209" s="11" t="s">
        <v>1651</v>
      </c>
      <c r="V209" s="60"/>
      <c r="W209" s="21">
        <v>2</v>
      </c>
      <c r="X209" s="18" t="str">
        <f t="shared" si="107"/>
        <v>0</v>
      </c>
      <c r="Y209" s="41" t="str">
        <f t="shared" ref="Y209:Y211" si="111">IF(LEFT(K209,1)="O","1","0")</f>
        <v>1</v>
      </c>
      <c r="Z209" s="3">
        <f t="shared" si="108"/>
        <v>1</v>
      </c>
      <c r="AA209" s="2" t="str">
        <f t="shared" si="109"/>
        <v>0</v>
      </c>
      <c r="AB209" s="64" t="str">
        <f t="shared" si="110"/>
        <v>0</v>
      </c>
      <c r="AC209" s="26"/>
      <c r="AE209" s="1" t="str">
        <f>$AB$11</f>
        <v>PUDCR</v>
      </c>
      <c r="AF209" s="1" t="str">
        <f>DEC2HEX(((2^W204)*AB204)+(2^W205*AB205)+(2^W206*AB206)+(2^W207*AB207)+(2^W208*AB208)+(2^W209*AB209)+(2^W210*AB210)+(2^W211*AB211))</f>
        <v>0</v>
      </c>
    </row>
    <row r="210" spans="2:32" ht="12.75">
      <c r="B210" s="50"/>
      <c r="C210" s="10" t="s">
        <v>83</v>
      </c>
      <c r="D210" s="41"/>
      <c r="E210" s="100" t="s">
        <v>1652</v>
      </c>
      <c r="F210" s="100" t="s">
        <v>1653</v>
      </c>
      <c r="G210" s="11"/>
      <c r="H210" s="325" t="s">
        <v>1539</v>
      </c>
      <c r="I210" s="38" t="s">
        <v>1654</v>
      </c>
      <c r="J210" s="56" t="str">
        <f>IF(LEFT(F210,2)="PP",$AD$5,$AD$4)</f>
        <v>Dedicated pin</v>
      </c>
      <c r="K210" s="74" t="str">
        <f>IF(LEFT(F210,2)="PP",$AE$6,IF(LEFT(F210,2)="SD",$AE$5,$AE$4))</f>
        <v>In</v>
      </c>
      <c r="L210" s="79" t="s">
        <v>20</v>
      </c>
      <c r="M210" s="68" t="s">
        <v>1493</v>
      </c>
      <c r="N210" s="68" t="s">
        <v>20</v>
      </c>
      <c r="O210" s="68"/>
      <c r="P210" s="88"/>
      <c r="Q210" s="109"/>
      <c r="R210" s="13"/>
      <c r="S210" s="11"/>
      <c r="T210" s="11" t="s">
        <v>1655</v>
      </c>
      <c r="V210" s="60"/>
      <c r="W210" s="21">
        <v>1</v>
      </c>
      <c r="X210" s="18" t="str">
        <f t="shared" si="107"/>
        <v>0</v>
      </c>
      <c r="Y210" s="41" t="str">
        <f t="shared" si="111"/>
        <v>0</v>
      </c>
      <c r="Z210" s="3">
        <f t="shared" si="108"/>
        <v>1</v>
      </c>
      <c r="AA210" s="2" t="str">
        <f t="shared" si="109"/>
        <v>0</v>
      </c>
      <c r="AB210" s="64" t="str">
        <f t="shared" si="110"/>
        <v>0</v>
      </c>
      <c r="AE210" s="27"/>
      <c r="AF210" s="27"/>
    </row>
    <row r="211" spans="2:32" ht="12.75">
      <c r="B211" s="53"/>
      <c r="C211" s="274" t="s">
        <v>84</v>
      </c>
      <c r="D211" s="317"/>
      <c r="E211" s="104" t="s">
        <v>1656</v>
      </c>
      <c r="F211" s="104" t="s">
        <v>1657</v>
      </c>
      <c r="G211" s="12"/>
      <c r="H211" s="327" t="s">
        <v>1539</v>
      </c>
      <c r="I211" s="117" t="s">
        <v>1658</v>
      </c>
      <c r="J211" s="57" t="str">
        <f>IF(LEFT(F211,2)="PP",$AD$5,IF(LEFT(F211,2)="FP",$AD$6,$AD$4))</f>
        <v>Dedicated pin</v>
      </c>
      <c r="K211" s="75" t="str">
        <f>IF(LEFT(F211,2)="PP",$AE$6,IF(LEFT(F211,2)="WP",$AE$4,$AE$5))</f>
        <v>In</v>
      </c>
      <c r="L211" s="80" t="s">
        <v>20</v>
      </c>
      <c r="M211" s="69" t="s">
        <v>1493</v>
      </c>
      <c r="N211" s="69" t="s">
        <v>20</v>
      </c>
      <c r="O211" s="69"/>
      <c r="P211" s="90"/>
      <c r="Q211" s="111"/>
      <c r="R211" s="15"/>
      <c r="S211" s="12"/>
      <c r="T211" s="12" t="s">
        <v>1659</v>
      </c>
      <c r="V211" s="61"/>
      <c r="W211" s="22">
        <v>0</v>
      </c>
      <c r="X211" s="19" t="str">
        <f t="shared" si="107"/>
        <v>0</v>
      </c>
      <c r="Y211" s="42" t="str">
        <f t="shared" si="111"/>
        <v>0</v>
      </c>
      <c r="Z211" s="8">
        <f t="shared" si="108"/>
        <v>1</v>
      </c>
      <c r="AA211" s="9" t="str">
        <f t="shared" si="109"/>
        <v>0</v>
      </c>
      <c r="AB211" s="65" t="str">
        <f t="shared" si="110"/>
        <v>0</v>
      </c>
    </row>
  </sheetData>
  <mergeCells count="24">
    <mergeCell ref="V196:V203"/>
    <mergeCell ref="V108:V115"/>
    <mergeCell ref="V116:V123"/>
    <mergeCell ref="V124:V131"/>
    <mergeCell ref="V132:V139"/>
    <mergeCell ref="V140:V147"/>
    <mergeCell ref="V148:V155"/>
    <mergeCell ref="V156:V163"/>
    <mergeCell ref="V164:V171"/>
    <mergeCell ref="V172:V179"/>
    <mergeCell ref="V180:V187"/>
    <mergeCell ref="V188:V195"/>
    <mergeCell ref="V100:V107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V84:V91"/>
    <mergeCell ref="V92:V99"/>
  </mergeCells>
  <phoneticPr fontId="6"/>
  <conditionalFormatting sqref="J12:J14 J34:J35">
    <cfRule type="expression" dxfId="2335" priority="2387" stopIfTrue="1">
      <formula>J12="GPIO pin"</formula>
    </cfRule>
    <cfRule type="expression" dxfId="2334" priority="2388" stopIfTrue="1">
      <formula>J12="Dedicated pin"</formula>
    </cfRule>
  </conditionalFormatting>
  <conditionalFormatting sqref="P22">
    <cfRule type="expression" dxfId="2333" priority="2385" stopIfTrue="1">
      <formula>P22="GPIO pin"</formula>
    </cfRule>
    <cfRule type="expression" dxfId="2332" priority="2386" stopIfTrue="1">
      <formula>P22="Dedicated pin"</formula>
    </cfRule>
  </conditionalFormatting>
  <conditionalFormatting sqref="P22">
    <cfRule type="expression" dxfId="2331" priority="2383" stopIfTrue="1">
      <formula>P22="GPIO pin"</formula>
    </cfRule>
    <cfRule type="expression" dxfId="2330" priority="2384" stopIfTrue="1">
      <formula>P22="Dedicated pin"</formula>
    </cfRule>
  </conditionalFormatting>
  <conditionalFormatting sqref="P22">
    <cfRule type="expression" dxfId="2329" priority="2381" stopIfTrue="1">
      <formula>P22="GPIO pin"</formula>
    </cfRule>
    <cfRule type="expression" dxfId="2328" priority="2382" stopIfTrue="1">
      <formula>P22="Dedicated pin"</formula>
    </cfRule>
  </conditionalFormatting>
  <conditionalFormatting sqref="P22">
    <cfRule type="expression" dxfId="2327" priority="2379" stopIfTrue="1">
      <formula>P22="GPIO pin"</formula>
    </cfRule>
    <cfRule type="expression" dxfId="2326" priority="2380" stopIfTrue="1">
      <formula>P22="Dedicated pin"</formula>
    </cfRule>
  </conditionalFormatting>
  <conditionalFormatting sqref="P22">
    <cfRule type="expression" dxfId="2325" priority="2377" stopIfTrue="1">
      <formula>P22="GPIO pin"</formula>
    </cfRule>
    <cfRule type="expression" dxfId="2324" priority="2378" stopIfTrue="1">
      <formula>P22="Dedicated pin"</formula>
    </cfRule>
  </conditionalFormatting>
  <conditionalFormatting sqref="P22">
    <cfRule type="expression" dxfId="2323" priority="2375" stopIfTrue="1">
      <formula>P22="GPIO pin"</formula>
    </cfRule>
    <cfRule type="expression" dxfId="2322" priority="2376" stopIfTrue="1">
      <formula>P22="Dedicated pin"</formula>
    </cfRule>
  </conditionalFormatting>
  <conditionalFormatting sqref="P22">
    <cfRule type="expression" dxfId="2321" priority="2373" stopIfTrue="1">
      <formula>P22="GPIO pin"</formula>
    </cfRule>
    <cfRule type="expression" dxfId="2320" priority="2374" stopIfTrue="1">
      <formula>P22="Dedicated pin"</formula>
    </cfRule>
  </conditionalFormatting>
  <conditionalFormatting sqref="P22">
    <cfRule type="expression" dxfId="2319" priority="2371" stopIfTrue="1">
      <formula>P22="GPIO pin"</formula>
    </cfRule>
    <cfRule type="expression" dxfId="2318" priority="2372" stopIfTrue="1">
      <formula>P22="Dedicated pin"</formula>
    </cfRule>
  </conditionalFormatting>
  <conditionalFormatting sqref="P22">
    <cfRule type="expression" dxfId="2317" priority="2369" stopIfTrue="1">
      <formula>P22="GPIO pin"</formula>
    </cfRule>
    <cfRule type="expression" dxfId="2316" priority="2370" stopIfTrue="1">
      <formula>P22="Dedicated pin"</formula>
    </cfRule>
  </conditionalFormatting>
  <conditionalFormatting sqref="P22">
    <cfRule type="expression" dxfId="2315" priority="2367" stopIfTrue="1">
      <formula>P22="GPIO pin"</formula>
    </cfRule>
    <cfRule type="expression" dxfId="2314" priority="2368" stopIfTrue="1">
      <formula>P22="Dedicated pin"</formula>
    </cfRule>
  </conditionalFormatting>
  <conditionalFormatting sqref="P22">
    <cfRule type="expression" dxfId="2313" priority="2365" stopIfTrue="1">
      <formula>P22="GPIO pin"</formula>
    </cfRule>
    <cfRule type="expression" dxfId="2312" priority="2366" stopIfTrue="1">
      <formula>P22="Dedicated pin"</formula>
    </cfRule>
  </conditionalFormatting>
  <conditionalFormatting sqref="P22">
    <cfRule type="expression" dxfId="2311" priority="2363" stopIfTrue="1">
      <formula>P22="GPIO pin"</formula>
    </cfRule>
    <cfRule type="expression" dxfId="2310" priority="2364" stopIfTrue="1">
      <formula>P22="Dedicated pin"</formula>
    </cfRule>
  </conditionalFormatting>
  <conditionalFormatting sqref="P22">
    <cfRule type="expression" dxfId="2309" priority="2361" stopIfTrue="1">
      <formula>P22="GPIO pin"</formula>
    </cfRule>
    <cfRule type="expression" dxfId="2308" priority="2362" stopIfTrue="1">
      <formula>P22="Dedicated pin"</formula>
    </cfRule>
  </conditionalFormatting>
  <conditionalFormatting sqref="P22">
    <cfRule type="expression" dxfId="2307" priority="2359" stopIfTrue="1">
      <formula>P22="GPIO pin"</formula>
    </cfRule>
    <cfRule type="expression" dxfId="2306" priority="2360" stopIfTrue="1">
      <formula>P22="Dedicated pin"</formula>
    </cfRule>
  </conditionalFormatting>
  <conditionalFormatting sqref="P25">
    <cfRule type="expression" dxfId="2305" priority="2357" stopIfTrue="1">
      <formula>P25="GPIO pin"</formula>
    </cfRule>
    <cfRule type="expression" dxfId="2304" priority="2358" stopIfTrue="1">
      <formula>P25="Dedicated pin"</formula>
    </cfRule>
  </conditionalFormatting>
  <conditionalFormatting sqref="P25">
    <cfRule type="expression" dxfId="2303" priority="2355" stopIfTrue="1">
      <formula>P25="GPIO pin"</formula>
    </cfRule>
    <cfRule type="expression" dxfId="2302" priority="2356" stopIfTrue="1">
      <formula>P25="Dedicated pin"</formula>
    </cfRule>
  </conditionalFormatting>
  <conditionalFormatting sqref="P25">
    <cfRule type="expression" dxfId="2301" priority="2353" stopIfTrue="1">
      <formula>P25="GPIO pin"</formula>
    </cfRule>
    <cfRule type="expression" dxfId="2300" priority="2354" stopIfTrue="1">
      <formula>P25="Dedicated pin"</formula>
    </cfRule>
  </conditionalFormatting>
  <conditionalFormatting sqref="P25">
    <cfRule type="expression" dxfId="2299" priority="2351" stopIfTrue="1">
      <formula>P25="GPIO pin"</formula>
    </cfRule>
    <cfRule type="expression" dxfId="2298" priority="2352" stopIfTrue="1">
      <formula>P25="Dedicated pin"</formula>
    </cfRule>
  </conditionalFormatting>
  <conditionalFormatting sqref="P25">
    <cfRule type="expression" dxfId="2297" priority="2349" stopIfTrue="1">
      <formula>P25="GPIO pin"</formula>
    </cfRule>
    <cfRule type="expression" dxfId="2296" priority="2350" stopIfTrue="1">
      <formula>P25="Dedicated pin"</formula>
    </cfRule>
  </conditionalFormatting>
  <conditionalFormatting sqref="P25">
    <cfRule type="expression" dxfId="2295" priority="2347" stopIfTrue="1">
      <formula>P25="GPIO pin"</formula>
    </cfRule>
    <cfRule type="expression" dxfId="2294" priority="2348" stopIfTrue="1">
      <formula>P25="Dedicated pin"</formula>
    </cfRule>
  </conditionalFormatting>
  <conditionalFormatting sqref="P25">
    <cfRule type="expression" dxfId="2293" priority="2345" stopIfTrue="1">
      <formula>P25="GPIO pin"</formula>
    </cfRule>
    <cfRule type="expression" dxfId="2292" priority="2346" stopIfTrue="1">
      <formula>P25="Dedicated pin"</formula>
    </cfRule>
  </conditionalFormatting>
  <conditionalFormatting sqref="P25">
    <cfRule type="expression" dxfId="2291" priority="2343" stopIfTrue="1">
      <formula>P25="GPIO pin"</formula>
    </cfRule>
    <cfRule type="expression" dxfId="2290" priority="2344" stopIfTrue="1">
      <formula>P25="Dedicated pin"</formula>
    </cfRule>
  </conditionalFormatting>
  <conditionalFormatting sqref="P25">
    <cfRule type="expression" dxfId="2289" priority="2341" stopIfTrue="1">
      <formula>P25="GPIO pin"</formula>
    </cfRule>
    <cfRule type="expression" dxfId="2288" priority="2342" stopIfTrue="1">
      <formula>P25="Dedicated pin"</formula>
    </cfRule>
  </conditionalFormatting>
  <conditionalFormatting sqref="P25">
    <cfRule type="expression" dxfId="2287" priority="2339" stopIfTrue="1">
      <formula>P25="GPIO pin"</formula>
    </cfRule>
    <cfRule type="expression" dxfId="2286" priority="2340" stopIfTrue="1">
      <formula>P25="Dedicated pin"</formula>
    </cfRule>
  </conditionalFormatting>
  <conditionalFormatting sqref="P25">
    <cfRule type="expression" dxfId="2285" priority="2337" stopIfTrue="1">
      <formula>P25="GPIO pin"</formula>
    </cfRule>
    <cfRule type="expression" dxfId="2284" priority="2338" stopIfTrue="1">
      <formula>P25="Dedicated pin"</formula>
    </cfRule>
  </conditionalFormatting>
  <conditionalFormatting sqref="P25">
    <cfRule type="expression" dxfId="2283" priority="2335" stopIfTrue="1">
      <formula>P25="GPIO pin"</formula>
    </cfRule>
    <cfRule type="expression" dxfId="2282" priority="2336" stopIfTrue="1">
      <formula>P25="Dedicated pin"</formula>
    </cfRule>
  </conditionalFormatting>
  <conditionalFormatting sqref="P25">
    <cfRule type="expression" dxfId="2281" priority="2333" stopIfTrue="1">
      <formula>P25="GPIO pin"</formula>
    </cfRule>
    <cfRule type="expression" dxfId="2280" priority="2334" stopIfTrue="1">
      <formula>P25="Dedicated pin"</formula>
    </cfRule>
  </conditionalFormatting>
  <conditionalFormatting sqref="P25">
    <cfRule type="expression" dxfId="2279" priority="2331" stopIfTrue="1">
      <formula>P25="GPIO pin"</formula>
    </cfRule>
    <cfRule type="expression" dxfId="2278" priority="2332" stopIfTrue="1">
      <formula>P25="Dedicated pin"</formula>
    </cfRule>
  </conditionalFormatting>
  <conditionalFormatting sqref="Q22">
    <cfRule type="expression" dxfId="2277" priority="2329" stopIfTrue="1">
      <formula>Q22="GPIO pin"</formula>
    </cfRule>
    <cfRule type="expression" dxfId="2276" priority="2330" stopIfTrue="1">
      <formula>Q22="Dedicated pin"</formula>
    </cfRule>
  </conditionalFormatting>
  <conditionalFormatting sqref="Q22">
    <cfRule type="expression" dxfId="2275" priority="2327" stopIfTrue="1">
      <formula>Q22="GPIO pin"</formula>
    </cfRule>
    <cfRule type="expression" dxfId="2274" priority="2328" stopIfTrue="1">
      <formula>Q22="Dedicated pin"</formula>
    </cfRule>
  </conditionalFormatting>
  <conditionalFormatting sqref="Q22">
    <cfRule type="expression" dxfId="2273" priority="2325" stopIfTrue="1">
      <formula>Q22="GPIO pin"</formula>
    </cfRule>
    <cfRule type="expression" dxfId="2272" priority="2326" stopIfTrue="1">
      <formula>Q22="Dedicated pin"</formula>
    </cfRule>
  </conditionalFormatting>
  <conditionalFormatting sqref="Q22">
    <cfRule type="expression" dxfId="2271" priority="2323" stopIfTrue="1">
      <formula>Q22="GPIO pin"</formula>
    </cfRule>
    <cfRule type="expression" dxfId="2270" priority="2324" stopIfTrue="1">
      <formula>Q22="Dedicated pin"</formula>
    </cfRule>
  </conditionalFormatting>
  <conditionalFormatting sqref="Q22">
    <cfRule type="expression" dxfId="2269" priority="2321" stopIfTrue="1">
      <formula>Q22="GPIO pin"</formula>
    </cfRule>
    <cfRule type="expression" dxfId="2268" priority="2322" stopIfTrue="1">
      <formula>Q22="Dedicated pin"</formula>
    </cfRule>
  </conditionalFormatting>
  <conditionalFormatting sqref="Q22">
    <cfRule type="expression" dxfId="2267" priority="2319" stopIfTrue="1">
      <formula>Q22="GPIO pin"</formula>
    </cfRule>
    <cfRule type="expression" dxfId="2266" priority="2320" stopIfTrue="1">
      <formula>Q22="Dedicated pin"</formula>
    </cfRule>
  </conditionalFormatting>
  <conditionalFormatting sqref="Q22">
    <cfRule type="expression" dxfId="2265" priority="2317" stopIfTrue="1">
      <formula>Q22="GPIO pin"</formula>
    </cfRule>
    <cfRule type="expression" dxfId="2264" priority="2318" stopIfTrue="1">
      <formula>Q22="Dedicated pin"</formula>
    </cfRule>
  </conditionalFormatting>
  <conditionalFormatting sqref="Q22">
    <cfRule type="expression" dxfId="2263" priority="2315" stopIfTrue="1">
      <formula>Q22="GPIO pin"</formula>
    </cfRule>
    <cfRule type="expression" dxfId="2262" priority="2316" stopIfTrue="1">
      <formula>Q22="Dedicated pin"</formula>
    </cfRule>
  </conditionalFormatting>
  <conditionalFormatting sqref="Q22">
    <cfRule type="expression" dxfId="2261" priority="2313" stopIfTrue="1">
      <formula>Q22="GPIO pin"</formula>
    </cfRule>
    <cfRule type="expression" dxfId="2260" priority="2314" stopIfTrue="1">
      <formula>Q22="Dedicated pin"</formula>
    </cfRule>
  </conditionalFormatting>
  <conditionalFormatting sqref="Q22">
    <cfRule type="expression" dxfId="2259" priority="2311" stopIfTrue="1">
      <formula>Q22="GPIO pin"</formula>
    </cfRule>
    <cfRule type="expression" dxfId="2258" priority="2312" stopIfTrue="1">
      <formula>Q22="Dedicated pin"</formula>
    </cfRule>
  </conditionalFormatting>
  <conditionalFormatting sqref="Q22">
    <cfRule type="expression" dxfId="2257" priority="2309" stopIfTrue="1">
      <formula>Q22="GPIO pin"</formula>
    </cfRule>
    <cfRule type="expression" dxfId="2256" priority="2310" stopIfTrue="1">
      <formula>Q22="Dedicated pin"</formula>
    </cfRule>
  </conditionalFormatting>
  <conditionalFormatting sqref="Q22">
    <cfRule type="expression" dxfId="2255" priority="2307" stopIfTrue="1">
      <formula>Q22="GPIO pin"</formula>
    </cfRule>
    <cfRule type="expression" dxfId="2254" priority="2308" stopIfTrue="1">
      <formula>Q22="Dedicated pin"</formula>
    </cfRule>
  </conditionalFormatting>
  <conditionalFormatting sqref="Q22">
    <cfRule type="expression" dxfId="2253" priority="2305" stopIfTrue="1">
      <formula>Q22="GPIO pin"</formula>
    </cfRule>
    <cfRule type="expression" dxfId="2252" priority="2306" stopIfTrue="1">
      <formula>Q22="Dedicated pin"</formula>
    </cfRule>
  </conditionalFormatting>
  <conditionalFormatting sqref="Q22">
    <cfRule type="expression" dxfId="2251" priority="2303" stopIfTrue="1">
      <formula>Q22="GPIO pin"</formula>
    </cfRule>
    <cfRule type="expression" dxfId="2250" priority="2304" stopIfTrue="1">
      <formula>Q22="Dedicated pin"</formula>
    </cfRule>
  </conditionalFormatting>
  <conditionalFormatting sqref="Q26">
    <cfRule type="expression" dxfId="2249" priority="2229" stopIfTrue="1">
      <formula>Q26="GPIO pin"</formula>
    </cfRule>
    <cfRule type="expression" dxfId="2248" priority="2230" stopIfTrue="1">
      <formula>Q26="Dedicated pin"</formula>
    </cfRule>
  </conditionalFormatting>
  <conditionalFormatting sqref="Q26">
    <cfRule type="expression" dxfId="2247" priority="2227" stopIfTrue="1">
      <formula>Q26="GPIO pin"</formula>
    </cfRule>
    <cfRule type="expression" dxfId="2246" priority="2228" stopIfTrue="1">
      <formula>Q26="Dedicated pin"</formula>
    </cfRule>
  </conditionalFormatting>
  <conditionalFormatting sqref="Q26">
    <cfRule type="expression" dxfId="2245" priority="2225" stopIfTrue="1">
      <formula>Q26="GPIO pin"</formula>
    </cfRule>
    <cfRule type="expression" dxfId="2244" priority="2226" stopIfTrue="1">
      <formula>Q26="Dedicated pin"</formula>
    </cfRule>
  </conditionalFormatting>
  <conditionalFormatting sqref="Q26">
    <cfRule type="expression" dxfId="2243" priority="2223" stopIfTrue="1">
      <formula>Q26="GPIO pin"</formula>
    </cfRule>
    <cfRule type="expression" dxfId="2242" priority="2224" stopIfTrue="1">
      <formula>Q26="Dedicated pin"</formula>
    </cfRule>
  </conditionalFormatting>
  <conditionalFormatting sqref="Q26">
    <cfRule type="expression" dxfId="2241" priority="2221" stopIfTrue="1">
      <formula>Q26="GPIO pin"</formula>
    </cfRule>
    <cfRule type="expression" dxfId="2240" priority="2222" stopIfTrue="1">
      <formula>Q26="Dedicated pin"</formula>
    </cfRule>
  </conditionalFormatting>
  <conditionalFormatting sqref="Q26">
    <cfRule type="expression" dxfId="2239" priority="2219" stopIfTrue="1">
      <formula>Q26="GPIO pin"</formula>
    </cfRule>
    <cfRule type="expression" dxfId="2238" priority="2220" stopIfTrue="1">
      <formula>Q26="Dedicated pin"</formula>
    </cfRule>
  </conditionalFormatting>
  <conditionalFormatting sqref="P27">
    <cfRule type="expression" dxfId="2237" priority="2217" stopIfTrue="1">
      <formula>P27="GPIO pin"</formula>
    </cfRule>
    <cfRule type="expression" dxfId="2236" priority="2218" stopIfTrue="1">
      <formula>P27="Dedicated pin"</formula>
    </cfRule>
  </conditionalFormatting>
  <conditionalFormatting sqref="P27">
    <cfRule type="expression" dxfId="2235" priority="2215" stopIfTrue="1">
      <formula>P27="GPIO pin"</formula>
    </cfRule>
    <cfRule type="expression" dxfId="2234" priority="2216" stopIfTrue="1">
      <formula>P27="Dedicated pin"</formula>
    </cfRule>
  </conditionalFormatting>
  <conditionalFormatting sqref="P27">
    <cfRule type="expression" dxfId="2233" priority="2213" stopIfTrue="1">
      <formula>P27="GPIO pin"</formula>
    </cfRule>
    <cfRule type="expression" dxfId="2232" priority="2214" stopIfTrue="1">
      <formula>P27="Dedicated pin"</formula>
    </cfRule>
  </conditionalFormatting>
  <conditionalFormatting sqref="P27">
    <cfRule type="expression" dxfId="2231" priority="2211" stopIfTrue="1">
      <formula>P27="GPIO pin"</formula>
    </cfRule>
    <cfRule type="expression" dxfId="2230" priority="2212" stopIfTrue="1">
      <formula>P27="Dedicated pin"</formula>
    </cfRule>
  </conditionalFormatting>
  <conditionalFormatting sqref="P27">
    <cfRule type="expression" dxfId="2229" priority="2209" stopIfTrue="1">
      <formula>P27="GPIO pin"</formula>
    </cfRule>
    <cfRule type="expression" dxfId="2228" priority="2210" stopIfTrue="1">
      <formula>P27="Dedicated pin"</formula>
    </cfRule>
  </conditionalFormatting>
  <conditionalFormatting sqref="P27">
    <cfRule type="expression" dxfId="2227" priority="2207" stopIfTrue="1">
      <formula>P27="GPIO pin"</formula>
    </cfRule>
    <cfRule type="expression" dxfId="2226" priority="2208" stopIfTrue="1">
      <formula>P27="Dedicated pin"</formula>
    </cfRule>
  </conditionalFormatting>
  <conditionalFormatting sqref="P27">
    <cfRule type="expression" dxfId="2225" priority="2205" stopIfTrue="1">
      <formula>P27="GPIO pin"</formula>
    </cfRule>
    <cfRule type="expression" dxfId="2224" priority="2206" stopIfTrue="1">
      <formula>P27="Dedicated pin"</formula>
    </cfRule>
  </conditionalFormatting>
  <conditionalFormatting sqref="P27">
    <cfRule type="expression" dxfId="2223" priority="2203" stopIfTrue="1">
      <formula>P27="GPIO pin"</formula>
    </cfRule>
    <cfRule type="expression" dxfId="2222" priority="2204" stopIfTrue="1">
      <formula>P27="Dedicated pin"</formula>
    </cfRule>
  </conditionalFormatting>
  <conditionalFormatting sqref="P27">
    <cfRule type="expression" dxfId="2221" priority="2201" stopIfTrue="1">
      <formula>P27="GPIO pin"</formula>
    </cfRule>
    <cfRule type="expression" dxfId="2220" priority="2202" stopIfTrue="1">
      <formula>P27="Dedicated pin"</formula>
    </cfRule>
  </conditionalFormatting>
  <conditionalFormatting sqref="P27">
    <cfRule type="expression" dxfId="2219" priority="2199" stopIfTrue="1">
      <formula>P27="GPIO pin"</formula>
    </cfRule>
    <cfRule type="expression" dxfId="2218" priority="2200" stopIfTrue="1">
      <formula>P27="Dedicated pin"</formula>
    </cfRule>
  </conditionalFormatting>
  <conditionalFormatting sqref="P27">
    <cfRule type="expression" dxfId="2217" priority="2197" stopIfTrue="1">
      <formula>P27="GPIO pin"</formula>
    </cfRule>
    <cfRule type="expression" dxfId="2216" priority="2198" stopIfTrue="1">
      <formula>P27="Dedicated pin"</formula>
    </cfRule>
  </conditionalFormatting>
  <conditionalFormatting sqref="P27">
    <cfRule type="expression" dxfId="2215" priority="2195" stopIfTrue="1">
      <formula>P27="GPIO pin"</formula>
    </cfRule>
    <cfRule type="expression" dxfId="2214" priority="2196" stopIfTrue="1">
      <formula>P27="Dedicated pin"</formula>
    </cfRule>
  </conditionalFormatting>
  <conditionalFormatting sqref="P27">
    <cfRule type="expression" dxfId="2213" priority="2193" stopIfTrue="1">
      <formula>P27="GPIO pin"</formula>
    </cfRule>
    <cfRule type="expression" dxfId="2212" priority="2194" stopIfTrue="1">
      <formula>P27="Dedicated pin"</formula>
    </cfRule>
  </conditionalFormatting>
  <conditionalFormatting sqref="P27">
    <cfRule type="expression" dxfId="2211" priority="2191" stopIfTrue="1">
      <formula>P27="GPIO pin"</formula>
    </cfRule>
    <cfRule type="expression" dxfId="2210" priority="2192" stopIfTrue="1">
      <formula>P27="Dedicated pin"</formula>
    </cfRule>
  </conditionalFormatting>
  <conditionalFormatting sqref="P26">
    <cfRule type="expression" dxfId="2209" priority="2301" stopIfTrue="1">
      <formula>P26="GPIO pin"</formula>
    </cfRule>
    <cfRule type="expression" dxfId="2208" priority="2302" stopIfTrue="1">
      <formula>P26="Dedicated pin"</formula>
    </cfRule>
  </conditionalFormatting>
  <conditionalFormatting sqref="P26">
    <cfRule type="expression" dxfId="2207" priority="2299" stopIfTrue="1">
      <formula>P26="GPIO pin"</formula>
    </cfRule>
    <cfRule type="expression" dxfId="2206" priority="2300" stopIfTrue="1">
      <formula>P26="Dedicated pin"</formula>
    </cfRule>
  </conditionalFormatting>
  <conditionalFormatting sqref="P26">
    <cfRule type="expression" dxfId="2205" priority="2297" stopIfTrue="1">
      <formula>P26="GPIO pin"</formula>
    </cfRule>
    <cfRule type="expression" dxfId="2204" priority="2298" stopIfTrue="1">
      <formula>P26="Dedicated pin"</formula>
    </cfRule>
  </conditionalFormatting>
  <conditionalFormatting sqref="P26">
    <cfRule type="expression" dxfId="2203" priority="2295" stopIfTrue="1">
      <formula>P26="GPIO pin"</formula>
    </cfRule>
    <cfRule type="expression" dxfId="2202" priority="2296" stopIfTrue="1">
      <formula>P26="Dedicated pin"</formula>
    </cfRule>
  </conditionalFormatting>
  <conditionalFormatting sqref="P26">
    <cfRule type="expression" dxfId="2201" priority="2293" stopIfTrue="1">
      <formula>P26="GPIO pin"</formula>
    </cfRule>
    <cfRule type="expression" dxfId="2200" priority="2294" stopIfTrue="1">
      <formula>P26="Dedicated pin"</formula>
    </cfRule>
  </conditionalFormatting>
  <conditionalFormatting sqref="P26">
    <cfRule type="expression" dxfId="2199" priority="2291" stopIfTrue="1">
      <formula>P26="GPIO pin"</formula>
    </cfRule>
    <cfRule type="expression" dxfId="2198" priority="2292" stopIfTrue="1">
      <formula>P26="Dedicated pin"</formula>
    </cfRule>
  </conditionalFormatting>
  <conditionalFormatting sqref="P26">
    <cfRule type="expression" dxfId="2197" priority="2289" stopIfTrue="1">
      <formula>P26="GPIO pin"</formula>
    </cfRule>
    <cfRule type="expression" dxfId="2196" priority="2290" stopIfTrue="1">
      <formula>P26="Dedicated pin"</formula>
    </cfRule>
  </conditionalFormatting>
  <conditionalFormatting sqref="P26">
    <cfRule type="expression" dxfId="2195" priority="2287" stopIfTrue="1">
      <formula>P26="GPIO pin"</formula>
    </cfRule>
    <cfRule type="expression" dxfId="2194" priority="2288" stopIfTrue="1">
      <formula>P26="Dedicated pin"</formula>
    </cfRule>
  </conditionalFormatting>
  <conditionalFormatting sqref="P26">
    <cfRule type="expression" dxfId="2193" priority="2285" stopIfTrue="1">
      <formula>P26="GPIO pin"</formula>
    </cfRule>
    <cfRule type="expression" dxfId="2192" priority="2286" stopIfTrue="1">
      <formula>P26="Dedicated pin"</formula>
    </cfRule>
  </conditionalFormatting>
  <conditionalFormatting sqref="P26">
    <cfRule type="expression" dxfId="2191" priority="2283" stopIfTrue="1">
      <formula>P26="GPIO pin"</formula>
    </cfRule>
    <cfRule type="expression" dxfId="2190" priority="2284" stopIfTrue="1">
      <formula>P26="Dedicated pin"</formula>
    </cfRule>
  </conditionalFormatting>
  <conditionalFormatting sqref="P26">
    <cfRule type="expression" dxfId="2189" priority="2281" stopIfTrue="1">
      <formula>P26="GPIO pin"</formula>
    </cfRule>
    <cfRule type="expression" dxfId="2188" priority="2282" stopIfTrue="1">
      <formula>P26="Dedicated pin"</formula>
    </cfRule>
  </conditionalFormatting>
  <conditionalFormatting sqref="P26">
    <cfRule type="expression" dxfId="2187" priority="2279" stopIfTrue="1">
      <formula>P26="GPIO pin"</formula>
    </cfRule>
    <cfRule type="expression" dxfId="2186" priority="2280" stopIfTrue="1">
      <formula>P26="Dedicated pin"</formula>
    </cfRule>
  </conditionalFormatting>
  <conditionalFormatting sqref="P26">
    <cfRule type="expression" dxfId="2185" priority="2277" stopIfTrue="1">
      <formula>P26="GPIO pin"</formula>
    </cfRule>
    <cfRule type="expression" dxfId="2184" priority="2278" stopIfTrue="1">
      <formula>P26="Dedicated pin"</formula>
    </cfRule>
  </conditionalFormatting>
  <conditionalFormatting sqref="P26">
    <cfRule type="expression" dxfId="2183" priority="2275" stopIfTrue="1">
      <formula>P26="GPIO pin"</formula>
    </cfRule>
    <cfRule type="expression" dxfId="2182" priority="2276" stopIfTrue="1">
      <formula>P26="Dedicated pin"</formula>
    </cfRule>
  </conditionalFormatting>
  <conditionalFormatting sqref="Q26">
    <cfRule type="expression" dxfId="2181" priority="2273" stopIfTrue="1">
      <formula>Q26="GPIO pin"</formula>
    </cfRule>
    <cfRule type="expression" dxfId="2180" priority="2274" stopIfTrue="1">
      <formula>Q26="Dedicated pin"</formula>
    </cfRule>
  </conditionalFormatting>
  <conditionalFormatting sqref="Q26">
    <cfRule type="expression" dxfId="2179" priority="2271" stopIfTrue="1">
      <formula>Q26="GPIO pin"</formula>
    </cfRule>
    <cfRule type="expression" dxfId="2178" priority="2272" stopIfTrue="1">
      <formula>Q26="Dedicated pin"</formula>
    </cfRule>
  </conditionalFormatting>
  <conditionalFormatting sqref="Q26">
    <cfRule type="expression" dxfId="2177" priority="2269" stopIfTrue="1">
      <formula>Q26="GPIO pin"</formula>
    </cfRule>
    <cfRule type="expression" dxfId="2176" priority="2270" stopIfTrue="1">
      <formula>Q26="Dedicated pin"</formula>
    </cfRule>
  </conditionalFormatting>
  <conditionalFormatting sqref="Q26">
    <cfRule type="expression" dxfId="2175" priority="2267" stopIfTrue="1">
      <formula>Q26="GPIO pin"</formula>
    </cfRule>
    <cfRule type="expression" dxfId="2174" priority="2268" stopIfTrue="1">
      <formula>Q26="Dedicated pin"</formula>
    </cfRule>
  </conditionalFormatting>
  <conditionalFormatting sqref="Q26">
    <cfRule type="expression" dxfId="2173" priority="2265" stopIfTrue="1">
      <formula>Q26="GPIO pin"</formula>
    </cfRule>
    <cfRule type="expression" dxfId="2172" priority="2266" stopIfTrue="1">
      <formula>Q26="Dedicated pin"</formula>
    </cfRule>
  </conditionalFormatting>
  <conditionalFormatting sqref="Q26">
    <cfRule type="expression" dxfId="2171" priority="2263" stopIfTrue="1">
      <formula>Q26="GPIO pin"</formula>
    </cfRule>
    <cfRule type="expression" dxfId="2170" priority="2264" stopIfTrue="1">
      <formula>Q26="Dedicated pin"</formula>
    </cfRule>
  </conditionalFormatting>
  <conditionalFormatting sqref="Q26">
    <cfRule type="expression" dxfId="2169" priority="2261" stopIfTrue="1">
      <formula>Q26="GPIO pin"</formula>
    </cfRule>
    <cfRule type="expression" dxfId="2168" priority="2262" stopIfTrue="1">
      <formula>Q26="Dedicated pin"</formula>
    </cfRule>
  </conditionalFormatting>
  <conditionalFormatting sqref="Q26">
    <cfRule type="expression" dxfId="2167" priority="2259" stopIfTrue="1">
      <formula>Q26="GPIO pin"</formula>
    </cfRule>
    <cfRule type="expression" dxfId="2166" priority="2260" stopIfTrue="1">
      <formula>Q26="Dedicated pin"</formula>
    </cfRule>
  </conditionalFormatting>
  <conditionalFormatting sqref="Q26">
    <cfRule type="expression" dxfId="2165" priority="2257" stopIfTrue="1">
      <formula>Q26="GPIO pin"</formula>
    </cfRule>
    <cfRule type="expression" dxfId="2164" priority="2258" stopIfTrue="1">
      <formula>Q26="Dedicated pin"</formula>
    </cfRule>
  </conditionalFormatting>
  <conditionalFormatting sqref="Q26">
    <cfRule type="expression" dxfId="2163" priority="2255" stopIfTrue="1">
      <formula>Q26="GPIO pin"</formula>
    </cfRule>
    <cfRule type="expression" dxfId="2162" priority="2256" stopIfTrue="1">
      <formula>Q26="Dedicated pin"</formula>
    </cfRule>
  </conditionalFormatting>
  <conditionalFormatting sqref="Q26">
    <cfRule type="expression" dxfId="2161" priority="2253" stopIfTrue="1">
      <formula>Q26="GPIO pin"</formula>
    </cfRule>
    <cfRule type="expression" dxfId="2160" priority="2254" stopIfTrue="1">
      <formula>Q26="Dedicated pin"</formula>
    </cfRule>
  </conditionalFormatting>
  <conditionalFormatting sqref="Q26">
    <cfRule type="expression" dxfId="2159" priority="2251" stopIfTrue="1">
      <formula>Q26="GPIO pin"</formula>
    </cfRule>
    <cfRule type="expression" dxfId="2158" priority="2252" stopIfTrue="1">
      <formula>Q26="Dedicated pin"</formula>
    </cfRule>
  </conditionalFormatting>
  <conditionalFormatting sqref="Q26">
    <cfRule type="expression" dxfId="2157" priority="2249" stopIfTrue="1">
      <formula>Q26="GPIO pin"</formula>
    </cfRule>
    <cfRule type="expression" dxfId="2156" priority="2250" stopIfTrue="1">
      <formula>Q26="Dedicated pin"</formula>
    </cfRule>
  </conditionalFormatting>
  <conditionalFormatting sqref="Q26">
    <cfRule type="expression" dxfId="2155" priority="2247" stopIfTrue="1">
      <formula>Q26="GPIO pin"</formula>
    </cfRule>
    <cfRule type="expression" dxfId="2154" priority="2248" stopIfTrue="1">
      <formula>Q26="Dedicated pin"</formula>
    </cfRule>
  </conditionalFormatting>
  <conditionalFormatting sqref="Q26">
    <cfRule type="expression" dxfId="2153" priority="2245" stopIfTrue="1">
      <formula>Q26="GPIO pin"</formula>
    </cfRule>
    <cfRule type="expression" dxfId="2152" priority="2246" stopIfTrue="1">
      <formula>Q26="Dedicated pin"</formula>
    </cfRule>
  </conditionalFormatting>
  <conditionalFormatting sqref="Q26">
    <cfRule type="expression" dxfId="2151" priority="2243" stopIfTrue="1">
      <formula>Q26="GPIO pin"</formula>
    </cfRule>
    <cfRule type="expression" dxfId="2150" priority="2244" stopIfTrue="1">
      <formula>Q26="Dedicated pin"</formula>
    </cfRule>
  </conditionalFormatting>
  <conditionalFormatting sqref="Q26">
    <cfRule type="expression" dxfId="2149" priority="2241" stopIfTrue="1">
      <formula>Q26="GPIO pin"</formula>
    </cfRule>
    <cfRule type="expression" dxfId="2148" priority="2242" stopIfTrue="1">
      <formula>Q26="Dedicated pin"</formula>
    </cfRule>
  </conditionalFormatting>
  <conditionalFormatting sqref="Q26">
    <cfRule type="expression" dxfId="2147" priority="2239" stopIfTrue="1">
      <formula>Q26="GPIO pin"</formula>
    </cfRule>
    <cfRule type="expression" dxfId="2146" priority="2240" stopIfTrue="1">
      <formula>Q26="Dedicated pin"</formula>
    </cfRule>
  </conditionalFormatting>
  <conditionalFormatting sqref="Q26">
    <cfRule type="expression" dxfId="2145" priority="2237" stopIfTrue="1">
      <formula>Q26="GPIO pin"</formula>
    </cfRule>
    <cfRule type="expression" dxfId="2144" priority="2238" stopIfTrue="1">
      <formula>Q26="Dedicated pin"</formula>
    </cfRule>
  </conditionalFormatting>
  <conditionalFormatting sqref="Q26">
    <cfRule type="expression" dxfId="2143" priority="2235" stopIfTrue="1">
      <formula>Q26="GPIO pin"</formula>
    </cfRule>
    <cfRule type="expression" dxfId="2142" priority="2236" stopIfTrue="1">
      <formula>Q26="Dedicated pin"</formula>
    </cfRule>
  </conditionalFormatting>
  <conditionalFormatting sqref="Q26">
    <cfRule type="expression" dxfId="2141" priority="2233" stopIfTrue="1">
      <formula>Q26="GPIO pin"</formula>
    </cfRule>
    <cfRule type="expression" dxfId="2140" priority="2234" stopIfTrue="1">
      <formula>Q26="Dedicated pin"</formula>
    </cfRule>
  </conditionalFormatting>
  <conditionalFormatting sqref="Q26">
    <cfRule type="expression" dxfId="2139" priority="2231" stopIfTrue="1">
      <formula>Q26="GPIO pin"</formula>
    </cfRule>
    <cfRule type="expression" dxfId="2138" priority="2232" stopIfTrue="1">
      <formula>Q26="Dedicated pin"</formula>
    </cfRule>
  </conditionalFormatting>
  <conditionalFormatting sqref="Q32">
    <cfRule type="expression" dxfId="2137" priority="2185" stopIfTrue="1">
      <formula>Q32="GPIO pin"</formula>
    </cfRule>
    <cfRule type="expression" dxfId="2136" priority="2186" stopIfTrue="1">
      <formula>Q32="Dedicated pin"</formula>
    </cfRule>
  </conditionalFormatting>
  <conditionalFormatting sqref="Q32">
    <cfRule type="expression" dxfId="2135" priority="2183" stopIfTrue="1">
      <formula>Q32="GPIO pin"</formula>
    </cfRule>
    <cfRule type="expression" dxfId="2134" priority="2184" stopIfTrue="1">
      <formula>Q32="Dedicated pin"</formula>
    </cfRule>
  </conditionalFormatting>
  <conditionalFormatting sqref="Q32">
    <cfRule type="expression" dxfId="2133" priority="2181" stopIfTrue="1">
      <formula>Q32="GPIO pin"</formula>
    </cfRule>
    <cfRule type="expression" dxfId="2132" priority="2182" stopIfTrue="1">
      <formula>Q32="Dedicated pin"</formula>
    </cfRule>
  </conditionalFormatting>
  <conditionalFormatting sqref="Q32">
    <cfRule type="expression" dxfId="2131" priority="2179" stopIfTrue="1">
      <formula>Q32="GPIO pin"</formula>
    </cfRule>
    <cfRule type="expression" dxfId="2130" priority="2180" stopIfTrue="1">
      <formula>Q32="Dedicated pin"</formula>
    </cfRule>
  </conditionalFormatting>
  <conditionalFormatting sqref="Q32">
    <cfRule type="expression" dxfId="2129" priority="2177" stopIfTrue="1">
      <formula>Q32="GPIO pin"</formula>
    </cfRule>
    <cfRule type="expression" dxfId="2128" priority="2178" stopIfTrue="1">
      <formula>Q32="Dedicated pin"</formula>
    </cfRule>
  </conditionalFormatting>
  <conditionalFormatting sqref="Q32">
    <cfRule type="expression" dxfId="2127" priority="2175" stopIfTrue="1">
      <formula>Q32="GPIO pin"</formula>
    </cfRule>
    <cfRule type="expression" dxfId="2126" priority="2176" stopIfTrue="1">
      <formula>Q32="Dedicated pin"</formula>
    </cfRule>
  </conditionalFormatting>
  <conditionalFormatting sqref="Q32">
    <cfRule type="expression" dxfId="2125" priority="2173" stopIfTrue="1">
      <formula>Q32="GPIO pin"</formula>
    </cfRule>
    <cfRule type="expression" dxfId="2124" priority="2174" stopIfTrue="1">
      <formula>Q32="Dedicated pin"</formula>
    </cfRule>
  </conditionalFormatting>
  <conditionalFormatting sqref="Q32">
    <cfRule type="expression" dxfId="2123" priority="2171" stopIfTrue="1">
      <formula>Q32="GPIO pin"</formula>
    </cfRule>
    <cfRule type="expression" dxfId="2122" priority="2172" stopIfTrue="1">
      <formula>Q32="Dedicated pin"</formula>
    </cfRule>
  </conditionalFormatting>
  <conditionalFormatting sqref="Q32">
    <cfRule type="expression" dxfId="2121" priority="2169" stopIfTrue="1">
      <formula>Q32="GPIO pin"</formula>
    </cfRule>
    <cfRule type="expression" dxfId="2120" priority="2170" stopIfTrue="1">
      <formula>Q32="Dedicated pin"</formula>
    </cfRule>
  </conditionalFormatting>
  <conditionalFormatting sqref="Q32">
    <cfRule type="expression" dxfId="2119" priority="2167" stopIfTrue="1">
      <formula>Q32="GPIO pin"</formula>
    </cfRule>
    <cfRule type="expression" dxfId="2118" priority="2168" stopIfTrue="1">
      <formula>Q32="Dedicated pin"</formula>
    </cfRule>
  </conditionalFormatting>
  <conditionalFormatting sqref="Q32">
    <cfRule type="expression" dxfId="2117" priority="2165" stopIfTrue="1">
      <formula>Q32="GPIO pin"</formula>
    </cfRule>
    <cfRule type="expression" dxfId="2116" priority="2166" stopIfTrue="1">
      <formula>Q32="Dedicated pin"</formula>
    </cfRule>
  </conditionalFormatting>
  <conditionalFormatting sqref="Q32">
    <cfRule type="expression" dxfId="2115" priority="2163" stopIfTrue="1">
      <formula>Q32="GPIO pin"</formula>
    </cfRule>
    <cfRule type="expression" dxfId="2114" priority="2164" stopIfTrue="1">
      <formula>Q32="Dedicated pin"</formula>
    </cfRule>
  </conditionalFormatting>
  <conditionalFormatting sqref="Q32">
    <cfRule type="expression" dxfId="2113" priority="2161" stopIfTrue="1">
      <formula>Q32="GPIO pin"</formula>
    </cfRule>
    <cfRule type="expression" dxfId="2112" priority="2162" stopIfTrue="1">
      <formula>Q32="Dedicated pin"</formula>
    </cfRule>
  </conditionalFormatting>
  <conditionalFormatting sqref="Q32">
    <cfRule type="expression" dxfId="2111" priority="2159" stopIfTrue="1">
      <formula>Q32="GPIO pin"</formula>
    </cfRule>
    <cfRule type="expression" dxfId="2110" priority="2160" stopIfTrue="1">
      <formula>Q32="Dedicated pin"</formula>
    </cfRule>
  </conditionalFormatting>
  <conditionalFormatting sqref="Q32">
    <cfRule type="expression" dxfId="2109" priority="2189" stopIfTrue="1">
      <formula>Q32="GPIO pin"</formula>
    </cfRule>
    <cfRule type="expression" dxfId="2108" priority="2190" stopIfTrue="1">
      <formula>Q32="Dedicated pin"</formula>
    </cfRule>
  </conditionalFormatting>
  <conditionalFormatting sqref="Q32">
    <cfRule type="expression" dxfId="2107" priority="2187" stopIfTrue="1">
      <formula>Q32="GPIO pin"</formula>
    </cfRule>
    <cfRule type="expression" dxfId="2106" priority="2188" stopIfTrue="1">
      <formula>Q32="Dedicated pin"</formula>
    </cfRule>
  </conditionalFormatting>
  <conditionalFormatting sqref="Q32">
    <cfRule type="expression" dxfId="2105" priority="2139" stopIfTrue="1">
      <formula>Q32="GPIO pin"</formula>
    </cfRule>
    <cfRule type="expression" dxfId="2104" priority="2140" stopIfTrue="1">
      <formula>Q32="Dedicated pin"</formula>
    </cfRule>
  </conditionalFormatting>
  <conditionalFormatting sqref="Q32">
    <cfRule type="expression" dxfId="2103" priority="2137" stopIfTrue="1">
      <formula>Q32="GPIO pin"</formula>
    </cfRule>
    <cfRule type="expression" dxfId="2102" priority="2138" stopIfTrue="1">
      <formula>Q32="Dedicated pin"</formula>
    </cfRule>
  </conditionalFormatting>
  <conditionalFormatting sqref="Q32">
    <cfRule type="expression" dxfId="2101" priority="2135" stopIfTrue="1">
      <formula>Q32="GPIO pin"</formula>
    </cfRule>
    <cfRule type="expression" dxfId="2100" priority="2136" stopIfTrue="1">
      <formula>Q32="Dedicated pin"</formula>
    </cfRule>
  </conditionalFormatting>
  <conditionalFormatting sqref="Q33">
    <cfRule type="expression" dxfId="2099" priority="2133" stopIfTrue="1">
      <formula>Q33="GPIO pin"</formula>
    </cfRule>
    <cfRule type="expression" dxfId="2098" priority="2134" stopIfTrue="1">
      <formula>Q33="Dedicated pin"</formula>
    </cfRule>
  </conditionalFormatting>
  <conditionalFormatting sqref="Q33">
    <cfRule type="expression" dxfId="2097" priority="2131" stopIfTrue="1">
      <formula>Q33="GPIO pin"</formula>
    </cfRule>
    <cfRule type="expression" dxfId="2096" priority="2132" stopIfTrue="1">
      <formula>Q33="Dedicated pin"</formula>
    </cfRule>
  </conditionalFormatting>
  <conditionalFormatting sqref="Q33">
    <cfRule type="expression" dxfId="2095" priority="2129" stopIfTrue="1">
      <formula>Q33="GPIO pin"</formula>
    </cfRule>
    <cfRule type="expression" dxfId="2094" priority="2130" stopIfTrue="1">
      <formula>Q33="Dedicated pin"</formula>
    </cfRule>
  </conditionalFormatting>
  <conditionalFormatting sqref="Q33">
    <cfRule type="expression" dxfId="2093" priority="2127" stopIfTrue="1">
      <formula>Q33="GPIO pin"</formula>
    </cfRule>
    <cfRule type="expression" dxfId="2092" priority="2128" stopIfTrue="1">
      <formula>Q33="Dedicated pin"</formula>
    </cfRule>
  </conditionalFormatting>
  <conditionalFormatting sqref="Q33">
    <cfRule type="expression" dxfId="2091" priority="2125" stopIfTrue="1">
      <formula>Q33="GPIO pin"</formula>
    </cfRule>
    <cfRule type="expression" dxfId="2090" priority="2126" stopIfTrue="1">
      <formula>Q33="Dedicated pin"</formula>
    </cfRule>
  </conditionalFormatting>
  <conditionalFormatting sqref="Q33">
    <cfRule type="expression" dxfId="2089" priority="2123" stopIfTrue="1">
      <formula>Q33="GPIO pin"</formula>
    </cfRule>
    <cfRule type="expression" dxfId="2088" priority="2124" stopIfTrue="1">
      <formula>Q33="Dedicated pin"</formula>
    </cfRule>
  </conditionalFormatting>
  <conditionalFormatting sqref="Q33">
    <cfRule type="expression" dxfId="2087" priority="2121" stopIfTrue="1">
      <formula>Q33="GPIO pin"</formula>
    </cfRule>
    <cfRule type="expression" dxfId="2086" priority="2122" stopIfTrue="1">
      <formula>Q33="Dedicated pin"</formula>
    </cfRule>
  </conditionalFormatting>
  <conditionalFormatting sqref="Q33">
    <cfRule type="expression" dxfId="2085" priority="2119" stopIfTrue="1">
      <formula>Q33="GPIO pin"</formula>
    </cfRule>
    <cfRule type="expression" dxfId="2084" priority="2120" stopIfTrue="1">
      <formula>Q33="Dedicated pin"</formula>
    </cfRule>
  </conditionalFormatting>
  <conditionalFormatting sqref="Q33">
    <cfRule type="expression" dxfId="2083" priority="2117" stopIfTrue="1">
      <formula>Q33="GPIO pin"</formula>
    </cfRule>
    <cfRule type="expression" dxfId="2082" priority="2118" stopIfTrue="1">
      <formula>Q33="Dedicated pin"</formula>
    </cfRule>
  </conditionalFormatting>
  <conditionalFormatting sqref="Q33">
    <cfRule type="expression" dxfId="2081" priority="2115" stopIfTrue="1">
      <formula>Q33="GPIO pin"</formula>
    </cfRule>
    <cfRule type="expression" dxfId="2080" priority="2116" stopIfTrue="1">
      <formula>Q33="Dedicated pin"</formula>
    </cfRule>
  </conditionalFormatting>
  <conditionalFormatting sqref="Q33">
    <cfRule type="expression" dxfId="2079" priority="2113" stopIfTrue="1">
      <formula>Q33="GPIO pin"</formula>
    </cfRule>
    <cfRule type="expression" dxfId="2078" priority="2114" stopIfTrue="1">
      <formula>Q33="Dedicated pin"</formula>
    </cfRule>
  </conditionalFormatting>
  <conditionalFormatting sqref="Q32">
    <cfRule type="expression" dxfId="2077" priority="2157" stopIfTrue="1">
      <formula>Q32="GPIO pin"</formula>
    </cfRule>
    <cfRule type="expression" dxfId="2076" priority="2158" stopIfTrue="1">
      <formula>Q32="Dedicated pin"</formula>
    </cfRule>
  </conditionalFormatting>
  <conditionalFormatting sqref="Q32">
    <cfRule type="expression" dxfId="2075" priority="2155" stopIfTrue="1">
      <formula>Q32="GPIO pin"</formula>
    </cfRule>
    <cfRule type="expression" dxfId="2074" priority="2156" stopIfTrue="1">
      <formula>Q32="Dedicated pin"</formula>
    </cfRule>
  </conditionalFormatting>
  <conditionalFormatting sqref="Q32">
    <cfRule type="expression" dxfId="2073" priority="2153" stopIfTrue="1">
      <formula>Q32="GPIO pin"</formula>
    </cfRule>
    <cfRule type="expression" dxfId="2072" priority="2154" stopIfTrue="1">
      <formula>Q32="Dedicated pin"</formula>
    </cfRule>
  </conditionalFormatting>
  <conditionalFormatting sqref="Q32">
    <cfRule type="expression" dxfId="2071" priority="2151" stopIfTrue="1">
      <formula>Q32="GPIO pin"</formula>
    </cfRule>
    <cfRule type="expression" dxfId="2070" priority="2152" stopIfTrue="1">
      <formula>Q32="Dedicated pin"</formula>
    </cfRule>
  </conditionalFormatting>
  <conditionalFormatting sqref="Q32">
    <cfRule type="expression" dxfId="2069" priority="2149" stopIfTrue="1">
      <formula>Q32="GPIO pin"</formula>
    </cfRule>
    <cfRule type="expression" dxfId="2068" priority="2150" stopIfTrue="1">
      <formula>Q32="Dedicated pin"</formula>
    </cfRule>
  </conditionalFormatting>
  <conditionalFormatting sqref="Q32">
    <cfRule type="expression" dxfId="2067" priority="2147" stopIfTrue="1">
      <formula>Q32="GPIO pin"</formula>
    </cfRule>
    <cfRule type="expression" dxfId="2066" priority="2148" stopIfTrue="1">
      <formula>Q32="Dedicated pin"</formula>
    </cfRule>
  </conditionalFormatting>
  <conditionalFormatting sqref="Q32">
    <cfRule type="expression" dxfId="2065" priority="2145" stopIfTrue="1">
      <formula>Q32="GPIO pin"</formula>
    </cfRule>
    <cfRule type="expression" dxfId="2064" priority="2146" stopIfTrue="1">
      <formula>Q32="Dedicated pin"</formula>
    </cfRule>
  </conditionalFormatting>
  <conditionalFormatting sqref="Q32">
    <cfRule type="expression" dxfId="2063" priority="2143" stopIfTrue="1">
      <formula>Q32="GPIO pin"</formula>
    </cfRule>
    <cfRule type="expression" dxfId="2062" priority="2144" stopIfTrue="1">
      <formula>Q32="Dedicated pin"</formula>
    </cfRule>
  </conditionalFormatting>
  <conditionalFormatting sqref="Q32">
    <cfRule type="expression" dxfId="2061" priority="2141" stopIfTrue="1">
      <formula>Q32="GPIO pin"</formula>
    </cfRule>
    <cfRule type="expression" dxfId="2060" priority="2142" stopIfTrue="1">
      <formula>Q32="Dedicated pin"</formula>
    </cfRule>
  </conditionalFormatting>
  <conditionalFormatting sqref="Q33">
    <cfRule type="expression" dxfId="2059" priority="2111" stopIfTrue="1">
      <formula>Q33="GPIO pin"</formula>
    </cfRule>
    <cfRule type="expression" dxfId="2058" priority="2112" stopIfTrue="1">
      <formula>Q33="Dedicated pin"</formula>
    </cfRule>
  </conditionalFormatting>
  <conditionalFormatting sqref="Q33">
    <cfRule type="expression" dxfId="2057" priority="2109" stopIfTrue="1">
      <formula>Q33="GPIO pin"</formula>
    </cfRule>
    <cfRule type="expression" dxfId="2056" priority="2110" stopIfTrue="1">
      <formula>Q33="Dedicated pin"</formula>
    </cfRule>
  </conditionalFormatting>
  <conditionalFormatting sqref="Q33">
    <cfRule type="expression" dxfId="2055" priority="2107" stopIfTrue="1">
      <formula>Q33="GPIO pin"</formula>
    </cfRule>
    <cfRule type="expression" dxfId="2054" priority="2108" stopIfTrue="1">
      <formula>Q33="Dedicated pin"</formula>
    </cfRule>
  </conditionalFormatting>
  <conditionalFormatting sqref="Q33">
    <cfRule type="expression" dxfId="2053" priority="2105" stopIfTrue="1">
      <formula>Q33="GPIO pin"</formula>
    </cfRule>
    <cfRule type="expression" dxfId="2052" priority="2106" stopIfTrue="1">
      <formula>Q33="Dedicated pin"</formula>
    </cfRule>
  </conditionalFormatting>
  <conditionalFormatting sqref="Q33">
    <cfRule type="expression" dxfId="2051" priority="2103" stopIfTrue="1">
      <formula>Q33="GPIO pin"</formula>
    </cfRule>
    <cfRule type="expression" dxfId="2050" priority="2104" stopIfTrue="1">
      <formula>Q33="Dedicated pin"</formula>
    </cfRule>
  </conditionalFormatting>
  <conditionalFormatting sqref="Q33">
    <cfRule type="expression" dxfId="2049" priority="2101" stopIfTrue="1">
      <formula>Q33="GPIO pin"</formula>
    </cfRule>
    <cfRule type="expression" dxfId="2048" priority="2102" stopIfTrue="1">
      <formula>Q33="Dedicated pin"</formula>
    </cfRule>
  </conditionalFormatting>
  <conditionalFormatting sqref="Q33">
    <cfRule type="expression" dxfId="2047" priority="2099" stopIfTrue="1">
      <formula>Q33="GPIO pin"</formula>
    </cfRule>
    <cfRule type="expression" dxfId="2046" priority="2100" stopIfTrue="1">
      <formula>Q33="Dedicated pin"</formula>
    </cfRule>
  </conditionalFormatting>
  <conditionalFormatting sqref="Q33">
    <cfRule type="expression" dxfId="2045" priority="2097" stopIfTrue="1">
      <formula>Q33="GPIO pin"</formula>
    </cfRule>
    <cfRule type="expression" dxfId="2044" priority="2098" stopIfTrue="1">
      <formula>Q33="Dedicated pin"</formula>
    </cfRule>
  </conditionalFormatting>
  <conditionalFormatting sqref="Q33">
    <cfRule type="expression" dxfId="2043" priority="2095" stopIfTrue="1">
      <formula>Q33="GPIO pin"</formula>
    </cfRule>
    <cfRule type="expression" dxfId="2042" priority="2096" stopIfTrue="1">
      <formula>Q33="Dedicated pin"</formula>
    </cfRule>
  </conditionalFormatting>
  <conditionalFormatting sqref="Q33">
    <cfRule type="expression" dxfId="2041" priority="2093" stopIfTrue="1">
      <formula>Q33="GPIO pin"</formula>
    </cfRule>
    <cfRule type="expression" dxfId="2040" priority="2094" stopIfTrue="1">
      <formula>Q33="Dedicated pin"</formula>
    </cfRule>
  </conditionalFormatting>
  <conditionalFormatting sqref="Q33">
    <cfRule type="expression" dxfId="2039" priority="2091" stopIfTrue="1">
      <formula>Q33="GPIO pin"</formula>
    </cfRule>
    <cfRule type="expression" dxfId="2038" priority="2092" stopIfTrue="1">
      <formula>Q33="Dedicated pin"</formula>
    </cfRule>
  </conditionalFormatting>
  <conditionalFormatting sqref="Q33">
    <cfRule type="expression" dxfId="2037" priority="2089" stopIfTrue="1">
      <formula>Q33="GPIO pin"</formula>
    </cfRule>
    <cfRule type="expression" dxfId="2036" priority="2090" stopIfTrue="1">
      <formula>Q33="Dedicated pin"</formula>
    </cfRule>
  </conditionalFormatting>
  <conditionalFormatting sqref="Q33">
    <cfRule type="expression" dxfId="2035" priority="2087" stopIfTrue="1">
      <formula>Q33="GPIO pin"</formula>
    </cfRule>
    <cfRule type="expression" dxfId="2034" priority="2088" stopIfTrue="1">
      <formula>Q33="Dedicated pin"</formula>
    </cfRule>
  </conditionalFormatting>
  <conditionalFormatting sqref="Q33">
    <cfRule type="expression" dxfId="2033" priority="2085" stopIfTrue="1">
      <formula>Q33="GPIO pin"</formula>
    </cfRule>
    <cfRule type="expression" dxfId="2032" priority="2086" stopIfTrue="1">
      <formula>Q33="Dedicated pin"</formula>
    </cfRule>
  </conditionalFormatting>
  <conditionalFormatting sqref="Q33">
    <cfRule type="expression" dxfId="2031" priority="2083" stopIfTrue="1">
      <formula>Q33="GPIO pin"</formula>
    </cfRule>
    <cfRule type="expression" dxfId="2030" priority="2084" stopIfTrue="1">
      <formula>Q33="Dedicated pin"</formula>
    </cfRule>
  </conditionalFormatting>
  <conditionalFormatting sqref="Q33">
    <cfRule type="expression" dxfId="2029" priority="2081" stopIfTrue="1">
      <formula>Q33="GPIO pin"</formula>
    </cfRule>
    <cfRule type="expression" dxfId="2028" priority="2082" stopIfTrue="1">
      <formula>Q33="Dedicated pin"</formula>
    </cfRule>
  </conditionalFormatting>
  <conditionalFormatting sqref="Q33">
    <cfRule type="expression" dxfId="2027" priority="2079" stopIfTrue="1">
      <formula>Q33="GPIO pin"</formula>
    </cfRule>
    <cfRule type="expression" dxfId="2026" priority="2080" stopIfTrue="1">
      <formula>Q33="Dedicated pin"</formula>
    </cfRule>
  </conditionalFormatting>
  <conditionalFormatting sqref="P25">
    <cfRule type="expression" dxfId="2025" priority="2077" stopIfTrue="1">
      <formula>P25="GPIO pin"</formula>
    </cfRule>
    <cfRule type="expression" dxfId="2024" priority="2078" stopIfTrue="1">
      <formula>P25="Dedicated pin"</formula>
    </cfRule>
  </conditionalFormatting>
  <conditionalFormatting sqref="P25">
    <cfRule type="expression" dxfId="2023" priority="2075" stopIfTrue="1">
      <formula>P25="GPIO pin"</formula>
    </cfRule>
    <cfRule type="expression" dxfId="2022" priority="2076" stopIfTrue="1">
      <formula>P25="Dedicated pin"</formula>
    </cfRule>
  </conditionalFormatting>
  <conditionalFormatting sqref="P25">
    <cfRule type="expression" dxfId="2021" priority="2073" stopIfTrue="1">
      <formula>P25="GPIO pin"</formula>
    </cfRule>
    <cfRule type="expression" dxfId="2020" priority="2074" stopIfTrue="1">
      <formula>P25="Dedicated pin"</formula>
    </cfRule>
  </conditionalFormatting>
  <conditionalFormatting sqref="P25">
    <cfRule type="expression" dxfId="2019" priority="2071" stopIfTrue="1">
      <formula>P25="GPIO pin"</formula>
    </cfRule>
    <cfRule type="expression" dxfId="2018" priority="2072" stopIfTrue="1">
      <formula>P25="Dedicated pin"</formula>
    </cfRule>
  </conditionalFormatting>
  <conditionalFormatting sqref="P25">
    <cfRule type="expression" dxfId="2017" priority="2069" stopIfTrue="1">
      <formula>P25="GPIO pin"</formula>
    </cfRule>
    <cfRule type="expression" dxfId="2016" priority="2070" stopIfTrue="1">
      <formula>P25="Dedicated pin"</formula>
    </cfRule>
  </conditionalFormatting>
  <conditionalFormatting sqref="P25">
    <cfRule type="expression" dxfId="2015" priority="2067" stopIfTrue="1">
      <formula>P25="GPIO pin"</formula>
    </cfRule>
    <cfRule type="expression" dxfId="2014" priority="2068" stopIfTrue="1">
      <formula>P25="Dedicated pin"</formula>
    </cfRule>
  </conditionalFormatting>
  <conditionalFormatting sqref="P25">
    <cfRule type="expression" dxfId="2013" priority="2065" stopIfTrue="1">
      <formula>P25="GPIO pin"</formula>
    </cfRule>
    <cfRule type="expression" dxfId="2012" priority="2066" stopIfTrue="1">
      <formula>P25="Dedicated pin"</formula>
    </cfRule>
  </conditionalFormatting>
  <conditionalFormatting sqref="P25">
    <cfRule type="expression" dxfId="2011" priority="2063" stopIfTrue="1">
      <formula>P25="GPIO pin"</formula>
    </cfRule>
    <cfRule type="expression" dxfId="2010" priority="2064" stopIfTrue="1">
      <formula>P25="Dedicated pin"</formula>
    </cfRule>
  </conditionalFormatting>
  <conditionalFormatting sqref="P25">
    <cfRule type="expression" dxfId="2009" priority="2061" stopIfTrue="1">
      <formula>P25="GPIO pin"</formula>
    </cfRule>
    <cfRule type="expression" dxfId="2008" priority="2062" stopIfTrue="1">
      <formula>P25="Dedicated pin"</formula>
    </cfRule>
  </conditionalFormatting>
  <conditionalFormatting sqref="P25">
    <cfRule type="expression" dxfId="2007" priority="2059" stopIfTrue="1">
      <formula>P25="GPIO pin"</formula>
    </cfRule>
    <cfRule type="expression" dxfId="2006" priority="2060" stopIfTrue="1">
      <formula>P25="Dedicated pin"</formula>
    </cfRule>
  </conditionalFormatting>
  <conditionalFormatting sqref="P25">
    <cfRule type="expression" dxfId="2005" priority="2057" stopIfTrue="1">
      <formula>P25="GPIO pin"</formula>
    </cfRule>
    <cfRule type="expression" dxfId="2004" priority="2058" stopIfTrue="1">
      <formula>P25="Dedicated pin"</formula>
    </cfRule>
  </conditionalFormatting>
  <conditionalFormatting sqref="P25">
    <cfRule type="expression" dxfId="2003" priority="2055" stopIfTrue="1">
      <formula>P25="GPIO pin"</formula>
    </cfRule>
    <cfRule type="expression" dxfId="2002" priority="2056" stopIfTrue="1">
      <formula>P25="Dedicated pin"</formula>
    </cfRule>
  </conditionalFormatting>
  <conditionalFormatting sqref="P25">
    <cfRule type="expression" dxfId="2001" priority="2053" stopIfTrue="1">
      <formula>P25="GPIO pin"</formula>
    </cfRule>
    <cfRule type="expression" dxfId="2000" priority="2054" stopIfTrue="1">
      <formula>P25="Dedicated pin"</formula>
    </cfRule>
  </conditionalFormatting>
  <conditionalFormatting sqref="P25">
    <cfRule type="expression" dxfId="1999" priority="2051" stopIfTrue="1">
      <formula>P25="GPIO pin"</formula>
    </cfRule>
    <cfRule type="expression" dxfId="1998" priority="2052" stopIfTrue="1">
      <formula>P25="Dedicated pin"</formula>
    </cfRule>
  </conditionalFormatting>
  <conditionalFormatting sqref="J28">
    <cfRule type="expression" dxfId="1997" priority="2049" stopIfTrue="1">
      <formula>J28="GPIO pin"</formula>
    </cfRule>
    <cfRule type="expression" dxfId="1996" priority="2050" stopIfTrue="1">
      <formula>J28="Dedicated pin"</formula>
    </cfRule>
  </conditionalFormatting>
  <conditionalFormatting sqref="Q73">
    <cfRule type="expression" dxfId="1995" priority="2039" stopIfTrue="1">
      <formula>Q73="GPIO pin"</formula>
    </cfRule>
    <cfRule type="expression" dxfId="1994" priority="2040" stopIfTrue="1">
      <formula>Q73="Dedicated pin"</formula>
    </cfRule>
  </conditionalFormatting>
  <conditionalFormatting sqref="J32">
    <cfRule type="expression" dxfId="1993" priority="2047" stopIfTrue="1">
      <formula>J32="GPIO pin"</formula>
    </cfRule>
    <cfRule type="expression" dxfId="1992" priority="2048" stopIfTrue="1">
      <formula>J32="Dedicated pin"</formula>
    </cfRule>
  </conditionalFormatting>
  <conditionalFormatting sqref="J36">
    <cfRule type="expression" dxfId="1991" priority="2045" stopIfTrue="1">
      <formula>J36="GPIO pin"</formula>
    </cfRule>
    <cfRule type="expression" dxfId="1990" priority="2046" stopIfTrue="1">
      <formula>J36="Dedicated pin"</formula>
    </cfRule>
  </conditionalFormatting>
  <conditionalFormatting sqref="J41:J43">
    <cfRule type="expression" dxfId="1989" priority="2043" stopIfTrue="1">
      <formula>J41="GPIO pin"</formula>
    </cfRule>
    <cfRule type="expression" dxfId="1988" priority="2044" stopIfTrue="1">
      <formula>J41="Dedicated pin"</formula>
    </cfRule>
  </conditionalFormatting>
  <conditionalFormatting sqref="Q73">
    <cfRule type="expression" dxfId="1987" priority="2041" stopIfTrue="1">
      <formula>Q73="GPIO pin"</formula>
    </cfRule>
    <cfRule type="expression" dxfId="1986" priority="2042" stopIfTrue="1">
      <formula>Q73="Dedicated pin"</formula>
    </cfRule>
  </conditionalFormatting>
  <conditionalFormatting sqref="Q73">
    <cfRule type="expression" dxfId="1985" priority="2037" stopIfTrue="1">
      <formula>Q73="GPIO pin"</formula>
    </cfRule>
    <cfRule type="expression" dxfId="1984" priority="2038" stopIfTrue="1">
      <formula>Q73="Dedicated pin"</formula>
    </cfRule>
  </conditionalFormatting>
  <conditionalFormatting sqref="Q73">
    <cfRule type="expression" dxfId="1983" priority="2035" stopIfTrue="1">
      <formula>Q73="GPIO pin"</formula>
    </cfRule>
    <cfRule type="expression" dxfId="1982" priority="2036" stopIfTrue="1">
      <formula>Q73="Dedicated pin"</formula>
    </cfRule>
  </conditionalFormatting>
  <conditionalFormatting sqref="Q73">
    <cfRule type="expression" dxfId="1981" priority="2033" stopIfTrue="1">
      <formula>Q73="GPIO pin"</formula>
    </cfRule>
    <cfRule type="expression" dxfId="1980" priority="2034" stopIfTrue="1">
      <formula>Q73="Dedicated pin"</formula>
    </cfRule>
  </conditionalFormatting>
  <conditionalFormatting sqref="Q73">
    <cfRule type="expression" dxfId="1979" priority="2031" stopIfTrue="1">
      <formula>Q73="GPIO pin"</formula>
    </cfRule>
    <cfRule type="expression" dxfId="1978" priority="2032" stopIfTrue="1">
      <formula>Q73="Dedicated pin"</formula>
    </cfRule>
  </conditionalFormatting>
  <conditionalFormatting sqref="Q73">
    <cfRule type="expression" dxfId="1977" priority="2029" stopIfTrue="1">
      <formula>Q73="GPIO pin"</formula>
    </cfRule>
    <cfRule type="expression" dxfId="1976" priority="2030" stopIfTrue="1">
      <formula>Q73="Dedicated pin"</formula>
    </cfRule>
  </conditionalFormatting>
  <conditionalFormatting sqref="Q73">
    <cfRule type="expression" dxfId="1975" priority="2027" stopIfTrue="1">
      <formula>Q73="GPIO pin"</formula>
    </cfRule>
    <cfRule type="expression" dxfId="1974" priority="2028" stopIfTrue="1">
      <formula>Q73="Dedicated pin"</formula>
    </cfRule>
  </conditionalFormatting>
  <conditionalFormatting sqref="Q73">
    <cfRule type="expression" dxfId="1973" priority="2025" stopIfTrue="1">
      <formula>Q73="GPIO pin"</formula>
    </cfRule>
    <cfRule type="expression" dxfId="1972" priority="2026" stopIfTrue="1">
      <formula>Q73="Dedicated pin"</formula>
    </cfRule>
  </conditionalFormatting>
  <conditionalFormatting sqref="Q73">
    <cfRule type="expression" dxfId="1971" priority="2023" stopIfTrue="1">
      <formula>Q73="GPIO pin"</formula>
    </cfRule>
    <cfRule type="expression" dxfId="1970" priority="2024" stopIfTrue="1">
      <formula>Q73="Dedicated pin"</formula>
    </cfRule>
  </conditionalFormatting>
  <conditionalFormatting sqref="Q73">
    <cfRule type="expression" dxfId="1969" priority="2021" stopIfTrue="1">
      <formula>Q73="GPIO pin"</formula>
    </cfRule>
    <cfRule type="expression" dxfId="1968" priority="2022" stopIfTrue="1">
      <formula>Q73="Dedicated pin"</formula>
    </cfRule>
  </conditionalFormatting>
  <conditionalFormatting sqref="Q73">
    <cfRule type="expression" dxfId="1967" priority="2019" stopIfTrue="1">
      <formula>Q73="GPIO pin"</formula>
    </cfRule>
    <cfRule type="expression" dxfId="1966" priority="2020" stopIfTrue="1">
      <formula>Q73="Dedicated pin"</formula>
    </cfRule>
  </conditionalFormatting>
  <conditionalFormatting sqref="Q73">
    <cfRule type="expression" dxfId="1965" priority="2017" stopIfTrue="1">
      <formula>Q73="GPIO pin"</formula>
    </cfRule>
    <cfRule type="expression" dxfId="1964" priority="2018" stopIfTrue="1">
      <formula>Q73="Dedicated pin"</formula>
    </cfRule>
  </conditionalFormatting>
  <conditionalFormatting sqref="Q73">
    <cfRule type="expression" dxfId="1963" priority="2015" stopIfTrue="1">
      <formula>Q73="GPIO pin"</formula>
    </cfRule>
    <cfRule type="expression" dxfId="1962" priority="2016" stopIfTrue="1">
      <formula>Q73="Dedicated pin"</formula>
    </cfRule>
  </conditionalFormatting>
  <conditionalFormatting sqref="Q73">
    <cfRule type="expression" dxfId="1961" priority="2013" stopIfTrue="1">
      <formula>Q73="GPIO pin"</formula>
    </cfRule>
    <cfRule type="expression" dxfId="1960" priority="2014" stopIfTrue="1">
      <formula>Q73="Dedicated pin"</formula>
    </cfRule>
  </conditionalFormatting>
  <conditionalFormatting sqref="Q73">
    <cfRule type="expression" dxfId="1959" priority="2011" stopIfTrue="1">
      <formula>Q73="GPIO pin"</formula>
    </cfRule>
    <cfRule type="expression" dxfId="1958" priority="2012" stopIfTrue="1">
      <formula>Q73="Dedicated pin"</formula>
    </cfRule>
  </conditionalFormatting>
  <conditionalFormatting sqref="Q73">
    <cfRule type="expression" dxfId="1957" priority="2009" stopIfTrue="1">
      <formula>Q73="GPIO pin"</formula>
    </cfRule>
    <cfRule type="expression" dxfId="1956" priority="2010" stopIfTrue="1">
      <formula>Q73="Dedicated pin"</formula>
    </cfRule>
  </conditionalFormatting>
  <conditionalFormatting sqref="Q73">
    <cfRule type="expression" dxfId="1955" priority="2007" stopIfTrue="1">
      <formula>Q73="GPIO pin"</formula>
    </cfRule>
    <cfRule type="expression" dxfId="1954" priority="2008" stopIfTrue="1">
      <formula>Q73="Dedicated pin"</formula>
    </cfRule>
  </conditionalFormatting>
  <conditionalFormatting sqref="Q73">
    <cfRule type="expression" dxfId="1953" priority="2005" stopIfTrue="1">
      <formula>Q73="GPIO pin"</formula>
    </cfRule>
    <cfRule type="expression" dxfId="1952" priority="2006" stopIfTrue="1">
      <formula>Q73="Dedicated pin"</formula>
    </cfRule>
  </conditionalFormatting>
  <conditionalFormatting sqref="Q73">
    <cfRule type="expression" dxfId="1951" priority="2003" stopIfTrue="1">
      <formula>Q73="GPIO pin"</formula>
    </cfRule>
    <cfRule type="expression" dxfId="1950" priority="2004" stopIfTrue="1">
      <formula>Q73="Dedicated pin"</formula>
    </cfRule>
  </conditionalFormatting>
  <conditionalFormatting sqref="Q73">
    <cfRule type="expression" dxfId="1949" priority="2001" stopIfTrue="1">
      <formula>Q73="GPIO pin"</formula>
    </cfRule>
    <cfRule type="expression" dxfId="1948" priority="2002" stopIfTrue="1">
      <formula>Q73="Dedicated pin"</formula>
    </cfRule>
  </conditionalFormatting>
  <conditionalFormatting sqref="Q73">
    <cfRule type="expression" dxfId="1947" priority="1999" stopIfTrue="1">
      <formula>Q73="GPIO pin"</formula>
    </cfRule>
    <cfRule type="expression" dxfId="1946" priority="2000" stopIfTrue="1">
      <formula>Q73="Dedicated pin"</formula>
    </cfRule>
  </conditionalFormatting>
  <conditionalFormatting sqref="Q73">
    <cfRule type="expression" dxfId="1945" priority="1997" stopIfTrue="1">
      <formula>Q73="GPIO pin"</formula>
    </cfRule>
    <cfRule type="expression" dxfId="1944" priority="1998" stopIfTrue="1">
      <formula>Q73="Dedicated pin"</formula>
    </cfRule>
  </conditionalFormatting>
  <conditionalFormatting sqref="Q73">
    <cfRule type="expression" dxfId="1943" priority="1995" stopIfTrue="1">
      <formula>Q73="GPIO pin"</formula>
    </cfRule>
    <cfRule type="expression" dxfId="1942" priority="1996" stopIfTrue="1">
      <formula>Q73="Dedicated pin"</formula>
    </cfRule>
  </conditionalFormatting>
  <conditionalFormatting sqref="Q73">
    <cfRule type="expression" dxfId="1941" priority="1993" stopIfTrue="1">
      <formula>Q73="GPIO pin"</formula>
    </cfRule>
    <cfRule type="expression" dxfId="1940" priority="1994" stopIfTrue="1">
      <formula>Q73="Dedicated pin"</formula>
    </cfRule>
  </conditionalFormatting>
  <conditionalFormatting sqref="Q73">
    <cfRule type="expression" dxfId="1939" priority="1991" stopIfTrue="1">
      <formula>Q73="GPIO pin"</formula>
    </cfRule>
    <cfRule type="expression" dxfId="1938" priority="1992" stopIfTrue="1">
      <formula>Q73="Dedicated pin"</formula>
    </cfRule>
  </conditionalFormatting>
  <conditionalFormatting sqref="Q73">
    <cfRule type="expression" dxfId="1937" priority="1989" stopIfTrue="1">
      <formula>Q73="GPIO pin"</formula>
    </cfRule>
    <cfRule type="expression" dxfId="1936" priority="1990" stopIfTrue="1">
      <formula>Q73="Dedicated pin"</formula>
    </cfRule>
  </conditionalFormatting>
  <conditionalFormatting sqref="Q73">
    <cfRule type="expression" dxfId="1935" priority="1987" stopIfTrue="1">
      <formula>Q73="GPIO pin"</formula>
    </cfRule>
    <cfRule type="expression" dxfId="1934" priority="1988" stopIfTrue="1">
      <formula>Q73="Dedicated pin"</formula>
    </cfRule>
  </conditionalFormatting>
  <conditionalFormatting sqref="P80">
    <cfRule type="expression" dxfId="1933" priority="1985" stopIfTrue="1">
      <formula>P80="GPIO pin"</formula>
    </cfRule>
    <cfRule type="expression" dxfId="1932" priority="1986" stopIfTrue="1">
      <formula>P80="Dedicated pin"</formula>
    </cfRule>
  </conditionalFormatting>
  <conditionalFormatting sqref="P80">
    <cfRule type="expression" dxfId="1931" priority="1983" stopIfTrue="1">
      <formula>P80="GPIO pin"</formula>
    </cfRule>
    <cfRule type="expression" dxfId="1930" priority="1984" stopIfTrue="1">
      <formula>P80="Dedicated pin"</formula>
    </cfRule>
  </conditionalFormatting>
  <conditionalFormatting sqref="P80">
    <cfRule type="expression" dxfId="1929" priority="1981" stopIfTrue="1">
      <formula>P80="GPIO pin"</formula>
    </cfRule>
    <cfRule type="expression" dxfId="1928" priority="1982" stopIfTrue="1">
      <formula>P80="Dedicated pin"</formula>
    </cfRule>
  </conditionalFormatting>
  <conditionalFormatting sqref="P80">
    <cfRule type="expression" dxfId="1927" priority="1979" stopIfTrue="1">
      <formula>P80="GPIO pin"</formula>
    </cfRule>
    <cfRule type="expression" dxfId="1926" priority="1980" stopIfTrue="1">
      <formula>P80="Dedicated pin"</formula>
    </cfRule>
  </conditionalFormatting>
  <conditionalFormatting sqref="P80">
    <cfRule type="expression" dxfId="1925" priority="1977" stopIfTrue="1">
      <formula>P80="GPIO pin"</formula>
    </cfRule>
    <cfRule type="expression" dxfId="1924" priority="1978" stopIfTrue="1">
      <formula>P80="Dedicated pin"</formula>
    </cfRule>
  </conditionalFormatting>
  <conditionalFormatting sqref="P80">
    <cfRule type="expression" dxfId="1923" priority="1975" stopIfTrue="1">
      <formula>P80="GPIO pin"</formula>
    </cfRule>
    <cfRule type="expression" dxfId="1922" priority="1976" stopIfTrue="1">
      <formula>P80="Dedicated pin"</formula>
    </cfRule>
  </conditionalFormatting>
  <conditionalFormatting sqref="P80">
    <cfRule type="expression" dxfId="1921" priority="1973" stopIfTrue="1">
      <formula>P80="GPIO pin"</formula>
    </cfRule>
    <cfRule type="expression" dxfId="1920" priority="1974" stopIfTrue="1">
      <formula>P80="Dedicated pin"</formula>
    </cfRule>
  </conditionalFormatting>
  <conditionalFormatting sqref="P80">
    <cfRule type="expression" dxfId="1919" priority="1971" stopIfTrue="1">
      <formula>P80="GPIO pin"</formula>
    </cfRule>
    <cfRule type="expression" dxfId="1918" priority="1972" stopIfTrue="1">
      <formula>P80="Dedicated pin"</formula>
    </cfRule>
  </conditionalFormatting>
  <conditionalFormatting sqref="P80">
    <cfRule type="expression" dxfId="1917" priority="1969" stopIfTrue="1">
      <formula>P80="GPIO pin"</formula>
    </cfRule>
    <cfRule type="expression" dxfId="1916" priority="1970" stopIfTrue="1">
      <formula>P80="Dedicated pin"</formula>
    </cfRule>
  </conditionalFormatting>
  <conditionalFormatting sqref="P80">
    <cfRule type="expression" dxfId="1915" priority="1967" stopIfTrue="1">
      <formula>P80="GPIO pin"</formula>
    </cfRule>
    <cfRule type="expression" dxfId="1914" priority="1968" stopIfTrue="1">
      <formula>P80="Dedicated pin"</formula>
    </cfRule>
  </conditionalFormatting>
  <conditionalFormatting sqref="P80">
    <cfRule type="expression" dxfId="1913" priority="1965" stopIfTrue="1">
      <formula>P80="GPIO pin"</formula>
    </cfRule>
    <cfRule type="expression" dxfId="1912" priority="1966" stopIfTrue="1">
      <formula>P80="Dedicated pin"</formula>
    </cfRule>
  </conditionalFormatting>
  <conditionalFormatting sqref="P80">
    <cfRule type="expression" dxfId="1911" priority="1963" stopIfTrue="1">
      <formula>P80="GPIO pin"</formula>
    </cfRule>
    <cfRule type="expression" dxfId="1910" priority="1964" stopIfTrue="1">
      <formula>P80="Dedicated pin"</formula>
    </cfRule>
  </conditionalFormatting>
  <conditionalFormatting sqref="P80">
    <cfRule type="expression" dxfId="1909" priority="1961" stopIfTrue="1">
      <formula>P80="GPIO pin"</formula>
    </cfRule>
    <cfRule type="expression" dxfId="1908" priority="1962" stopIfTrue="1">
      <formula>P80="Dedicated pin"</formula>
    </cfRule>
  </conditionalFormatting>
  <conditionalFormatting sqref="P80">
    <cfRule type="expression" dxfId="1907" priority="1959" stopIfTrue="1">
      <formula>P80="GPIO pin"</formula>
    </cfRule>
    <cfRule type="expression" dxfId="1906" priority="1960" stopIfTrue="1">
      <formula>P80="Dedicated pin"</formula>
    </cfRule>
  </conditionalFormatting>
  <conditionalFormatting sqref="Q80">
    <cfRule type="expression" dxfId="1905" priority="1957" stopIfTrue="1">
      <formula>Q80="GPIO pin"</formula>
    </cfRule>
    <cfRule type="expression" dxfId="1904" priority="1958" stopIfTrue="1">
      <formula>Q80="Dedicated pin"</formula>
    </cfRule>
  </conditionalFormatting>
  <conditionalFormatting sqref="Q80">
    <cfRule type="expression" dxfId="1903" priority="1955" stopIfTrue="1">
      <formula>Q80="GPIO pin"</formula>
    </cfRule>
    <cfRule type="expression" dxfId="1902" priority="1956" stopIfTrue="1">
      <formula>Q80="Dedicated pin"</formula>
    </cfRule>
  </conditionalFormatting>
  <conditionalFormatting sqref="Q80">
    <cfRule type="expression" dxfId="1901" priority="1953" stopIfTrue="1">
      <formula>Q80="GPIO pin"</formula>
    </cfRule>
    <cfRule type="expression" dxfId="1900" priority="1954" stopIfTrue="1">
      <formula>Q80="Dedicated pin"</formula>
    </cfRule>
  </conditionalFormatting>
  <conditionalFormatting sqref="Q80">
    <cfRule type="expression" dxfId="1899" priority="1951" stopIfTrue="1">
      <formula>Q80="GPIO pin"</formula>
    </cfRule>
    <cfRule type="expression" dxfId="1898" priority="1952" stopIfTrue="1">
      <formula>Q80="Dedicated pin"</formula>
    </cfRule>
  </conditionalFormatting>
  <conditionalFormatting sqref="Q80">
    <cfRule type="expression" dxfId="1897" priority="1949" stopIfTrue="1">
      <formula>Q80="GPIO pin"</formula>
    </cfRule>
    <cfRule type="expression" dxfId="1896" priority="1950" stopIfTrue="1">
      <formula>Q80="Dedicated pin"</formula>
    </cfRule>
  </conditionalFormatting>
  <conditionalFormatting sqref="Q80">
    <cfRule type="expression" dxfId="1895" priority="1947" stopIfTrue="1">
      <formula>Q80="GPIO pin"</formula>
    </cfRule>
    <cfRule type="expression" dxfId="1894" priority="1948" stopIfTrue="1">
      <formula>Q80="Dedicated pin"</formula>
    </cfRule>
  </conditionalFormatting>
  <conditionalFormatting sqref="Q80">
    <cfRule type="expression" dxfId="1893" priority="1945" stopIfTrue="1">
      <formula>Q80="GPIO pin"</formula>
    </cfRule>
    <cfRule type="expression" dxfId="1892" priority="1946" stopIfTrue="1">
      <formula>Q80="Dedicated pin"</formula>
    </cfRule>
  </conditionalFormatting>
  <conditionalFormatting sqref="Q80">
    <cfRule type="expression" dxfId="1891" priority="1943" stopIfTrue="1">
      <formula>Q80="GPIO pin"</formula>
    </cfRule>
    <cfRule type="expression" dxfId="1890" priority="1944" stopIfTrue="1">
      <formula>Q80="Dedicated pin"</formula>
    </cfRule>
  </conditionalFormatting>
  <conditionalFormatting sqref="Q80">
    <cfRule type="expression" dxfId="1889" priority="1941" stopIfTrue="1">
      <formula>Q80="GPIO pin"</formula>
    </cfRule>
    <cfRule type="expression" dxfId="1888" priority="1942" stopIfTrue="1">
      <formula>Q80="Dedicated pin"</formula>
    </cfRule>
  </conditionalFormatting>
  <conditionalFormatting sqref="Q80">
    <cfRule type="expression" dxfId="1887" priority="1939" stopIfTrue="1">
      <formula>Q80="GPIO pin"</formula>
    </cfRule>
    <cfRule type="expression" dxfId="1886" priority="1940" stopIfTrue="1">
      <formula>Q80="Dedicated pin"</formula>
    </cfRule>
  </conditionalFormatting>
  <conditionalFormatting sqref="Q80">
    <cfRule type="expression" dxfId="1885" priority="1937" stopIfTrue="1">
      <formula>Q80="GPIO pin"</formula>
    </cfRule>
    <cfRule type="expression" dxfId="1884" priority="1938" stopIfTrue="1">
      <formula>Q80="Dedicated pin"</formula>
    </cfRule>
  </conditionalFormatting>
  <conditionalFormatting sqref="Q80">
    <cfRule type="expression" dxfId="1883" priority="1935" stopIfTrue="1">
      <formula>Q80="GPIO pin"</formula>
    </cfRule>
    <cfRule type="expression" dxfId="1882" priority="1936" stopIfTrue="1">
      <formula>Q80="Dedicated pin"</formula>
    </cfRule>
  </conditionalFormatting>
  <conditionalFormatting sqref="Q80">
    <cfRule type="expression" dxfId="1881" priority="1933" stopIfTrue="1">
      <formula>Q80="GPIO pin"</formula>
    </cfRule>
    <cfRule type="expression" dxfId="1880" priority="1934" stopIfTrue="1">
      <formula>Q80="Dedicated pin"</formula>
    </cfRule>
  </conditionalFormatting>
  <conditionalFormatting sqref="Q80">
    <cfRule type="expression" dxfId="1879" priority="1931" stopIfTrue="1">
      <formula>Q80="GPIO pin"</formula>
    </cfRule>
    <cfRule type="expression" dxfId="1878" priority="1932" stopIfTrue="1">
      <formula>Q80="Dedicated pin"</formula>
    </cfRule>
  </conditionalFormatting>
  <conditionalFormatting sqref="Q80">
    <cfRule type="expression" dxfId="1877" priority="1929" stopIfTrue="1">
      <formula>Q80="GPIO pin"</formula>
    </cfRule>
    <cfRule type="expression" dxfId="1876" priority="1930" stopIfTrue="1">
      <formula>Q80="Dedicated pin"</formula>
    </cfRule>
  </conditionalFormatting>
  <conditionalFormatting sqref="Q80">
    <cfRule type="expression" dxfId="1875" priority="1927" stopIfTrue="1">
      <formula>Q80="GPIO pin"</formula>
    </cfRule>
    <cfRule type="expression" dxfId="1874" priority="1928" stopIfTrue="1">
      <formula>Q80="Dedicated pin"</formula>
    </cfRule>
  </conditionalFormatting>
  <conditionalFormatting sqref="Q80">
    <cfRule type="expression" dxfId="1873" priority="1925" stopIfTrue="1">
      <formula>Q80="GPIO pin"</formula>
    </cfRule>
    <cfRule type="expression" dxfId="1872" priority="1926" stopIfTrue="1">
      <formula>Q80="Dedicated pin"</formula>
    </cfRule>
  </conditionalFormatting>
  <conditionalFormatting sqref="Q80">
    <cfRule type="expression" dxfId="1871" priority="1923" stopIfTrue="1">
      <formula>Q80="GPIO pin"</formula>
    </cfRule>
    <cfRule type="expression" dxfId="1870" priority="1924" stopIfTrue="1">
      <formula>Q80="Dedicated pin"</formula>
    </cfRule>
  </conditionalFormatting>
  <conditionalFormatting sqref="Q80">
    <cfRule type="expression" dxfId="1869" priority="1921" stopIfTrue="1">
      <formula>Q80="GPIO pin"</formula>
    </cfRule>
    <cfRule type="expression" dxfId="1868" priority="1922" stopIfTrue="1">
      <formula>Q80="Dedicated pin"</formula>
    </cfRule>
  </conditionalFormatting>
  <conditionalFormatting sqref="Q80">
    <cfRule type="expression" dxfId="1867" priority="1919" stopIfTrue="1">
      <formula>Q80="GPIO pin"</formula>
    </cfRule>
    <cfRule type="expression" dxfId="1866" priority="1920" stopIfTrue="1">
      <formula>Q80="Dedicated pin"</formula>
    </cfRule>
  </conditionalFormatting>
  <conditionalFormatting sqref="Q80">
    <cfRule type="expression" dxfId="1865" priority="1917" stopIfTrue="1">
      <formula>Q80="GPIO pin"</formula>
    </cfRule>
    <cfRule type="expression" dxfId="1864" priority="1918" stopIfTrue="1">
      <formula>Q80="Dedicated pin"</formula>
    </cfRule>
  </conditionalFormatting>
  <conditionalFormatting sqref="Q80">
    <cfRule type="expression" dxfId="1863" priority="1915" stopIfTrue="1">
      <formula>Q80="GPIO pin"</formula>
    </cfRule>
    <cfRule type="expression" dxfId="1862" priority="1916" stopIfTrue="1">
      <formula>Q80="Dedicated pin"</formula>
    </cfRule>
  </conditionalFormatting>
  <conditionalFormatting sqref="Q80">
    <cfRule type="expression" dxfId="1861" priority="1913" stopIfTrue="1">
      <formula>Q80="GPIO pin"</formula>
    </cfRule>
    <cfRule type="expression" dxfId="1860" priority="1914" stopIfTrue="1">
      <formula>Q80="Dedicated pin"</formula>
    </cfRule>
  </conditionalFormatting>
  <conditionalFormatting sqref="Q80">
    <cfRule type="expression" dxfId="1859" priority="1911" stopIfTrue="1">
      <formula>Q80="GPIO pin"</formula>
    </cfRule>
    <cfRule type="expression" dxfId="1858" priority="1912" stopIfTrue="1">
      <formula>Q80="Dedicated pin"</formula>
    </cfRule>
  </conditionalFormatting>
  <conditionalFormatting sqref="Q80">
    <cfRule type="expression" dxfId="1857" priority="1909" stopIfTrue="1">
      <formula>Q80="GPIO pin"</formula>
    </cfRule>
    <cfRule type="expression" dxfId="1856" priority="1910" stopIfTrue="1">
      <formula>Q80="Dedicated pin"</formula>
    </cfRule>
  </conditionalFormatting>
  <conditionalFormatting sqref="Q80">
    <cfRule type="expression" dxfId="1855" priority="1907" stopIfTrue="1">
      <formula>Q80="GPIO pin"</formula>
    </cfRule>
    <cfRule type="expression" dxfId="1854" priority="1908" stopIfTrue="1">
      <formula>Q80="Dedicated pin"</formula>
    </cfRule>
  </conditionalFormatting>
  <conditionalFormatting sqref="Q80">
    <cfRule type="expression" dxfId="1853" priority="1905" stopIfTrue="1">
      <formula>Q80="GPIO pin"</formula>
    </cfRule>
    <cfRule type="expression" dxfId="1852" priority="1906" stopIfTrue="1">
      <formula>Q80="Dedicated pin"</formula>
    </cfRule>
  </conditionalFormatting>
  <conditionalFormatting sqref="Q80">
    <cfRule type="expression" dxfId="1851" priority="1903" stopIfTrue="1">
      <formula>Q80="GPIO pin"</formula>
    </cfRule>
    <cfRule type="expression" dxfId="1850" priority="1904" stopIfTrue="1">
      <formula>Q80="Dedicated pin"</formula>
    </cfRule>
  </conditionalFormatting>
  <conditionalFormatting sqref="Q81">
    <cfRule type="expression" dxfId="1849" priority="1901" stopIfTrue="1">
      <formula>Q81="GPIO pin"</formula>
    </cfRule>
    <cfRule type="expression" dxfId="1848" priority="1902" stopIfTrue="1">
      <formula>Q81="Dedicated pin"</formula>
    </cfRule>
  </conditionalFormatting>
  <conditionalFormatting sqref="Q81">
    <cfRule type="expression" dxfId="1847" priority="1899" stopIfTrue="1">
      <formula>Q81="GPIO pin"</formula>
    </cfRule>
    <cfRule type="expression" dxfId="1846" priority="1900" stopIfTrue="1">
      <formula>Q81="Dedicated pin"</formula>
    </cfRule>
  </conditionalFormatting>
  <conditionalFormatting sqref="Q81">
    <cfRule type="expression" dxfId="1845" priority="1897" stopIfTrue="1">
      <formula>Q81="GPIO pin"</formula>
    </cfRule>
    <cfRule type="expression" dxfId="1844" priority="1898" stopIfTrue="1">
      <formula>Q81="Dedicated pin"</formula>
    </cfRule>
  </conditionalFormatting>
  <conditionalFormatting sqref="Q81">
    <cfRule type="expression" dxfId="1843" priority="1895" stopIfTrue="1">
      <formula>Q81="GPIO pin"</formula>
    </cfRule>
    <cfRule type="expression" dxfId="1842" priority="1896" stopIfTrue="1">
      <formula>Q81="Dedicated pin"</formula>
    </cfRule>
  </conditionalFormatting>
  <conditionalFormatting sqref="Q81">
    <cfRule type="expression" dxfId="1841" priority="1893" stopIfTrue="1">
      <formula>Q81="GPIO pin"</formula>
    </cfRule>
    <cfRule type="expression" dxfId="1840" priority="1894" stopIfTrue="1">
      <formula>Q81="Dedicated pin"</formula>
    </cfRule>
  </conditionalFormatting>
  <conditionalFormatting sqref="Q81">
    <cfRule type="expression" dxfId="1839" priority="1891" stopIfTrue="1">
      <formula>Q81="GPIO pin"</formula>
    </cfRule>
    <cfRule type="expression" dxfId="1838" priority="1892" stopIfTrue="1">
      <formula>Q81="Dedicated pin"</formula>
    </cfRule>
  </conditionalFormatting>
  <conditionalFormatting sqref="Q81">
    <cfRule type="expression" dxfId="1837" priority="1889" stopIfTrue="1">
      <formula>Q81="GPIO pin"</formula>
    </cfRule>
    <cfRule type="expression" dxfId="1836" priority="1890" stopIfTrue="1">
      <formula>Q81="Dedicated pin"</formula>
    </cfRule>
  </conditionalFormatting>
  <conditionalFormatting sqref="Q81">
    <cfRule type="expression" dxfId="1835" priority="1887" stopIfTrue="1">
      <formula>Q81="GPIO pin"</formula>
    </cfRule>
    <cfRule type="expression" dxfId="1834" priority="1888" stopIfTrue="1">
      <formula>Q81="Dedicated pin"</formula>
    </cfRule>
  </conditionalFormatting>
  <conditionalFormatting sqref="Q81">
    <cfRule type="expression" dxfId="1833" priority="1885" stopIfTrue="1">
      <formula>Q81="GPIO pin"</formula>
    </cfRule>
    <cfRule type="expression" dxfId="1832" priority="1886" stopIfTrue="1">
      <formula>Q81="Dedicated pin"</formula>
    </cfRule>
  </conditionalFormatting>
  <conditionalFormatting sqref="Q81">
    <cfRule type="expression" dxfId="1831" priority="1883" stopIfTrue="1">
      <formula>Q81="GPIO pin"</formula>
    </cfRule>
    <cfRule type="expression" dxfId="1830" priority="1884" stopIfTrue="1">
      <formula>Q81="Dedicated pin"</formula>
    </cfRule>
  </conditionalFormatting>
  <conditionalFormatting sqref="Q81">
    <cfRule type="expression" dxfId="1829" priority="1881" stopIfTrue="1">
      <formula>Q81="GPIO pin"</formula>
    </cfRule>
    <cfRule type="expression" dxfId="1828" priority="1882" stopIfTrue="1">
      <formula>Q81="Dedicated pin"</formula>
    </cfRule>
  </conditionalFormatting>
  <conditionalFormatting sqref="Q81">
    <cfRule type="expression" dxfId="1827" priority="1879" stopIfTrue="1">
      <formula>Q81="GPIO pin"</formula>
    </cfRule>
    <cfRule type="expression" dxfId="1826" priority="1880" stopIfTrue="1">
      <formula>Q81="Dedicated pin"</formula>
    </cfRule>
  </conditionalFormatting>
  <conditionalFormatting sqref="Q81">
    <cfRule type="expression" dxfId="1825" priority="1877" stopIfTrue="1">
      <formula>Q81="GPIO pin"</formula>
    </cfRule>
    <cfRule type="expression" dxfId="1824" priority="1878" stopIfTrue="1">
      <formula>Q81="Dedicated pin"</formula>
    </cfRule>
  </conditionalFormatting>
  <conditionalFormatting sqref="Q81">
    <cfRule type="expression" dxfId="1823" priority="1875" stopIfTrue="1">
      <formula>Q81="GPIO pin"</formula>
    </cfRule>
    <cfRule type="expression" dxfId="1822" priority="1876" stopIfTrue="1">
      <formula>Q81="Dedicated pin"</formula>
    </cfRule>
  </conditionalFormatting>
  <conditionalFormatting sqref="Q81">
    <cfRule type="expression" dxfId="1821" priority="1873" stopIfTrue="1">
      <formula>Q81="GPIO pin"</formula>
    </cfRule>
    <cfRule type="expression" dxfId="1820" priority="1874" stopIfTrue="1">
      <formula>Q81="Dedicated pin"</formula>
    </cfRule>
  </conditionalFormatting>
  <conditionalFormatting sqref="Q81">
    <cfRule type="expression" dxfId="1819" priority="1871" stopIfTrue="1">
      <formula>Q81="GPIO pin"</formula>
    </cfRule>
    <cfRule type="expression" dxfId="1818" priority="1872" stopIfTrue="1">
      <formula>Q81="Dedicated pin"</formula>
    </cfRule>
  </conditionalFormatting>
  <conditionalFormatting sqref="Q81">
    <cfRule type="expression" dxfId="1817" priority="1869" stopIfTrue="1">
      <formula>Q81="GPIO pin"</formula>
    </cfRule>
    <cfRule type="expression" dxfId="1816" priority="1870" stopIfTrue="1">
      <formula>Q81="Dedicated pin"</formula>
    </cfRule>
  </conditionalFormatting>
  <conditionalFormatting sqref="Q81">
    <cfRule type="expression" dxfId="1815" priority="1867" stopIfTrue="1">
      <formula>Q81="GPIO pin"</formula>
    </cfRule>
    <cfRule type="expression" dxfId="1814" priority="1868" stopIfTrue="1">
      <formula>Q81="Dedicated pin"</formula>
    </cfRule>
  </conditionalFormatting>
  <conditionalFormatting sqref="Q81">
    <cfRule type="expression" dxfId="1813" priority="1865" stopIfTrue="1">
      <formula>Q81="GPIO pin"</formula>
    </cfRule>
    <cfRule type="expression" dxfId="1812" priority="1866" stopIfTrue="1">
      <formula>Q81="Dedicated pin"</formula>
    </cfRule>
  </conditionalFormatting>
  <conditionalFormatting sqref="Q81">
    <cfRule type="expression" dxfId="1811" priority="1863" stopIfTrue="1">
      <formula>Q81="GPIO pin"</formula>
    </cfRule>
    <cfRule type="expression" dxfId="1810" priority="1864" stopIfTrue="1">
      <formula>Q81="Dedicated pin"</formula>
    </cfRule>
  </conditionalFormatting>
  <conditionalFormatting sqref="Q81">
    <cfRule type="expression" dxfId="1809" priority="1861" stopIfTrue="1">
      <formula>Q81="GPIO pin"</formula>
    </cfRule>
    <cfRule type="expression" dxfId="1808" priority="1862" stopIfTrue="1">
      <formula>Q81="Dedicated pin"</formula>
    </cfRule>
  </conditionalFormatting>
  <conditionalFormatting sqref="Q81">
    <cfRule type="expression" dxfId="1807" priority="1859" stopIfTrue="1">
      <formula>Q81="GPIO pin"</formula>
    </cfRule>
    <cfRule type="expression" dxfId="1806" priority="1860" stopIfTrue="1">
      <formula>Q81="Dedicated pin"</formula>
    </cfRule>
  </conditionalFormatting>
  <conditionalFormatting sqref="Q81">
    <cfRule type="expression" dxfId="1805" priority="1857" stopIfTrue="1">
      <formula>Q81="GPIO pin"</formula>
    </cfRule>
    <cfRule type="expression" dxfId="1804" priority="1858" stopIfTrue="1">
      <formula>Q81="Dedicated pin"</formula>
    </cfRule>
  </conditionalFormatting>
  <conditionalFormatting sqref="Q81">
    <cfRule type="expression" dxfId="1803" priority="1855" stopIfTrue="1">
      <formula>Q81="GPIO pin"</formula>
    </cfRule>
    <cfRule type="expression" dxfId="1802" priority="1856" stopIfTrue="1">
      <formula>Q81="Dedicated pin"</formula>
    </cfRule>
  </conditionalFormatting>
  <conditionalFormatting sqref="Q81">
    <cfRule type="expression" dxfId="1801" priority="1853" stopIfTrue="1">
      <formula>Q81="GPIO pin"</formula>
    </cfRule>
    <cfRule type="expression" dxfId="1800" priority="1854" stopIfTrue="1">
      <formula>Q81="Dedicated pin"</formula>
    </cfRule>
  </conditionalFormatting>
  <conditionalFormatting sqref="Q81">
    <cfRule type="expression" dxfId="1799" priority="1851" stopIfTrue="1">
      <formula>Q81="GPIO pin"</formula>
    </cfRule>
    <cfRule type="expression" dxfId="1798" priority="1852" stopIfTrue="1">
      <formula>Q81="Dedicated pin"</formula>
    </cfRule>
  </conditionalFormatting>
  <conditionalFormatting sqref="Q81">
    <cfRule type="expression" dxfId="1797" priority="1849" stopIfTrue="1">
      <formula>Q81="GPIO pin"</formula>
    </cfRule>
    <cfRule type="expression" dxfId="1796" priority="1850" stopIfTrue="1">
      <formula>Q81="Dedicated pin"</formula>
    </cfRule>
  </conditionalFormatting>
  <conditionalFormatting sqref="Q81">
    <cfRule type="expression" dxfId="1795" priority="1847" stopIfTrue="1">
      <formula>Q81="GPIO pin"</formula>
    </cfRule>
    <cfRule type="expression" dxfId="1794" priority="1848" stopIfTrue="1">
      <formula>Q81="Dedicated pin"</formula>
    </cfRule>
  </conditionalFormatting>
  <conditionalFormatting sqref="Q96">
    <cfRule type="expression" dxfId="1793" priority="1845" stopIfTrue="1">
      <formula>Q96="GPIO pin"</formula>
    </cfRule>
    <cfRule type="expression" dxfId="1792" priority="1846" stopIfTrue="1">
      <formula>Q96="Dedicated pin"</formula>
    </cfRule>
  </conditionalFormatting>
  <conditionalFormatting sqref="Q96">
    <cfRule type="expression" dxfId="1791" priority="1843" stopIfTrue="1">
      <formula>Q96="GPIO pin"</formula>
    </cfRule>
    <cfRule type="expression" dxfId="1790" priority="1844" stopIfTrue="1">
      <formula>Q96="Dedicated pin"</formula>
    </cfRule>
  </conditionalFormatting>
  <conditionalFormatting sqref="Q96">
    <cfRule type="expression" dxfId="1789" priority="1841" stopIfTrue="1">
      <formula>Q96="GPIO pin"</formula>
    </cfRule>
    <cfRule type="expression" dxfId="1788" priority="1842" stopIfTrue="1">
      <formula>Q96="Dedicated pin"</formula>
    </cfRule>
  </conditionalFormatting>
  <conditionalFormatting sqref="Q96">
    <cfRule type="expression" dxfId="1787" priority="1839" stopIfTrue="1">
      <formula>Q96="GPIO pin"</formula>
    </cfRule>
    <cfRule type="expression" dxfId="1786" priority="1840" stopIfTrue="1">
      <formula>Q96="Dedicated pin"</formula>
    </cfRule>
  </conditionalFormatting>
  <conditionalFormatting sqref="Q96">
    <cfRule type="expression" dxfId="1785" priority="1837" stopIfTrue="1">
      <formula>Q96="GPIO pin"</formula>
    </cfRule>
    <cfRule type="expression" dxfId="1784" priority="1838" stopIfTrue="1">
      <formula>Q96="Dedicated pin"</formula>
    </cfRule>
  </conditionalFormatting>
  <conditionalFormatting sqref="Q96">
    <cfRule type="expression" dxfId="1783" priority="1835" stopIfTrue="1">
      <formula>Q96="GPIO pin"</formula>
    </cfRule>
    <cfRule type="expression" dxfId="1782" priority="1836" stopIfTrue="1">
      <formula>Q96="Dedicated pin"</formula>
    </cfRule>
  </conditionalFormatting>
  <conditionalFormatting sqref="Q96">
    <cfRule type="expression" dxfId="1781" priority="1833" stopIfTrue="1">
      <formula>Q96="GPIO pin"</formula>
    </cfRule>
    <cfRule type="expression" dxfId="1780" priority="1834" stopIfTrue="1">
      <formula>Q96="Dedicated pin"</formula>
    </cfRule>
  </conditionalFormatting>
  <conditionalFormatting sqref="Q96">
    <cfRule type="expression" dxfId="1779" priority="1831" stopIfTrue="1">
      <formula>Q96="GPIO pin"</formula>
    </cfRule>
    <cfRule type="expression" dxfId="1778" priority="1832" stopIfTrue="1">
      <formula>Q96="Dedicated pin"</formula>
    </cfRule>
  </conditionalFormatting>
  <conditionalFormatting sqref="Q96">
    <cfRule type="expression" dxfId="1777" priority="1829" stopIfTrue="1">
      <formula>Q96="GPIO pin"</formula>
    </cfRule>
    <cfRule type="expression" dxfId="1776" priority="1830" stopIfTrue="1">
      <formula>Q96="Dedicated pin"</formula>
    </cfRule>
  </conditionalFormatting>
  <conditionalFormatting sqref="Q96">
    <cfRule type="expression" dxfId="1775" priority="1827" stopIfTrue="1">
      <formula>Q96="GPIO pin"</formula>
    </cfRule>
    <cfRule type="expression" dxfId="1774" priority="1828" stopIfTrue="1">
      <formula>Q96="Dedicated pin"</formula>
    </cfRule>
  </conditionalFormatting>
  <conditionalFormatting sqref="Q96">
    <cfRule type="expression" dxfId="1773" priority="1825" stopIfTrue="1">
      <formula>Q96="GPIO pin"</formula>
    </cfRule>
    <cfRule type="expression" dxfId="1772" priority="1826" stopIfTrue="1">
      <formula>Q96="Dedicated pin"</formula>
    </cfRule>
  </conditionalFormatting>
  <conditionalFormatting sqref="Q96">
    <cfRule type="expression" dxfId="1771" priority="1823" stopIfTrue="1">
      <formula>Q96="GPIO pin"</formula>
    </cfRule>
    <cfRule type="expression" dxfId="1770" priority="1824" stopIfTrue="1">
      <formula>Q96="Dedicated pin"</formula>
    </cfRule>
  </conditionalFormatting>
  <conditionalFormatting sqref="Q96">
    <cfRule type="expression" dxfId="1769" priority="1821" stopIfTrue="1">
      <formula>Q96="GPIO pin"</formula>
    </cfRule>
    <cfRule type="expression" dxfId="1768" priority="1822" stopIfTrue="1">
      <formula>Q96="Dedicated pin"</formula>
    </cfRule>
  </conditionalFormatting>
  <conditionalFormatting sqref="Q96">
    <cfRule type="expression" dxfId="1767" priority="1819" stopIfTrue="1">
      <formula>Q96="GPIO pin"</formula>
    </cfRule>
    <cfRule type="expression" dxfId="1766" priority="1820" stopIfTrue="1">
      <formula>Q96="Dedicated pin"</formula>
    </cfRule>
  </conditionalFormatting>
  <conditionalFormatting sqref="Q96">
    <cfRule type="expression" dxfId="1765" priority="1817" stopIfTrue="1">
      <formula>Q96="GPIO pin"</formula>
    </cfRule>
    <cfRule type="expression" dxfId="1764" priority="1818" stopIfTrue="1">
      <formula>Q96="Dedicated pin"</formula>
    </cfRule>
  </conditionalFormatting>
  <conditionalFormatting sqref="Q96">
    <cfRule type="expression" dxfId="1763" priority="1815" stopIfTrue="1">
      <formula>Q96="GPIO pin"</formula>
    </cfRule>
    <cfRule type="expression" dxfId="1762" priority="1816" stopIfTrue="1">
      <formula>Q96="Dedicated pin"</formula>
    </cfRule>
  </conditionalFormatting>
  <conditionalFormatting sqref="Q96">
    <cfRule type="expression" dxfId="1761" priority="1813" stopIfTrue="1">
      <formula>Q96="GPIO pin"</formula>
    </cfRule>
    <cfRule type="expression" dxfId="1760" priority="1814" stopIfTrue="1">
      <formula>Q96="Dedicated pin"</formula>
    </cfRule>
  </conditionalFormatting>
  <conditionalFormatting sqref="Q96">
    <cfRule type="expression" dxfId="1759" priority="1811" stopIfTrue="1">
      <formula>Q96="GPIO pin"</formula>
    </cfRule>
    <cfRule type="expression" dxfId="1758" priority="1812" stopIfTrue="1">
      <formula>Q96="Dedicated pin"</formula>
    </cfRule>
  </conditionalFormatting>
  <conditionalFormatting sqref="Q96">
    <cfRule type="expression" dxfId="1757" priority="1809" stopIfTrue="1">
      <formula>Q96="GPIO pin"</formula>
    </cfRule>
    <cfRule type="expression" dxfId="1756" priority="1810" stopIfTrue="1">
      <formula>Q96="Dedicated pin"</formula>
    </cfRule>
  </conditionalFormatting>
  <conditionalFormatting sqref="Q96">
    <cfRule type="expression" dxfId="1755" priority="1807" stopIfTrue="1">
      <formula>Q96="GPIO pin"</formula>
    </cfRule>
    <cfRule type="expression" dxfId="1754" priority="1808" stopIfTrue="1">
      <formula>Q96="Dedicated pin"</formula>
    </cfRule>
  </conditionalFormatting>
  <conditionalFormatting sqref="Q96">
    <cfRule type="expression" dxfId="1753" priority="1805" stopIfTrue="1">
      <formula>Q96="GPIO pin"</formula>
    </cfRule>
    <cfRule type="expression" dxfId="1752" priority="1806" stopIfTrue="1">
      <formula>Q96="Dedicated pin"</formula>
    </cfRule>
  </conditionalFormatting>
  <conditionalFormatting sqref="Q96">
    <cfRule type="expression" dxfId="1751" priority="1803" stopIfTrue="1">
      <formula>Q96="GPIO pin"</formula>
    </cfRule>
    <cfRule type="expression" dxfId="1750" priority="1804" stopIfTrue="1">
      <formula>Q96="Dedicated pin"</formula>
    </cfRule>
  </conditionalFormatting>
  <conditionalFormatting sqref="Q96">
    <cfRule type="expression" dxfId="1749" priority="1801" stopIfTrue="1">
      <formula>Q96="GPIO pin"</formula>
    </cfRule>
    <cfRule type="expression" dxfId="1748" priority="1802" stopIfTrue="1">
      <formula>Q96="Dedicated pin"</formula>
    </cfRule>
  </conditionalFormatting>
  <conditionalFormatting sqref="Q96">
    <cfRule type="expression" dxfId="1747" priority="1799" stopIfTrue="1">
      <formula>Q96="GPIO pin"</formula>
    </cfRule>
    <cfRule type="expression" dxfId="1746" priority="1800" stopIfTrue="1">
      <formula>Q96="Dedicated pin"</formula>
    </cfRule>
  </conditionalFormatting>
  <conditionalFormatting sqref="Q96">
    <cfRule type="expression" dxfId="1745" priority="1797" stopIfTrue="1">
      <formula>Q96="GPIO pin"</formula>
    </cfRule>
    <cfRule type="expression" dxfId="1744" priority="1798" stopIfTrue="1">
      <formula>Q96="Dedicated pin"</formula>
    </cfRule>
  </conditionalFormatting>
  <conditionalFormatting sqref="Q96">
    <cfRule type="expression" dxfId="1743" priority="1795" stopIfTrue="1">
      <formula>Q96="GPIO pin"</formula>
    </cfRule>
    <cfRule type="expression" dxfId="1742" priority="1796" stopIfTrue="1">
      <formula>Q96="Dedicated pin"</formula>
    </cfRule>
  </conditionalFormatting>
  <conditionalFormatting sqref="Q96">
    <cfRule type="expression" dxfId="1741" priority="1793" stopIfTrue="1">
      <formula>Q96="GPIO pin"</formula>
    </cfRule>
    <cfRule type="expression" dxfId="1740" priority="1794" stopIfTrue="1">
      <formula>Q96="Dedicated pin"</formula>
    </cfRule>
  </conditionalFormatting>
  <conditionalFormatting sqref="Q96">
    <cfRule type="expression" dxfId="1739" priority="1791" stopIfTrue="1">
      <formula>Q96="GPIO pin"</formula>
    </cfRule>
    <cfRule type="expression" dxfId="1738" priority="1792" stopIfTrue="1">
      <formula>Q96="Dedicated pin"</formula>
    </cfRule>
  </conditionalFormatting>
  <conditionalFormatting sqref="Q97">
    <cfRule type="expression" dxfId="1737" priority="1789" stopIfTrue="1">
      <formula>Q97="GPIO pin"</formula>
    </cfRule>
    <cfRule type="expression" dxfId="1736" priority="1790" stopIfTrue="1">
      <formula>Q97="Dedicated pin"</formula>
    </cfRule>
  </conditionalFormatting>
  <conditionalFormatting sqref="Q97">
    <cfRule type="expression" dxfId="1735" priority="1787" stopIfTrue="1">
      <formula>Q97="GPIO pin"</formula>
    </cfRule>
    <cfRule type="expression" dxfId="1734" priority="1788" stopIfTrue="1">
      <formula>Q97="Dedicated pin"</formula>
    </cfRule>
  </conditionalFormatting>
  <conditionalFormatting sqref="Q97">
    <cfRule type="expression" dxfId="1733" priority="1785" stopIfTrue="1">
      <formula>Q97="GPIO pin"</formula>
    </cfRule>
    <cfRule type="expression" dxfId="1732" priority="1786" stopIfTrue="1">
      <formula>Q97="Dedicated pin"</formula>
    </cfRule>
  </conditionalFormatting>
  <conditionalFormatting sqref="Q97">
    <cfRule type="expression" dxfId="1731" priority="1783" stopIfTrue="1">
      <formula>Q97="GPIO pin"</formula>
    </cfRule>
    <cfRule type="expression" dxfId="1730" priority="1784" stopIfTrue="1">
      <formula>Q97="Dedicated pin"</formula>
    </cfRule>
  </conditionalFormatting>
  <conditionalFormatting sqref="Q97">
    <cfRule type="expression" dxfId="1729" priority="1781" stopIfTrue="1">
      <formula>Q97="GPIO pin"</formula>
    </cfRule>
    <cfRule type="expression" dxfId="1728" priority="1782" stopIfTrue="1">
      <formula>Q97="Dedicated pin"</formula>
    </cfRule>
  </conditionalFormatting>
  <conditionalFormatting sqref="Q97">
    <cfRule type="expression" dxfId="1727" priority="1779" stopIfTrue="1">
      <formula>Q97="GPIO pin"</formula>
    </cfRule>
    <cfRule type="expression" dxfId="1726" priority="1780" stopIfTrue="1">
      <formula>Q97="Dedicated pin"</formula>
    </cfRule>
  </conditionalFormatting>
  <conditionalFormatting sqref="Q97">
    <cfRule type="expression" dxfId="1725" priority="1777" stopIfTrue="1">
      <formula>Q97="GPIO pin"</formula>
    </cfRule>
    <cfRule type="expression" dxfId="1724" priority="1778" stopIfTrue="1">
      <formula>Q97="Dedicated pin"</formula>
    </cfRule>
  </conditionalFormatting>
  <conditionalFormatting sqref="Q97">
    <cfRule type="expression" dxfId="1723" priority="1775" stopIfTrue="1">
      <formula>Q97="GPIO pin"</formula>
    </cfRule>
    <cfRule type="expression" dxfId="1722" priority="1776" stopIfTrue="1">
      <formula>Q97="Dedicated pin"</formula>
    </cfRule>
  </conditionalFormatting>
  <conditionalFormatting sqref="Q97">
    <cfRule type="expression" dxfId="1721" priority="1773" stopIfTrue="1">
      <formula>Q97="GPIO pin"</formula>
    </cfRule>
    <cfRule type="expression" dxfId="1720" priority="1774" stopIfTrue="1">
      <formula>Q97="Dedicated pin"</formula>
    </cfRule>
  </conditionalFormatting>
  <conditionalFormatting sqref="Q97">
    <cfRule type="expression" dxfId="1719" priority="1771" stopIfTrue="1">
      <formula>Q97="GPIO pin"</formula>
    </cfRule>
    <cfRule type="expression" dxfId="1718" priority="1772" stopIfTrue="1">
      <formula>Q97="Dedicated pin"</formula>
    </cfRule>
  </conditionalFormatting>
  <conditionalFormatting sqref="Q97">
    <cfRule type="expression" dxfId="1717" priority="1769" stopIfTrue="1">
      <formula>Q97="GPIO pin"</formula>
    </cfRule>
    <cfRule type="expression" dxfId="1716" priority="1770" stopIfTrue="1">
      <formula>Q97="Dedicated pin"</formula>
    </cfRule>
  </conditionalFormatting>
  <conditionalFormatting sqref="Q97">
    <cfRule type="expression" dxfId="1715" priority="1767" stopIfTrue="1">
      <formula>Q97="GPIO pin"</formula>
    </cfRule>
    <cfRule type="expression" dxfId="1714" priority="1768" stopIfTrue="1">
      <formula>Q97="Dedicated pin"</formula>
    </cfRule>
  </conditionalFormatting>
  <conditionalFormatting sqref="Q97">
    <cfRule type="expression" dxfId="1713" priority="1765" stopIfTrue="1">
      <formula>Q97="GPIO pin"</formula>
    </cfRule>
    <cfRule type="expression" dxfId="1712" priority="1766" stopIfTrue="1">
      <formula>Q97="Dedicated pin"</formula>
    </cfRule>
  </conditionalFormatting>
  <conditionalFormatting sqref="Q97">
    <cfRule type="expression" dxfId="1711" priority="1763" stopIfTrue="1">
      <formula>Q97="GPIO pin"</formula>
    </cfRule>
    <cfRule type="expression" dxfId="1710" priority="1764" stopIfTrue="1">
      <formula>Q97="Dedicated pin"</formula>
    </cfRule>
  </conditionalFormatting>
  <conditionalFormatting sqref="Q97">
    <cfRule type="expression" dxfId="1709" priority="1761" stopIfTrue="1">
      <formula>Q97="GPIO pin"</formula>
    </cfRule>
    <cfRule type="expression" dxfId="1708" priority="1762" stopIfTrue="1">
      <formula>Q97="Dedicated pin"</formula>
    </cfRule>
  </conditionalFormatting>
  <conditionalFormatting sqref="Q97">
    <cfRule type="expression" dxfId="1707" priority="1759" stopIfTrue="1">
      <formula>Q97="GPIO pin"</formula>
    </cfRule>
    <cfRule type="expression" dxfId="1706" priority="1760" stopIfTrue="1">
      <formula>Q97="Dedicated pin"</formula>
    </cfRule>
  </conditionalFormatting>
  <conditionalFormatting sqref="Q97">
    <cfRule type="expression" dxfId="1705" priority="1757" stopIfTrue="1">
      <formula>Q97="GPIO pin"</formula>
    </cfRule>
    <cfRule type="expression" dxfId="1704" priority="1758" stopIfTrue="1">
      <formula>Q97="Dedicated pin"</formula>
    </cfRule>
  </conditionalFormatting>
  <conditionalFormatting sqref="Q97">
    <cfRule type="expression" dxfId="1703" priority="1755" stopIfTrue="1">
      <formula>Q97="GPIO pin"</formula>
    </cfRule>
    <cfRule type="expression" dxfId="1702" priority="1756" stopIfTrue="1">
      <formula>Q97="Dedicated pin"</formula>
    </cfRule>
  </conditionalFormatting>
  <conditionalFormatting sqref="Q97">
    <cfRule type="expression" dxfId="1701" priority="1753" stopIfTrue="1">
      <formula>Q97="GPIO pin"</formula>
    </cfRule>
    <cfRule type="expression" dxfId="1700" priority="1754" stopIfTrue="1">
      <formula>Q97="Dedicated pin"</formula>
    </cfRule>
  </conditionalFormatting>
  <conditionalFormatting sqref="Q97">
    <cfRule type="expression" dxfId="1699" priority="1751" stopIfTrue="1">
      <formula>Q97="GPIO pin"</formula>
    </cfRule>
    <cfRule type="expression" dxfId="1698" priority="1752" stopIfTrue="1">
      <formula>Q97="Dedicated pin"</formula>
    </cfRule>
  </conditionalFormatting>
  <conditionalFormatting sqref="Q97">
    <cfRule type="expression" dxfId="1697" priority="1749" stopIfTrue="1">
      <formula>Q97="GPIO pin"</formula>
    </cfRule>
    <cfRule type="expression" dxfId="1696" priority="1750" stopIfTrue="1">
      <formula>Q97="Dedicated pin"</formula>
    </cfRule>
  </conditionalFormatting>
  <conditionalFormatting sqref="Q97">
    <cfRule type="expression" dxfId="1695" priority="1747" stopIfTrue="1">
      <formula>Q97="GPIO pin"</formula>
    </cfRule>
    <cfRule type="expression" dxfId="1694" priority="1748" stopIfTrue="1">
      <formula>Q97="Dedicated pin"</formula>
    </cfRule>
  </conditionalFormatting>
  <conditionalFormatting sqref="Q97">
    <cfRule type="expression" dxfId="1693" priority="1745" stopIfTrue="1">
      <formula>Q97="GPIO pin"</formula>
    </cfRule>
    <cfRule type="expression" dxfId="1692" priority="1746" stopIfTrue="1">
      <formula>Q97="Dedicated pin"</formula>
    </cfRule>
  </conditionalFormatting>
  <conditionalFormatting sqref="Q97">
    <cfRule type="expression" dxfId="1691" priority="1743" stopIfTrue="1">
      <formula>Q97="GPIO pin"</formula>
    </cfRule>
    <cfRule type="expression" dxfId="1690" priority="1744" stopIfTrue="1">
      <formula>Q97="Dedicated pin"</formula>
    </cfRule>
  </conditionalFormatting>
  <conditionalFormatting sqref="Q97">
    <cfRule type="expression" dxfId="1689" priority="1741" stopIfTrue="1">
      <formula>Q97="GPIO pin"</formula>
    </cfRule>
    <cfRule type="expression" dxfId="1688" priority="1742" stopIfTrue="1">
      <formula>Q97="Dedicated pin"</formula>
    </cfRule>
  </conditionalFormatting>
  <conditionalFormatting sqref="Q97">
    <cfRule type="expression" dxfId="1687" priority="1739" stopIfTrue="1">
      <formula>Q97="GPIO pin"</formula>
    </cfRule>
    <cfRule type="expression" dxfId="1686" priority="1740" stopIfTrue="1">
      <formula>Q97="Dedicated pin"</formula>
    </cfRule>
  </conditionalFormatting>
  <conditionalFormatting sqref="Q97">
    <cfRule type="expression" dxfId="1685" priority="1737" stopIfTrue="1">
      <formula>Q97="GPIO pin"</formula>
    </cfRule>
    <cfRule type="expression" dxfId="1684" priority="1738" stopIfTrue="1">
      <formula>Q97="Dedicated pin"</formula>
    </cfRule>
  </conditionalFormatting>
  <conditionalFormatting sqref="Q97">
    <cfRule type="expression" dxfId="1683" priority="1735" stopIfTrue="1">
      <formula>Q97="GPIO pin"</formula>
    </cfRule>
    <cfRule type="expression" dxfId="1682" priority="1736" stopIfTrue="1">
      <formula>Q97="Dedicated pin"</formula>
    </cfRule>
  </conditionalFormatting>
  <conditionalFormatting sqref="Q104">
    <cfRule type="expression" dxfId="1681" priority="1733" stopIfTrue="1">
      <formula>Q104="GPIO pin"</formula>
    </cfRule>
    <cfRule type="expression" dxfId="1680" priority="1734" stopIfTrue="1">
      <formula>Q104="Dedicated pin"</formula>
    </cfRule>
  </conditionalFormatting>
  <conditionalFormatting sqref="Q104">
    <cfRule type="expression" dxfId="1679" priority="1731" stopIfTrue="1">
      <formula>Q104="GPIO pin"</formula>
    </cfRule>
    <cfRule type="expression" dxfId="1678" priority="1732" stopIfTrue="1">
      <formula>Q104="Dedicated pin"</formula>
    </cfRule>
  </conditionalFormatting>
  <conditionalFormatting sqref="Q104">
    <cfRule type="expression" dxfId="1677" priority="1729" stopIfTrue="1">
      <formula>Q104="GPIO pin"</formula>
    </cfRule>
    <cfRule type="expression" dxfId="1676" priority="1730" stopIfTrue="1">
      <formula>Q104="Dedicated pin"</formula>
    </cfRule>
  </conditionalFormatting>
  <conditionalFormatting sqref="Q104">
    <cfRule type="expression" dxfId="1675" priority="1727" stopIfTrue="1">
      <formula>Q104="GPIO pin"</formula>
    </cfRule>
    <cfRule type="expression" dxfId="1674" priority="1728" stopIfTrue="1">
      <formula>Q104="Dedicated pin"</formula>
    </cfRule>
  </conditionalFormatting>
  <conditionalFormatting sqref="Q104">
    <cfRule type="expression" dxfId="1673" priority="1725" stopIfTrue="1">
      <formula>Q104="GPIO pin"</formula>
    </cfRule>
    <cfRule type="expression" dxfId="1672" priority="1726" stopIfTrue="1">
      <formula>Q104="Dedicated pin"</formula>
    </cfRule>
  </conditionalFormatting>
  <conditionalFormatting sqref="Q104">
    <cfRule type="expression" dxfId="1671" priority="1723" stopIfTrue="1">
      <formula>Q104="GPIO pin"</formula>
    </cfRule>
    <cfRule type="expression" dxfId="1670" priority="1724" stopIfTrue="1">
      <formula>Q104="Dedicated pin"</formula>
    </cfRule>
  </conditionalFormatting>
  <conditionalFormatting sqref="Q104">
    <cfRule type="expression" dxfId="1669" priority="1721" stopIfTrue="1">
      <formula>Q104="GPIO pin"</formula>
    </cfRule>
    <cfRule type="expression" dxfId="1668" priority="1722" stopIfTrue="1">
      <formula>Q104="Dedicated pin"</formula>
    </cfRule>
  </conditionalFormatting>
  <conditionalFormatting sqref="Q104">
    <cfRule type="expression" dxfId="1667" priority="1719" stopIfTrue="1">
      <formula>Q104="GPIO pin"</formula>
    </cfRule>
    <cfRule type="expression" dxfId="1666" priority="1720" stopIfTrue="1">
      <formula>Q104="Dedicated pin"</formula>
    </cfRule>
  </conditionalFormatting>
  <conditionalFormatting sqref="Q104">
    <cfRule type="expression" dxfId="1665" priority="1717" stopIfTrue="1">
      <formula>Q104="GPIO pin"</formula>
    </cfRule>
    <cfRule type="expression" dxfId="1664" priority="1718" stopIfTrue="1">
      <formula>Q104="Dedicated pin"</formula>
    </cfRule>
  </conditionalFormatting>
  <conditionalFormatting sqref="Q104">
    <cfRule type="expression" dxfId="1663" priority="1715" stopIfTrue="1">
      <formula>Q104="GPIO pin"</formula>
    </cfRule>
    <cfRule type="expression" dxfId="1662" priority="1716" stopIfTrue="1">
      <formula>Q104="Dedicated pin"</formula>
    </cfRule>
  </conditionalFormatting>
  <conditionalFormatting sqref="Q104">
    <cfRule type="expression" dxfId="1661" priority="1713" stopIfTrue="1">
      <formula>Q104="GPIO pin"</formula>
    </cfRule>
    <cfRule type="expression" dxfId="1660" priority="1714" stopIfTrue="1">
      <formula>Q104="Dedicated pin"</formula>
    </cfRule>
  </conditionalFormatting>
  <conditionalFormatting sqref="Q104">
    <cfRule type="expression" dxfId="1659" priority="1711" stopIfTrue="1">
      <formula>Q104="GPIO pin"</formula>
    </cfRule>
    <cfRule type="expression" dxfId="1658" priority="1712" stopIfTrue="1">
      <formula>Q104="Dedicated pin"</formula>
    </cfRule>
  </conditionalFormatting>
  <conditionalFormatting sqref="Q104">
    <cfRule type="expression" dxfId="1657" priority="1709" stopIfTrue="1">
      <formula>Q104="GPIO pin"</formula>
    </cfRule>
    <cfRule type="expression" dxfId="1656" priority="1710" stopIfTrue="1">
      <formula>Q104="Dedicated pin"</formula>
    </cfRule>
  </conditionalFormatting>
  <conditionalFormatting sqref="Q104">
    <cfRule type="expression" dxfId="1655" priority="1707" stopIfTrue="1">
      <formula>Q104="GPIO pin"</formula>
    </cfRule>
    <cfRule type="expression" dxfId="1654" priority="1708" stopIfTrue="1">
      <formula>Q104="Dedicated pin"</formula>
    </cfRule>
  </conditionalFormatting>
  <conditionalFormatting sqref="Q104">
    <cfRule type="expression" dxfId="1653" priority="1705" stopIfTrue="1">
      <formula>Q104="GPIO pin"</formula>
    </cfRule>
    <cfRule type="expression" dxfId="1652" priority="1706" stopIfTrue="1">
      <formula>Q104="Dedicated pin"</formula>
    </cfRule>
  </conditionalFormatting>
  <conditionalFormatting sqref="Q104">
    <cfRule type="expression" dxfId="1651" priority="1703" stopIfTrue="1">
      <formula>Q104="GPIO pin"</formula>
    </cfRule>
    <cfRule type="expression" dxfId="1650" priority="1704" stopIfTrue="1">
      <formula>Q104="Dedicated pin"</formula>
    </cfRule>
  </conditionalFormatting>
  <conditionalFormatting sqref="Q104">
    <cfRule type="expression" dxfId="1649" priority="1701" stopIfTrue="1">
      <formula>Q104="GPIO pin"</formula>
    </cfRule>
    <cfRule type="expression" dxfId="1648" priority="1702" stopIfTrue="1">
      <formula>Q104="Dedicated pin"</formula>
    </cfRule>
  </conditionalFormatting>
  <conditionalFormatting sqref="Q104">
    <cfRule type="expression" dxfId="1647" priority="1699" stopIfTrue="1">
      <formula>Q104="GPIO pin"</formula>
    </cfRule>
    <cfRule type="expression" dxfId="1646" priority="1700" stopIfTrue="1">
      <formula>Q104="Dedicated pin"</formula>
    </cfRule>
  </conditionalFormatting>
  <conditionalFormatting sqref="Q104">
    <cfRule type="expression" dxfId="1645" priority="1697" stopIfTrue="1">
      <formula>Q104="GPIO pin"</formula>
    </cfRule>
    <cfRule type="expression" dxfId="1644" priority="1698" stopIfTrue="1">
      <formula>Q104="Dedicated pin"</formula>
    </cfRule>
  </conditionalFormatting>
  <conditionalFormatting sqref="Q104">
    <cfRule type="expression" dxfId="1643" priority="1695" stopIfTrue="1">
      <formula>Q104="GPIO pin"</formula>
    </cfRule>
    <cfRule type="expression" dxfId="1642" priority="1696" stopIfTrue="1">
      <formula>Q104="Dedicated pin"</formula>
    </cfRule>
  </conditionalFormatting>
  <conditionalFormatting sqref="Q104">
    <cfRule type="expression" dxfId="1641" priority="1693" stopIfTrue="1">
      <formula>Q104="GPIO pin"</formula>
    </cfRule>
    <cfRule type="expression" dxfId="1640" priority="1694" stopIfTrue="1">
      <formula>Q104="Dedicated pin"</formula>
    </cfRule>
  </conditionalFormatting>
  <conditionalFormatting sqref="Q104">
    <cfRule type="expression" dxfId="1639" priority="1691" stopIfTrue="1">
      <formula>Q104="GPIO pin"</formula>
    </cfRule>
    <cfRule type="expression" dxfId="1638" priority="1692" stopIfTrue="1">
      <formula>Q104="Dedicated pin"</formula>
    </cfRule>
  </conditionalFormatting>
  <conditionalFormatting sqref="Q104">
    <cfRule type="expression" dxfId="1637" priority="1689" stopIfTrue="1">
      <formula>Q104="GPIO pin"</formula>
    </cfRule>
    <cfRule type="expression" dxfId="1636" priority="1690" stopIfTrue="1">
      <formula>Q104="Dedicated pin"</formula>
    </cfRule>
  </conditionalFormatting>
  <conditionalFormatting sqref="Q104">
    <cfRule type="expression" dxfId="1635" priority="1687" stopIfTrue="1">
      <formula>Q104="GPIO pin"</formula>
    </cfRule>
    <cfRule type="expression" dxfId="1634" priority="1688" stopIfTrue="1">
      <formula>Q104="Dedicated pin"</formula>
    </cfRule>
  </conditionalFormatting>
  <conditionalFormatting sqref="Q104">
    <cfRule type="expression" dxfId="1633" priority="1685" stopIfTrue="1">
      <formula>Q104="GPIO pin"</formula>
    </cfRule>
    <cfRule type="expression" dxfId="1632" priority="1686" stopIfTrue="1">
      <formula>Q104="Dedicated pin"</formula>
    </cfRule>
  </conditionalFormatting>
  <conditionalFormatting sqref="Q104">
    <cfRule type="expression" dxfId="1631" priority="1683" stopIfTrue="1">
      <formula>Q104="GPIO pin"</formula>
    </cfRule>
    <cfRule type="expression" dxfId="1630" priority="1684" stopIfTrue="1">
      <formula>Q104="Dedicated pin"</formula>
    </cfRule>
  </conditionalFormatting>
  <conditionalFormatting sqref="Q104">
    <cfRule type="expression" dxfId="1629" priority="1681" stopIfTrue="1">
      <formula>Q104="GPIO pin"</formula>
    </cfRule>
    <cfRule type="expression" dxfId="1628" priority="1682" stopIfTrue="1">
      <formula>Q104="Dedicated pin"</formula>
    </cfRule>
  </conditionalFormatting>
  <conditionalFormatting sqref="Q104">
    <cfRule type="expression" dxfId="1627" priority="1679" stopIfTrue="1">
      <formula>Q104="GPIO pin"</formula>
    </cfRule>
    <cfRule type="expression" dxfId="1626" priority="1680" stopIfTrue="1">
      <formula>Q104="Dedicated pin"</formula>
    </cfRule>
  </conditionalFormatting>
  <conditionalFormatting sqref="Q105">
    <cfRule type="expression" dxfId="1625" priority="1677" stopIfTrue="1">
      <formula>Q105="GPIO pin"</formula>
    </cfRule>
    <cfRule type="expression" dxfId="1624" priority="1678" stopIfTrue="1">
      <formula>Q105="Dedicated pin"</formula>
    </cfRule>
  </conditionalFormatting>
  <conditionalFormatting sqref="Q105">
    <cfRule type="expression" dxfId="1623" priority="1675" stopIfTrue="1">
      <formula>Q105="GPIO pin"</formula>
    </cfRule>
    <cfRule type="expression" dxfId="1622" priority="1676" stopIfTrue="1">
      <formula>Q105="Dedicated pin"</formula>
    </cfRule>
  </conditionalFormatting>
  <conditionalFormatting sqref="Q105">
    <cfRule type="expression" dxfId="1621" priority="1673" stopIfTrue="1">
      <formula>Q105="GPIO pin"</formula>
    </cfRule>
    <cfRule type="expression" dxfId="1620" priority="1674" stopIfTrue="1">
      <formula>Q105="Dedicated pin"</formula>
    </cfRule>
  </conditionalFormatting>
  <conditionalFormatting sqref="Q105">
    <cfRule type="expression" dxfId="1619" priority="1671" stopIfTrue="1">
      <formula>Q105="GPIO pin"</formula>
    </cfRule>
    <cfRule type="expression" dxfId="1618" priority="1672" stopIfTrue="1">
      <formula>Q105="Dedicated pin"</formula>
    </cfRule>
  </conditionalFormatting>
  <conditionalFormatting sqref="Q105">
    <cfRule type="expression" dxfId="1617" priority="1669" stopIfTrue="1">
      <formula>Q105="GPIO pin"</formula>
    </cfRule>
    <cfRule type="expression" dxfId="1616" priority="1670" stopIfTrue="1">
      <formula>Q105="Dedicated pin"</formula>
    </cfRule>
  </conditionalFormatting>
  <conditionalFormatting sqref="Q105">
    <cfRule type="expression" dxfId="1615" priority="1667" stopIfTrue="1">
      <formula>Q105="GPIO pin"</formula>
    </cfRule>
    <cfRule type="expression" dxfId="1614" priority="1668" stopIfTrue="1">
      <formula>Q105="Dedicated pin"</formula>
    </cfRule>
  </conditionalFormatting>
  <conditionalFormatting sqref="Q105">
    <cfRule type="expression" dxfId="1613" priority="1665" stopIfTrue="1">
      <formula>Q105="GPIO pin"</formula>
    </cfRule>
    <cfRule type="expression" dxfId="1612" priority="1666" stopIfTrue="1">
      <formula>Q105="Dedicated pin"</formula>
    </cfRule>
  </conditionalFormatting>
  <conditionalFormatting sqref="Q105">
    <cfRule type="expression" dxfId="1611" priority="1663" stopIfTrue="1">
      <formula>Q105="GPIO pin"</formula>
    </cfRule>
    <cfRule type="expression" dxfId="1610" priority="1664" stopIfTrue="1">
      <formula>Q105="Dedicated pin"</formula>
    </cfRule>
  </conditionalFormatting>
  <conditionalFormatting sqref="Q105">
    <cfRule type="expression" dxfId="1609" priority="1661" stopIfTrue="1">
      <formula>Q105="GPIO pin"</formula>
    </cfRule>
    <cfRule type="expression" dxfId="1608" priority="1662" stopIfTrue="1">
      <formula>Q105="Dedicated pin"</formula>
    </cfRule>
  </conditionalFormatting>
  <conditionalFormatting sqref="Q105">
    <cfRule type="expression" dxfId="1607" priority="1659" stopIfTrue="1">
      <formula>Q105="GPIO pin"</formula>
    </cfRule>
    <cfRule type="expression" dxfId="1606" priority="1660" stopIfTrue="1">
      <formula>Q105="Dedicated pin"</formula>
    </cfRule>
  </conditionalFormatting>
  <conditionalFormatting sqref="Q105">
    <cfRule type="expression" dxfId="1605" priority="1657" stopIfTrue="1">
      <formula>Q105="GPIO pin"</formula>
    </cfRule>
    <cfRule type="expression" dxfId="1604" priority="1658" stopIfTrue="1">
      <formula>Q105="Dedicated pin"</formula>
    </cfRule>
  </conditionalFormatting>
  <conditionalFormatting sqref="Q105">
    <cfRule type="expression" dxfId="1603" priority="1655" stopIfTrue="1">
      <formula>Q105="GPIO pin"</formula>
    </cfRule>
    <cfRule type="expression" dxfId="1602" priority="1656" stopIfTrue="1">
      <formula>Q105="Dedicated pin"</formula>
    </cfRule>
  </conditionalFormatting>
  <conditionalFormatting sqref="Q105">
    <cfRule type="expression" dxfId="1601" priority="1653" stopIfTrue="1">
      <formula>Q105="GPIO pin"</formula>
    </cfRule>
    <cfRule type="expression" dxfId="1600" priority="1654" stopIfTrue="1">
      <formula>Q105="Dedicated pin"</formula>
    </cfRule>
  </conditionalFormatting>
  <conditionalFormatting sqref="Q105">
    <cfRule type="expression" dxfId="1599" priority="1651" stopIfTrue="1">
      <formula>Q105="GPIO pin"</formula>
    </cfRule>
    <cfRule type="expression" dxfId="1598" priority="1652" stopIfTrue="1">
      <formula>Q105="Dedicated pin"</formula>
    </cfRule>
  </conditionalFormatting>
  <conditionalFormatting sqref="Q105">
    <cfRule type="expression" dxfId="1597" priority="1649" stopIfTrue="1">
      <formula>Q105="GPIO pin"</formula>
    </cfRule>
    <cfRule type="expression" dxfId="1596" priority="1650" stopIfTrue="1">
      <formula>Q105="Dedicated pin"</formula>
    </cfRule>
  </conditionalFormatting>
  <conditionalFormatting sqref="Q105">
    <cfRule type="expression" dxfId="1595" priority="1647" stopIfTrue="1">
      <formula>Q105="GPIO pin"</formula>
    </cfRule>
    <cfRule type="expression" dxfId="1594" priority="1648" stopIfTrue="1">
      <formula>Q105="Dedicated pin"</formula>
    </cfRule>
  </conditionalFormatting>
  <conditionalFormatting sqref="Q105">
    <cfRule type="expression" dxfId="1593" priority="1645" stopIfTrue="1">
      <formula>Q105="GPIO pin"</formula>
    </cfRule>
    <cfRule type="expression" dxfId="1592" priority="1646" stopIfTrue="1">
      <formula>Q105="Dedicated pin"</formula>
    </cfRule>
  </conditionalFormatting>
  <conditionalFormatting sqref="Q105">
    <cfRule type="expression" dxfId="1591" priority="1643" stopIfTrue="1">
      <formula>Q105="GPIO pin"</formula>
    </cfRule>
    <cfRule type="expression" dxfId="1590" priority="1644" stopIfTrue="1">
      <formula>Q105="Dedicated pin"</formula>
    </cfRule>
  </conditionalFormatting>
  <conditionalFormatting sqref="Q105">
    <cfRule type="expression" dxfId="1589" priority="1641" stopIfTrue="1">
      <formula>Q105="GPIO pin"</formula>
    </cfRule>
    <cfRule type="expression" dxfId="1588" priority="1642" stopIfTrue="1">
      <formula>Q105="Dedicated pin"</formula>
    </cfRule>
  </conditionalFormatting>
  <conditionalFormatting sqref="Q105">
    <cfRule type="expression" dxfId="1587" priority="1639" stopIfTrue="1">
      <formula>Q105="GPIO pin"</formula>
    </cfRule>
    <cfRule type="expression" dxfId="1586" priority="1640" stopIfTrue="1">
      <formula>Q105="Dedicated pin"</formula>
    </cfRule>
  </conditionalFormatting>
  <conditionalFormatting sqref="Q105">
    <cfRule type="expression" dxfId="1585" priority="1637" stopIfTrue="1">
      <formula>Q105="GPIO pin"</formula>
    </cfRule>
    <cfRule type="expression" dxfId="1584" priority="1638" stopIfTrue="1">
      <formula>Q105="Dedicated pin"</formula>
    </cfRule>
  </conditionalFormatting>
  <conditionalFormatting sqref="Q105">
    <cfRule type="expression" dxfId="1583" priority="1635" stopIfTrue="1">
      <formula>Q105="GPIO pin"</formula>
    </cfRule>
    <cfRule type="expression" dxfId="1582" priority="1636" stopIfTrue="1">
      <formula>Q105="Dedicated pin"</formula>
    </cfRule>
  </conditionalFormatting>
  <conditionalFormatting sqref="Q105">
    <cfRule type="expression" dxfId="1581" priority="1633" stopIfTrue="1">
      <formula>Q105="GPIO pin"</formula>
    </cfRule>
    <cfRule type="expression" dxfId="1580" priority="1634" stopIfTrue="1">
      <formula>Q105="Dedicated pin"</formula>
    </cfRule>
  </conditionalFormatting>
  <conditionalFormatting sqref="Q105">
    <cfRule type="expression" dxfId="1579" priority="1631" stopIfTrue="1">
      <formula>Q105="GPIO pin"</formula>
    </cfRule>
    <cfRule type="expression" dxfId="1578" priority="1632" stopIfTrue="1">
      <formula>Q105="Dedicated pin"</formula>
    </cfRule>
  </conditionalFormatting>
  <conditionalFormatting sqref="Q105">
    <cfRule type="expression" dxfId="1577" priority="1629" stopIfTrue="1">
      <formula>Q105="GPIO pin"</formula>
    </cfRule>
    <cfRule type="expression" dxfId="1576" priority="1630" stopIfTrue="1">
      <formula>Q105="Dedicated pin"</formula>
    </cfRule>
  </conditionalFormatting>
  <conditionalFormatting sqref="Q105">
    <cfRule type="expression" dxfId="1575" priority="1627" stopIfTrue="1">
      <formula>Q105="GPIO pin"</formula>
    </cfRule>
    <cfRule type="expression" dxfId="1574" priority="1628" stopIfTrue="1">
      <formula>Q105="Dedicated pin"</formula>
    </cfRule>
  </conditionalFormatting>
  <conditionalFormatting sqref="Q105">
    <cfRule type="expression" dxfId="1573" priority="1625" stopIfTrue="1">
      <formula>Q105="GPIO pin"</formula>
    </cfRule>
    <cfRule type="expression" dxfId="1572" priority="1626" stopIfTrue="1">
      <formula>Q105="Dedicated pin"</formula>
    </cfRule>
  </conditionalFormatting>
  <conditionalFormatting sqref="Q105">
    <cfRule type="expression" dxfId="1571" priority="1623" stopIfTrue="1">
      <formula>Q105="GPIO pin"</formula>
    </cfRule>
    <cfRule type="expression" dxfId="1570" priority="1624" stopIfTrue="1">
      <formula>Q105="Dedicated pin"</formula>
    </cfRule>
  </conditionalFormatting>
  <conditionalFormatting sqref="J110">
    <cfRule type="expression" dxfId="1569" priority="1621" stopIfTrue="1">
      <formula>J110="GPIO pin"</formula>
    </cfRule>
    <cfRule type="expression" dxfId="1568" priority="1622" stopIfTrue="1">
      <formula>J110="Dedicated pin"</formula>
    </cfRule>
  </conditionalFormatting>
  <conditionalFormatting sqref="P112">
    <cfRule type="expression" dxfId="1567" priority="1619" stopIfTrue="1">
      <formula>P112="GPIO pin"</formula>
    </cfRule>
    <cfRule type="expression" dxfId="1566" priority="1620" stopIfTrue="1">
      <formula>P112="Dedicated pin"</formula>
    </cfRule>
  </conditionalFormatting>
  <conditionalFormatting sqref="P112">
    <cfRule type="expression" dxfId="1565" priority="1617" stopIfTrue="1">
      <formula>P112="GPIO pin"</formula>
    </cfRule>
    <cfRule type="expression" dxfId="1564" priority="1618" stopIfTrue="1">
      <formula>P112="Dedicated pin"</formula>
    </cfRule>
  </conditionalFormatting>
  <conditionalFormatting sqref="P112">
    <cfRule type="expression" dxfId="1563" priority="1615" stopIfTrue="1">
      <formula>P112="GPIO pin"</formula>
    </cfRule>
    <cfRule type="expression" dxfId="1562" priority="1616" stopIfTrue="1">
      <formula>P112="Dedicated pin"</formula>
    </cfRule>
  </conditionalFormatting>
  <conditionalFormatting sqref="P112">
    <cfRule type="expression" dxfId="1561" priority="1613" stopIfTrue="1">
      <formula>P112="GPIO pin"</formula>
    </cfRule>
    <cfRule type="expression" dxfId="1560" priority="1614" stopIfTrue="1">
      <formula>P112="Dedicated pin"</formula>
    </cfRule>
  </conditionalFormatting>
  <conditionalFormatting sqref="P112">
    <cfRule type="expression" dxfId="1559" priority="1611" stopIfTrue="1">
      <formula>P112="GPIO pin"</formula>
    </cfRule>
    <cfRule type="expression" dxfId="1558" priority="1612" stopIfTrue="1">
      <formula>P112="Dedicated pin"</formula>
    </cfRule>
  </conditionalFormatting>
  <conditionalFormatting sqref="P112">
    <cfRule type="expression" dxfId="1557" priority="1609" stopIfTrue="1">
      <formula>P112="GPIO pin"</formula>
    </cfRule>
    <cfRule type="expression" dxfId="1556" priority="1610" stopIfTrue="1">
      <formula>P112="Dedicated pin"</formula>
    </cfRule>
  </conditionalFormatting>
  <conditionalFormatting sqref="P112">
    <cfRule type="expression" dxfId="1555" priority="1607" stopIfTrue="1">
      <formula>P112="GPIO pin"</formula>
    </cfRule>
    <cfRule type="expression" dxfId="1554" priority="1608" stopIfTrue="1">
      <formula>P112="Dedicated pin"</formula>
    </cfRule>
  </conditionalFormatting>
  <conditionalFormatting sqref="P112">
    <cfRule type="expression" dxfId="1553" priority="1605" stopIfTrue="1">
      <formula>P112="GPIO pin"</formula>
    </cfRule>
    <cfRule type="expression" dxfId="1552" priority="1606" stopIfTrue="1">
      <formula>P112="Dedicated pin"</formula>
    </cfRule>
  </conditionalFormatting>
  <conditionalFormatting sqref="P112">
    <cfRule type="expression" dxfId="1551" priority="1603" stopIfTrue="1">
      <formula>P112="GPIO pin"</formula>
    </cfRule>
    <cfRule type="expression" dxfId="1550" priority="1604" stopIfTrue="1">
      <formula>P112="Dedicated pin"</formula>
    </cfRule>
  </conditionalFormatting>
  <conditionalFormatting sqref="P112">
    <cfRule type="expression" dxfId="1549" priority="1601" stopIfTrue="1">
      <formula>P112="GPIO pin"</formula>
    </cfRule>
    <cfRule type="expression" dxfId="1548" priority="1602" stopIfTrue="1">
      <formula>P112="Dedicated pin"</formula>
    </cfRule>
  </conditionalFormatting>
  <conditionalFormatting sqref="P112">
    <cfRule type="expression" dxfId="1547" priority="1599" stopIfTrue="1">
      <formula>P112="GPIO pin"</formula>
    </cfRule>
    <cfRule type="expression" dxfId="1546" priority="1600" stopIfTrue="1">
      <formula>P112="Dedicated pin"</formula>
    </cfRule>
  </conditionalFormatting>
  <conditionalFormatting sqref="P112">
    <cfRule type="expression" dxfId="1545" priority="1597" stopIfTrue="1">
      <formula>P112="GPIO pin"</formula>
    </cfRule>
    <cfRule type="expression" dxfId="1544" priority="1598" stopIfTrue="1">
      <formula>P112="Dedicated pin"</formula>
    </cfRule>
  </conditionalFormatting>
  <conditionalFormatting sqref="P112">
    <cfRule type="expression" dxfId="1543" priority="1595" stopIfTrue="1">
      <formula>P112="GPIO pin"</formula>
    </cfRule>
    <cfRule type="expression" dxfId="1542" priority="1596" stopIfTrue="1">
      <formula>P112="Dedicated pin"</formula>
    </cfRule>
  </conditionalFormatting>
  <conditionalFormatting sqref="P112">
    <cfRule type="expression" dxfId="1541" priority="1593" stopIfTrue="1">
      <formula>P112="GPIO pin"</formula>
    </cfRule>
    <cfRule type="expression" dxfId="1540" priority="1594" stopIfTrue="1">
      <formula>P112="Dedicated pin"</formula>
    </cfRule>
  </conditionalFormatting>
  <conditionalFormatting sqref="Q112">
    <cfRule type="expression" dxfId="1539" priority="1591" stopIfTrue="1">
      <formula>Q112="GPIO pin"</formula>
    </cfRule>
    <cfRule type="expression" dxfId="1538" priority="1592" stopIfTrue="1">
      <formula>Q112="Dedicated pin"</formula>
    </cfRule>
  </conditionalFormatting>
  <conditionalFormatting sqref="Q112">
    <cfRule type="expression" dxfId="1537" priority="1589" stopIfTrue="1">
      <formula>Q112="GPIO pin"</formula>
    </cfRule>
    <cfRule type="expression" dxfId="1536" priority="1590" stopIfTrue="1">
      <formula>Q112="Dedicated pin"</formula>
    </cfRule>
  </conditionalFormatting>
  <conditionalFormatting sqref="Q112">
    <cfRule type="expression" dxfId="1535" priority="1587" stopIfTrue="1">
      <formula>Q112="GPIO pin"</formula>
    </cfRule>
    <cfRule type="expression" dxfId="1534" priority="1588" stopIfTrue="1">
      <formula>Q112="Dedicated pin"</formula>
    </cfRule>
  </conditionalFormatting>
  <conditionalFormatting sqref="Q112">
    <cfRule type="expression" dxfId="1533" priority="1585" stopIfTrue="1">
      <formula>Q112="GPIO pin"</formula>
    </cfRule>
    <cfRule type="expression" dxfId="1532" priority="1586" stopIfTrue="1">
      <formula>Q112="Dedicated pin"</formula>
    </cfRule>
  </conditionalFormatting>
  <conditionalFormatting sqref="Q112">
    <cfRule type="expression" dxfId="1531" priority="1583" stopIfTrue="1">
      <formula>Q112="GPIO pin"</formula>
    </cfRule>
    <cfRule type="expression" dxfId="1530" priority="1584" stopIfTrue="1">
      <formula>Q112="Dedicated pin"</formula>
    </cfRule>
  </conditionalFormatting>
  <conditionalFormatting sqref="Q112">
    <cfRule type="expression" dxfId="1529" priority="1581" stopIfTrue="1">
      <formula>Q112="GPIO pin"</formula>
    </cfRule>
    <cfRule type="expression" dxfId="1528" priority="1582" stopIfTrue="1">
      <formula>Q112="Dedicated pin"</formula>
    </cfRule>
  </conditionalFormatting>
  <conditionalFormatting sqref="Q112">
    <cfRule type="expression" dxfId="1527" priority="1579" stopIfTrue="1">
      <formula>Q112="GPIO pin"</formula>
    </cfRule>
    <cfRule type="expression" dxfId="1526" priority="1580" stopIfTrue="1">
      <formula>Q112="Dedicated pin"</formula>
    </cfRule>
  </conditionalFormatting>
  <conditionalFormatting sqref="Q112">
    <cfRule type="expression" dxfId="1525" priority="1577" stopIfTrue="1">
      <formula>Q112="GPIO pin"</formula>
    </cfRule>
    <cfRule type="expression" dxfId="1524" priority="1578" stopIfTrue="1">
      <formula>Q112="Dedicated pin"</formula>
    </cfRule>
  </conditionalFormatting>
  <conditionalFormatting sqref="Q112">
    <cfRule type="expression" dxfId="1523" priority="1575" stopIfTrue="1">
      <formula>Q112="GPIO pin"</formula>
    </cfRule>
    <cfRule type="expression" dxfId="1522" priority="1576" stopIfTrue="1">
      <formula>Q112="Dedicated pin"</formula>
    </cfRule>
  </conditionalFormatting>
  <conditionalFormatting sqref="Q112">
    <cfRule type="expression" dxfId="1521" priority="1573" stopIfTrue="1">
      <formula>Q112="GPIO pin"</formula>
    </cfRule>
    <cfRule type="expression" dxfId="1520" priority="1574" stopIfTrue="1">
      <formula>Q112="Dedicated pin"</formula>
    </cfRule>
  </conditionalFormatting>
  <conditionalFormatting sqref="Q112">
    <cfRule type="expression" dxfId="1519" priority="1571" stopIfTrue="1">
      <formula>Q112="GPIO pin"</formula>
    </cfRule>
    <cfRule type="expression" dxfId="1518" priority="1572" stopIfTrue="1">
      <formula>Q112="Dedicated pin"</formula>
    </cfRule>
  </conditionalFormatting>
  <conditionalFormatting sqref="Q112">
    <cfRule type="expression" dxfId="1517" priority="1569" stopIfTrue="1">
      <formula>Q112="GPIO pin"</formula>
    </cfRule>
    <cfRule type="expression" dxfId="1516" priority="1570" stopIfTrue="1">
      <formula>Q112="Dedicated pin"</formula>
    </cfRule>
  </conditionalFormatting>
  <conditionalFormatting sqref="Q112">
    <cfRule type="expression" dxfId="1515" priority="1567" stopIfTrue="1">
      <formula>Q112="GPIO pin"</formula>
    </cfRule>
    <cfRule type="expression" dxfId="1514" priority="1568" stopIfTrue="1">
      <formula>Q112="Dedicated pin"</formula>
    </cfRule>
  </conditionalFormatting>
  <conditionalFormatting sqref="Q112">
    <cfRule type="expression" dxfId="1513" priority="1565" stopIfTrue="1">
      <formula>Q112="GPIO pin"</formula>
    </cfRule>
    <cfRule type="expression" dxfId="1512" priority="1566" stopIfTrue="1">
      <formula>Q112="Dedicated pin"</formula>
    </cfRule>
  </conditionalFormatting>
  <conditionalFormatting sqref="Q112">
    <cfRule type="expression" dxfId="1511" priority="1563" stopIfTrue="1">
      <formula>Q112="GPIO pin"</formula>
    </cfRule>
    <cfRule type="expression" dxfId="1510" priority="1564" stopIfTrue="1">
      <formula>Q112="Dedicated pin"</formula>
    </cfRule>
  </conditionalFormatting>
  <conditionalFormatting sqref="Q112">
    <cfRule type="expression" dxfId="1509" priority="1561" stopIfTrue="1">
      <formula>Q112="GPIO pin"</formula>
    </cfRule>
    <cfRule type="expression" dxfId="1508" priority="1562" stopIfTrue="1">
      <formula>Q112="Dedicated pin"</formula>
    </cfRule>
  </conditionalFormatting>
  <conditionalFormatting sqref="Q112">
    <cfRule type="expression" dxfId="1507" priority="1559" stopIfTrue="1">
      <formula>Q112="GPIO pin"</formula>
    </cfRule>
    <cfRule type="expression" dxfId="1506" priority="1560" stopIfTrue="1">
      <formula>Q112="Dedicated pin"</formula>
    </cfRule>
  </conditionalFormatting>
  <conditionalFormatting sqref="Q112">
    <cfRule type="expression" dxfId="1505" priority="1557" stopIfTrue="1">
      <formula>Q112="GPIO pin"</formula>
    </cfRule>
    <cfRule type="expression" dxfId="1504" priority="1558" stopIfTrue="1">
      <formula>Q112="Dedicated pin"</formula>
    </cfRule>
  </conditionalFormatting>
  <conditionalFormatting sqref="Q112">
    <cfRule type="expression" dxfId="1503" priority="1555" stopIfTrue="1">
      <formula>Q112="GPIO pin"</formula>
    </cfRule>
    <cfRule type="expression" dxfId="1502" priority="1556" stopIfTrue="1">
      <formula>Q112="Dedicated pin"</formula>
    </cfRule>
  </conditionalFormatting>
  <conditionalFormatting sqref="Q112">
    <cfRule type="expression" dxfId="1501" priority="1553" stopIfTrue="1">
      <formula>Q112="GPIO pin"</formula>
    </cfRule>
    <cfRule type="expression" dxfId="1500" priority="1554" stopIfTrue="1">
      <formula>Q112="Dedicated pin"</formula>
    </cfRule>
  </conditionalFormatting>
  <conditionalFormatting sqref="Q112">
    <cfRule type="expression" dxfId="1499" priority="1551" stopIfTrue="1">
      <formula>Q112="GPIO pin"</formula>
    </cfRule>
    <cfRule type="expression" dxfId="1498" priority="1552" stopIfTrue="1">
      <formula>Q112="Dedicated pin"</formula>
    </cfRule>
  </conditionalFormatting>
  <conditionalFormatting sqref="Q112">
    <cfRule type="expression" dxfId="1497" priority="1549" stopIfTrue="1">
      <formula>Q112="GPIO pin"</formula>
    </cfRule>
    <cfRule type="expression" dxfId="1496" priority="1550" stopIfTrue="1">
      <formula>Q112="Dedicated pin"</formula>
    </cfRule>
  </conditionalFormatting>
  <conditionalFormatting sqref="Q112">
    <cfRule type="expression" dxfId="1495" priority="1547" stopIfTrue="1">
      <formula>Q112="GPIO pin"</formula>
    </cfRule>
    <cfRule type="expression" dxfId="1494" priority="1548" stopIfTrue="1">
      <formula>Q112="Dedicated pin"</formula>
    </cfRule>
  </conditionalFormatting>
  <conditionalFormatting sqref="Q112">
    <cfRule type="expression" dxfId="1493" priority="1545" stopIfTrue="1">
      <formula>Q112="GPIO pin"</formula>
    </cfRule>
    <cfRule type="expression" dxfId="1492" priority="1546" stopIfTrue="1">
      <formula>Q112="Dedicated pin"</formula>
    </cfRule>
  </conditionalFormatting>
  <conditionalFormatting sqref="Q112">
    <cfRule type="expression" dxfId="1491" priority="1543" stopIfTrue="1">
      <formula>Q112="GPIO pin"</formula>
    </cfRule>
    <cfRule type="expression" dxfId="1490" priority="1544" stopIfTrue="1">
      <formula>Q112="Dedicated pin"</formula>
    </cfRule>
  </conditionalFormatting>
  <conditionalFormatting sqref="Q112">
    <cfRule type="expression" dxfId="1489" priority="1541" stopIfTrue="1">
      <formula>Q112="GPIO pin"</formula>
    </cfRule>
    <cfRule type="expression" dxfId="1488" priority="1542" stopIfTrue="1">
      <formula>Q112="Dedicated pin"</formula>
    </cfRule>
  </conditionalFormatting>
  <conditionalFormatting sqref="Q112">
    <cfRule type="expression" dxfId="1487" priority="1539" stopIfTrue="1">
      <formula>Q112="GPIO pin"</formula>
    </cfRule>
    <cfRule type="expression" dxfId="1486" priority="1540" stopIfTrue="1">
      <formula>Q112="Dedicated pin"</formula>
    </cfRule>
  </conditionalFormatting>
  <conditionalFormatting sqref="Q112">
    <cfRule type="expression" dxfId="1485" priority="1537" stopIfTrue="1">
      <formula>Q112="GPIO pin"</formula>
    </cfRule>
    <cfRule type="expression" dxfId="1484" priority="1538" stopIfTrue="1">
      <formula>Q112="Dedicated pin"</formula>
    </cfRule>
  </conditionalFormatting>
  <conditionalFormatting sqref="Q113">
    <cfRule type="expression" dxfId="1483" priority="1535" stopIfTrue="1">
      <formula>Q113="GPIO pin"</formula>
    </cfRule>
    <cfRule type="expression" dxfId="1482" priority="1536" stopIfTrue="1">
      <formula>Q113="Dedicated pin"</formula>
    </cfRule>
  </conditionalFormatting>
  <conditionalFormatting sqref="Q113">
    <cfRule type="expression" dxfId="1481" priority="1533" stopIfTrue="1">
      <formula>Q113="GPIO pin"</formula>
    </cfRule>
    <cfRule type="expression" dxfId="1480" priority="1534" stopIfTrue="1">
      <formula>Q113="Dedicated pin"</formula>
    </cfRule>
  </conditionalFormatting>
  <conditionalFormatting sqref="Q113">
    <cfRule type="expression" dxfId="1479" priority="1531" stopIfTrue="1">
      <formula>Q113="GPIO pin"</formula>
    </cfRule>
    <cfRule type="expression" dxfId="1478" priority="1532" stopIfTrue="1">
      <formula>Q113="Dedicated pin"</formula>
    </cfRule>
  </conditionalFormatting>
  <conditionalFormatting sqref="Q113">
    <cfRule type="expression" dxfId="1477" priority="1529" stopIfTrue="1">
      <formula>Q113="GPIO pin"</formula>
    </cfRule>
    <cfRule type="expression" dxfId="1476" priority="1530" stopIfTrue="1">
      <formula>Q113="Dedicated pin"</formula>
    </cfRule>
  </conditionalFormatting>
  <conditionalFormatting sqref="Q113">
    <cfRule type="expression" dxfId="1475" priority="1527" stopIfTrue="1">
      <formula>Q113="GPIO pin"</formula>
    </cfRule>
    <cfRule type="expression" dxfId="1474" priority="1528" stopIfTrue="1">
      <formula>Q113="Dedicated pin"</formula>
    </cfRule>
  </conditionalFormatting>
  <conditionalFormatting sqref="Q113">
    <cfRule type="expression" dxfId="1473" priority="1525" stopIfTrue="1">
      <formula>Q113="GPIO pin"</formula>
    </cfRule>
    <cfRule type="expression" dxfId="1472" priority="1526" stopIfTrue="1">
      <formula>Q113="Dedicated pin"</formula>
    </cfRule>
  </conditionalFormatting>
  <conditionalFormatting sqref="Q113">
    <cfRule type="expression" dxfId="1471" priority="1523" stopIfTrue="1">
      <formula>Q113="GPIO pin"</formula>
    </cfRule>
    <cfRule type="expression" dxfId="1470" priority="1524" stopIfTrue="1">
      <formula>Q113="Dedicated pin"</formula>
    </cfRule>
  </conditionalFormatting>
  <conditionalFormatting sqref="Q113">
    <cfRule type="expression" dxfId="1469" priority="1521" stopIfTrue="1">
      <formula>Q113="GPIO pin"</formula>
    </cfRule>
    <cfRule type="expression" dxfId="1468" priority="1522" stopIfTrue="1">
      <formula>Q113="Dedicated pin"</formula>
    </cfRule>
  </conditionalFormatting>
  <conditionalFormatting sqref="Q113">
    <cfRule type="expression" dxfId="1467" priority="1519" stopIfTrue="1">
      <formula>Q113="GPIO pin"</formula>
    </cfRule>
    <cfRule type="expression" dxfId="1466" priority="1520" stopIfTrue="1">
      <formula>Q113="Dedicated pin"</formula>
    </cfRule>
  </conditionalFormatting>
  <conditionalFormatting sqref="Q113">
    <cfRule type="expression" dxfId="1465" priority="1517" stopIfTrue="1">
      <formula>Q113="GPIO pin"</formula>
    </cfRule>
    <cfRule type="expression" dxfId="1464" priority="1518" stopIfTrue="1">
      <formula>Q113="Dedicated pin"</formula>
    </cfRule>
  </conditionalFormatting>
  <conditionalFormatting sqref="Q113">
    <cfRule type="expression" dxfId="1463" priority="1515" stopIfTrue="1">
      <formula>Q113="GPIO pin"</formula>
    </cfRule>
    <cfRule type="expression" dxfId="1462" priority="1516" stopIfTrue="1">
      <formula>Q113="Dedicated pin"</formula>
    </cfRule>
  </conditionalFormatting>
  <conditionalFormatting sqref="Q113">
    <cfRule type="expression" dxfId="1461" priority="1513" stopIfTrue="1">
      <formula>Q113="GPIO pin"</formula>
    </cfRule>
    <cfRule type="expression" dxfId="1460" priority="1514" stopIfTrue="1">
      <formula>Q113="Dedicated pin"</formula>
    </cfRule>
  </conditionalFormatting>
  <conditionalFormatting sqref="Q113">
    <cfRule type="expression" dxfId="1459" priority="1511" stopIfTrue="1">
      <formula>Q113="GPIO pin"</formula>
    </cfRule>
    <cfRule type="expression" dxfId="1458" priority="1512" stopIfTrue="1">
      <formula>Q113="Dedicated pin"</formula>
    </cfRule>
  </conditionalFormatting>
  <conditionalFormatting sqref="Q113">
    <cfRule type="expression" dxfId="1457" priority="1509" stopIfTrue="1">
      <formula>Q113="GPIO pin"</formula>
    </cfRule>
    <cfRule type="expression" dxfId="1456" priority="1510" stopIfTrue="1">
      <formula>Q113="Dedicated pin"</formula>
    </cfRule>
  </conditionalFormatting>
  <conditionalFormatting sqref="Q113">
    <cfRule type="expression" dxfId="1455" priority="1507" stopIfTrue="1">
      <formula>Q113="GPIO pin"</formula>
    </cfRule>
    <cfRule type="expression" dxfId="1454" priority="1508" stopIfTrue="1">
      <formula>Q113="Dedicated pin"</formula>
    </cfRule>
  </conditionalFormatting>
  <conditionalFormatting sqref="Q113">
    <cfRule type="expression" dxfId="1453" priority="1505" stopIfTrue="1">
      <formula>Q113="GPIO pin"</formula>
    </cfRule>
    <cfRule type="expression" dxfId="1452" priority="1506" stopIfTrue="1">
      <formula>Q113="Dedicated pin"</formula>
    </cfRule>
  </conditionalFormatting>
  <conditionalFormatting sqref="Q113">
    <cfRule type="expression" dxfId="1451" priority="1503" stopIfTrue="1">
      <formula>Q113="GPIO pin"</formula>
    </cfRule>
    <cfRule type="expression" dxfId="1450" priority="1504" stopIfTrue="1">
      <formula>Q113="Dedicated pin"</formula>
    </cfRule>
  </conditionalFormatting>
  <conditionalFormatting sqref="Q113">
    <cfRule type="expression" dxfId="1449" priority="1501" stopIfTrue="1">
      <formula>Q113="GPIO pin"</formula>
    </cfRule>
    <cfRule type="expression" dxfId="1448" priority="1502" stopIfTrue="1">
      <formula>Q113="Dedicated pin"</formula>
    </cfRule>
  </conditionalFormatting>
  <conditionalFormatting sqref="Q113">
    <cfRule type="expression" dxfId="1447" priority="1499" stopIfTrue="1">
      <formula>Q113="GPIO pin"</formula>
    </cfRule>
    <cfRule type="expression" dxfId="1446" priority="1500" stopIfTrue="1">
      <formula>Q113="Dedicated pin"</formula>
    </cfRule>
  </conditionalFormatting>
  <conditionalFormatting sqref="Q113">
    <cfRule type="expression" dxfId="1445" priority="1497" stopIfTrue="1">
      <formula>Q113="GPIO pin"</formula>
    </cfRule>
    <cfRule type="expression" dxfId="1444" priority="1498" stopIfTrue="1">
      <formula>Q113="Dedicated pin"</formula>
    </cfRule>
  </conditionalFormatting>
  <conditionalFormatting sqref="Q113">
    <cfRule type="expression" dxfId="1443" priority="1495" stopIfTrue="1">
      <formula>Q113="GPIO pin"</formula>
    </cfRule>
    <cfRule type="expression" dxfId="1442" priority="1496" stopIfTrue="1">
      <formula>Q113="Dedicated pin"</formula>
    </cfRule>
  </conditionalFormatting>
  <conditionalFormatting sqref="Q113">
    <cfRule type="expression" dxfId="1441" priority="1493" stopIfTrue="1">
      <formula>Q113="GPIO pin"</formula>
    </cfRule>
    <cfRule type="expression" dxfId="1440" priority="1494" stopIfTrue="1">
      <formula>Q113="Dedicated pin"</formula>
    </cfRule>
  </conditionalFormatting>
  <conditionalFormatting sqref="Q113">
    <cfRule type="expression" dxfId="1439" priority="1491" stopIfTrue="1">
      <formula>Q113="GPIO pin"</formula>
    </cfRule>
    <cfRule type="expression" dxfId="1438" priority="1492" stopIfTrue="1">
      <formula>Q113="Dedicated pin"</formula>
    </cfRule>
  </conditionalFormatting>
  <conditionalFormatting sqref="Q113">
    <cfRule type="expression" dxfId="1437" priority="1489" stopIfTrue="1">
      <formula>Q113="GPIO pin"</formula>
    </cfRule>
    <cfRule type="expression" dxfId="1436" priority="1490" stopIfTrue="1">
      <formula>Q113="Dedicated pin"</formula>
    </cfRule>
  </conditionalFormatting>
  <conditionalFormatting sqref="Q113">
    <cfRule type="expression" dxfId="1435" priority="1487" stopIfTrue="1">
      <formula>Q113="GPIO pin"</formula>
    </cfRule>
    <cfRule type="expression" dxfId="1434" priority="1488" stopIfTrue="1">
      <formula>Q113="Dedicated pin"</formula>
    </cfRule>
  </conditionalFormatting>
  <conditionalFormatting sqref="Q113">
    <cfRule type="expression" dxfId="1433" priority="1485" stopIfTrue="1">
      <formula>Q113="GPIO pin"</formula>
    </cfRule>
    <cfRule type="expression" dxfId="1432" priority="1486" stopIfTrue="1">
      <formula>Q113="Dedicated pin"</formula>
    </cfRule>
  </conditionalFormatting>
  <conditionalFormatting sqref="Q113">
    <cfRule type="expression" dxfId="1431" priority="1483" stopIfTrue="1">
      <formula>Q113="GPIO pin"</formula>
    </cfRule>
    <cfRule type="expression" dxfId="1430" priority="1484" stopIfTrue="1">
      <formula>Q113="Dedicated pin"</formula>
    </cfRule>
  </conditionalFormatting>
  <conditionalFormatting sqref="Q113">
    <cfRule type="expression" dxfId="1429" priority="1481" stopIfTrue="1">
      <formula>Q113="GPIO pin"</formula>
    </cfRule>
    <cfRule type="expression" dxfId="1428" priority="1482" stopIfTrue="1">
      <formula>Q113="Dedicated pin"</formula>
    </cfRule>
  </conditionalFormatting>
  <conditionalFormatting sqref="Q137">
    <cfRule type="expression" dxfId="1427" priority="1243" stopIfTrue="1">
      <formula>Q137="GPIO pin"</formula>
    </cfRule>
    <cfRule type="expression" dxfId="1426" priority="1244" stopIfTrue="1">
      <formula>Q137="Dedicated pin"</formula>
    </cfRule>
  </conditionalFormatting>
  <conditionalFormatting sqref="J130">
    <cfRule type="expression" dxfId="1425" priority="1479" stopIfTrue="1">
      <formula>J130="GPIO pin"</formula>
    </cfRule>
    <cfRule type="expression" dxfId="1424" priority="1480" stopIfTrue="1">
      <formula>J130="Dedicated pin"</formula>
    </cfRule>
  </conditionalFormatting>
  <conditionalFormatting sqref="Q128">
    <cfRule type="expression" dxfId="1423" priority="1477" stopIfTrue="1">
      <formula>Q128="GPIO pin"</formula>
    </cfRule>
    <cfRule type="expression" dxfId="1422" priority="1478" stopIfTrue="1">
      <formula>Q128="Dedicated pin"</formula>
    </cfRule>
  </conditionalFormatting>
  <conditionalFormatting sqref="Q128">
    <cfRule type="expression" dxfId="1421" priority="1475" stopIfTrue="1">
      <formula>Q128="GPIO pin"</formula>
    </cfRule>
    <cfRule type="expression" dxfId="1420" priority="1476" stopIfTrue="1">
      <formula>Q128="Dedicated pin"</formula>
    </cfRule>
  </conditionalFormatting>
  <conditionalFormatting sqref="Q128">
    <cfRule type="expression" dxfId="1419" priority="1473" stopIfTrue="1">
      <formula>Q128="GPIO pin"</formula>
    </cfRule>
    <cfRule type="expression" dxfId="1418" priority="1474" stopIfTrue="1">
      <formula>Q128="Dedicated pin"</formula>
    </cfRule>
  </conditionalFormatting>
  <conditionalFormatting sqref="Q128">
    <cfRule type="expression" dxfId="1417" priority="1471" stopIfTrue="1">
      <formula>Q128="GPIO pin"</formula>
    </cfRule>
    <cfRule type="expression" dxfId="1416" priority="1472" stopIfTrue="1">
      <formula>Q128="Dedicated pin"</formula>
    </cfRule>
  </conditionalFormatting>
  <conditionalFormatting sqref="Q128">
    <cfRule type="expression" dxfId="1415" priority="1469" stopIfTrue="1">
      <formula>Q128="GPIO pin"</formula>
    </cfRule>
    <cfRule type="expression" dxfId="1414" priority="1470" stopIfTrue="1">
      <formula>Q128="Dedicated pin"</formula>
    </cfRule>
  </conditionalFormatting>
  <conditionalFormatting sqref="Q128">
    <cfRule type="expression" dxfId="1413" priority="1467" stopIfTrue="1">
      <formula>Q128="GPIO pin"</formula>
    </cfRule>
    <cfRule type="expression" dxfId="1412" priority="1468" stopIfTrue="1">
      <formula>Q128="Dedicated pin"</formula>
    </cfRule>
  </conditionalFormatting>
  <conditionalFormatting sqref="Q128">
    <cfRule type="expression" dxfId="1411" priority="1465" stopIfTrue="1">
      <formula>Q128="GPIO pin"</formula>
    </cfRule>
    <cfRule type="expression" dxfId="1410" priority="1466" stopIfTrue="1">
      <formula>Q128="Dedicated pin"</formula>
    </cfRule>
  </conditionalFormatting>
  <conditionalFormatting sqref="Q128">
    <cfRule type="expression" dxfId="1409" priority="1463" stopIfTrue="1">
      <formula>Q128="GPIO pin"</formula>
    </cfRule>
    <cfRule type="expression" dxfId="1408" priority="1464" stopIfTrue="1">
      <formula>Q128="Dedicated pin"</formula>
    </cfRule>
  </conditionalFormatting>
  <conditionalFormatting sqref="Q128">
    <cfRule type="expression" dxfId="1407" priority="1461" stopIfTrue="1">
      <formula>Q128="GPIO pin"</formula>
    </cfRule>
    <cfRule type="expression" dxfId="1406" priority="1462" stopIfTrue="1">
      <formula>Q128="Dedicated pin"</formula>
    </cfRule>
  </conditionalFormatting>
  <conditionalFormatting sqref="Q128">
    <cfRule type="expression" dxfId="1405" priority="1459" stopIfTrue="1">
      <formula>Q128="GPIO pin"</formula>
    </cfRule>
    <cfRule type="expression" dxfId="1404" priority="1460" stopIfTrue="1">
      <formula>Q128="Dedicated pin"</formula>
    </cfRule>
  </conditionalFormatting>
  <conditionalFormatting sqref="Q128">
    <cfRule type="expression" dxfId="1403" priority="1457" stopIfTrue="1">
      <formula>Q128="GPIO pin"</formula>
    </cfRule>
    <cfRule type="expression" dxfId="1402" priority="1458" stopIfTrue="1">
      <formula>Q128="Dedicated pin"</formula>
    </cfRule>
  </conditionalFormatting>
  <conditionalFormatting sqref="Q128">
    <cfRule type="expression" dxfId="1401" priority="1455" stopIfTrue="1">
      <formula>Q128="GPIO pin"</formula>
    </cfRule>
    <cfRule type="expression" dxfId="1400" priority="1456" stopIfTrue="1">
      <formula>Q128="Dedicated pin"</formula>
    </cfRule>
  </conditionalFormatting>
  <conditionalFormatting sqref="Q128">
    <cfRule type="expression" dxfId="1399" priority="1453" stopIfTrue="1">
      <formula>Q128="GPIO pin"</formula>
    </cfRule>
    <cfRule type="expression" dxfId="1398" priority="1454" stopIfTrue="1">
      <formula>Q128="Dedicated pin"</formula>
    </cfRule>
  </conditionalFormatting>
  <conditionalFormatting sqref="Q128">
    <cfRule type="expression" dxfId="1397" priority="1451" stopIfTrue="1">
      <formula>Q128="GPIO pin"</formula>
    </cfRule>
    <cfRule type="expression" dxfId="1396" priority="1452" stopIfTrue="1">
      <formula>Q128="Dedicated pin"</formula>
    </cfRule>
  </conditionalFormatting>
  <conditionalFormatting sqref="Q128">
    <cfRule type="expression" dxfId="1395" priority="1449" stopIfTrue="1">
      <formula>Q128="GPIO pin"</formula>
    </cfRule>
    <cfRule type="expression" dxfId="1394" priority="1450" stopIfTrue="1">
      <formula>Q128="Dedicated pin"</formula>
    </cfRule>
  </conditionalFormatting>
  <conditionalFormatting sqref="Q128">
    <cfRule type="expression" dxfId="1393" priority="1447" stopIfTrue="1">
      <formula>Q128="GPIO pin"</formula>
    </cfRule>
    <cfRule type="expression" dxfId="1392" priority="1448" stopIfTrue="1">
      <formula>Q128="Dedicated pin"</formula>
    </cfRule>
  </conditionalFormatting>
  <conditionalFormatting sqref="Q128">
    <cfRule type="expression" dxfId="1391" priority="1445" stopIfTrue="1">
      <formula>Q128="GPIO pin"</formula>
    </cfRule>
    <cfRule type="expression" dxfId="1390" priority="1446" stopIfTrue="1">
      <formula>Q128="Dedicated pin"</formula>
    </cfRule>
  </conditionalFormatting>
  <conditionalFormatting sqref="Q128">
    <cfRule type="expression" dxfId="1389" priority="1443" stopIfTrue="1">
      <formula>Q128="GPIO pin"</formula>
    </cfRule>
    <cfRule type="expression" dxfId="1388" priority="1444" stopIfTrue="1">
      <formula>Q128="Dedicated pin"</formula>
    </cfRule>
  </conditionalFormatting>
  <conditionalFormatting sqref="Q128">
    <cfRule type="expression" dxfId="1387" priority="1441" stopIfTrue="1">
      <formula>Q128="GPIO pin"</formula>
    </cfRule>
    <cfRule type="expression" dxfId="1386" priority="1442" stopIfTrue="1">
      <formula>Q128="Dedicated pin"</formula>
    </cfRule>
  </conditionalFormatting>
  <conditionalFormatting sqref="Q128">
    <cfRule type="expression" dxfId="1385" priority="1439" stopIfTrue="1">
      <formula>Q128="GPIO pin"</formula>
    </cfRule>
    <cfRule type="expression" dxfId="1384" priority="1440" stopIfTrue="1">
      <formula>Q128="Dedicated pin"</formula>
    </cfRule>
  </conditionalFormatting>
  <conditionalFormatting sqref="Q128">
    <cfRule type="expression" dxfId="1383" priority="1437" stopIfTrue="1">
      <formula>Q128="GPIO pin"</formula>
    </cfRule>
    <cfRule type="expression" dxfId="1382" priority="1438" stopIfTrue="1">
      <formula>Q128="Dedicated pin"</formula>
    </cfRule>
  </conditionalFormatting>
  <conditionalFormatting sqref="Q128">
    <cfRule type="expression" dxfId="1381" priority="1435" stopIfTrue="1">
      <formula>Q128="GPIO pin"</formula>
    </cfRule>
    <cfRule type="expression" dxfId="1380" priority="1436" stopIfTrue="1">
      <formula>Q128="Dedicated pin"</formula>
    </cfRule>
  </conditionalFormatting>
  <conditionalFormatting sqref="Q128">
    <cfRule type="expression" dxfId="1379" priority="1433" stopIfTrue="1">
      <formula>Q128="GPIO pin"</formula>
    </cfRule>
    <cfRule type="expression" dxfId="1378" priority="1434" stopIfTrue="1">
      <formula>Q128="Dedicated pin"</formula>
    </cfRule>
  </conditionalFormatting>
  <conditionalFormatting sqref="Q128">
    <cfRule type="expression" dxfId="1377" priority="1431" stopIfTrue="1">
      <formula>Q128="GPIO pin"</formula>
    </cfRule>
    <cfRule type="expression" dxfId="1376" priority="1432" stopIfTrue="1">
      <formula>Q128="Dedicated pin"</formula>
    </cfRule>
  </conditionalFormatting>
  <conditionalFormatting sqref="Q128">
    <cfRule type="expression" dxfId="1375" priority="1429" stopIfTrue="1">
      <formula>Q128="GPIO pin"</formula>
    </cfRule>
    <cfRule type="expression" dxfId="1374" priority="1430" stopIfTrue="1">
      <formula>Q128="Dedicated pin"</formula>
    </cfRule>
  </conditionalFormatting>
  <conditionalFormatting sqref="Q128">
    <cfRule type="expression" dxfId="1373" priority="1427" stopIfTrue="1">
      <formula>Q128="GPIO pin"</formula>
    </cfRule>
    <cfRule type="expression" dxfId="1372" priority="1428" stopIfTrue="1">
      <formula>Q128="Dedicated pin"</formula>
    </cfRule>
  </conditionalFormatting>
  <conditionalFormatting sqref="Q128">
    <cfRule type="expression" dxfId="1371" priority="1425" stopIfTrue="1">
      <formula>Q128="GPIO pin"</formula>
    </cfRule>
    <cfRule type="expression" dxfId="1370" priority="1426" stopIfTrue="1">
      <formula>Q128="Dedicated pin"</formula>
    </cfRule>
  </conditionalFormatting>
  <conditionalFormatting sqref="Q128">
    <cfRule type="expression" dxfId="1369" priority="1423" stopIfTrue="1">
      <formula>Q128="GPIO pin"</formula>
    </cfRule>
    <cfRule type="expression" dxfId="1368" priority="1424" stopIfTrue="1">
      <formula>Q128="Dedicated pin"</formula>
    </cfRule>
  </conditionalFormatting>
  <conditionalFormatting sqref="Q129">
    <cfRule type="expression" dxfId="1367" priority="1421" stopIfTrue="1">
      <formula>Q129="GPIO pin"</formula>
    </cfRule>
    <cfRule type="expression" dxfId="1366" priority="1422" stopIfTrue="1">
      <formula>Q129="Dedicated pin"</formula>
    </cfRule>
  </conditionalFormatting>
  <conditionalFormatting sqref="Q129">
    <cfRule type="expression" dxfId="1365" priority="1419" stopIfTrue="1">
      <formula>Q129="GPIO pin"</formula>
    </cfRule>
    <cfRule type="expression" dxfId="1364" priority="1420" stopIfTrue="1">
      <formula>Q129="Dedicated pin"</formula>
    </cfRule>
  </conditionalFormatting>
  <conditionalFormatting sqref="Q129">
    <cfRule type="expression" dxfId="1363" priority="1417" stopIfTrue="1">
      <formula>Q129="GPIO pin"</formula>
    </cfRule>
    <cfRule type="expression" dxfId="1362" priority="1418" stopIfTrue="1">
      <formula>Q129="Dedicated pin"</formula>
    </cfRule>
  </conditionalFormatting>
  <conditionalFormatting sqref="Q129">
    <cfRule type="expression" dxfId="1361" priority="1415" stopIfTrue="1">
      <formula>Q129="GPIO pin"</formula>
    </cfRule>
    <cfRule type="expression" dxfId="1360" priority="1416" stopIfTrue="1">
      <formula>Q129="Dedicated pin"</formula>
    </cfRule>
  </conditionalFormatting>
  <conditionalFormatting sqref="Q129">
    <cfRule type="expression" dxfId="1359" priority="1413" stopIfTrue="1">
      <formula>Q129="GPIO pin"</formula>
    </cfRule>
    <cfRule type="expression" dxfId="1358" priority="1414" stopIfTrue="1">
      <formula>Q129="Dedicated pin"</formula>
    </cfRule>
  </conditionalFormatting>
  <conditionalFormatting sqref="Q129">
    <cfRule type="expression" dxfId="1357" priority="1411" stopIfTrue="1">
      <formula>Q129="GPIO pin"</formula>
    </cfRule>
    <cfRule type="expression" dxfId="1356" priority="1412" stopIfTrue="1">
      <formula>Q129="Dedicated pin"</formula>
    </cfRule>
  </conditionalFormatting>
  <conditionalFormatting sqref="Q129">
    <cfRule type="expression" dxfId="1355" priority="1409" stopIfTrue="1">
      <formula>Q129="GPIO pin"</formula>
    </cfRule>
    <cfRule type="expression" dxfId="1354" priority="1410" stopIfTrue="1">
      <formula>Q129="Dedicated pin"</formula>
    </cfRule>
  </conditionalFormatting>
  <conditionalFormatting sqref="Q129">
    <cfRule type="expression" dxfId="1353" priority="1407" stopIfTrue="1">
      <formula>Q129="GPIO pin"</formula>
    </cfRule>
    <cfRule type="expression" dxfId="1352" priority="1408" stopIfTrue="1">
      <formula>Q129="Dedicated pin"</formula>
    </cfRule>
  </conditionalFormatting>
  <conditionalFormatting sqref="Q129">
    <cfRule type="expression" dxfId="1351" priority="1405" stopIfTrue="1">
      <formula>Q129="GPIO pin"</formula>
    </cfRule>
    <cfRule type="expression" dxfId="1350" priority="1406" stopIfTrue="1">
      <formula>Q129="Dedicated pin"</formula>
    </cfRule>
  </conditionalFormatting>
  <conditionalFormatting sqref="Q129">
    <cfRule type="expression" dxfId="1349" priority="1403" stopIfTrue="1">
      <formula>Q129="GPIO pin"</formula>
    </cfRule>
    <cfRule type="expression" dxfId="1348" priority="1404" stopIfTrue="1">
      <formula>Q129="Dedicated pin"</formula>
    </cfRule>
  </conditionalFormatting>
  <conditionalFormatting sqref="Q129">
    <cfRule type="expression" dxfId="1347" priority="1401" stopIfTrue="1">
      <formula>Q129="GPIO pin"</formula>
    </cfRule>
    <cfRule type="expression" dxfId="1346" priority="1402" stopIfTrue="1">
      <formula>Q129="Dedicated pin"</formula>
    </cfRule>
  </conditionalFormatting>
  <conditionalFormatting sqref="Q129">
    <cfRule type="expression" dxfId="1345" priority="1399" stopIfTrue="1">
      <formula>Q129="GPIO pin"</formula>
    </cfRule>
    <cfRule type="expression" dxfId="1344" priority="1400" stopIfTrue="1">
      <formula>Q129="Dedicated pin"</formula>
    </cfRule>
  </conditionalFormatting>
  <conditionalFormatting sqref="Q129">
    <cfRule type="expression" dxfId="1343" priority="1397" stopIfTrue="1">
      <formula>Q129="GPIO pin"</formula>
    </cfRule>
    <cfRule type="expression" dxfId="1342" priority="1398" stopIfTrue="1">
      <formula>Q129="Dedicated pin"</formula>
    </cfRule>
  </conditionalFormatting>
  <conditionalFormatting sqref="Q129">
    <cfRule type="expression" dxfId="1341" priority="1395" stopIfTrue="1">
      <formula>Q129="GPIO pin"</formula>
    </cfRule>
    <cfRule type="expression" dxfId="1340" priority="1396" stopIfTrue="1">
      <formula>Q129="Dedicated pin"</formula>
    </cfRule>
  </conditionalFormatting>
  <conditionalFormatting sqref="Q129">
    <cfRule type="expression" dxfId="1339" priority="1393" stopIfTrue="1">
      <formula>Q129="GPIO pin"</formula>
    </cfRule>
    <cfRule type="expression" dxfId="1338" priority="1394" stopIfTrue="1">
      <formula>Q129="Dedicated pin"</formula>
    </cfRule>
  </conditionalFormatting>
  <conditionalFormatting sqref="Q129">
    <cfRule type="expression" dxfId="1337" priority="1391" stopIfTrue="1">
      <formula>Q129="GPIO pin"</formula>
    </cfRule>
    <cfRule type="expression" dxfId="1336" priority="1392" stopIfTrue="1">
      <formula>Q129="Dedicated pin"</formula>
    </cfRule>
  </conditionalFormatting>
  <conditionalFormatting sqref="Q129">
    <cfRule type="expression" dxfId="1335" priority="1389" stopIfTrue="1">
      <formula>Q129="GPIO pin"</formula>
    </cfRule>
    <cfRule type="expression" dxfId="1334" priority="1390" stopIfTrue="1">
      <formula>Q129="Dedicated pin"</formula>
    </cfRule>
  </conditionalFormatting>
  <conditionalFormatting sqref="Q129">
    <cfRule type="expression" dxfId="1333" priority="1387" stopIfTrue="1">
      <formula>Q129="GPIO pin"</formula>
    </cfRule>
    <cfRule type="expression" dxfId="1332" priority="1388" stopIfTrue="1">
      <formula>Q129="Dedicated pin"</formula>
    </cfRule>
  </conditionalFormatting>
  <conditionalFormatting sqref="Q129">
    <cfRule type="expression" dxfId="1331" priority="1385" stopIfTrue="1">
      <formula>Q129="GPIO pin"</formula>
    </cfRule>
    <cfRule type="expression" dxfId="1330" priority="1386" stopIfTrue="1">
      <formula>Q129="Dedicated pin"</formula>
    </cfRule>
  </conditionalFormatting>
  <conditionalFormatting sqref="Q129">
    <cfRule type="expression" dxfId="1329" priority="1383" stopIfTrue="1">
      <formula>Q129="GPIO pin"</formula>
    </cfRule>
    <cfRule type="expression" dxfId="1328" priority="1384" stopIfTrue="1">
      <formula>Q129="Dedicated pin"</formula>
    </cfRule>
  </conditionalFormatting>
  <conditionalFormatting sqref="Q129">
    <cfRule type="expression" dxfId="1327" priority="1381" stopIfTrue="1">
      <formula>Q129="GPIO pin"</formula>
    </cfRule>
    <cfRule type="expression" dxfId="1326" priority="1382" stopIfTrue="1">
      <formula>Q129="Dedicated pin"</formula>
    </cfRule>
  </conditionalFormatting>
  <conditionalFormatting sqref="Q129">
    <cfRule type="expression" dxfId="1325" priority="1379" stopIfTrue="1">
      <formula>Q129="GPIO pin"</formula>
    </cfRule>
    <cfRule type="expression" dxfId="1324" priority="1380" stopIfTrue="1">
      <formula>Q129="Dedicated pin"</formula>
    </cfRule>
  </conditionalFormatting>
  <conditionalFormatting sqref="Q129">
    <cfRule type="expression" dxfId="1323" priority="1377" stopIfTrue="1">
      <formula>Q129="GPIO pin"</formula>
    </cfRule>
    <cfRule type="expression" dxfId="1322" priority="1378" stopIfTrue="1">
      <formula>Q129="Dedicated pin"</formula>
    </cfRule>
  </conditionalFormatting>
  <conditionalFormatting sqref="Q129">
    <cfRule type="expression" dxfId="1321" priority="1375" stopIfTrue="1">
      <formula>Q129="GPIO pin"</formula>
    </cfRule>
    <cfRule type="expression" dxfId="1320" priority="1376" stopIfTrue="1">
      <formula>Q129="Dedicated pin"</formula>
    </cfRule>
  </conditionalFormatting>
  <conditionalFormatting sqref="Q129">
    <cfRule type="expression" dxfId="1319" priority="1373" stopIfTrue="1">
      <formula>Q129="GPIO pin"</formula>
    </cfRule>
    <cfRule type="expression" dxfId="1318" priority="1374" stopIfTrue="1">
      <formula>Q129="Dedicated pin"</formula>
    </cfRule>
  </conditionalFormatting>
  <conditionalFormatting sqref="Q129">
    <cfRule type="expression" dxfId="1317" priority="1371" stopIfTrue="1">
      <formula>Q129="GPIO pin"</formula>
    </cfRule>
    <cfRule type="expression" dxfId="1316" priority="1372" stopIfTrue="1">
      <formula>Q129="Dedicated pin"</formula>
    </cfRule>
  </conditionalFormatting>
  <conditionalFormatting sqref="Q129">
    <cfRule type="expression" dxfId="1315" priority="1369" stopIfTrue="1">
      <formula>Q129="GPIO pin"</formula>
    </cfRule>
    <cfRule type="expression" dxfId="1314" priority="1370" stopIfTrue="1">
      <formula>Q129="Dedicated pin"</formula>
    </cfRule>
  </conditionalFormatting>
  <conditionalFormatting sqref="Q129">
    <cfRule type="expression" dxfId="1313" priority="1367" stopIfTrue="1">
      <formula>Q129="GPIO pin"</formula>
    </cfRule>
    <cfRule type="expression" dxfId="1312" priority="1368" stopIfTrue="1">
      <formula>Q129="Dedicated pin"</formula>
    </cfRule>
  </conditionalFormatting>
  <conditionalFormatting sqref="P136">
    <cfRule type="expression" dxfId="1311" priority="1365" stopIfTrue="1">
      <formula>P136="GPIO pin"</formula>
    </cfRule>
    <cfRule type="expression" dxfId="1310" priority="1366" stopIfTrue="1">
      <formula>P136="Dedicated pin"</formula>
    </cfRule>
  </conditionalFormatting>
  <conditionalFormatting sqref="P136">
    <cfRule type="expression" dxfId="1309" priority="1363" stopIfTrue="1">
      <formula>P136="GPIO pin"</formula>
    </cfRule>
    <cfRule type="expression" dxfId="1308" priority="1364" stopIfTrue="1">
      <formula>P136="Dedicated pin"</formula>
    </cfRule>
  </conditionalFormatting>
  <conditionalFormatting sqref="P136">
    <cfRule type="expression" dxfId="1307" priority="1361" stopIfTrue="1">
      <formula>P136="GPIO pin"</formula>
    </cfRule>
    <cfRule type="expression" dxfId="1306" priority="1362" stopIfTrue="1">
      <formula>P136="Dedicated pin"</formula>
    </cfRule>
  </conditionalFormatting>
  <conditionalFormatting sqref="P136">
    <cfRule type="expression" dxfId="1305" priority="1359" stopIfTrue="1">
      <formula>P136="GPIO pin"</formula>
    </cfRule>
    <cfRule type="expression" dxfId="1304" priority="1360" stopIfTrue="1">
      <formula>P136="Dedicated pin"</formula>
    </cfRule>
  </conditionalFormatting>
  <conditionalFormatting sqref="P136">
    <cfRule type="expression" dxfId="1303" priority="1357" stopIfTrue="1">
      <formula>P136="GPIO pin"</formula>
    </cfRule>
    <cfRule type="expression" dxfId="1302" priority="1358" stopIfTrue="1">
      <formula>P136="Dedicated pin"</formula>
    </cfRule>
  </conditionalFormatting>
  <conditionalFormatting sqref="P136">
    <cfRule type="expression" dxfId="1301" priority="1355" stopIfTrue="1">
      <formula>P136="GPIO pin"</formula>
    </cfRule>
    <cfRule type="expression" dxfId="1300" priority="1356" stopIfTrue="1">
      <formula>P136="Dedicated pin"</formula>
    </cfRule>
  </conditionalFormatting>
  <conditionalFormatting sqref="P136">
    <cfRule type="expression" dxfId="1299" priority="1353" stopIfTrue="1">
      <formula>P136="GPIO pin"</formula>
    </cfRule>
    <cfRule type="expression" dxfId="1298" priority="1354" stopIfTrue="1">
      <formula>P136="Dedicated pin"</formula>
    </cfRule>
  </conditionalFormatting>
  <conditionalFormatting sqref="P136">
    <cfRule type="expression" dxfId="1297" priority="1351" stopIfTrue="1">
      <formula>P136="GPIO pin"</formula>
    </cfRule>
    <cfRule type="expression" dxfId="1296" priority="1352" stopIfTrue="1">
      <formula>P136="Dedicated pin"</formula>
    </cfRule>
  </conditionalFormatting>
  <conditionalFormatting sqref="P136">
    <cfRule type="expression" dxfId="1295" priority="1349" stopIfTrue="1">
      <formula>P136="GPIO pin"</formula>
    </cfRule>
    <cfRule type="expression" dxfId="1294" priority="1350" stopIfTrue="1">
      <formula>P136="Dedicated pin"</formula>
    </cfRule>
  </conditionalFormatting>
  <conditionalFormatting sqref="P136">
    <cfRule type="expression" dxfId="1293" priority="1347" stopIfTrue="1">
      <formula>P136="GPIO pin"</formula>
    </cfRule>
    <cfRule type="expression" dxfId="1292" priority="1348" stopIfTrue="1">
      <formula>P136="Dedicated pin"</formula>
    </cfRule>
  </conditionalFormatting>
  <conditionalFormatting sqref="P136">
    <cfRule type="expression" dxfId="1291" priority="1345" stopIfTrue="1">
      <formula>P136="GPIO pin"</formula>
    </cfRule>
    <cfRule type="expression" dxfId="1290" priority="1346" stopIfTrue="1">
      <formula>P136="Dedicated pin"</formula>
    </cfRule>
  </conditionalFormatting>
  <conditionalFormatting sqref="P136">
    <cfRule type="expression" dxfId="1289" priority="1343" stopIfTrue="1">
      <formula>P136="GPIO pin"</formula>
    </cfRule>
    <cfRule type="expression" dxfId="1288" priority="1344" stopIfTrue="1">
      <formula>P136="Dedicated pin"</formula>
    </cfRule>
  </conditionalFormatting>
  <conditionalFormatting sqref="P136">
    <cfRule type="expression" dxfId="1287" priority="1341" stopIfTrue="1">
      <formula>P136="GPIO pin"</formula>
    </cfRule>
    <cfRule type="expression" dxfId="1286" priority="1342" stopIfTrue="1">
      <formula>P136="Dedicated pin"</formula>
    </cfRule>
  </conditionalFormatting>
  <conditionalFormatting sqref="P136">
    <cfRule type="expression" dxfId="1285" priority="1339" stopIfTrue="1">
      <formula>P136="GPIO pin"</formula>
    </cfRule>
    <cfRule type="expression" dxfId="1284" priority="1340" stopIfTrue="1">
      <formula>P136="Dedicated pin"</formula>
    </cfRule>
  </conditionalFormatting>
  <conditionalFormatting sqref="Q136">
    <cfRule type="expression" dxfId="1283" priority="1337" stopIfTrue="1">
      <formula>Q136="GPIO pin"</formula>
    </cfRule>
    <cfRule type="expression" dxfId="1282" priority="1338" stopIfTrue="1">
      <formula>Q136="Dedicated pin"</formula>
    </cfRule>
  </conditionalFormatting>
  <conditionalFormatting sqref="Q136">
    <cfRule type="expression" dxfId="1281" priority="1335" stopIfTrue="1">
      <formula>Q136="GPIO pin"</formula>
    </cfRule>
    <cfRule type="expression" dxfId="1280" priority="1336" stopIfTrue="1">
      <formula>Q136="Dedicated pin"</formula>
    </cfRule>
  </conditionalFormatting>
  <conditionalFormatting sqref="Q136">
    <cfRule type="expression" dxfId="1279" priority="1333" stopIfTrue="1">
      <formula>Q136="GPIO pin"</formula>
    </cfRule>
    <cfRule type="expression" dxfId="1278" priority="1334" stopIfTrue="1">
      <formula>Q136="Dedicated pin"</formula>
    </cfRule>
  </conditionalFormatting>
  <conditionalFormatting sqref="Q136">
    <cfRule type="expression" dxfId="1277" priority="1331" stopIfTrue="1">
      <formula>Q136="GPIO pin"</formula>
    </cfRule>
    <cfRule type="expression" dxfId="1276" priority="1332" stopIfTrue="1">
      <formula>Q136="Dedicated pin"</formula>
    </cfRule>
  </conditionalFormatting>
  <conditionalFormatting sqref="Q136">
    <cfRule type="expression" dxfId="1275" priority="1329" stopIfTrue="1">
      <formula>Q136="GPIO pin"</formula>
    </cfRule>
    <cfRule type="expression" dxfId="1274" priority="1330" stopIfTrue="1">
      <formula>Q136="Dedicated pin"</formula>
    </cfRule>
  </conditionalFormatting>
  <conditionalFormatting sqref="Q136">
    <cfRule type="expression" dxfId="1273" priority="1327" stopIfTrue="1">
      <formula>Q136="GPIO pin"</formula>
    </cfRule>
    <cfRule type="expression" dxfId="1272" priority="1328" stopIfTrue="1">
      <formula>Q136="Dedicated pin"</formula>
    </cfRule>
  </conditionalFormatting>
  <conditionalFormatting sqref="Q136">
    <cfRule type="expression" dxfId="1271" priority="1325" stopIfTrue="1">
      <formula>Q136="GPIO pin"</formula>
    </cfRule>
    <cfRule type="expression" dxfId="1270" priority="1326" stopIfTrue="1">
      <formula>Q136="Dedicated pin"</formula>
    </cfRule>
  </conditionalFormatting>
  <conditionalFormatting sqref="Q136">
    <cfRule type="expression" dxfId="1269" priority="1323" stopIfTrue="1">
      <formula>Q136="GPIO pin"</formula>
    </cfRule>
    <cfRule type="expression" dxfId="1268" priority="1324" stopIfTrue="1">
      <formula>Q136="Dedicated pin"</formula>
    </cfRule>
  </conditionalFormatting>
  <conditionalFormatting sqref="Q136">
    <cfRule type="expression" dxfId="1267" priority="1321" stopIfTrue="1">
      <formula>Q136="GPIO pin"</formula>
    </cfRule>
    <cfRule type="expression" dxfId="1266" priority="1322" stopIfTrue="1">
      <formula>Q136="Dedicated pin"</formula>
    </cfRule>
  </conditionalFormatting>
  <conditionalFormatting sqref="Q136">
    <cfRule type="expression" dxfId="1265" priority="1319" stopIfTrue="1">
      <formula>Q136="GPIO pin"</formula>
    </cfRule>
    <cfRule type="expression" dxfId="1264" priority="1320" stopIfTrue="1">
      <formula>Q136="Dedicated pin"</formula>
    </cfRule>
  </conditionalFormatting>
  <conditionalFormatting sqref="Q136">
    <cfRule type="expression" dxfId="1263" priority="1317" stopIfTrue="1">
      <formula>Q136="GPIO pin"</formula>
    </cfRule>
    <cfRule type="expression" dxfId="1262" priority="1318" stopIfTrue="1">
      <formula>Q136="Dedicated pin"</formula>
    </cfRule>
  </conditionalFormatting>
  <conditionalFormatting sqref="Q136">
    <cfRule type="expression" dxfId="1261" priority="1315" stopIfTrue="1">
      <formula>Q136="GPIO pin"</formula>
    </cfRule>
    <cfRule type="expression" dxfId="1260" priority="1316" stopIfTrue="1">
      <formula>Q136="Dedicated pin"</formula>
    </cfRule>
  </conditionalFormatting>
  <conditionalFormatting sqref="Q136">
    <cfRule type="expression" dxfId="1259" priority="1313" stopIfTrue="1">
      <formula>Q136="GPIO pin"</formula>
    </cfRule>
    <cfRule type="expression" dxfId="1258" priority="1314" stopIfTrue="1">
      <formula>Q136="Dedicated pin"</formula>
    </cfRule>
  </conditionalFormatting>
  <conditionalFormatting sqref="Q136">
    <cfRule type="expression" dxfId="1257" priority="1311" stopIfTrue="1">
      <formula>Q136="GPIO pin"</formula>
    </cfRule>
    <cfRule type="expression" dxfId="1256" priority="1312" stopIfTrue="1">
      <formula>Q136="Dedicated pin"</formula>
    </cfRule>
  </conditionalFormatting>
  <conditionalFormatting sqref="Q136">
    <cfRule type="expression" dxfId="1255" priority="1309" stopIfTrue="1">
      <formula>Q136="GPIO pin"</formula>
    </cfRule>
    <cfRule type="expression" dxfId="1254" priority="1310" stopIfTrue="1">
      <formula>Q136="Dedicated pin"</formula>
    </cfRule>
  </conditionalFormatting>
  <conditionalFormatting sqref="Q136">
    <cfRule type="expression" dxfId="1253" priority="1307" stopIfTrue="1">
      <formula>Q136="GPIO pin"</formula>
    </cfRule>
    <cfRule type="expression" dxfId="1252" priority="1308" stopIfTrue="1">
      <formula>Q136="Dedicated pin"</formula>
    </cfRule>
  </conditionalFormatting>
  <conditionalFormatting sqref="Q136">
    <cfRule type="expression" dxfId="1251" priority="1305" stopIfTrue="1">
      <formula>Q136="GPIO pin"</formula>
    </cfRule>
    <cfRule type="expression" dxfId="1250" priority="1306" stopIfTrue="1">
      <formula>Q136="Dedicated pin"</formula>
    </cfRule>
  </conditionalFormatting>
  <conditionalFormatting sqref="Q136">
    <cfRule type="expression" dxfId="1249" priority="1303" stopIfTrue="1">
      <formula>Q136="GPIO pin"</formula>
    </cfRule>
    <cfRule type="expression" dxfId="1248" priority="1304" stopIfTrue="1">
      <formula>Q136="Dedicated pin"</formula>
    </cfRule>
  </conditionalFormatting>
  <conditionalFormatting sqref="Q136">
    <cfRule type="expression" dxfId="1247" priority="1301" stopIfTrue="1">
      <formula>Q136="GPIO pin"</formula>
    </cfRule>
    <cfRule type="expression" dxfId="1246" priority="1302" stopIfTrue="1">
      <formula>Q136="Dedicated pin"</formula>
    </cfRule>
  </conditionalFormatting>
  <conditionalFormatting sqref="Q136">
    <cfRule type="expression" dxfId="1245" priority="1299" stopIfTrue="1">
      <formula>Q136="GPIO pin"</formula>
    </cfRule>
    <cfRule type="expression" dxfId="1244" priority="1300" stopIfTrue="1">
      <formula>Q136="Dedicated pin"</formula>
    </cfRule>
  </conditionalFormatting>
  <conditionalFormatting sqref="Q136">
    <cfRule type="expression" dxfId="1243" priority="1297" stopIfTrue="1">
      <formula>Q136="GPIO pin"</formula>
    </cfRule>
    <cfRule type="expression" dxfId="1242" priority="1298" stopIfTrue="1">
      <formula>Q136="Dedicated pin"</formula>
    </cfRule>
  </conditionalFormatting>
  <conditionalFormatting sqref="Q136">
    <cfRule type="expression" dxfId="1241" priority="1295" stopIfTrue="1">
      <formula>Q136="GPIO pin"</formula>
    </cfRule>
    <cfRule type="expression" dxfId="1240" priority="1296" stopIfTrue="1">
      <formula>Q136="Dedicated pin"</formula>
    </cfRule>
  </conditionalFormatting>
  <conditionalFormatting sqref="Q136">
    <cfRule type="expression" dxfId="1239" priority="1293" stopIfTrue="1">
      <formula>Q136="GPIO pin"</formula>
    </cfRule>
    <cfRule type="expression" dxfId="1238" priority="1294" stopIfTrue="1">
      <formula>Q136="Dedicated pin"</formula>
    </cfRule>
  </conditionalFormatting>
  <conditionalFormatting sqref="Q136">
    <cfRule type="expression" dxfId="1237" priority="1291" stopIfTrue="1">
      <formula>Q136="GPIO pin"</formula>
    </cfRule>
    <cfRule type="expression" dxfId="1236" priority="1292" stopIfTrue="1">
      <formula>Q136="Dedicated pin"</formula>
    </cfRule>
  </conditionalFormatting>
  <conditionalFormatting sqref="Q136">
    <cfRule type="expression" dxfId="1235" priority="1289" stopIfTrue="1">
      <formula>Q136="GPIO pin"</formula>
    </cfRule>
    <cfRule type="expression" dxfId="1234" priority="1290" stopIfTrue="1">
      <formula>Q136="Dedicated pin"</formula>
    </cfRule>
  </conditionalFormatting>
  <conditionalFormatting sqref="Q136">
    <cfRule type="expression" dxfId="1233" priority="1287" stopIfTrue="1">
      <formula>Q136="GPIO pin"</formula>
    </cfRule>
    <cfRule type="expression" dxfId="1232" priority="1288" stopIfTrue="1">
      <formula>Q136="Dedicated pin"</formula>
    </cfRule>
  </conditionalFormatting>
  <conditionalFormatting sqref="Q136">
    <cfRule type="expression" dxfId="1231" priority="1285" stopIfTrue="1">
      <formula>Q136="GPIO pin"</formula>
    </cfRule>
    <cfRule type="expression" dxfId="1230" priority="1286" stopIfTrue="1">
      <formula>Q136="Dedicated pin"</formula>
    </cfRule>
  </conditionalFormatting>
  <conditionalFormatting sqref="Q136">
    <cfRule type="expression" dxfId="1229" priority="1283" stopIfTrue="1">
      <formula>Q136="GPIO pin"</formula>
    </cfRule>
    <cfRule type="expression" dxfId="1228" priority="1284" stopIfTrue="1">
      <formula>Q136="Dedicated pin"</formula>
    </cfRule>
  </conditionalFormatting>
  <conditionalFormatting sqref="Q137">
    <cfRule type="expression" dxfId="1227" priority="1281" stopIfTrue="1">
      <formula>Q137="GPIO pin"</formula>
    </cfRule>
    <cfRule type="expression" dxfId="1226" priority="1282" stopIfTrue="1">
      <formula>Q137="Dedicated pin"</formula>
    </cfRule>
  </conditionalFormatting>
  <conditionalFormatting sqref="Q137">
    <cfRule type="expression" dxfId="1225" priority="1279" stopIfTrue="1">
      <formula>Q137="GPIO pin"</formula>
    </cfRule>
    <cfRule type="expression" dxfId="1224" priority="1280" stopIfTrue="1">
      <formula>Q137="Dedicated pin"</formula>
    </cfRule>
  </conditionalFormatting>
  <conditionalFormatting sqref="Q137">
    <cfRule type="expression" dxfId="1223" priority="1277" stopIfTrue="1">
      <formula>Q137="GPIO pin"</formula>
    </cfRule>
    <cfRule type="expression" dxfId="1222" priority="1278" stopIfTrue="1">
      <formula>Q137="Dedicated pin"</formula>
    </cfRule>
  </conditionalFormatting>
  <conditionalFormatting sqref="Q137">
    <cfRule type="expression" dxfId="1221" priority="1275" stopIfTrue="1">
      <formula>Q137="GPIO pin"</formula>
    </cfRule>
    <cfRule type="expression" dxfId="1220" priority="1276" stopIfTrue="1">
      <formula>Q137="Dedicated pin"</formula>
    </cfRule>
  </conditionalFormatting>
  <conditionalFormatting sqref="Q137">
    <cfRule type="expression" dxfId="1219" priority="1273" stopIfTrue="1">
      <formula>Q137="GPIO pin"</formula>
    </cfRule>
    <cfRule type="expression" dxfId="1218" priority="1274" stopIfTrue="1">
      <formula>Q137="Dedicated pin"</formula>
    </cfRule>
  </conditionalFormatting>
  <conditionalFormatting sqref="Q137">
    <cfRule type="expression" dxfId="1217" priority="1271" stopIfTrue="1">
      <formula>Q137="GPIO pin"</formula>
    </cfRule>
    <cfRule type="expression" dxfId="1216" priority="1272" stopIfTrue="1">
      <formula>Q137="Dedicated pin"</formula>
    </cfRule>
  </conditionalFormatting>
  <conditionalFormatting sqref="Q137">
    <cfRule type="expression" dxfId="1215" priority="1269" stopIfTrue="1">
      <formula>Q137="GPIO pin"</formula>
    </cfRule>
    <cfRule type="expression" dxfId="1214" priority="1270" stopIfTrue="1">
      <formula>Q137="Dedicated pin"</formula>
    </cfRule>
  </conditionalFormatting>
  <conditionalFormatting sqref="Q137">
    <cfRule type="expression" dxfId="1213" priority="1267" stopIfTrue="1">
      <formula>Q137="GPIO pin"</formula>
    </cfRule>
    <cfRule type="expression" dxfId="1212" priority="1268" stopIfTrue="1">
      <formula>Q137="Dedicated pin"</formula>
    </cfRule>
  </conditionalFormatting>
  <conditionalFormatting sqref="Q137">
    <cfRule type="expression" dxfId="1211" priority="1265" stopIfTrue="1">
      <formula>Q137="GPIO pin"</formula>
    </cfRule>
    <cfRule type="expression" dxfId="1210" priority="1266" stopIfTrue="1">
      <formula>Q137="Dedicated pin"</formula>
    </cfRule>
  </conditionalFormatting>
  <conditionalFormatting sqref="Q137">
    <cfRule type="expression" dxfId="1209" priority="1263" stopIfTrue="1">
      <formula>Q137="GPIO pin"</formula>
    </cfRule>
    <cfRule type="expression" dxfId="1208" priority="1264" stopIfTrue="1">
      <formula>Q137="Dedicated pin"</formula>
    </cfRule>
  </conditionalFormatting>
  <conditionalFormatting sqref="Q137">
    <cfRule type="expression" dxfId="1207" priority="1261" stopIfTrue="1">
      <formula>Q137="GPIO pin"</formula>
    </cfRule>
    <cfRule type="expression" dxfId="1206" priority="1262" stopIfTrue="1">
      <formula>Q137="Dedicated pin"</formula>
    </cfRule>
  </conditionalFormatting>
  <conditionalFormatting sqref="Q137">
    <cfRule type="expression" dxfId="1205" priority="1259" stopIfTrue="1">
      <formula>Q137="GPIO pin"</formula>
    </cfRule>
    <cfRule type="expression" dxfId="1204" priority="1260" stopIfTrue="1">
      <formula>Q137="Dedicated pin"</formula>
    </cfRule>
  </conditionalFormatting>
  <conditionalFormatting sqref="Q137">
    <cfRule type="expression" dxfId="1203" priority="1257" stopIfTrue="1">
      <formula>Q137="GPIO pin"</formula>
    </cfRule>
    <cfRule type="expression" dxfId="1202" priority="1258" stopIfTrue="1">
      <formula>Q137="Dedicated pin"</formula>
    </cfRule>
  </conditionalFormatting>
  <conditionalFormatting sqref="Q137">
    <cfRule type="expression" dxfId="1201" priority="1255" stopIfTrue="1">
      <formula>Q137="GPIO pin"</formula>
    </cfRule>
    <cfRule type="expression" dxfId="1200" priority="1256" stopIfTrue="1">
      <formula>Q137="Dedicated pin"</formula>
    </cfRule>
  </conditionalFormatting>
  <conditionalFormatting sqref="Q137">
    <cfRule type="expression" dxfId="1199" priority="1253" stopIfTrue="1">
      <formula>Q137="GPIO pin"</formula>
    </cfRule>
    <cfRule type="expression" dxfId="1198" priority="1254" stopIfTrue="1">
      <formula>Q137="Dedicated pin"</formula>
    </cfRule>
  </conditionalFormatting>
  <conditionalFormatting sqref="Q137">
    <cfRule type="expression" dxfId="1197" priority="1251" stopIfTrue="1">
      <formula>Q137="GPIO pin"</formula>
    </cfRule>
    <cfRule type="expression" dxfId="1196" priority="1252" stopIfTrue="1">
      <formula>Q137="Dedicated pin"</formula>
    </cfRule>
  </conditionalFormatting>
  <conditionalFormatting sqref="Q137">
    <cfRule type="expression" dxfId="1195" priority="1249" stopIfTrue="1">
      <formula>Q137="GPIO pin"</formula>
    </cfRule>
    <cfRule type="expression" dxfId="1194" priority="1250" stopIfTrue="1">
      <formula>Q137="Dedicated pin"</formula>
    </cfRule>
  </conditionalFormatting>
  <conditionalFormatting sqref="Q137">
    <cfRule type="expression" dxfId="1193" priority="1247" stopIfTrue="1">
      <formula>Q137="GPIO pin"</formula>
    </cfRule>
    <cfRule type="expression" dxfId="1192" priority="1248" stopIfTrue="1">
      <formula>Q137="Dedicated pin"</formula>
    </cfRule>
  </conditionalFormatting>
  <conditionalFormatting sqref="Q137">
    <cfRule type="expression" dxfId="1191" priority="1245" stopIfTrue="1">
      <formula>Q137="GPIO pin"</formula>
    </cfRule>
    <cfRule type="expression" dxfId="1190" priority="1246" stopIfTrue="1">
      <formula>Q137="Dedicated pin"</formula>
    </cfRule>
  </conditionalFormatting>
  <conditionalFormatting sqref="Q145">
    <cfRule type="expression" dxfId="1189" priority="1201" stopIfTrue="1">
      <formula>Q145="GPIO pin"</formula>
    </cfRule>
    <cfRule type="expression" dxfId="1188" priority="1202" stopIfTrue="1">
      <formula>Q145="Dedicated pin"</formula>
    </cfRule>
  </conditionalFormatting>
  <conditionalFormatting sqref="Q137">
    <cfRule type="expression" dxfId="1187" priority="1241" stopIfTrue="1">
      <formula>Q137="GPIO pin"</formula>
    </cfRule>
    <cfRule type="expression" dxfId="1186" priority="1242" stopIfTrue="1">
      <formula>Q137="Dedicated pin"</formula>
    </cfRule>
  </conditionalFormatting>
  <conditionalFormatting sqref="Q137">
    <cfRule type="expression" dxfId="1185" priority="1239" stopIfTrue="1">
      <formula>Q137="GPIO pin"</formula>
    </cfRule>
    <cfRule type="expression" dxfId="1184" priority="1240" stopIfTrue="1">
      <formula>Q137="Dedicated pin"</formula>
    </cfRule>
  </conditionalFormatting>
  <conditionalFormatting sqref="Q137">
    <cfRule type="expression" dxfId="1183" priority="1237" stopIfTrue="1">
      <formula>Q137="GPIO pin"</formula>
    </cfRule>
    <cfRule type="expression" dxfId="1182" priority="1238" stopIfTrue="1">
      <formula>Q137="Dedicated pin"</formula>
    </cfRule>
  </conditionalFormatting>
  <conditionalFormatting sqref="Q137">
    <cfRule type="expression" dxfId="1181" priority="1235" stopIfTrue="1">
      <formula>Q137="GPIO pin"</formula>
    </cfRule>
    <cfRule type="expression" dxfId="1180" priority="1236" stopIfTrue="1">
      <formula>Q137="Dedicated pin"</formula>
    </cfRule>
  </conditionalFormatting>
  <conditionalFormatting sqref="Q137">
    <cfRule type="expression" dxfId="1179" priority="1233" stopIfTrue="1">
      <formula>Q137="GPIO pin"</formula>
    </cfRule>
    <cfRule type="expression" dxfId="1178" priority="1234" stopIfTrue="1">
      <formula>Q137="Dedicated pin"</formula>
    </cfRule>
  </conditionalFormatting>
  <conditionalFormatting sqref="Q137">
    <cfRule type="expression" dxfId="1177" priority="1231" stopIfTrue="1">
      <formula>Q137="GPIO pin"</formula>
    </cfRule>
    <cfRule type="expression" dxfId="1176" priority="1232" stopIfTrue="1">
      <formula>Q137="Dedicated pin"</formula>
    </cfRule>
  </conditionalFormatting>
  <conditionalFormatting sqref="Q137">
    <cfRule type="expression" dxfId="1175" priority="1229" stopIfTrue="1">
      <formula>Q137="GPIO pin"</formula>
    </cfRule>
    <cfRule type="expression" dxfId="1174" priority="1230" stopIfTrue="1">
      <formula>Q137="Dedicated pin"</formula>
    </cfRule>
  </conditionalFormatting>
  <conditionalFormatting sqref="Q137">
    <cfRule type="expression" dxfId="1173" priority="1227" stopIfTrue="1">
      <formula>Q137="GPIO pin"</formula>
    </cfRule>
    <cfRule type="expression" dxfId="1172" priority="1228" stopIfTrue="1">
      <formula>Q137="Dedicated pin"</formula>
    </cfRule>
  </conditionalFormatting>
  <conditionalFormatting sqref="Q145">
    <cfRule type="expression" dxfId="1171" priority="1225" stopIfTrue="1">
      <formula>Q145="GPIO pin"</formula>
    </cfRule>
    <cfRule type="expression" dxfId="1170" priority="1226" stopIfTrue="1">
      <formula>Q145="Dedicated pin"</formula>
    </cfRule>
  </conditionalFormatting>
  <conditionalFormatting sqref="Q145">
    <cfRule type="expression" dxfId="1169" priority="1223" stopIfTrue="1">
      <formula>Q145="GPIO pin"</formula>
    </cfRule>
    <cfRule type="expression" dxfId="1168" priority="1224" stopIfTrue="1">
      <formula>Q145="Dedicated pin"</formula>
    </cfRule>
  </conditionalFormatting>
  <conditionalFormatting sqref="Q145">
    <cfRule type="expression" dxfId="1167" priority="1221" stopIfTrue="1">
      <formula>Q145="GPIO pin"</formula>
    </cfRule>
    <cfRule type="expression" dxfId="1166" priority="1222" stopIfTrue="1">
      <formula>Q145="Dedicated pin"</formula>
    </cfRule>
  </conditionalFormatting>
  <conditionalFormatting sqref="Q145">
    <cfRule type="expression" dxfId="1165" priority="1219" stopIfTrue="1">
      <formula>Q145="GPIO pin"</formula>
    </cfRule>
    <cfRule type="expression" dxfId="1164" priority="1220" stopIfTrue="1">
      <formula>Q145="Dedicated pin"</formula>
    </cfRule>
  </conditionalFormatting>
  <conditionalFormatting sqref="Q145">
    <cfRule type="expression" dxfId="1163" priority="1217" stopIfTrue="1">
      <formula>Q145="GPIO pin"</formula>
    </cfRule>
    <cfRule type="expression" dxfId="1162" priority="1218" stopIfTrue="1">
      <formula>Q145="Dedicated pin"</formula>
    </cfRule>
  </conditionalFormatting>
  <conditionalFormatting sqref="Q145">
    <cfRule type="expression" dxfId="1161" priority="1215" stopIfTrue="1">
      <formula>Q145="GPIO pin"</formula>
    </cfRule>
    <cfRule type="expression" dxfId="1160" priority="1216" stopIfTrue="1">
      <formula>Q145="Dedicated pin"</formula>
    </cfRule>
  </conditionalFormatting>
  <conditionalFormatting sqref="Q145">
    <cfRule type="expression" dxfId="1159" priority="1213" stopIfTrue="1">
      <formula>Q145="GPIO pin"</formula>
    </cfRule>
    <cfRule type="expression" dxfId="1158" priority="1214" stopIfTrue="1">
      <formula>Q145="Dedicated pin"</formula>
    </cfRule>
  </conditionalFormatting>
  <conditionalFormatting sqref="Q145">
    <cfRule type="expression" dxfId="1157" priority="1211" stopIfTrue="1">
      <formula>Q145="GPIO pin"</formula>
    </cfRule>
    <cfRule type="expression" dxfId="1156" priority="1212" stopIfTrue="1">
      <formula>Q145="Dedicated pin"</formula>
    </cfRule>
  </conditionalFormatting>
  <conditionalFormatting sqref="Q145">
    <cfRule type="expression" dxfId="1155" priority="1209" stopIfTrue="1">
      <formula>Q145="GPIO pin"</formula>
    </cfRule>
    <cfRule type="expression" dxfId="1154" priority="1210" stopIfTrue="1">
      <formula>Q145="Dedicated pin"</formula>
    </cfRule>
  </conditionalFormatting>
  <conditionalFormatting sqref="Q145">
    <cfRule type="expression" dxfId="1153" priority="1207" stopIfTrue="1">
      <formula>Q145="GPIO pin"</formula>
    </cfRule>
    <cfRule type="expression" dxfId="1152" priority="1208" stopIfTrue="1">
      <formula>Q145="Dedicated pin"</formula>
    </cfRule>
  </conditionalFormatting>
  <conditionalFormatting sqref="Q145">
    <cfRule type="expression" dxfId="1151" priority="1205" stopIfTrue="1">
      <formula>Q145="GPIO pin"</formula>
    </cfRule>
    <cfRule type="expression" dxfId="1150" priority="1206" stopIfTrue="1">
      <formula>Q145="Dedicated pin"</formula>
    </cfRule>
  </conditionalFormatting>
  <conditionalFormatting sqref="Q145">
    <cfRule type="expression" dxfId="1149" priority="1203" stopIfTrue="1">
      <formula>Q145="GPIO pin"</formula>
    </cfRule>
    <cfRule type="expression" dxfId="1148" priority="1204" stopIfTrue="1">
      <formula>Q145="Dedicated pin"</formula>
    </cfRule>
  </conditionalFormatting>
  <conditionalFormatting sqref="Q145">
    <cfRule type="expression" dxfId="1147" priority="1199" stopIfTrue="1">
      <formula>Q145="GPIO pin"</formula>
    </cfRule>
    <cfRule type="expression" dxfId="1146" priority="1200" stopIfTrue="1">
      <formula>Q145="Dedicated pin"</formula>
    </cfRule>
  </conditionalFormatting>
  <conditionalFormatting sqref="Q145">
    <cfRule type="expression" dxfId="1145" priority="1197" stopIfTrue="1">
      <formula>Q145="GPIO pin"</formula>
    </cfRule>
    <cfRule type="expression" dxfId="1144" priority="1198" stopIfTrue="1">
      <formula>Q145="Dedicated pin"</formula>
    </cfRule>
  </conditionalFormatting>
  <conditionalFormatting sqref="Q145">
    <cfRule type="expression" dxfId="1143" priority="1195" stopIfTrue="1">
      <formula>Q145="GPIO pin"</formula>
    </cfRule>
    <cfRule type="expression" dxfId="1142" priority="1196" stopIfTrue="1">
      <formula>Q145="Dedicated pin"</formula>
    </cfRule>
  </conditionalFormatting>
  <conditionalFormatting sqref="Q145">
    <cfRule type="expression" dxfId="1141" priority="1193" stopIfTrue="1">
      <formula>Q145="GPIO pin"</formula>
    </cfRule>
    <cfRule type="expression" dxfId="1140" priority="1194" stopIfTrue="1">
      <formula>Q145="Dedicated pin"</formula>
    </cfRule>
  </conditionalFormatting>
  <conditionalFormatting sqref="Q145">
    <cfRule type="expression" dxfId="1139" priority="1191" stopIfTrue="1">
      <formula>Q145="GPIO pin"</formula>
    </cfRule>
    <cfRule type="expression" dxfId="1138" priority="1192" stopIfTrue="1">
      <formula>Q145="Dedicated pin"</formula>
    </cfRule>
  </conditionalFormatting>
  <conditionalFormatting sqref="Q145">
    <cfRule type="expression" dxfId="1137" priority="1189" stopIfTrue="1">
      <formula>Q145="GPIO pin"</formula>
    </cfRule>
    <cfRule type="expression" dxfId="1136" priority="1190" stopIfTrue="1">
      <formula>Q145="Dedicated pin"</formula>
    </cfRule>
  </conditionalFormatting>
  <conditionalFormatting sqref="Q145">
    <cfRule type="expression" dxfId="1135" priority="1187" stopIfTrue="1">
      <formula>Q145="GPIO pin"</formula>
    </cfRule>
    <cfRule type="expression" dxfId="1134" priority="1188" stopIfTrue="1">
      <formula>Q145="Dedicated pin"</formula>
    </cfRule>
  </conditionalFormatting>
  <conditionalFormatting sqref="Q145">
    <cfRule type="expression" dxfId="1133" priority="1185" stopIfTrue="1">
      <formula>Q145="GPIO pin"</formula>
    </cfRule>
    <cfRule type="expression" dxfId="1132" priority="1186" stopIfTrue="1">
      <formula>Q145="Dedicated pin"</formula>
    </cfRule>
  </conditionalFormatting>
  <conditionalFormatting sqref="Q145">
    <cfRule type="expression" dxfId="1131" priority="1183" stopIfTrue="1">
      <formula>Q145="GPIO pin"</formula>
    </cfRule>
    <cfRule type="expression" dxfId="1130" priority="1184" stopIfTrue="1">
      <formula>Q145="Dedicated pin"</formula>
    </cfRule>
  </conditionalFormatting>
  <conditionalFormatting sqref="Q145">
    <cfRule type="expression" dxfId="1129" priority="1181" stopIfTrue="1">
      <formula>Q145="GPIO pin"</formula>
    </cfRule>
    <cfRule type="expression" dxfId="1128" priority="1182" stopIfTrue="1">
      <formula>Q145="Dedicated pin"</formula>
    </cfRule>
  </conditionalFormatting>
  <conditionalFormatting sqref="Q145">
    <cfRule type="expression" dxfId="1127" priority="1179" stopIfTrue="1">
      <formula>Q145="GPIO pin"</formula>
    </cfRule>
    <cfRule type="expression" dxfId="1126" priority="1180" stopIfTrue="1">
      <formula>Q145="Dedicated pin"</formula>
    </cfRule>
  </conditionalFormatting>
  <conditionalFormatting sqref="Q145">
    <cfRule type="expression" dxfId="1125" priority="1177" stopIfTrue="1">
      <formula>Q145="GPIO pin"</formula>
    </cfRule>
    <cfRule type="expression" dxfId="1124" priority="1178" stopIfTrue="1">
      <formula>Q145="Dedicated pin"</formula>
    </cfRule>
  </conditionalFormatting>
  <conditionalFormatting sqref="Q145">
    <cfRule type="expression" dxfId="1123" priority="1175" stopIfTrue="1">
      <formula>Q145="GPIO pin"</formula>
    </cfRule>
    <cfRule type="expression" dxfId="1122" priority="1176" stopIfTrue="1">
      <formula>Q145="Dedicated pin"</formula>
    </cfRule>
  </conditionalFormatting>
  <conditionalFormatting sqref="Q145">
    <cfRule type="expression" dxfId="1121" priority="1173" stopIfTrue="1">
      <formula>Q145="GPIO pin"</formula>
    </cfRule>
    <cfRule type="expression" dxfId="1120" priority="1174" stopIfTrue="1">
      <formula>Q145="Dedicated pin"</formula>
    </cfRule>
  </conditionalFormatting>
  <conditionalFormatting sqref="Q145">
    <cfRule type="expression" dxfId="1119" priority="1171" stopIfTrue="1">
      <formula>Q145="GPIO pin"</formula>
    </cfRule>
    <cfRule type="expression" dxfId="1118" priority="1172" stopIfTrue="1">
      <formula>Q145="Dedicated pin"</formula>
    </cfRule>
  </conditionalFormatting>
  <conditionalFormatting sqref="P152">
    <cfRule type="expression" dxfId="1117" priority="1169" stopIfTrue="1">
      <formula>P152="GPIO pin"</formula>
    </cfRule>
    <cfRule type="expression" dxfId="1116" priority="1170" stopIfTrue="1">
      <formula>P152="Dedicated pin"</formula>
    </cfRule>
  </conditionalFormatting>
  <conditionalFormatting sqref="P152">
    <cfRule type="expression" dxfId="1115" priority="1167" stopIfTrue="1">
      <formula>P152="GPIO pin"</formula>
    </cfRule>
    <cfRule type="expression" dxfId="1114" priority="1168" stopIfTrue="1">
      <formula>P152="Dedicated pin"</formula>
    </cfRule>
  </conditionalFormatting>
  <conditionalFormatting sqref="P152">
    <cfRule type="expression" dxfId="1113" priority="1165" stopIfTrue="1">
      <formula>P152="GPIO pin"</formula>
    </cfRule>
    <cfRule type="expression" dxfId="1112" priority="1166" stopIfTrue="1">
      <formula>P152="Dedicated pin"</formula>
    </cfRule>
  </conditionalFormatting>
  <conditionalFormatting sqref="P152">
    <cfRule type="expression" dxfId="1111" priority="1163" stopIfTrue="1">
      <formula>P152="GPIO pin"</formula>
    </cfRule>
    <cfRule type="expression" dxfId="1110" priority="1164" stopIfTrue="1">
      <formula>P152="Dedicated pin"</formula>
    </cfRule>
  </conditionalFormatting>
  <conditionalFormatting sqref="P152">
    <cfRule type="expression" dxfId="1109" priority="1161" stopIfTrue="1">
      <formula>P152="GPIO pin"</formula>
    </cfRule>
    <cfRule type="expression" dxfId="1108" priority="1162" stopIfTrue="1">
      <formula>P152="Dedicated pin"</formula>
    </cfRule>
  </conditionalFormatting>
  <conditionalFormatting sqref="P152">
    <cfRule type="expression" dxfId="1107" priority="1159" stopIfTrue="1">
      <formula>P152="GPIO pin"</formula>
    </cfRule>
    <cfRule type="expression" dxfId="1106" priority="1160" stopIfTrue="1">
      <formula>P152="Dedicated pin"</formula>
    </cfRule>
  </conditionalFormatting>
  <conditionalFormatting sqref="P152">
    <cfRule type="expression" dxfId="1105" priority="1157" stopIfTrue="1">
      <formula>P152="GPIO pin"</formula>
    </cfRule>
    <cfRule type="expression" dxfId="1104" priority="1158" stopIfTrue="1">
      <formula>P152="Dedicated pin"</formula>
    </cfRule>
  </conditionalFormatting>
  <conditionalFormatting sqref="P152">
    <cfRule type="expression" dxfId="1103" priority="1155" stopIfTrue="1">
      <formula>P152="GPIO pin"</formula>
    </cfRule>
    <cfRule type="expression" dxfId="1102" priority="1156" stopIfTrue="1">
      <formula>P152="Dedicated pin"</formula>
    </cfRule>
  </conditionalFormatting>
  <conditionalFormatting sqref="P152">
    <cfRule type="expression" dxfId="1101" priority="1153" stopIfTrue="1">
      <formula>P152="GPIO pin"</formula>
    </cfRule>
    <cfRule type="expression" dxfId="1100" priority="1154" stopIfTrue="1">
      <formula>P152="Dedicated pin"</formula>
    </cfRule>
  </conditionalFormatting>
  <conditionalFormatting sqref="P152">
    <cfRule type="expression" dxfId="1099" priority="1151" stopIfTrue="1">
      <formula>P152="GPIO pin"</formula>
    </cfRule>
    <cfRule type="expression" dxfId="1098" priority="1152" stopIfTrue="1">
      <formula>P152="Dedicated pin"</formula>
    </cfRule>
  </conditionalFormatting>
  <conditionalFormatting sqref="P152">
    <cfRule type="expression" dxfId="1097" priority="1149" stopIfTrue="1">
      <formula>P152="GPIO pin"</formula>
    </cfRule>
    <cfRule type="expression" dxfId="1096" priority="1150" stopIfTrue="1">
      <formula>P152="Dedicated pin"</formula>
    </cfRule>
  </conditionalFormatting>
  <conditionalFormatting sqref="P152">
    <cfRule type="expression" dxfId="1095" priority="1147" stopIfTrue="1">
      <formula>P152="GPIO pin"</formula>
    </cfRule>
    <cfRule type="expression" dxfId="1094" priority="1148" stopIfTrue="1">
      <formula>P152="Dedicated pin"</formula>
    </cfRule>
  </conditionalFormatting>
  <conditionalFormatting sqref="P152">
    <cfRule type="expression" dxfId="1093" priority="1145" stopIfTrue="1">
      <formula>P152="GPIO pin"</formula>
    </cfRule>
    <cfRule type="expression" dxfId="1092" priority="1146" stopIfTrue="1">
      <formula>P152="Dedicated pin"</formula>
    </cfRule>
  </conditionalFormatting>
  <conditionalFormatting sqref="P152">
    <cfRule type="expression" dxfId="1091" priority="1143" stopIfTrue="1">
      <formula>P152="GPIO pin"</formula>
    </cfRule>
    <cfRule type="expression" dxfId="1090" priority="1144" stopIfTrue="1">
      <formula>P152="Dedicated pin"</formula>
    </cfRule>
  </conditionalFormatting>
  <conditionalFormatting sqref="J132">
    <cfRule type="expression" dxfId="1089" priority="1103" stopIfTrue="1">
      <formula>J132="GPIO pin"</formula>
    </cfRule>
    <cfRule type="expression" dxfId="1088" priority="1104" stopIfTrue="1">
      <formula>J132="Dedicated pin"</formula>
    </cfRule>
  </conditionalFormatting>
  <conditionalFormatting sqref="J148">
    <cfRule type="expression" dxfId="1087" priority="1141" stopIfTrue="1">
      <formula>J148="GPIO pin"</formula>
    </cfRule>
    <cfRule type="expression" dxfId="1086" priority="1142" stopIfTrue="1">
      <formula>J148="Dedicated pin"</formula>
    </cfRule>
  </conditionalFormatting>
  <conditionalFormatting sqref="J80">
    <cfRule type="expression" dxfId="1085" priority="1139" stopIfTrue="1">
      <formula>J80="GPIO pin"</formula>
    </cfRule>
    <cfRule type="expression" dxfId="1084" priority="1140" stopIfTrue="1">
      <formula>J80="Dedicated pin"</formula>
    </cfRule>
  </conditionalFormatting>
  <conditionalFormatting sqref="K80">
    <cfRule type="expression" dxfId="1083" priority="1137" stopIfTrue="1">
      <formula>K80="GPIO pin"</formula>
    </cfRule>
    <cfRule type="expression" dxfId="1082" priority="1138" stopIfTrue="1">
      <formula>K80="Dedicated pin"</formula>
    </cfRule>
  </conditionalFormatting>
  <conditionalFormatting sqref="J81">
    <cfRule type="expression" dxfId="1081" priority="1135" stopIfTrue="1">
      <formula>J81="GPIO pin"</formula>
    </cfRule>
    <cfRule type="expression" dxfId="1080" priority="1136" stopIfTrue="1">
      <formula>J81="Dedicated pin"</formula>
    </cfRule>
  </conditionalFormatting>
  <conditionalFormatting sqref="J84">
    <cfRule type="expression" dxfId="1079" priority="1133" stopIfTrue="1">
      <formula>J84="GPIO pin"</formula>
    </cfRule>
    <cfRule type="expression" dxfId="1078" priority="1134" stopIfTrue="1">
      <formula>J84="Dedicated pin"</formula>
    </cfRule>
  </conditionalFormatting>
  <conditionalFormatting sqref="J85">
    <cfRule type="expression" dxfId="1077" priority="1131" stopIfTrue="1">
      <formula>J85="GPIO pin"</formula>
    </cfRule>
    <cfRule type="expression" dxfId="1076" priority="1132" stopIfTrue="1">
      <formula>J85="Dedicated pin"</formula>
    </cfRule>
  </conditionalFormatting>
  <conditionalFormatting sqref="Q86">
    <cfRule type="expression" dxfId="1075" priority="1121" stopIfTrue="1">
      <formula>Q86="GPIO pin"</formula>
    </cfRule>
    <cfRule type="expression" dxfId="1074" priority="1122" stopIfTrue="1">
      <formula>Q86="Dedicated pin"</formula>
    </cfRule>
  </conditionalFormatting>
  <conditionalFormatting sqref="J86">
    <cfRule type="expression" dxfId="1073" priority="1129" stopIfTrue="1">
      <formula>J86="GPIO pin"</formula>
    </cfRule>
    <cfRule type="expression" dxfId="1072" priority="1130" stopIfTrue="1">
      <formula>J86="Dedicated pin"</formula>
    </cfRule>
  </conditionalFormatting>
  <conditionalFormatting sqref="Q87:Q89">
    <cfRule type="expression" dxfId="1071" priority="1127" stopIfTrue="1">
      <formula>Q87="GPIO pin"</formula>
    </cfRule>
    <cfRule type="expression" dxfId="1070" priority="1128" stopIfTrue="1">
      <formula>Q87="Dedicated pin"</formula>
    </cfRule>
  </conditionalFormatting>
  <conditionalFormatting sqref="J96 J98:J99">
    <cfRule type="expression" dxfId="1069" priority="1119" stopIfTrue="1">
      <formula>J96="GPIO pin"</formula>
    </cfRule>
    <cfRule type="expression" dxfId="1068" priority="1120" stopIfTrue="1">
      <formula>J96="Dedicated pin"</formula>
    </cfRule>
  </conditionalFormatting>
  <conditionalFormatting sqref="J87:J91">
    <cfRule type="expression" dxfId="1067" priority="1125" stopIfTrue="1">
      <formula>J87="GPIO pin"</formula>
    </cfRule>
    <cfRule type="expression" dxfId="1066" priority="1126" stopIfTrue="1">
      <formula>J87="Dedicated pin"</formula>
    </cfRule>
  </conditionalFormatting>
  <conditionalFormatting sqref="Q84:Q85">
    <cfRule type="expression" dxfId="1065" priority="1123" stopIfTrue="1">
      <formula>Q84="GPIO pin"</formula>
    </cfRule>
    <cfRule type="expression" dxfId="1064" priority="1124" stopIfTrue="1">
      <formula>Q84="Dedicated pin"</formula>
    </cfRule>
  </conditionalFormatting>
  <conditionalFormatting sqref="K95:K99">
    <cfRule type="expression" dxfId="1063" priority="1117" stopIfTrue="1">
      <formula>K95="GPIO pin"</formula>
    </cfRule>
    <cfRule type="expression" dxfId="1062" priority="1118" stopIfTrue="1">
      <formula>K95="Dedicated pin"</formula>
    </cfRule>
  </conditionalFormatting>
  <conditionalFormatting sqref="J102:J107">
    <cfRule type="expression" dxfId="1061" priority="1115" stopIfTrue="1">
      <formula>J102="GPIO pin"</formula>
    </cfRule>
    <cfRule type="expression" dxfId="1060" priority="1116" stopIfTrue="1">
      <formula>J102="Dedicated pin"</formula>
    </cfRule>
  </conditionalFormatting>
  <conditionalFormatting sqref="J111">
    <cfRule type="expression" dxfId="1059" priority="1113" stopIfTrue="1">
      <formula>J111="GPIO pin"</formula>
    </cfRule>
    <cfRule type="expression" dxfId="1058" priority="1114" stopIfTrue="1">
      <formula>J111="Dedicated pin"</formula>
    </cfRule>
  </conditionalFormatting>
  <conditionalFormatting sqref="K111">
    <cfRule type="expression" dxfId="1057" priority="1111" stopIfTrue="1">
      <formula>K111="GPIO pin"</formula>
    </cfRule>
    <cfRule type="expression" dxfId="1056" priority="1112" stopIfTrue="1">
      <formula>K111="Dedicated pin"</formula>
    </cfRule>
  </conditionalFormatting>
  <conditionalFormatting sqref="J114">
    <cfRule type="expression" dxfId="1055" priority="1109" stopIfTrue="1">
      <formula>J114="GPIO pin"</formula>
    </cfRule>
    <cfRule type="expression" dxfId="1054" priority="1110" stopIfTrue="1">
      <formula>J114="Dedicated pin"</formula>
    </cfRule>
  </conditionalFormatting>
  <conditionalFormatting sqref="J128">
    <cfRule type="expression" dxfId="1053" priority="1107" stopIfTrue="1">
      <formula>J128="GPIO pin"</formula>
    </cfRule>
    <cfRule type="expression" dxfId="1052" priority="1108" stopIfTrue="1">
      <formula>J128="Dedicated pin"</formula>
    </cfRule>
  </conditionalFormatting>
  <conditionalFormatting sqref="J129">
    <cfRule type="expression" dxfId="1051" priority="1105" stopIfTrue="1">
      <formula>J129="GPIO pin"</formula>
    </cfRule>
    <cfRule type="expression" dxfId="1050" priority="1106" stopIfTrue="1">
      <formula>J129="Dedicated pin"</formula>
    </cfRule>
  </conditionalFormatting>
  <conditionalFormatting sqref="J17">
    <cfRule type="expression" dxfId="1049" priority="1035" stopIfTrue="1">
      <formula>J17="GPIO pin"</formula>
    </cfRule>
    <cfRule type="expression" dxfId="1048" priority="1036" stopIfTrue="1">
      <formula>J17="Dedicated pin"</formula>
    </cfRule>
  </conditionalFormatting>
  <conditionalFormatting sqref="J134">
    <cfRule type="expression" dxfId="1047" priority="1101" stopIfTrue="1">
      <formula>J134="GPIO pin"</formula>
    </cfRule>
    <cfRule type="expression" dxfId="1046" priority="1102" stopIfTrue="1">
      <formula>J134="Dedicated pin"</formula>
    </cfRule>
  </conditionalFormatting>
  <conditionalFormatting sqref="K145">
    <cfRule type="expression" dxfId="1045" priority="1097" stopIfTrue="1">
      <formula>K145="GPIO pin"</formula>
    </cfRule>
    <cfRule type="expression" dxfId="1044" priority="1098" stopIfTrue="1">
      <formula>K145="Dedicated pin"</formula>
    </cfRule>
  </conditionalFormatting>
  <conditionalFormatting sqref="J145">
    <cfRule type="expression" dxfId="1043" priority="1095" stopIfTrue="1">
      <formula>J145="GPIO pin"</formula>
    </cfRule>
    <cfRule type="expression" dxfId="1042" priority="1096" stopIfTrue="1">
      <formula>J145="Dedicated pin"</formula>
    </cfRule>
  </conditionalFormatting>
  <conditionalFormatting sqref="J137">
    <cfRule type="expression" dxfId="1041" priority="1099" stopIfTrue="1">
      <formula>J137="GPIO pin"</formula>
    </cfRule>
    <cfRule type="expression" dxfId="1040" priority="1100" stopIfTrue="1">
      <formula>J137="Dedicated pin"</formula>
    </cfRule>
  </conditionalFormatting>
  <conditionalFormatting sqref="J149">
    <cfRule type="expression" dxfId="1039" priority="1093" stopIfTrue="1">
      <formula>J149="GPIO pin"</formula>
    </cfRule>
    <cfRule type="expression" dxfId="1038" priority="1094" stopIfTrue="1">
      <formula>J149="Dedicated pin"</formula>
    </cfRule>
  </conditionalFormatting>
  <conditionalFormatting sqref="J112">
    <cfRule type="expression" dxfId="1037" priority="1001" stopIfTrue="1">
      <formula>J112="GPIO pin"</formula>
    </cfRule>
    <cfRule type="expression" dxfId="1036" priority="1002" stopIfTrue="1">
      <formula>J112="Dedicated pin"</formula>
    </cfRule>
  </conditionalFormatting>
  <conditionalFormatting sqref="K89">
    <cfRule type="expression" dxfId="1035" priority="1003" stopIfTrue="1">
      <formula>K89="GPIO pin"</formula>
    </cfRule>
    <cfRule type="expression" dxfId="1034" priority="1004" stopIfTrue="1">
      <formula>K89="Dedicated pin"</formula>
    </cfRule>
  </conditionalFormatting>
  <conditionalFormatting sqref="J64">
    <cfRule type="expression" dxfId="1033" priority="1017" stopIfTrue="1">
      <formula>J64="GPIO pin"</formula>
    </cfRule>
    <cfRule type="expression" dxfId="1032" priority="1018" stopIfTrue="1">
      <formula>J64="Dedicated pin"</formula>
    </cfRule>
  </conditionalFormatting>
  <conditionalFormatting sqref="Q138">
    <cfRule type="expression" dxfId="1031" priority="1091" stopIfTrue="1">
      <formula>Q138="GPIO pin"</formula>
    </cfRule>
    <cfRule type="expression" dxfId="1030" priority="1092" stopIfTrue="1">
      <formula>Q138="Dedicated pin"</formula>
    </cfRule>
  </conditionalFormatting>
  <conditionalFormatting sqref="Q138">
    <cfRule type="expression" dxfId="1029" priority="1089" stopIfTrue="1">
      <formula>Q138="GPIO pin"</formula>
    </cfRule>
    <cfRule type="expression" dxfId="1028" priority="1090" stopIfTrue="1">
      <formula>Q138="Dedicated pin"</formula>
    </cfRule>
  </conditionalFormatting>
  <conditionalFormatting sqref="Q138">
    <cfRule type="expression" dxfId="1027" priority="1087" stopIfTrue="1">
      <formula>Q138="GPIO pin"</formula>
    </cfRule>
    <cfRule type="expression" dxfId="1026" priority="1088" stopIfTrue="1">
      <formula>Q138="Dedicated pin"</formula>
    </cfRule>
  </conditionalFormatting>
  <conditionalFormatting sqref="Q138">
    <cfRule type="expression" dxfId="1025" priority="1085" stopIfTrue="1">
      <formula>Q138="GPIO pin"</formula>
    </cfRule>
    <cfRule type="expression" dxfId="1024" priority="1086" stopIfTrue="1">
      <formula>Q138="Dedicated pin"</formula>
    </cfRule>
  </conditionalFormatting>
  <conditionalFormatting sqref="Q138">
    <cfRule type="expression" dxfId="1023" priority="1083" stopIfTrue="1">
      <formula>Q138="GPIO pin"</formula>
    </cfRule>
    <cfRule type="expression" dxfId="1022" priority="1084" stopIfTrue="1">
      <formula>Q138="Dedicated pin"</formula>
    </cfRule>
  </conditionalFormatting>
  <conditionalFormatting sqref="Q138">
    <cfRule type="expression" dxfId="1021" priority="1081" stopIfTrue="1">
      <formula>Q138="GPIO pin"</formula>
    </cfRule>
    <cfRule type="expression" dxfId="1020" priority="1082" stopIfTrue="1">
      <formula>Q138="Dedicated pin"</formula>
    </cfRule>
  </conditionalFormatting>
  <conditionalFormatting sqref="Q138">
    <cfRule type="expression" dxfId="1019" priority="1079" stopIfTrue="1">
      <formula>Q138="GPIO pin"</formula>
    </cfRule>
    <cfRule type="expression" dxfId="1018" priority="1080" stopIfTrue="1">
      <formula>Q138="Dedicated pin"</formula>
    </cfRule>
  </conditionalFormatting>
  <conditionalFormatting sqref="Q138">
    <cfRule type="expression" dxfId="1017" priority="1077" stopIfTrue="1">
      <formula>Q138="GPIO pin"</formula>
    </cfRule>
    <cfRule type="expression" dxfId="1016" priority="1078" stopIfTrue="1">
      <formula>Q138="Dedicated pin"</formula>
    </cfRule>
  </conditionalFormatting>
  <conditionalFormatting sqref="Q138">
    <cfRule type="expression" dxfId="1015" priority="1075" stopIfTrue="1">
      <formula>Q138="GPIO pin"</formula>
    </cfRule>
    <cfRule type="expression" dxfId="1014" priority="1076" stopIfTrue="1">
      <formula>Q138="Dedicated pin"</formula>
    </cfRule>
  </conditionalFormatting>
  <conditionalFormatting sqref="Q138">
    <cfRule type="expression" dxfId="1013" priority="1073" stopIfTrue="1">
      <formula>Q138="GPIO pin"</formula>
    </cfRule>
    <cfRule type="expression" dxfId="1012" priority="1074" stopIfTrue="1">
      <formula>Q138="Dedicated pin"</formula>
    </cfRule>
  </conditionalFormatting>
  <conditionalFormatting sqref="Q138">
    <cfRule type="expression" dxfId="1011" priority="1071" stopIfTrue="1">
      <formula>Q138="GPIO pin"</formula>
    </cfRule>
    <cfRule type="expression" dxfId="1010" priority="1072" stopIfTrue="1">
      <formula>Q138="Dedicated pin"</formula>
    </cfRule>
  </conditionalFormatting>
  <conditionalFormatting sqref="Q138">
    <cfRule type="expression" dxfId="1009" priority="1069" stopIfTrue="1">
      <formula>Q138="GPIO pin"</formula>
    </cfRule>
    <cfRule type="expression" dxfId="1008" priority="1070" stopIfTrue="1">
      <formula>Q138="Dedicated pin"</formula>
    </cfRule>
  </conditionalFormatting>
  <conditionalFormatting sqref="Q138">
    <cfRule type="expression" dxfId="1007" priority="1067" stopIfTrue="1">
      <formula>Q138="GPIO pin"</formula>
    </cfRule>
    <cfRule type="expression" dxfId="1006" priority="1068" stopIfTrue="1">
      <formula>Q138="Dedicated pin"</formula>
    </cfRule>
  </conditionalFormatting>
  <conditionalFormatting sqref="Q138">
    <cfRule type="expression" dxfId="1005" priority="1065" stopIfTrue="1">
      <formula>Q138="GPIO pin"</formula>
    </cfRule>
    <cfRule type="expression" dxfId="1004" priority="1066" stopIfTrue="1">
      <formula>Q138="Dedicated pin"</formula>
    </cfRule>
  </conditionalFormatting>
  <conditionalFormatting sqref="Q138">
    <cfRule type="expression" dxfId="1003" priority="1063" stopIfTrue="1">
      <formula>Q138="GPIO pin"</formula>
    </cfRule>
    <cfRule type="expression" dxfId="1002" priority="1064" stopIfTrue="1">
      <formula>Q138="Dedicated pin"</formula>
    </cfRule>
  </conditionalFormatting>
  <conditionalFormatting sqref="Q138">
    <cfRule type="expression" dxfId="1001" priority="1061" stopIfTrue="1">
      <formula>Q138="GPIO pin"</formula>
    </cfRule>
    <cfRule type="expression" dxfId="1000" priority="1062" stopIfTrue="1">
      <formula>Q138="Dedicated pin"</formula>
    </cfRule>
  </conditionalFormatting>
  <conditionalFormatting sqref="Q138">
    <cfRule type="expression" dxfId="999" priority="1059" stopIfTrue="1">
      <formula>Q138="GPIO pin"</formula>
    </cfRule>
    <cfRule type="expression" dxfId="998" priority="1060" stopIfTrue="1">
      <formula>Q138="Dedicated pin"</formula>
    </cfRule>
  </conditionalFormatting>
  <conditionalFormatting sqref="Q138">
    <cfRule type="expression" dxfId="997" priority="1057" stopIfTrue="1">
      <formula>Q138="GPIO pin"</formula>
    </cfRule>
    <cfRule type="expression" dxfId="996" priority="1058" stopIfTrue="1">
      <formula>Q138="Dedicated pin"</formula>
    </cfRule>
  </conditionalFormatting>
  <conditionalFormatting sqref="Q138">
    <cfRule type="expression" dxfId="995" priority="1055" stopIfTrue="1">
      <formula>Q138="GPIO pin"</formula>
    </cfRule>
    <cfRule type="expression" dxfId="994" priority="1056" stopIfTrue="1">
      <formula>Q138="Dedicated pin"</formula>
    </cfRule>
  </conditionalFormatting>
  <conditionalFormatting sqref="Q138">
    <cfRule type="expression" dxfId="993" priority="1053" stopIfTrue="1">
      <formula>Q138="GPIO pin"</formula>
    </cfRule>
    <cfRule type="expression" dxfId="992" priority="1054" stopIfTrue="1">
      <formula>Q138="Dedicated pin"</formula>
    </cfRule>
  </conditionalFormatting>
  <conditionalFormatting sqref="Q138">
    <cfRule type="expression" dxfId="991" priority="1051" stopIfTrue="1">
      <formula>Q138="GPIO pin"</formula>
    </cfRule>
    <cfRule type="expression" dxfId="990" priority="1052" stopIfTrue="1">
      <formula>Q138="Dedicated pin"</formula>
    </cfRule>
  </conditionalFormatting>
  <conditionalFormatting sqref="Q138">
    <cfRule type="expression" dxfId="989" priority="1049" stopIfTrue="1">
      <formula>Q138="GPIO pin"</formula>
    </cfRule>
    <cfRule type="expression" dxfId="988" priority="1050" stopIfTrue="1">
      <formula>Q138="Dedicated pin"</formula>
    </cfRule>
  </conditionalFormatting>
  <conditionalFormatting sqref="Q138">
    <cfRule type="expression" dxfId="987" priority="1047" stopIfTrue="1">
      <formula>Q138="GPIO pin"</formula>
    </cfRule>
    <cfRule type="expression" dxfId="986" priority="1048" stopIfTrue="1">
      <formula>Q138="Dedicated pin"</formula>
    </cfRule>
  </conditionalFormatting>
  <conditionalFormatting sqref="Q138">
    <cfRule type="expression" dxfId="985" priority="1045" stopIfTrue="1">
      <formula>Q138="GPIO pin"</formula>
    </cfRule>
    <cfRule type="expression" dxfId="984" priority="1046" stopIfTrue="1">
      <formula>Q138="Dedicated pin"</formula>
    </cfRule>
  </conditionalFormatting>
  <conditionalFormatting sqref="Q138">
    <cfRule type="expression" dxfId="983" priority="1043" stopIfTrue="1">
      <formula>Q138="GPIO pin"</formula>
    </cfRule>
    <cfRule type="expression" dxfId="982" priority="1044" stopIfTrue="1">
      <formula>Q138="Dedicated pin"</formula>
    </cfRule>
  </conditionalFormatting>
  <conditionalFormatting sqref="Q138">
    <cfRule type="expression" dxfId="981" priority="1041" stopIfTrue="1">
      <formula>Q138="GPIO pin"</formula>
    </cfRule>
    <cfRule type="expression" dxfId="980" priority="1042" stopIfTrue="1">
      <formula>Q138="Dedicated pin"</formula>
    </cfRule>
  </conditionalFormatting>
  <conditionalFormatting sqref="Q138">
    <cfRule type="expression" dxfId="979" priority="1039" stopIfTrue="1">
      <formula>Q138="GPIO pin"</formula>
    </cfRule>
    <cfRule type="expression" dxfId="978" priority="1040" stopIfTrue="1">
      <formula>Q138="Dedicated pin"</formula>
    </cfRule>
  </conditionalFormatting>
  <conditionalFormatting sqref="Q138">
    <cfRule type="expression" dxfId="977" priority="1037" stopIfTrue="1">
      <formula>Q138="GPIO pin"</formula>
    </cfRule>
    <cfRule type="expression" dxfId="976" priority="1038" stopIfTrue="1">
      <formula>Q138="Dedicated pin"</formula>
    </cfRule>
  </conditionalFormatting>
  <conditionalFormatting sqref="J19">
    <cfRule type="expression" dxfId="975" priority="1031" stopIfTrue="1">
      <formula>J19="GPIO pin"</formula>
    </cfRule>
    <cfRule type="expression" dxfId="974" priority="1032" stopIfTrue="1">
      <formula>J19="Dedicated pin"</formula>
    </cfRule>
  </conditionalFormatting>
  <conditionalFormatting sqref="J18">
    <cfRule type="expression" dxfId="973" priority="1033" stopIfTrue="1">
      <formula>J18="GPIO pin"</formula>
    </cfRule>
    <cfRule type="expression" dxfId="972" priority="1034" stopIfTrue="1">
      <formula>J18="Dedicated pin"</formula>
    </cfRule>
  </conditionalFormatting>
  <conditionalFormatting sqref="J26:J27">
    <cfRule type="expression" dxfId="971" priority="1029" stopIfTrue="1">
      <formula>J26="GPIO pin"</formula>
    </cfRule>
    <cfRule type="expression" dxfId="970" priority="1030" stopIfTrue="1">
      <formula>J26="Dedicated pin"</formula>
    </cfRule>
  </conditionalFormatting>
  <conditionalFormatting sqref="J37">
    <cfRule type="expression" dxfId="969" priority="1027" stopIfTrue="1">
      <formula>J37="GPIO pin"</formula>
    </cfRule>
    <cfRule type="expression" dxfId="968" priority="1028" stopIfTrue="1">
      <formula>J37="Dedicated pin"</formula>
    </cfRule>
  </conditionalFormatting>
  <conditionalFormatting sqref="J38:J39">
    <cfRule type="expression" dxfId="967" priority="1025" stopIfTrue="1">
      <formula>J38="GPIO pin"</formula>
    </cfRule>
    <cfRule type="expression" dxfId="966" priority="1026" stopIfTrue="1">
      <formula>J38="Dedicated pin"</formula>
    </cfRule>
  </conditionalFormatting>
  <conditionalFormatting sqref="K51">
    <cfRule type="expression" dxfId="965" priority="1023" stopIfTrue="1">
      <formula>K51="GPIO pin"</formula>
    </cfRule>
    <cfRule type="expression" dxfId="964" priority="1024" stopIfTrue="1">
      <formula>K51="Dedicated pin"</formula>
    </cfRule>
  </conditionalFormatting>
  <conditionalFormatting sqref="K49">
    <cfRule type="expression" dxfId="963" priority="1021" stopIfTrue="1">
      <formula>K49="GPIO pin"</formula>
    </cfRule>
    <cfRule type="expression" dxfId="962" priority="1022" stopIfTrue="1">
      <formula>K49="Dedicated pin"</formula>
    </cfRule>
  </conditionalFormatting>
  <conditionalFormatting sqref="J59">
    <cfRule type="expression" dxfId="961" priority="1019" stopIfTrue="1">
      <formula>J59="GPIO pin"</formula>
    </cfRule>
    <cfRule type="expression" dxfId="960" priority="1020" stopIfTrue="1">
      <formula>J59="Dedicated pin"</formula>
    </cfRule>
  </conditionalFormatting>
  <conditionalFormatting sqref="K68">
    <cfRule type="expression" dxfId="959" priority="1015" stopIfTrue="1">
      <formula>K68="GPIO pin"</formula>
    </cfRule>
    <cfRule type="expression" dxfId="958" priority="1016" stopIfTrue="1">
      <formula>K68="Dedicated pin"</formula>
    </cfRule>
  </conditionalFormatting>
  <conditionalFormatting sqref="K69">
    <cfRule type="expression" dxfId="957" priority="1013" stopIfTrue="1">
      <formula>K69="GPIO pin"</formula>
    </cfRule>
    <cfRule type="expression" dxfId="956" priority="1014" stopIfTrue="1">
      <formula>K69="Dedicated pin"</formula>
    </cfRule>
  </conditionalFormatting>
  <conditionalFormatting sqref="J113">
    <cfRule type="expression" dxfId="955" priority="999" stopIfTrue="1">
      <formula>J113="GPIO pin"</formula>
    </cfRule>
    <cfRule type="expression" dxfId="954" priority="1000" stopIfTrue="1">
      <formula>J113="Dedicated pin"</formula>
    </cfRule>
  </conditionalFormatting>
  <conditionalFormatting sqref="K84">
    <cfRule type="expression" dxfId="953" priority="1011" stopIfTrue="1">
      <formula>K84="GPIO pin"</formula>
    </cfRule>
    <cfRule type="expression" dxfId="952" priority="1012" stopIfTrue="1">
      <formula>K84="Dedicated pin"</formula>
    </cfRule>
  </conditionalFormatting>
  <conditionalFormatting sqref="K85">
    <cfRule type="expression" dxfId="951" priority="1009" stopIfTrue="1">
      <formula>K85="GPIO pin"</formula>
    </cfRule>
    <cfRule type="expression" dxfId="950" priority="1010" stopIfTrue="1">
      <formula>K85="Dedicated pin"</formula>
    </cfRule>
  </conditionalFormatting>
  <conditionalFormatting sqref="K86">
    <cfRule type="expression" dxfId="949" priority="1007" stopIfTrue="1">
      <formula>K86="GPIO pin"</formula>
    </cfRule>
    <cfRule type="expression" dxfId="948" priority="1008" stopIfTrue="1">
      <formula>K86="Dedicated pin"</formula>
    </cfRule>
  </conditionalFormatting>
  <conditionalFormatting sqref="K88">
    <cfRule type="expression" dxfId="947" priority="1005" stopIfTrue="1">
      <formula>K88="GPIO pin"</formula>
    </cfRule>
    <cfRule type="expression" dxfId="946" priority="1006" stopIfTrue="1">
      <formula>K88="Dedicated pin"</formula>
    </cfRule>
  </conditionalFormatting>
  <conditionalFormatting sqref="J127">
    <cfRule type="expression" dxfId="945" priority="997" stopIfTrue="1">
      <formula>J127="GPIO pin"</formula>
    </cfRule>
    <cfRule type="expression" dxfId="944" priority="998" stopIfTrue="1">
      <formula>J127="Dedicated pin"</formula>
    </cfRule>
  </conditionalFormatting>
  <conditionalFormatting sqref="J131">
    <cfRule type="expression" dxfId="943" priority="995" stopIfTrue="1">
      <formula>J131="GPIO pin"</formula>
    </cfRule>
    <cfRule type="expression" dxfId="942" priority="996" stopIfTrue="1">
      <formula>J131="Dedicated pin"</formula>
    </cfRule>
  </conditionalFormatting>
  <conditionalFormatting sqref="J135">
    <cfRule type="expression" dxfId="941" priority="993" stopIfTrue="1">
      <formula>J135="GPIO pin"</formula>
    </cfRule>
    <cfRule type="expression" dxfId="940" priority="994" stopIfTrue="1">
      <formula>J135="Dedicated pin"</formula>
    </cfRule>
  </conditionalFormatting>
  <conditionalFormatting sqref="J136">
    <cfRule type="expression" dxfId="939" priority="991" stopIfTrue="1">
      <formula>J136="GPIO pin"</formula>
    </cfRule>
    <cfRule type="expression" dxfId="938" priority="992" stopIfTrue="1">
      <formula>J136="Dedicated pin"</formula>
    </cfRule>
  </conditionalFormatting>
  <conditionalFormatting sqref="P58">
    <cfRule type="expression" dxfId="937" priority="881" stopIfTrue="1">
      <formula>P58="GPIO pin"</formula>
    </cfRule>
    <cfRule type="expression" dxfId="936" priority="882" stopIfTrue="1">
      <formula>P58="Dedicated pin"</formula>
    </cfRule>
  </conditionalFormatting>
  <conditionalFormatting sqref="P110">
    <cfRule type="expression" dxfId="935" priority="841" stopIfTrue="1">
      <formula>P110="GPIO pin"</formula>
    </cfRule>
    <cfRule type="expression" dxfId="934" priority="842" stopIfTrue="1">
      <formula>P110="Dedicated pin"</formula>
    </cfRule>
  </conditionalFormatting>
  <conditionalFormatting sqref="P111">
    <cfRule type="expression" dxfId="933" priority="839" stopIfTrue="1">
      <formula>P111="GPIO pin"</formula>
    </cfRule>
    <cfRule type="expression" dxfId="932" priority="840" stopIfTrue="1">
      <formula>P111="Dedicated pin"</formula>
    </cfRule>
  </conditionalFormatting>
  <conditionalFormatting sqref="P13">
    <cfRule type="expression" dxfId="931" priority="989" stopIfTrue="1">
      <formula>P13="GPIO pin"</formula>
    </cfRule>
    <cfRule type="expression" dxfId="930" priority="990" stopIfTrue="1">
      <formula>P13="Dedicated pin"</formula>
    </cfRule>
  </conditionalFormatting>
  <conditionalFormatting sqref="P12">
    <cfRule type="expression" dxfId="929" priority="987" stopIfTrue="1">
      <formula>P12="GPIO pin"</formula>
    </cfRule>
    <cfRule type="expression" dxfId="928" priority="988" stopIfTrue="1">
      <formula>P12="Dedicated pin"</formula>
    </cfRule>
  </conditionalFormatting>
  <conditionalFormatting sqref="P14">
    <cfRule type="expression" dxfId="927" priority="985" stopIfTrue="1">
      <formula>P14="GPIO pin"</formula>
    </cfRule>
    <cfRule type="expression" dxfId="926" priority="986" stopIfTrue="1">
      <formula>P14="Dedicated pin"</formula>
    </cfRule>
  </conditionalFormatting>
  <conditionalFormatting sqref="P15">
    <cfRule type="expression" dxfId="925" priority="983" stopIfTrue="1">
      <formula>P15="GPIO pin"</formula>
    </cfRule>
    <cfRule type="expression" dxfId="924" priority="984" stopIfTrue="1">
      <formula>P15="Dedicated pin"</formula>
    </cfRule>
  </conditionalFormatting>
  <conditionalFormatting sqref="P16">
    <cfRule type="expression" dxfId="923" priority="981" stopIfTrue="1">
      <formula>P16="GPIO pin"</formula>
    </cfRule>
    <cfRule type="expression" dxfId="922" priority="982" stopIfTrue="1">
      <formula>P16="Dedicated pin"</formula>
    </cfRule>
  </conditionalFormatting>
  <conditionalFormatting sqref="Q23:Q25">
    <cfRule type="expression" dxfId="921" priority="979" stopIfTrue="1">
      <formula>Q23="GPIO pin"</formula>
    </cfRule>
    <cfRule type="expression" dxfId="920" priority="980" stopIfTrue="1">
      <formula>Q23="Dedicated pin"</formula>
    </cfRule>
  </conditionalFormatting>
  <conditionalFormatting sqref="Q23:Q25">
    <cfRule type="expression" dxfId="919" priority="977" stopIfTrue="1">
      <formula>Q23="GPIO pin"</formula>
    </cfRule>
    <cfRule type="expression" dxfId="918" priority="978" stopIfTrue="1">
      <formula>Q23="Dedicated pin"</formula>
    </cfRule>
  </conditionalFormatting>
  <conditionalFormatting sqref="Q23:Q25">
    <cfRule type="expression" dxfId="917" priority="975" stopIfTrue="1">
      <formula>Q23="GPIO pin"</formula>
    </cfRule>
    <cfRule type="expression" dxfId="916" priority="976" stopIfTrue="1">
      <formula>Q23="Dedicated pin"</formula>
    </cfRule>
  </conditionalFormatting>
  <conditionalFormatting sqref="Q23:Q25">
    <cfRule type="expression" dxfId="915" priority="973" stopIfTrue="1">
      <formula>Q23="GPIO pin"</formula>
    </cfRule>
    <cfRule type="expression" dxfId="914" priority="974" stopIfTrue="1">
      <formula>Q23="Dedicated pin"</formula>
    </cfRule>
  </conditionalFormatting>
  <conditionalFormatting sqref="Q23:Q25">
    <cfRule type="expression" dxfId="913" priority="971" stopIfTrue="1">
      <formula>Q23="GPIO pin"</formula>
    </cfRule>
    <cfRule type="expression" dxfId="912" priority="972" stopIfTrue="1">
      <formula>Q23="Dedicated pin"</formula>
    </cfRule>
  </conditionalFormatting>
  <conditionalFormatting sqref="Q23:Q25">
    <cfRule type="expression" dxfId="911" priority="969" stopIfTrue="1">
      <formula>Q23="GPIO pin"</formula>
    </cfRule>
    <cfRule type="expression" dxfId="910" priority="970" stopIfTrue="1">
      <formula>Q23="Dedicated pin"</formula>
    </cfRule>
  </conditionalFormatting>
  <conditionalFormatting sqref="Q23:Q25">
    <cfRule type="expression" dxfId="909" priority="967" stopIfTrue="1">
      <formula>Q23="GPIO pin"</formula>
    </cfRule>
    <cfRule type="expression" dxfId="908" priority="968" stopIfTrue="1">
      <formula>Q23="Dedicated pin"</formula>
    </cfRule>
  </conditionalFormatting>
  <conditionalFormatting sqref="Q23:Q25">
    <cfRule type="expression" dxfId="907" priority="965" stopIfTrue="1">
      <formula>Q23="GPIO pin"</formula>
    </cfRule>
    <cfRule type="expression" dxfId="906" priority="966" stopIfTrue="1">
      <formula>Q23="Dedicated pin"</formula>
    </cfRule>
  </conditionalFormatting>
  <conditionalFormatting sqref="Q23:Q25">
    <cfRule type="expression" dxfId="905" priority="963" stopIfTrue="1">
      <formula>Q23="GPIO pin"</formula>
    </cfRule>
    <cfRule type="expression" dxfId="904" priority="964" stopIfTrue="1">
      <formula>Q23="Dedicated pin"</formula>
    </cfRule>
  </conditionalFormatting>
  <conditionalFormatting sqref="Q23:Q25">
    <cfRule type="expression" dxfId="903" priority="961" stopIfTrue="1">
      <formula>Q23="GPIO pin"</formula>
    </cfRule>
    <cfRule type="expression" dxfId="902" priority="962" stopIfTrue="1">
      <formula>Q23="Dedicated pin"</formula>
    </cfRule>
  </conditionalFormatting>
  <conditionalFormatting sqref="Q23:Q25">
    <cfRule type="expression" dxfId="901" priority="959" stopIfTrue="1">
      <formula>Q23="GPIO pin"</formula>
    </cfRule>
    <cfRule type="expression" dxfId="900" priority="960" stopIfTrue="1">
      <formula>Q23="Dedicated pin"</formula>
    </cfRule>
  </conditionalFormatting>
  <conditionalFormatting sqref="Q23:Q25">
    <cfRule type="expression" dxfId="899" priority="957" stopIfTrue="1">
      <formula>Q23="GPIO pin"</formula>
    </cfRule>
    <cfRule type="expression" dxfId="898" priority="958" stopIfTrue="1">
      <formula>Q23="Dedicated pin"</formula>
    </cfRule>
  </conditionalFormatting>
  <conditionalFormatting sqref="Q23:Q25">
    <cfRule type="expression" dxfId="897" priority="955" stopIfTrue="1">
      <formula>Q23="GPIO pin"</formula>
    </cfRule>
    <cfRule type="expression" dxfId="896" priority="956" stopIfTrue="1">
      <formula>Q23="Dedicated pin"</formula>
    </cfRule>
  </conditionalFormatting>
  <conditionalFormatting sqref="Q23:Q25">
    <cfRule type="expression" dxfId="895" priority="953" stopIfTrue="1">
      <formula>Q23="GPIO pin"</formula>
    </cfRule>
    <cfRule type="expression" dxfId="894" priority="954" stopIfTrue="1">
      <formula>Q23="Dedicated pin"</formula>
    </cfRule>
  </conditionalFormatting>
  <conditionalFormatting sqref="Q35">
    <cfRule type="expression" dxfId="893" priority="951" stopIfTrue="1">
      <formula>Q35="GPIO pin"</formula>
    </cfRule>
    <cfRule type="expression" dxfId="892" priority="952" stopIfTrue="1">
      <formula>Q35="Dedicated pin"</formula>
    </cfRule>
  </conditionalFormatting>
  <conditionalFormatting sqref="Q35">
    <cfRule type="expression" dxfId="891" priority="949" stopIfTrue="1">
      <formula>Q35="GPIO pin"</formula>
    </cfRule>
    <cfRule type="expression" dxfId="890" priority="950" stopIfTrue="1">
      <formula>Q35="Dedicated pin"</formula>
    </cfRule>
  </conditionalFormatting>
  <conditionalFormatting sqref="Q35">
    <cfRule type="expression" dxfId="889" priority="947" stopIfTrue="1">
      <formula>Q35="GPIO pin"</formula>
    </cfRule>
    <cfRule type="expression" dxfId="888" priority="948" stopIfTrue="1">
      <formula>Q35="Dedicated pin"</formula>
    </cfRule>
  </conditionalFormatting>
  <conditionalFormatting sqref="Q35">
    <cfRule type="expression" dxfId="887" priority="945" stopIfTrue="1">
      <formula>Q35="GPIO pin"</formula>
    </cfRule>
    <cfRule type="expression" dxfId="886" priority="946" stopIfTrue="1">
      <formula>Q35="Dedicated pin"</formula>
    </cfRule>
  </conditionalFormatting>
  <conditionalFormatting sqref="Q35">
    <cfRule type="expression" dxfId="885" priority="943" stopIfTrue="1">
      <formula>Q35="GPIO pin"</formula>
    </cfRule>
    <cfRule type="expression" dxfId="884" priority="944" stopIfTrue="1">
      <formula>Q35="Dedicated pin"</formula>
    </cfRule>
  </conditionalFormatting>
  <conditionalFormatting sqref="Q35">
    <cfRule type="expression" dxfId="883" priority="941" stopIfTrue="1">
      <formula>Q35="GPIO pin"</formula>
    </cfRule>
    <cfRule type="expression" dxfId="882" priority="942" stopIfTrue="1">
      <formula>Q35="Dedicated pin"</formula>
    </cfRule>
  </conditionalFormatting>
  <conditionalFormatting sqref="Q35">
    <cfRule type="expression" dxfId="881" priority="939" stopIfTrue="1">
      <formula>Q35="GPIO pin"</formula>
    </cfRule>
    <cfRule type="expression" dxfId="880" priority="940" stopIfTrue="1">
      <formula>Q35="Dedicated pin"</formula>
    </cfRule>
  </conditionalFormatting>
  <conditionalFormatting sqref="Q35">
    <cfRule type="expression" dxfId="879" priority="937" stopIfTrue="1">
      <formula>Q35="GPIO pin"</formula>
    </cfRule>
    <cfRule type="expression" dxfId="878" priority="938" stopIfTrue="1">
      <formula>Q35="Dedicated pin"</formula>
    </cfRule>
  </conditionalFormatting>
  <conditionalFormatting sqref="Q35">
    <cfRule type="expression" dxfId="877" priority="935" stopIfTrue="1">
      <formula>Q35="GPIO pin"</formula>
    </cfRule>
    <cfRule type="expression" dxfId="876" priority="936" stopIfTrue="1">
      <formula>Q35="Dedicated pin"</formula>
    </cfRule>
  </conditionalFormatting>
  <conditionalFormatting sqref="Q35">
    <cfRule type="expression" dxfId="875" priority="933" stopIfTrue="1">
      <formula>Q35="GPIO pin"</formula>
    </cfRule>
    <cfRule type="expression" dxfId="874" priority="934" stopIfTrue="1">
      <formula>Q35="Dedicated pin"</formula>
    </cfRule>
  </conditionalFormatting>
  <conditionalFormatting sqref="Q35">
    <cfRule type="expression" dxfId="873" priority="931" stopIfTrue="1">
      <formula>Q35="GPIO pin"</formula>
    </cfRule>
    <cfRule type="expression" dxfId="872" priority="932" stopIfTrue="1">
      <formula>Q35="Dedicated pin"</formula>
    </cfRule>
  </conditionalFormatting>
  <conditionalFormatting sqref="Q35">
    <cfRule type="expression" dxfId="871" priority="929" stopIfTrue="1">
      <formula>Q35="GPIO pin"</formula>
    </cfRule>
    <cfRule type="expression" dxfId="870" priority="930" stopIfTrue="1">
      <formula>Q35="Dedicated pin"</formula>
    </cfRule>
  </conditionalFormatting>
  <conditionalFormatting sqref="Q35">
    <cfRule type="expression" dxfId="869" priority="927" stopIfTrue="1">
      <formula>Q35="GPIO pin"</formula>
    </cfRule>
    <cfRule type="expression" dxfId="868" priority="928" stopIfTrue="1">
      <formula>Q35="Dedicated pin"</formula>
    </cfRule>
  </conditionalFormatting>
  <conditionalFormatting sqref="Q35">
    <cfRule type="expression" dxfId="867" priority="925" stopIfTrue="1">
      <formula>Q35="GPIO pin"</formula>
    </cfRule>
    <cfRule type="expression" dxfId="866" priority="926" stopIfTrue="1">
      <formula>Q35="Dedicated pin"</formula>
    </cfRule>
  </conditionalFormatting>
  <conditionalFormatting sqref="Q34">
    <cfRule type="expression" dxfId="865" priority="923" stopIfTrue="1">
      <formula>Q34="GPIO pin"</formula>
    </cfRule>
    <cfRule type="expression" dxfId="864" priority="924" stopIfTrue="1">
      <formula>Q34="Dedicated pin"</formula>
    </cfRule>
  </conditionalFormatting>
  <conditionalFormatting sqref="Q34">
    <cfRule type="expression" dxfId="863" priority="921" stopIfTrue="1">
      <formula>Q34="GPIO pin"</formula>
    </cfRule>
    <cfRule type="expression" dxfId="862" priority="922" stopIfTrue="1">
      <formula>Q34="Dedicated pin"</formula>
    </cfRule>
  </conditionalFormatting>
  <conditionalFormatting sqref="Q34">
    <cfRule type="expression" dxfId="861" priority="919" stopIfTrue="1">
      <formula>Q34="GPIO pin"</formula>
    </cfRule>
    <cfRule type="expression" dxfId="860" priority="920" stopIfTrue="1">
      <formula>Q34="Dedicated pin"</formula>
    </cfRule>
  </conditionalFormatting>
  <conditionalFormatting sqref="Q34">
    <cfRule type="expression" dxfId="859" priority="917" stopIfTrue="1">
      <formula>Q34="GPIO pin"</formula>
    </cfRule>
    <cfRule type="expression" dxfId="858" priority="918" stopIfTrue="1">
      <formula>Q34="Dedicated pin"</formula>
    </cfRule>
  </conditionalFormatting>
  <conditionalFormatting sqref="Q34">
    <cfRule type="expression" dxfId="857" priority="915" stopIfTrue="1">
      <formula>Q34="GPIO pin"</formula>
    </cfRule>
    <cfRule type="expression" dxfId="856" priority="916" stopIfTrue="1">
      <formula>Q34="Dedicated pin"</formula>
    </cfRule>
  </conditionalFormatting>
  <conditionalFormatting sqref="Q34">
    <cfRule type="expression" dxfId="855" priority="913" stopIfTrue="1">
      <formula>Q34="GPIO pin"</formula>
    </cfRule>
    <cfRule type="expression" dxfId="854" priority="914" stopIfTrue="1">
      <formula>Q34="Dedicated pin"</formula>
    </cfRule>
  </conditionalFormatting>
  <conditionalFormatting sqref="Q34">
    <cfRule type="expression" dxfId="853" priority="911" stopIfTrue="1">
      <formula>Q34="GPIO pin"</formula>
    </cfRule>
    <cfRule type="expression" dxfId="852" priority="912" stopIfTrue="1">
      <formula>Q34="Dedicated pin"</formula>
    </cfRule>
  </conditionalFormatting>
  <conditionalFormatting sqref="Q34">
    <cfRule type="expression" dxfId="851" priority="909" stopIfTrue="1">
      <formula>Q34="GPIO pin"</formula>
    </cfRule>
    <cfRule type="expression" dxfId="850" priority="910" stopIfTrue="1">
      <formula>Q34="Dedicated pin"</formula>
    </cfRule>
  </conditionalFormatting>
  <conditionalFormatting sqref="Q34">
    <cfRule type="expression" dxfId="849" priority="907" stopIfTrue="1">
      <formula>Q34="GPIO pin"</formula>
    </cfRule>
    <cfRule type="expression" dxfId="848" priority="908" stopIfTrue="1">
      <formula>Q34="Dedicated pin"</formula>
    </cfRule>
  </conditionalFormatting>
  <conditionalFormatting sqref="Q34">
    <cfRule type="expression" dxfId="847" priority="905" stopIfTrue="1">
      <formula>Q34="GPIO pin"</formula>
    </cfRule>
    <cfRule type="expression" dxfId="846" priority="906" stopIfTrue="1">
      <formula>Q34="Dedicated pin"</formula>
    </cfRule>
  </conditionalFormatting>
  <conditionalFormatting sqref="Q34">
    <cfRule type="expression" dxfId="845" priority="903" stopIfTrue="1">
      <formula>Q34="GPIO pin"</formula>
    </cfRule>
    <cfRule type="expression" dxfId="844" priority="904" stopIfTrue="1">
      <formula>Q34="Dedicated pin"</formula>
    </cfRule>
  </conditionalFormatting>
  <conditionalFormatting sqref="Q34">
    <cfRule type="expression" dxfId="843" priority="901" stopIfTrue="1">
      <formula>Q34="GPIO pin"</formula>
    </cfRule>
    <cfRule type="expression" dxfId="842" priority="902" stopIfTrue="1">
      <formula>Q34="Dedicated pin"</formula>
    </cfRule>
  </conditionalFormatting>
  <conditionalFormatting sqref="Q34">
    <cfRule type="expression" dxfId="841" priority="899" stopIfTrue="1">
      <formula>Q34="GPIO pin"</formula>
    </cfRule>
    <cfRule type="expression" dxfId="840" priority="900" stopIfTrue="1">
      <formula>Q34="Dedicated pin"</formula>
    </cfRule>
  </conditionalFormatting>
  <conditionalFormatting sqref="Q34">
    <cfRule type="expression" dxfId="839" priority="897" stopIfTrue="1">
      <formula>Q34="GPIO pin"</formula>
    </cfRule>
    <cfRule type="expression" dxfId="838" priority="898" stopIfTrue="1">
      <formula>Q34="Dedicated pin"</formula>
    </cfRule>
  </conditionalFormatting>
  <conditionalFormatting sqref="P36">
    <cfRule type="expression" dxfId="837" priority="885" stopIfTrue="1">
      <formula>P36="GPIO pin"</formula>
    </cfRule>
    <cfRule type="expression" dxfId="836" priority="886" stopIfTrue="1">
      <formula>P36="Dedicated pin"</formula>
    </cfRule>
  </conditionalFormatting>
  <conditionalFormatting sqref="P71:P72">
    <cfRule type="expression" dxfId="835" priority="895" stopIfTrue="1">
      <formula>P71="GPIO pin"</formula>
    </cfRule>
    <cfRule type="expression" dxfId="834" priority="896" stopIfTrue="1">
      <formula>P71="Dedicated pin"</formula>
    </cfRule>
  </conditionalFormatting>
  <conditionalFormatting sqref="P33">
    <cfRule type="expression" dxfId="833" priority="893" stopIfTrue="1">
      <formula>P33="GPIO pin"</formula>
    </cfRule>
    <cfRule type="expression" dxfId="832" priority="894" stopIfTrue="1">
      <formula>P33="Dedicated pin"</formula>
    </cfRule>
  </conditionalFormatting>
  <conditionalFormatting sqref="P32">
    <cfRule type="expression" dxfId="831" priority="891" stopIfTrue="1">
      <formula>P32="GPIO pin"</formula>
    </cfRule>
    <cfRule type="expression" dxfId="830" priority="892" stopIfTrue="1">
      <formula>P32="Dedicated pin"</formula>
    </cfRule>
  </conditionalFormatting>
  <conditionalFormatting sqref="Q72">
    <cfRule type="expression" dxfId="829" priority="865" stopIfTrue="1">
      <formula>Q72="GPIO pin"</formula>
    </cfRule>
    <cfRule type="expression" dxfId="828" priority="866" stopIfTrue="1">
      <formula>Q72="Dedicated pin"</formula>
    </cfRule>
  </conditionalFormatting>
  <conditionalFormatting sqref="Q36">
    <cfRule type="expression" dxfId="827" priority="889" stopIfTrue="1">
      <formula>Q36="GPIO pin"</formula>
    </cfRule>
    <cfRule type="expression" dxfId="826" priority="890" stopIfTrue="1">
      <formula>Q36="Dedicated pin"</formula>
    </cfRule>
  </conditionalFormatting>
  <conditionalFormatting sqref="Q38">
    <cfRule type="expression" dxfId="825" priority="887" stopIfTrue="1">
      <formula>Q38="GPIO pin"</formula>
    </cfRule>
    <cfRule type="expression" dxfId="824" priority="888" stopIfTrue="1">
      <formula>Q38="Dedicated pin"</formula>
    </cfRule>
  </conditionalFormatting>
  <conditionalFormatting sqref="P85:P91">
    <cfRule type="expression" dxfId="823" priority="851" stopIfTrue="1">
      <formula>P85="GPIO pin"</formula>
    </cfRule>
    <cfRule type="expression" dxfId="822" priority="852" stopIfTrue="1">
      <formula>P85="Dedicated pin"</formula>
    </cfRule>
  </conditionalFormatting>
  <conditionalFormatting sqref="Q48">
    <cfRule type="expression" dxfId="821" priority="883" stopIfTrue="1">
      <formula>Q48="GPIO pin"</formula>
    </cfRule>
    <cfRule type="expression" dxfId="820" priority="884" stopIfTrue="1">
      <formula>Q48="Dedicated pin"</formula>
    </cfRule>
  </conditionalFormatting>
  <conditionalFormatting sqref="P100">
    <cfRule type="expression" dxfId="819" priority="845" stopIfTrue="1">
      <formula>P100="GPIO pin"</formula>
    </cfRule>
    <cfRule type="expression" dxfId="818" priority="846" stopIfTrue="1">
      <formula>P100="Dedicated pin"</formula>
    </cfRule>
  </conditionalFormatting>
  <conditionalFormatting sqref="P101:P107">
    <cfRule type="expression" dxfId="817" priority="843" stopIfTrue="1">
      <formula>P101="GPIO pin"</formula>
    </cfRule>
    <cfRule type="expression" dxfId="816" priority="844" stopIfTrue="1">
      <formula>P101="Dedicated pin"</formula>
    </cfRule>
  </conditionalFormatting>
  <conditionalFormatting sqref="P59">
    <cfRule type="expression" dxfId="815" priority="879" stopIfTrue="1">
      <formula>P59="GPIO pin"</formula>
    </cfRule>
    <cfRule type="expression" dxfId="814" priority="880" stopIfTrue="1">
      <formula>P59="Dedicated pin"</formula>
    </cfRule>
  </conditionalFormatting>
  <conditionalFormatting sqref="Q62">
    <cfRule type="expression" dxfId="813" priority="877" stopIfTrue="1">
      <formula>Q62="GPIO pin"</formula>
    </cfRule>
    <cfRule type="expression" dxfId="812" priority="878" stopIfTrue="1">
      <formula>Q62="Dedicated pin"</formula>
    </cfRule>
  </conditionalFormatting>
  <conditionalFormatting sqref="Q63">
    <cfRule type="expression" dxfId="811" priority="875" stopIfTrue="1">
      <formula>Q63="GPIO pin"</formula>
    </cfRule>
    <cfRule type="expression" dxfId="810" priority="876" stopIfTrue="1">
      <formula>Q63="Dedicated pin"</formula>
    </cfRule>
  </conditionalFormatting>
  <conditionalFormatting sqref="P68">
    <cfRule type="expression" dxfId="809" priority="873" stopIfTrue="1">
      <formula>P68="GPIO pin"</formula>
    </cfRule>
    <cfRule type="expression" dxfId="808" priority="874" stopIfTrue="1">
      <formula>P68="Dedicated pin"</formula>
    </cfRule>
  </conditionalFormatting>
  <conditionalFormatting sqref="Q68">
    <cfRule type="expression" dxfId="807" priority="871" stopIfTrue="1">
      <formula>Q68="GPIO pin"</formula>
    </cfRule>
    <cfRule type="expression" dxfId="806" priority="872" stopIfTrue="1">
      <formula>Q68="Dedicated pin"</formula>
    </cfRule>
  </conditionalFormatting>
  <conditionalFormatting sqref="P69">
    <cfRule type="expression" dxfId="805" priority="869" stopIfTrue="1">
      <formula>P69="GPIO pin"</formula>
    </cfRule>
    <cfRule type="expression" dxfId="804" priority="870" stopIfTrue="1">
      <formula>P69="Dedicated pin"</formula>
    </cfRule>
  </conditionalFormatting>
  <conditionalFormatting sqref="Q71">
    <cfRule type="expression" dxfId="803" priority="867" stopIfTrue="1">
      <formula>Q71="GPIO pin"</formula>
    </cfRule>
    <cfRule type="expression" dxfId="802" priority="868" stopIfTrue="1">
      <formula>Q71="Dedicated pin"</formula>
    </cfRule>
  </conditionalFormatting>
  <conditionalFormatting sqref="P73">
    <cfRule type="expression" dxfId="801" priority="863" stopIfTrue="1">
      <formula>P73="GPIO pin"</formula>
    </cfRule>
    <cfRule type="expression" dxfId="800" priority="864" stopIfTrue="1">
      <formula>P73="Dedicated pin"</formula>
    </cfRule>
  </conditionalFormatting>
  <conditionalFormatting sqref="P74">
    <cfRule type="expression" dxfId="799" priority="861" stopIfTrue="1">
      <formula>P74="GPIO pin"</formula>
    </cfRule>
    <cfRule type="expression" dxfId="798" priority="862" stopIfTrue="1">
      <formula>P74="Dedicated pin"</formula>
    </cfRule>
  </conditionalFormatting>
  <conditionalFormatting sqref="P75">
    <cfRule type="expression" dxfId="797" priority="859" stopIfTrue="1">
      <formula>P75="GPIO pin"</formula>
    </cfRule>
    <cfRule type="expression" dxfId="796" priority="860" stopIfTrue="1">
      <formula>P75="Dedicated pin"</formula>
    </cfRule>
  </conditionalFormatting>
  <conditionalFormatting sqref="Q75">
    <cfRule type="expression" dxfId="795" priority="857" stopIfTrue="1">
      <formula>Q75="GPIO pin"</formula>
    </cfRule>
    <cfRule type="expression" dxfId="794" priority="858" stopIfTrue="1">
      <formula>Q75="Dedicated pin"</formula>
    </cfRule>
  </conditionalFormatting>
  <conditionalFormatting sqref="Q27">
    <cfRule type="expression" dxfId="793" priority="855" stopIfTrue="1">
      <formula>Q27="GPIO pin"</formula>
    </cfRule>
    <cfRule type="expression" dxfId="792" priority="856" stopIfTrue="1">
      <formula>Q27="Dedicated pin"</formula>
    </cfRule>
  </conditionalFormatting>
  <conditionalFormatting sqref="P84">
    <cfRule type="expression" dxfId="791" priority="853" stopIfTrue="1">
      <formula>P84="GPIO pin"</formula>
    </cfRule>
    <cfRule type="expression" dxfId="790" priority="854" stopIfTrue="1">
      <formula>P84="Dedicated pin"</formula>
    </cfRule>
  </conditionalFormatting>
  <conditionalFormatting sqref="P92">
    <cfRule type="expression" dxfId="789" priority="849" stopIfTrue="1">
      <formula>P92="GPIO pin"</formula>
    </cfRule>
    <cfRule type="expression" dxfId="788" priority="850" stopIfTrue="1">
      <formula>P92="Dedicated pin"</formula>
    </cfRule>
  </conditionalFormatting>
  <conditionalFormatting sqref="P93:P99">
    <cfRule type="expression" dxfId="787" priority="847" stopIfTrue="1">
      <formula>P93="GPIO pin"</formula>
    </cfRule>
    <cfRule type="expression" dxfId="786" priority="848" stopIfTrue="1">
      <formula>P93="Dedicated pin"</formula>
    </cfRule>
  </conditionalFormatting>
  <conditionalFormatting sqref="J121 J123">
    <cfRule type="expression" dxfId="785" priority="837" stopIfTrue="1">
      <formula>J121="GPIO pin"</formula>
    </cfRule>
    <cfRule type="expression" dxfId="784" priority="838" stopIfTrue="1">
      <formula>J121="Dedicated pin"</formula>
    </cfRule>
  </conditionalFormatting>
  <conditionalFormatting sqref="Q152">
    <cfRule type="expression" dxfId="783" priority="835" stopIfTrue="1">
      <formula>Q152="GPIO pin"</formula>
    </cfRule>
    <cfRule type="expression" dxfId="782" priority="836" stopIfTrue="1">
      <formula>Q152="Dedicated pin"</formula>
    </cfRule>
  </conditionalFormatting>
  <conditionalFormatting sqref="Q153">
    <cfRule type="expression" dxfId="781" priority="833" stopIfTrue="1">
      <formula>Q153="GPIO pin"</formula>
    </cfRule>
    <cfRule type="expression" dxfId="780" priority="834" stopIfTrue="1">
      <formula>Q153="Dedicated pin"</formula>
    </cfRule>
  </conditionalFormatting>
  <conditionalFormatting sqref="Q154">
    <cfRule type="expression" dxfId="779" priority="831" stopIfTrue="1">
      <formula>Q154="GPIO pin"</formula>
    </cfRule>
    <cfRule type="expression" dxfId="778" priority="832" stopIfTrue="1">
      <formula>Q154="Dedicated pin"</formula>
    </cfRule>
  </conditionalFormatting>
  <conditionalFormatting sqref="Q155">
    <cfRule type="expression" dxfId="777" priority="829" stopIfTrue="1">
      <formula>Q155="GPIO pin"</formula>
    </cfRule>
    <cfRule type="expression" dxfId="776" priority="830" stopIfTrue="1">
      <formula>Q155="Dedicated pin"</formula>
    </cfRule>
  </conditionalFormatting>
  <conditionalFormatting sqref="P70">
    <cfRule type="expression" dxfId="775" priority="827" stopIfTrue="1">
      <formula>P70="GPIO pin"</formula>
    </cfRule>
    <cfRule type="expression" dxfId="774" priority="828" stopIfTrue="1">
      <formula>P70="Dedicated pin"</formula>
    </cfRule>
  </conditionalFormatting>
  <conditionalFormatting sqref="Q70">
    <cfRule type="expression" dxfId="773" priority="825" stopIfTrue="1">
      <formula>Q70="GPIO pin"</formula>
    </cfRule>
    <cfRule type="expression" dxfId="772" priority="826" stopIfTrue="1">
      <formula>Q70="Dedicated pin"</formula>
    </cfRule>
  </conditionalFormatting>
  <conditionalFormatting sqref="K124">
    <cfRule type="expression" dxfId="771" priority="823" stopIfTrue="1">
      <formula>K124="GPIO pin"</formula>
    </cfRule>
    <cfRule type="expression" dxfId="770" priority="824" stopIfTrue="1">
      <formula>K124="Dedicated pin"</formula>
    </cfRule>
  </conditionalFormatting>
  <conditionalFormatting sqref="K125:K126">
    <cfRule type="expression" dxfId="769" priority="821" stopIfTrue="1">
      <formula>K125="GPIO pin"</formula>
    </cfRule>
    <cfRule type="expression" dxfId="768" priority="822" stopIfTrue="1">
      <formula>K125="Dedicated pin"</formula>
    </cfRule>
  </conditionalFormatting>
  <conditionalFormatting sqref="J74">
    <cfRule type="expression" dxfId="767" priority="819" stopIfTrue="1">
      <formula>J74="GPIO pin"</formula>
    </cfRule>
    <cfRule type="expression" dxfId="766" priority="820" stopIfTrue="1">
      <formula>J74="Dedicated pin"</formula>
    </cfRule>
  </conditionalFormatting>
  <conditionalFormatting sqref="P160">
    <cfRule type="expression" dxfId="765" priority="817" stopIfTrue="1">
      <formula>P160="GPIO pin"</formula>
    </cfRule>
    <cfRule type="expression" dxfId="764" priority="818" stopIfTrue="1">
      <formula>P160="Dedicated pin"</formula>
    </cfRule>
  </conditionalFormatting>
  <conditionalFormatting sqref="P160">
    <cfRule type="expression" dxfId="763" priority="815" stopIfTrue="1">
      <formula>P160="GPIO pin"</formula>
    </cfRule>
    <cfRule type="expression" dxfId="762" priority="816" stopIfTrue="1">
      <formula>P160="Dedicated pin"</formula>
    </cfRule>
  </conditionalFormatting>
  <conditionalFormatting sqref="P160">
    <cfRule type="expression" dxfId="761" priority="813" stopIfTrue="1">
      <formula>P160="GPIO pin"</formula>
    </cfRule>
    <cfRule type="expression" dxfId="760" priority="814" stopIfTrue="1">
      <formula>P160="Dedicated pin"</formula>
    </cfRule>
  </conditionalFormatting>
  <conditionalFormatting sqref="P160">
    <cfRule type="expression" dxfId="759" priority="811" stopIfTrue="1">
      <formula>P160="GPIO pin"</formula>
    </cfRule>
    <cfRule type="expression" dxfId="758" priority="812" stopIfTrue="1">
      <formula>P160="Dedicated pin"</formula>
    </cfRule>
  </conditionalFormatting>
  <conditionalFormatting sqref="P160">
    <cfRule type="expression" dxfId="757" priority="809" stopIfTrue="1">
      <formula>P160="GPIO pin"</formula>
    </cfRule>
    <cfRule type="expression" dxfId="756" priority="810" stopIfTrue="1">
      <formula>P160="Dedicated pin"</formula>
    </cfRule>
  </conditionalFormatting>
  <conditionalFormatting sqref="P160">
    <cfRule type="expression" dxfId="755" priority="807" stopIfTrue="1">
      <formula>P160="GPIO pin"</formula>
    </cfRule>
    <cfRule type="expression" dxfId="754" priority="808" stopIfTrue="1">
      <formula>P160="Dedicated pin"</formula>
    </cfRule>
  </conditionalFormatting>
  <conditionalFormatting sqref="P160">
    <cfRule type="expression" dxfId="753" priority="805" stopIfTrue="1">
      <formula>P160="GPIO pin"</formula>
    </cfRule>
    <cfRule type="expression" dxfId="752" priority="806" stopIfTrue="1">
      <formula>P160="Dedicated pin"</formula>
    </cfRule>
  </conditionalFormatting>
  <conditionalFormatting sqref="P160">
    <cfRule type="expression" dxfId="751" priority="803" stopIfTrue="1">
      <formula>P160="GPIO pin"</formula>
    </cfRule>
    <cfRule type="expression" dxfId="750" priority="804" stopIfTrue="1">
      <formula>P160="Dedicated pin"</formula>
    </cfRule>
  </conditionalFormatting>
  <conditionalFormatting sqref="P160">
    <cfRule type="expression" dxfId="749" priority="801" stopIfTrue="1">
      <formula>P160="GPIO pin"</formula>
    </cfRule>
    <cfRule type="expression" dxfId="748" priority="802" stopIfTrue="1">
      <formula>P160="Dedicated pin"</formula>
    </cfRule>
  </conditionalFormatting>
  <conditionalFormatting sqref="P160">
    <cfRule type="expression" dxfId="747" priority="799" stopIfTrue="1">
      <formula>P160="GPIO pin"</formula>
    </cfRule>
    <cfRule type="expression" dxfId="746" priority="800" stopIfTrue="1">
      <formula>P160="Dedicated pin"</formula>
    </cfRule>
  </conditionalFormatting>
  <conditionalFormatting sqref="P160">
    <cfRule type="expression" dxfId="745" priority="797" stopIfTrue="1">
      <formula>P160="GPIO pin"</formula>
    </cfRule>
    <cfRule type="expression" dxfId="744" priority="798" stopIfTrue="1">
      <formula>P160="Dedicated pin"</formula>
    </cfRule>
  </conditionalFormatting>
  <conditionalFormatting sqref="P160">
    <cfRule type="expression" dxfId="743" priority="795" stopIfTrue="1">
      <formula>P160="GPIO pin"</formula>
    </cfRule>
    <cfRule type="expression" dxfId="742" priority="796" stopIfTrue="1">
      <formula>P160="Dedicated pin"</formula>
    </cfRule>
  </conditionalFormatting>
  <conditionalFormatting sqref="P160">
    <cfRule type="expression" dxfId="741" priority="793" stopIfTrue="1">
      <formula>P160="GPIO pin"</formula>
    </cfRule>
    <cfRule type="expression" dxfId="740" priority="794" stopIfTrue="1">
      <formula>P160="Dedicated pin"</formula>
    </cfRule>
  </conditionalFormatting>
  <conditionalFormatting sqref="P160">
    <cfRule type="expression" dxfId="739" priority="791" stopIfTrue="1">
      <formula>P160="GPIO pin"</formula>
    </cfRule>
    <cfRule type="expression" dxfId="738" priority="792" stopIfTrue="1">
      <formula>P160="Dedicated pin"</formula>
    </cfRule>
  </conditionalFormatting>
  <conditionalFormatting sqref="J158">
    <cfRule type="expression" dxfId="737" priority="789" stopIfTrue="1">
      <formula>J158="GPIO pin"</formula>
    </cfRule>
    <cfRule type="expression" dxfId="736" priority="790" stopIfTrue="1">
      <formula>J158="Dedicated pin"</formula>
    </cfRule>
  </conditionalFormatting>
  <conditionalFormatting sqref="Q160">
    <cfRule type="expression" dxfId="735" priority="787" stopIfTrue="1">
      <formula>Q160="GPIO pin"</formula>
    </cfRule>
    <cfRule type="expression" dxfId="734" priority="788" stopIfTrue="1">
      <formula>Q160="Dedicated pin"</formula>
    </cfRule>
  </conditionalFormatting>
  <conditionalFormatting sqref="Q161">
    <cfRule type="expression" dxfId="733" priority="785" stopIfTrue="1">
      <formula>Q161="GPIO pin"</formula>
    </cfRule>
    <cfRule type="expression" dxfId="732" priority="786" stopIfTrue="1">
      <formula>Q161="Dedicated pin"</formula>
    </cfRule>
  </conditionalFormatting>
  <conditionalFormatting sqref="Q162">
    <cfRule type="expression" dxfId="731" priority="783" stopIfTrue="1">
      <formula>Q162="GPIO pin"</formula>
    </cfRule>
    <cfRule type="expression" dxfId="730" priority="784" stopIfTrue="1">
      <formula>Q162="Dedicated pin"</formula>
    </cfRule>
  </conditionalFormatting>
  <conditionalFormatting sqref="Q163">
    <cfRule type="expression" dxfId="729" priority="781" stopIfTrue="1">
      <formula>Q163="GPIO pin"</formula>
    </cfRule>
    <cfRule type="expression" dxfId="728" priority="782" stopIfTrue="1">
      <formula>Q163="Dedicated pin"</formula>
    </cfRule>
  </conditionalFormatting>
  <conditionalFormatting sqref="P168">
    <cfRule type="expression" dxfId="727" priority="779" stopIfTrue="1">
      <formula>P168="GPIO pin"</formula>
    </cfRule>
    <cfRule type="expression" dxfId="726" priority="780" stopIfTrue="1">
      <formula>P168="Dedicated pin"</formula>
    </cfRule>
  </conditionalFormatting>
  <conditionalFormatting sqref="P168">
    <cfRule type="expression" dxfId="725" priority="777" stopIfTrue="1">
      <formula>P168="GPIO pin"</formula>
    </cfRule>
    <cfRule type="expression" dxfId="724" priority="778" stopIfTrue="1">
      <formula>P168="Dedicated pin"</formula>
    </cfRule>
  </conditionalFormatting>
  <conditionalFormatting sqref="P168">
    <cfRule type="expression" dxfId="723" priority="775" stopIfTrue="1">
      <formula>P168="GPIO pin"</formula>
    </cfRule>
    <cfRule type="expression" dxfId="722" priority="776" stopIfTrue="1">
      <formula>P168="Dedicated pin"</formula>
    </cfRule>
  </conditionalFormatting>
  <conditionalFormatting sqref="P168">
    <cfRule type="expression" dxfId="721" priority="773" stopIfTrue="1">
      <formula>P168="GPIO pin"</formula>
    </cfRule>
    <cfRule type="expression" dxfId="720" priority="774" stopIfTrue="1">
      <formula>P168="Dedicated pin"</formula>
    </cfRule>
  </conditionalFormatting>
  <conditionalFormatting sqref="P168">
    <cfRule type="expression" dxfId="719" priority="771" stopIfTrue="1">
      <formula>P168="GPIO pin"</formula>
    </cfRule>
    <cfRule type="expression" dxfId="718" priority="772" stopIfTrue="1">
      <formula>P168="Dedicated pin"</formula>
    </cfRule>
  </conditionalFormatting>
  <conditionalFormatting sqref="P168">
    <cfRule type="expression" dxfId="717" priority="769" stopIfTrue="1">
      <formula>P168="GPIO pin"</formula>
    </cfRule>
    <cfRule type="expression" dxfId="716" priority="770" stopIfTrue="1">
      <formula>P168="Dedicated pin"</formula>
    </cfRule>
  </conditionalFormatting>
  <conditionalFormatting sqref="P168">
    <cfRule type="expression" dxfId="715" priority="767" stopIfTrue="1">
      <formula>P168="GPIO pin"</formula>
    </cfRule>
    <cfRule type="expression" dxfId="714" priority="768" stopIfTrue="1">
      <formula>P168="Dedicated pin"</formula>
    </cfRule>
  </conditionalFormatting>
  <conditionalFormatting sqref="P168">
    <cfRule type="expression" dxfId="713" priority="765" stopIfTrue="1">
      <formula>P168="GPIO pin"</formula>
    </cfRule>
    <cfRule type="expression" dxfId="712" priority="766" stopIfTrue="1">
      <formula>P168="Dedicated pin"</formula>
    </cfRule>
  </conditionalFormatting>
  <conditionalFormatting sqref="P168">
    <cfRule type="expression" dxfId="711" priority="763" stopIfTrue="1">
      <formula>P168="GPIO pin"</formula>
    </cfRule>
    <cfRule type="expression" dxfId="710" priority="764" stopIfTrue="1">
      <formula>P168="Dedicated pin"</formula>
    </cfRule>
  </conditionalFormatting>
  <conditionalFormatting sqref="P168">
    <cfRule type="expression" dxfId="709" priority="761" stopIfTrue="1">
      <formula>P168="GPIO pin"</formula>
    </cfRule>
    <cfRule type="expression" dxfId="708" priority="762" stopIfTrue="1">
      <formula>P168="Dedicated pin"</formula>
    </cfRule>
  </conditionalFormatting>
  <conditionalFormatting sqref="P168">
    <cfRule type="expression" dxfId="707" priority="759" stopIfTrue="1">
      <formula>P168="GPIO pin"</formula>
    </cfRule>
    <cfRule type="expression" dxfId="706" priority="760" stopIfTrue="1">
      <formula>P168="Dedicated pin"</formula>
    </cfRule>
  </conditionalFormatting>
  <conditionalFormatting sqref="P168">
    <cfRule type="expression" dxfId="705" priority="757" stopIfTrue="1">
      <formula>P168="GPIO pin"</formula>
    </cfRule>
    <cfRule type="expression" dxfId="704" priority="758" stopIfTrue="1">
      <formula>P168="Dedicated pin"</formula>
    </cfRule>
  </conditionalFormatting>
  <conditionalFormatting sqref="P168">
    <cfRule type="expression" dxfId="703" priority="755" stopIfTrue="1">
      <formula>P168="GPIO pin"</formula>
    </cfRule>
    <cfRule type="expression" dxfId="702" priority="756" stopIfTrue="1">
      <formula>P168="Dedicated pin"</formula>
    </cfRule>
  </conditionalFormatting>
  <conditionalFormatting sqref="P168">
    <cfRule type="expression" dxfId="701" priority="753" stopIfTrue="1">
      <formula>P168="GPIO pin"</formula>
    </cfRule>
    <cfRule type="expression" dxfId="700" priority="754" stopIfTrue="1">
      <formula>P168="Dedicated pin"</formula>
    </cfRule>
  </conditionalFormatting>
  <conditionalFormatting sqref="Q168">
    <cfRule type="expression" dxfId="699" priority="751" stopIfTrue="1">
      <formula>Q168="GPIO pin"</formula>
    </cfRule>
    <cfRule type="expression" dxfId="698" priority="752" stopIfTrue="1">
      <formula>Q168="Dedicated pin"</formula>
    </cfRule>
  </conditionalFormatting>
  <conditionalFormatting sqref="Q169">
    <cfRule type="expression" dxfId="697" priority="749" stopIfTrue="1">
      <formula>Q169="GPIO pin"</formula>
    </cfRule>
    <cfRule type="expression" dxfId="696" priority="750" stopIfTrue="1">
      <formula>Q169="Dedicated pin"</formula>
    </cfRule>
  </conditionalFormatting>
  <conditionalFormatting sqref="Q170">
    <cfRule type="expression" dxfId="695" priority="747" stopIfTrue="1">
      <formula>Q170="GPIO pin"</formula>
    </cfRule>
    <cfRule type="expression" dxfId="694" priority="748" stopIfTrue="1">
      <formula>Q170="Dedicated pin"</formula>
    </cfRule>
  </conditionalFormatting>
  <conditionalFormatting sqref="Q171">
    <cfRule type="expression" dxfId="693" priority="745" stopIfTrue="1">
      <formula>Q171="GPIO pin"</formula>
    </cfRule>
    <cfRule type="expression" dxfId="692" priority="746" stopIfTrue="1">
      <formula>Q171="Dedicated pin"</formula>
    </cfRule>
  </conditionalFormatting>
  <conditionalFormatting sqref="P176">
    <cfRule type="expression" dxfId="691" priority="743" stopIfTrue="1">
      <formula>P176="GPIO pin"</formula>
    </cfRule>
    <cfRule type="expression" dxfId="690" priority="744" stopIfTrue="1">
      <formula>P176="Dedicated pin"</formula>
    </cfRule>
  </conditionalFormatting>
  <conditionalFormatting sqref="P176">
    <cfRule type="expression" dxfId="689" priority="741" stopIfTrue="1">
      <formula>P176="GPIO pin"</formula>
    </cfRule>
    <cfRule type="expression" dxfId="688" priority="742" stopIfTrue="1">
      <formula>P176="Dedicated pin"</formula>
    </cfRule>
  </conditionalFormatting>
  <conditionalFormatting sqref="P176">
    <cfRule type="expression" dxfId="687" priority="739" stopIfTrue="1">
      <formula>P176="GPIO pin"</formula>
    </cfRule>
    <cfRule type="expression" dxfId="686" priority="740" stopIfTrue="1">
      <formula>P176="Dedicated pin"</formula>
    </cfRule>
  </conditionalFormatting>
  <conditionalFormatting sqref="P176">
    <cfRule type="expression" dxfId="685" priority="737" stopIfTrue="1">
      <formula>P176="GPIO pin"</formula>
    </cfRule>
    <cfRule type="expression" dxfId="684" priority="738" stopIfTrue="1">
      <formula>P176="Dedicated pin"</formula>
    </cfRule>
  </conditionalFormatting>
  <conditionalFormatting sqref="P176">
    <cfRule type="expression" dxfId="683" priority="735" stopIfTrue="1">
      <formula>P176="GPIO pin"</formula>
    </cfRule>
    <cfRule type="expression" dxfId="682" priority="736" stopIfTrue="1">
      <formula>P176="Dedicated pin"</formula>
    </cfRule>
  </conditionalFormatting>
  <conditionalFormatting sqref="P176">
    <cfRule type="expression" dxfId="681" priority="733" stopIfTrue="1">
      <formula>P176="GPIO pin"</formula>
    </cfRule>
    <cfRule type="expression" dxfId="680" priority="734" stopIfTrue="1">
      <formula>P176="Dedicated pin"</formula>
    </cfRule>
  </conditionalFormatting>
  <conditionalFormatting sqref="P176">
    <cfRule type="expression" dxfId="679" priority="731" stopIfTrue="1">
      <formula>P176="GPIO pin"</formula>
    </cfRule>
    <cfRule type="expression" dxfId="678" priority="732" stopIfTrue="1">
      <formula>P176="Dedicated pin"</formula>
    </cfRule>
  </conditionalFormatting>
  <conditionalFormatting sqref="P176">
    <cfRule type="expression" dxfId="677" priority="729" stopIfTrue="1">
      <formula>P176="GPIO pin"</formula>
    </cfRule>
    <cfRule type="expression" dxfId="676" priority="730" stopIfTrue="1">
      <formula>P176="Dedicated pin"</formula>
    </cfRule>
  </conditionalFormatting>
  <conditionalFormatting sqref="P176">
    <cfRule type="expression" dxfId="675" priority="727" stopIfTrue="1">
      <formula>P176="GPIO pin"</formula>
    </cfRule>
    <cfRule type="expression" dxfId="674" priority="728" stopIfTrue="1">
      <formula>P176="Dedicated pin"</formula>
    </cfRule>
  </conditionalFormatting>
  <conditionalFormatting sqref="P176">
    <cfRule type="expression" dxfId="673" priority="725" stopIfTrue="1">
      <formula>P176="GPIO pin"</formula>
    </cfRule>
    <cfRule type="expression" dxfId="672" priority="726" stopIfTrue="1">
      <formula>P176="Dedicated pin"</formula>
    </cfRule>
  </conditionalFormatting>
  <conditionalFormatting sqref="P176">
    <cfRule type="expression" dxfId="671" priority="723" stopIfTrue="1">
      <formula>P176="GPIO pin"</formula>
    </cfRule>
    <cfRule type="expression" dxfId="670" priority="724" stopIfTrue="1">
      <formula>P176="Dedicated pin"</formula>
    </cfRule>
  </conditionalFormatting>
  <conditionalFormatting sqref="P176">
    <cfRule type="expression" dxfId="669" priority="721" stopIfTrue="1">
      <formula>P176="GPIO pin"</formula>
    </cfRule>
    <cfRule type="expression" dxfId="668" priority="722" stopIfTrue="1">
      <formula>P176="Dedicated pin"</formula>
    </cfRule>
  </conditionalFormatting>
  <conditionalFormatting sqref="P176">
    <cfRule type="expression" dxfId="667" priority="719" stopIfTrue="1">
      <formula>P176="GPIO pin"</formula>
    </cfRule>
    <cfRule type="expression" dxfId="666" priority="720" stopIfTrue="1">
      <formula>P176="Dedicated pin"</formula>
    </cfRule>
  </conditionalFormatting>
  <conditionalFormatting sqref="P176">
    <cfRule type="expression" dxfId="665" priority="717" stopIfTrue="1">
      <formula>P176="GPIO pin"</formula>
    </cfRule>
    <cfRule type="expression" dxfId="664" priority="718" stopIfTrue="1">
      <formula>P176="Dedicated pin"</formula>
    </cfRule>
  </conditionalFormatting>
  <conditionalFormatting sqref="K172">
    <cfRule type="expression" dxfId="663" priority="715" stopIfTrue="1">
      <formula>K172="GPIO pin"</formula>
    </cfRule>
    <cfRule type="expression" dxfId="662" priority="716" stopIfTrue="1">
      <formula>K172="Dedicated pin"</formula>
    </cfRule>
  </conditionalFormatting>
  <conditionalFormatting sqref="K173">
    <cfRule type="expression" dxfId="661" priority="713" stopIfTrue="1">
      <formula>K173="GPIO pin"</formula>
    </cfRule>
    <cfRule type="expression" dxfId="660" priority="714" stopIfTrue="1">
      <formula>K173="Dedicated pin"</formula>
    </cfRule>
  </conditionalFormatting>
  <conditionalFormatting sqref="Q176">
    <cfRule type="expression" dxfId="659" priority="709" stopIfTrue="1">
      <formula>Q176="GPIO pin"</formula>
    </cfRule>
    <cfRule type="expression" dxfId="658" priority="710" stopIfTrue="1">
      <formula>Q176="Dedicated pin"</formula>
    </cfRule>
  </conditionalFormatting>
  <conditionalFormatting sqref="Q177">
    <cfRule type="expression" dxfId="657" priority="707" stopIfTrue="1">
      <formula>Q177="GPIO pin"</formula>
    </cfRule>
    <cfRule type="expression" dxfId="656" priority="708" stopIfTrue="1">
      <formula>Q177="Dedicated pin"</formula>
    </cfRule>
  </conditionalFormatting>
  <conditionalFormatting sqref="Q178">
    <cfRule type="expression" dxfId="655" priority="705" stopIfTrue="1">
      <formula>Q178="GPIO pin"</formula>
    </cfRule>
    <cfRule type="expression" dxfId="654" priority="706" stopIfTrue="1">
      <formula>Q178="Dedicated pin"</formula>
    </cfRule>
  </conditionalFormatting>
  <conditionalFormatting sqref="Q179">
    <cfRule type="expression" dxfId="653" priority="703" stopIfTrue="1">
      <formula>Q179="GPIO pin"</formula>
    </cfRule>
    <cfRule type="expression" dxfId="652" priority="704" stopIfTrue="1">
      <formula>Q179="Dedicated pin"</formula>
    </cfRule>
  </conditionalFormatting>
  <conditionalFormatting sqref="P184">
    <cfRule type="expression" dxfId="651" priority="701" stopIfTrue="1">
      <formula>P184="GPIO pin"</formula>
    </cfRule>
    <cfRule type="expression" dxfId="650" priority="702" stopIfTrue="1">
      <formula>P184="Dedicated pin"</formula>
    </cfRule>
  </conditionalFormatting>
  <conditionalFormatting sqref="P184">
    <cfRule type="expression" dxfId="649" priority="699" stopIfTrue="1">
      <formula>P184="GPIO pin"</formula>
    </cfRule>
    <cfRule type="expression" dxfId="648" priority="700" stopIfTrue="1">
      <formula>P184="Dedicated pin"</formula>
    </cfRule>
  </conditionalFormatting>
  <conditionalFormatting sqref="P184">
    <cfRule type="expression" dxfId="647" priority="697" stopIfTrue="1">
      <formula>P184="GPIO pin"</formula>
    </cfRule>
    <cfRule type="expression" dxfId="646" priority="698" stopIfTrue="1">
      <formula>P184="Dedicated pin"</formula>
    </cfRule>
  </conditionalFormatting>
  <conditionalFormatting sqref="P184">
    <cfRule type="expression" dxfId="645" priority="695" stopIfTrue="1">
      <formula>P184="GPIO pin"</formula>
    </cfRule>
    <cfRule type="expression" dxfId="644" priority="696" stopIfTrue="1">
      <formula>P184="Dedicated pin"</formula>
    </cfRule>
  </conditionalFormatting>
  <conditionalFormatting sqref="P184">
    <cfRule type="expression" dxfId="643" priority="693" stopIfTrue="1">
      <formula>P184="GPIO pin"</formula>
    </cfRule>
    <cfRule type="expression" dxfId="642" priority="694" stopIfTrue="1">
      <formula>P184="Dedicated pin"</formula>
    </cfRule>
  </conditionalFormatting>
  <conditionalFormatting sqref="P184">
    <cfRule type="expression" dxfId="641" priority="691" stopIfTrue="1">
      <formula>P184="GPIO pin"</formula>
    </cfRule>
    <cfRule type="expression" dxfId="640" priority="692" stopIfTrue="1">
      <formula>P184="Dedicated pin"</formula>
    </cfRule>
  </conditionalFormatting>
  <conditionalFormatting sqref="P184">
    <cfRule type="expression" dxfId="639" priority="689" stopIfTrue="1">
      <formula>P184="GPIO pin"</formula>
    </cfRule>
    <cfRule type="expression" dxfId="638" priority="690" stopIfTrue="1">
      <formula>P184="Dedicated pin"</formula>
    </cfRule>
  </conditionalFormatting>
  <conditionalFormatting sqref="P184">
    <cfRule type="expression" dxfId="637" priority="687" stopIfTrue="1">
      <formula>P184="GPIO pin"</formula>
    </cfRule>
    <cfRule type="expression" dxfId="636" priority="688" stopIfTrue="1">
      <formula>P184="Dedicated pin"</formula>
    </cfRule>
  </conditionalFormatting>
  <conditionalFormatting sqref="P184">
    <cfRule type="expression" dxfId="635" priority="685" stopIfTrue="1">
      <formula>P184="GPIO pin"</formula>
    </cfRule>
    <cfRule type="expression" dxfId="634" priority="686" stopIfTrue="1">
      <formula>P184="Dedicated pin"</formula>
    </cfRule>
  </conditionalFormatting>
  <conditionalFormatting sqref="P184">
    <cfRule type="expression" dxfId="633" priority="683" stopIfTrue="1">
      <formula>P184="GPIO pin"</formula>
    </cfRule>
    <cfRule type="expression" dxfId="632" priority="684" stopIfTrue="1">
      <formula>P184="Dedicated pin"</formula>
    </cfRule>
  </conditionalFormatting>
  <conditionalFormatting sqref="P184">
    <cfRule type="expression" dxfId="631" priority="681" stopIfTrue="1">
      <formula>P184="GPIO pin"</formula>
    </cfRule>
    <cfRule type="expression" dxfId="630" priority="682" stopIfTrue="1">
      <formula>P184="Dedicated pin"</formula>
    </cfRule>
  </conditionalFormatting>
  <conditionalFormatting sqref="P184">
    <cfRule type="expression" dxfId="629" priority="679" stopIfTrue="1">
      <formula>P184="GPIO pin"</formula>
    </cfRule>
    <cfRule type="expression" dxfId="628" priority="680" stopIfTrue="1">
      <formula>P184="Dedicated pin"</formula>
    </cfRule>
  </conditionalFormatting>
  <conditionalFormatting sqref="P184">
    <cfRule type="expression" dxfId="627" priority="677" stopIfTrue="1">
      <formula>P184="GPIO pin"</formula>
    </cfRule>
    <cfRule type="expression" dxfId="626" priority="678" stopIfTrue="1">
      <formula>P184="Dedicated pin"</formula>
    </cfRule>
  </conditionalFormatting>
  <conditionalFormatting sqref="P184">
    <cfRule type="expression" dxfId="625" priority="675" stopIfTrue="1">
      <formula>P184="GPIO pin"</formula>
    </cfRule>
    <cfRule type="expression" dxfId="624" priority="676" stopIfTrue="1">
      <formula>P184="Dedicated pin"</formula>
    </cfRule>
  </conditionalFormatting>
  <conditionalFormatting sqref="J184">
    <cfRule type="expression" dxfId="623" priority="665" stopIfTrue="1">
      <formula>J184="GPIO pin"</formula>
    </cfRule>
    <cfRule type="expression" dxfId="622" priority="666" stopIfTrue="1">
      <formula>J184="Dedicated pin"</formula>
    </cfRule>
  </conditionalFormatting>
  <conditionalFormatting sqref="J187">
    <cfRule type="expression" dxfId="621" priority="663" stopIfTrue="1">
      <formula>J187="GPIO pin"</formula>
    </cfRule>
    <cfRule type="expression" dxfId="620" priority="664" stopIfTrue="1">
      <formula>J187="Dedicated pin"</formula>
    </cfRule>
  </conditionalFormatting>
  <conditionalFormatting sqref="Q184">
    <cfRule type="expression" dxfId="619" priority="661" stopIfTrue="1">
      <formula>Q184="GPIO pin"</formula>
    </cfRule>
    <cfRule type="expression" dxfId="618" priority="662" stopIfTrue="1">
      <formula>Q184="Dedicated pin"</formula>
    </cfRule>
  </conditionalFormatting>
  <conditionalFormatting sqref="Q185">
    <cfRule type="expression" dxfId="617" priority="659" stopIfTrue="1">
      <formula>Q185="GPIO pin"</formula>
    </cfRule>
    <cfRule type="expression" dxfId="616" priority="660" stopIfTrue="1">
      <formula>Q185="Dedicated pin"</formula>
    </cfRule>
  </conditionalFormatting>
  <conditionalFormatting sqref="Q186">
    <cfRule type="expression" dxfId="615" priority="657" stopIfTrue="1">
      <formula>Q186="GPIO pin"</formula>
    </cfRule>
    <cfRule type="expression" dxfId="614" priority="658" stopIfTrue="1">
      <formula>Q186="Dedicated pin"</formula>
    </cfRule>
  </conditionalFormatting>
  <conditionalFormatting sqref="Q187">
    <cfRule type="expression" dxfId="613" priority="655" stopIfTrue="1">
      <formula>Q187="GPIO pin"</formula>
    </cfRule>
    <cfRule type="expression" dxfId="612" priority="656" stopIfTrue="1">
      <formula>Q187="Dedicated pin"</formula>
    </cfRule>
  </conditionalFormatting>
  <conditionalFormatting sqref="P192">
    <cfRule type="expression" dxfId="611" priority="653" stopIfTrue="1">
      <formula>P192="GPIO pin"</formula>
    </cfRule>
    <cfRule type="expression" dxfId="610" priority="654" stopIfTrue="1">
      <formula>P192="Dedicated pin"</formula>
    </cfRule>
  </conditionalFormatting>
  <conditionalFormatting sqref="P192">
    <cfRule type="expression" dxfId="609" priority="651" stopIfTrue="1">
      <formula>P192="GPIO pin"</formula>
    </cfRule>
    <cfRule type="expression" dxfId="608" priority="652" stopIfTrue="1">
      <formula>P192="Dedicated pin"</formula>
    </cfRule>
  </conditionalFormatting>
  <conditionalFormatting sqref="P192">
    <cfRule type="expression" dxfId="607" priority="649" stopIfTrue="1">
      <formula>P192="GPIO pin"</formula>
    </cfRule>
    <cfRule type="expression" dxfId="606" priority="650" stopIfTrue="1">
      <formula>P192="Dedicated pin"</formula>
    </cfRule>
  </conditionalFormatting>
  <conditionalFormatting sqref="P192">
    <cfRule type="expression" dxfId="605" priority="647" stopIfTrue="1">
      <formula>P192="GPIO pin"</formula>
    </cfRule>
    <cfRule type="expression" dxfId="604" priority="648" stopIfTrue="1">
      <formula>P192="Dedicated pin"</formula>
    </cfRule>
  </conditionalFormatting>
  <conditionalFormatting sqref="P192">
    <cfRule type="expression" dxfId="603" priority="645" stopIfTrue="1">
      <formula>P192="GPIO pin"</formula>
    </cfRule>
    <cfRule type="expression" dxfId="602" priority="646" stopIfTrue="1">
      <formula>P192="Dedicated pin"</formula>
    </cfRule>
  </conditionalFormatting>
  <conditionalFormatting sqref="P192">
    <cfRule type="expression" dxfId="601" priority="643" stopIfTrue="1">
      <formula>P192="GPIO pin"</formula>
    </cfRule>
    <cfRule type="expression" dxfId="600" priority="644" stopIfTrue="1">
      <formula>P192="Dedicated pin"</formula>
    </cfRule>
  </conditionalFormatting>
  <conditionalFormatting sqref="P192">
    <cfRule type="expression" dxfId="599" priority="641" stopIfTrue="1">
      <formula>P192="GPIO pin"</formula>
    </cfRule>
    <cfRule type="expression" dxfId="598" priority="642" stopIfTrue="1">
      <formula>P192="Dedicated pin"</formula>
    </cfRule>
  </conditionalFormatting>
  <conditionalFormatting sqref="P192">
    <cfRule type="expression" dxfId="597" priority="639" stopIfTrue="1">
      <formula>P192="GPIO pin"</formula>
    </cfRule>
    <cfRule type="expression" dxfId="596" priority="640" stopIfTrue="1">
      <formula>P192="Dedicated pin"</formula>
    </cfRule>
  </conditionalFormatting>
  <conditionalFormatting sqref="P192">
    <cfRule type="expression" dxfId="595" priority="637" stopIfTrue="1">
      <formula>P192="GPIO pin"</formula>
    </cfRule>
    <cfRule type="expression" dxfId="594" priority="638" stopIfTrue="1">
      <formula>P192="Dedicated pin"</formula>
    </cfRule>
  </conditionalFormatting>
  <conditionalFormatting sqref="P192">
    <cfRule type="expression" dxfId="593" priority="635" stopIfTrue="1">
      <formula>P192="GPIO pin"</formula>
    </cfRule>
    <cfRule type="expression" dxfId="592" priority="636" stopIfTrue="1">
      <formula>P192="Dedicated pin"</formula>
    </cfRule>
  </conditionalFormatting>
  <conditionalFormatting sqref="P192">
    <cfRule type="expression" dxfId="591" priority="633" stopIfTrue="1">
      <formula>P192="GPIO pin"</formula>
    </cfRule>
    <cfRule type="expression" dxfId="590" priority="634" stopIfTrue="1">
      <formula>P192="Dedicated pin"</formula>
    </cfRule>
  </conditionalFormatting>
  <conditionalFormatting sqref="P192">
    <cfRule type="expression" dxfId="589" priority="631" stopIfTrue="1">
      <formula>P192="GPIO pin"</formula>
    </cfRule>
    <cfRule type="expression" dxfId="588" priority="632" stopIfTrue="1">
      <formula>P192="Dedicated pin"</formula>
    </cfRule>
  </conditionalFormatting>
  <conditionalFormatting sqref="P192">
    <cfRule type="expression" dxfId="587" priority="629" stopIfTrue="1">
      <formula>P192="GPIO pin"</formula>
    </cfRule>
    <cfRule type="expression" dxfId="586" priority="630" stopIfTrue="1">
      <formula>P192="Dedicated pin"</formula>
    </cfRule>
  </conditionalFormatting>
  <conditionalFormatting sqref="P192">
    <cfRule type="expression" dxfId="585" priority="627" stopIfTrue="1">
      <formula>P192="GPIO pin"</formula>
    </cfRule>
    <cfRule type="expression" dxfId="584" priority="628" stopIfTrue="1">
      <formula>P192="Dedicated pin"</formula>
    </cfRule>
  </conditionalFormatting>
  <conditionalFormatting sqref="K188">
    <cfRule type="expression" dxfId="583" priority="625" stopIfTrue="1">
      <formula>K188="GPIO pin"</formula>
    </cfRule>
    <cfRule type="expression" dxfId="582" priority="626" stopIfTrue="1">
      <formula>K188="Dedicated pin"</formula>
    </cfRule>
  </conditionalFormatting>
  <conditionalFormatting sqref="K189">
    <cfRule type="expression" dxfId="581" priority="623" stopIfTrue="1">
      <formula>K189="GPIO pin"</formula>
    </cfRule>
    <cfRule type="expression" dxfId="580" priority="624" stopIfTrue="1">
      <formula>K189="Dedicated pin"</formula>
    </cfRule>
  </conditionalFormatting>
  <conditionalFormatting sqref="K190">
    <cfRule type="expression" dxfId="579" priority="621" stopIfTrue="1">
      <formula>K190="GPIO pin"</formula>
    </cfRule>
    <cfRule type="expression" dxfId="578" priority="622" stopIfTrue="1">
      <formula>K190="Dedicated pin"</formula>
    </cfRule>
  </conditionalFormatting>
  <conditionalFormatting sqref="J191">
    <cfRule type="expression" dxfId="577" priority="619" stopIfTrue="1">
      <formula>J191="GPIO pin"</formula>
    </cfRule>
    <cfRule type="expression" dxfId="576" priority="620" stopIfTrue="1">
      <formula>J191="Dedicated pin"</formula>
    </cfRule>
  </conditionalFormatting>
  <conditionalFormatting sqref="J195">
    <cfRule type="expression" dxfId="575" priority="617" stopIfTrue="1">
      <formula>J195="GPIO pin"</formula>
    </cfRule>
    <cfRule type="expression" dxfId="574" priority="618" stopIfTrue="1">
      <formula>J195="Dedicated pin"</formula>
    </cfRule>
  </conditionalFormatting>
  <conditionalFormatting sqref="Q192">
    <cfRule type="expression" dxfId="573" priority="615" stopIfTrue="1">
      <formula>Q192="GPIO pin"</formula>
    </cfRule>
    <cfRule type="expression" dxfId="572" priority="616" stopIfTrue="1">
      <formula>Q192="Dedicated pin"</formula>
    </cfRule>
  </conditionalFormatting>
  <conditionalFormatting sqref="Q193">
    <cfRule type="expression" dxfId="571" priority="613" stopIfTrue="1">
      <formula>Q193="GPIO pin"</formula>
    </cfRule>
    <cfRule type="expression" dxfId="570" priority="614" stopIfTrue="1">
      <formula>Q193="Dedicated pin"</formula>
    </cfRule>
  </conditionalFormatting>
  <conditionalFormatting sqref="Q194">
    <cfRule type="expression" dxfId="569" priority="611" stopIfTrue="1">
      <formula>Q194="GPIO pin"</formula>
    </cfRule>
    <cfRule type="expression" dxfId="568" priority="612" stopIfTrue="1">
      <formula>Q194="Dedicated pin"</formula>
    </cfRule>
  </conditionalFormatting>
  <conditionalFormatting sqref="Q195">
    <cfRule type="expression" dxfId="567" priority="609" stopIfTrue="1">
      <formula>Q195="GPIO pin"</formula>
    </cfRule>
    <cfRule type="expression" dxfId="566" priority="610" stopIfTrue="1">
      <formula>Q195="Dedicated pin"</formula>
    </cfRule>
  </conditionalFormatting>
  <conditionalFormatting sqref="J193">
    <cfRule type="expression" dxfId="565" priority="607" stopIfTrue="1">
      <formula>J193="GPIO pin"</formula>
    </cfRule>
    <cfRule type="expression" dxfId="564" priority="608" stopIfTrue="1">
      <formula>J193="Dedicated pin"</formula>
    </cfRule>
  </conditionalFormatting>
  <conditionalFormatting sqref="P200">
    <cfRule type="expression" dxfId="563" priority="605" stopIfTrue="1">
      <formula>P200="GPIO pin"</formula>
    </cfRule>
    <cfRule type="expression" dxfId="562" priority="606" stopIfTrue="1">
      <formula>P200="Dedicated pin"</formula>
    </cfRule>
  </conditionalFormatting>
  <conditionalFormatting sqref="P200">
    <cfRule type="expression" dxfId="561" priority="603" stopIfTrue="1">
      <formula>P200="GPIO pin"</formula>
    </cfRule>
    <cfRule type="expression" dxfId="560" priority="604" stopIfTrue="1">
      <formula>P200="Dedicated pin"</formula>
    </cfRule>
  </conditionalFormatting>
  <conditionalFormatting sqref="P200">
    <cfRule type="expression" dxfId="559" priority="601" stopIfTrue="1">
      <formula>P200="GPIO pin"</formula>
    </cfRule>
    <cfRule type="expression" dxfId="558" priority="602" stopIfTrue="1">
      <formula>P200="Dedicated pin"</formula>
    </cfRule>
  </conditionalFormatting>
  <conditionalFormatting sqref="P200">
    <cfRule type="expression" dxfId="557" priority="599" stopIfTrue="1">
      <formula>P200="GPIO pin"</formula>
    </cfRule>
    <cfRule type="expression" dxfId="556" priority="600" stopIfTrue="1">
      <formula>P200="Dedicated pin"</formula>
    </cfRule>
  </conditionalFormatting>
  <conditionalFormatting sqref="P200">
    <cfRule type="expression" dxfId="555" priority="597" stopIfTrue="1">
      <formula>P200="GPIO pin"</formula>
    </cfRule>
    <cfRule type="expression" dxfId="554" priority="598" stopIfTrue="1">
      <formula>P200="Dedicated pin"</formula>
    </cfRule>
  </conditionalFormatting>
  <conditionalFormatting sqref="P200">
    <cfRule type="expression" dxfId="553" priority="595" stopIfTrue="1">
      <formula>P200="GPIO pin"</formula>
    </cfRule>
    <cfRule type="expression" dxfId="552" priority="596" stopIfTrue="1">
      <formula>P200="Dedicated pin"</formula>
    </cfRule>
  </conditionalFormatting>
  <conditionalFormatting sqref="P200">
    <cfRule type="expression" dxfId="551" priority="593" stopIfTrue="1">
      <formula>P200="GPIO pin"</formula>
    </cfRule>
    <cfRule type="expression" dxfId="550" priority="594" stopIfTrue="1">
      <formula>P200="Dedicated pin"</formula>
    </cfRule>
  </conditionalFormatting>
  <conditionalFormatting sqref="P200">
    <cfRule type="expression" dxfId="549" priority="591" stopIfTrue="1">
      <formula>P200="GPIO pin"</formula>
    </cfRule>
    <cfRule type="expression" dxfId="548" priority="592" stopIfTrue="1">
      <formula>P200="Dedicated pin"</formula>
    </cfRule>
  </conditionalFormatting>
  <conditionalFormatting sqref="P200">
    <cfRule type="expression" dxfId="547" priority="589" stopIfTrue="1">
      <formula>P200="GPIO pin"</formula>
    </cfRule>
    <cfRule type="expression" dxfId="546" priority="590" stopIfTrue="1">
      <formula>P200="Dedicated pin"</formula>
    </cfRule>
  </conditionalFormatting>
  <conditionalFormatting sqref="P200">
    <cfRule type="expression" dxfId="545" priority="587" stopIfTrue="1">
      <formula>P200="GPIO pin"</formula>
    </cfRule>
    <cfRule type="expression" dxfId="544" priority="588" stopIfTrue="1">
      <formula>P200="Dedicated pin"</formula>
    </cfRule>
  </conditionalFormatting>
  <conditionalFormatting sqref="P200">
    <cfRule type="expression" dxfId="543" priority="585" stopIfTrue="1">
      <formula>P200="GPIO pin"</formula>
    </cfRule>
    <cfRule type="expression" dxfId="542" priority="586" stopIfTrue="1">
      <formula>P200="Dedicated pin"</formula>
    </cfRule>
  </conditionalFormatting>
  <conditionalFormatting sqref="P200">
    <cfRule type="expression" dxfId="541" priority="583" stopIfTrue="1">
      <formula>P200="GPIO pin"</formula>
    </cfRule>
    <cfRule type="expression" dxfId="540" priority="584" stopIfTrue="1">
      <formula>P200="Dedicated pin"</formula>
    </cfRule>
  </conditionalFormatting>
  <conditionalFormatting sqref="P200">
    <cfRule type="expression" dxfId="539" priority="581" stopIfTrue="1">
      <formula>P200="GPIO pin"</formula>
    </cfRule>
    <cfRule type="expression" dxfId="538" priority="582" stopIfTrue="1">
      <formula>P200="Dedicated pin"</formula>
    </cfRule>
  </conditionalFormatting>
  <conditionalFormatting sqref="P200">
    <cfRule type="expression" dxfId="537" priority="579" stopIfTrue="1">
      <formula>P200="GPIO pin"</formula>
    </cfRule>
    <cfRule type="expression" dxfId="536" priority="580" stopIfTrue="1">
      <formula>P200="Dedicated pin"</formula>
    </cfRule>
  </conditionalFormatting>
  <conditionalFormatting sqref="J196">
    <cfRule type="expression" dxfId="535" priority="577" stopIfTrue="1">
      <formula>J196="GPIO pin"</formula>
    </cfRule>
    <cfRule type="expression" dxfId="534" priority="578" stopIfTrue="1">
      <formula>J196="Dedicated pin"</formula>
    </cfRule>
  </conditionalFormatting>
  <conditionalFormatting sqref="J197">
    <cfRule type="expression" dxfId="533" priority="575" stopIfTrue="1">
      <formula>J197="GPIO pin"</formula>
    </cfRule>
    <cfRule type="expression" dxfId="532" priority="576" stopIfTrue="1">
      <formula>J197="Dedicated pin"</formula>
    </cfRule>
  </conditionalFormatting>
  <conditionalFormatting sqref="J198">
    <cfRule type="expression" dxfId="531" priority="573" stopIfTrue="1">
      <formula>J198="GPIO pin"</formula>
    </cfRule>
    <cfRule type="expression" dxfId="530" priority="574" stopIfTrue="1">
      <formula>J198="Dedicated pin"</formula>
    </cfRule>
  </conditionalFormatting>
  <conditionalFormatting sqref="Q200">
    <cfRule type="expression" dxfId="529" priority="571" stopIfTrue="1">
      <formula>Q200="GPIO pin"</formula>
    </cfRule>
    <cfRule type="expression" dxfId="528" priority="572" stopIfTrue="1">
      <formula>Q200="Dedicated pin"</formula>
    </cfRule>
  </conditionalFormatting>
  <conditionalFormatting sqref="Q201">
    <cfRule type="expression" dxfId="527" priority="569" stopIfTrue="1">
      <formula>Q201="GPIO pin"</formula>
    </cfRule>
    <cfRule type="expression" dxfId="526" priority="570" stopIfTrue="1">
      <formula>Q201="Dedicated pin"</formula>
    </cfRule>
  </conditionalFormatting>
  <conditionalFormatting sqref="Q202">
    <cfRule type="expression" dxfId="525" priority="567" stopIfTrue="1">
      <formula>Q202="GPIO pin"</formula>
    </cfRule>
    <cfRule type="expression" dxfId="524" priority="568" stopIfTrue="1">
      <formula>Q202="Dedicated pin"</formula>
    </cfRule>
  </conditionalFormatting>
  <conditionalFormatting sqref="Q203">
    <cfRule type="expression" dxfId="523" priority="565" stopIfTrue="1">
      <formula>Q203="GPIO pin"</formula>
    </cfRule>
    <cfRule type="expression" dxfId="522" priority="566" stopIfTrue="1">
      <formula>Q203="Dedicated pin"</formula>
    </cfRule>
  </conditionalFormatting>
  <conditionalFormatting sqref="P208">
    <cfRule type="expression" dxfId="521" priority="563" stopIfTrue="1">
      <formula>P208="GPIO pin"</formula>
    </cfRule>
    <cfRule type="expression" dxfId="520" priority="564" stopIfTrue="1">
      <formula>P208="Dedicated pin"</formula>
    </cfRule>
  </conditionalFormatting>
  <conditionalFormatting sqref="P208">
    <cfRule type="expression" dxfId="519" priority="561" stopIfTrue="1">
      <formula>P208="GPIO pin"</formula>
    </cfRule>
    <cfRule type="expression" dxfId="518" priority="562" stopIfTrue="1">
      <formula>P208="Dedicated pin"</formula>
    </cfRule>
  </conditionalFormatting>
  <conditionalFormatting sqref="P208">
    <cfRule type="expression" dxfId="517" priority="559" stopIfTrue="1">
      <formula>P208="GPIO pin"</formula>
    </cfRule>
    <cfRule type="expression" dxfId="516" priority="560" stopIfTrue="1">
      <formula>P208="Dedicated pin"</formula>
    </cfRule>
  </conditionalFormatting>
  <conditionalFormatting sqref="P208">
    <cfRule type="expression" dxfId="515" priority="557" stopIfTrue="1">
      <formula>P208="GPIO pin"</formula>
    </cfRule>
    <cfRule type="expression" dxfId="514" priority="558" stopIfTrue="1">
      <formula>P208="Dedicated pin"</formula>
    </cfRule>
  </conditionalFormatting>
  <conditionalFormatting sqref="P208">
    <cfRule type="expression" dxfId="513" priority="555" stopIfTrue="1">
      <formula>P208="GPIO pin"</formula>
    </cfRule>
    <cfRule type="expression" dxfId="512" priority="556" stopIfTrue="1">
      <formula>P208="Dedicated pin"</formula>
    </cfRule>
  </conditionalFormatting>
  <conditionalFormatting sqref="P208">
    <cfRule type="expression" dxfId="511" priority="553" stopIfTrue="1">
      <formula>P208="GPIO pin"</formula>
    </cfRule>
    <cfRule type="expression" dxfId="510" priority="554" stopIfTrue="1">
      <formula>P208="Dedicated pin"</formula>
    </cfRule>
  </conditionalFormatting>
  <conditionalFormatting sqref="P208">
    <cfRule type="expression" dxfId="509" priority="551" stopIfTrue="1">
      <formula>P208="GPIO pin"</formula>
    </cfRule>
    <cfRule type="expression" dxfId="508" priority="552" stopIfTrue="1">
      <formula>P208="Dedicated pin"</formula>
    </cfRule>
  </conditionalFormatting>
  <conditionalFormatting sqref="P208">
    <cfRule type="expression" dxfId="507" priority="549" stopIfTrue="1">
      <formula>P208="GPIO pin"</formula>
    </cfRule>
    <cfRule type="expression" dxfId="506" priority="550" stopIfTrue="1">
      <formula>P208="Dedicated pin"</formula>
    </cfRule>
  </conditionalFormatting>
  <conditionalFormatting sqref="P208">
    <cfRule type="expression" dxfId="505" priority="547" stopIfTrue="1">
      <formula>P208="GPIO pin"</formula>
    </cfRule>
    <cfRule type="expression" dxfId="504" priority="548" stopIfTrue="1">
      <formula>P208="Dedicated pin"</formula>
    </cfRule>
  </conditionalFormatting>
  <conditionalFormatting sqref="P208">
    <cfRule type="expression" dxfId="503" priority="545" stopIfTrue="1">
      <formula>P208="GPIO pin"</formula>
    </cfRule>
    <cfRule type="expression" dxfId="502" priority="546" stopIfTrue="1">
      <formula>P208="Dedicated pin"</formula>
    </cfRule>
  </conditionalFormatting>
  <conditionalFormatting sqref="P208">
    <cfRule type="expression" dxfId="501" priority="543" stopIfTrue="1">
      <formula>P208="GPIO pin"</formula>
    </cfRule>
    <cfRule type="expression" dxfId="500" priority="544" stopIfTrue="1">
      <formula>P208="Dedicated pin"</formula>
    </cfRule>
  </conditionalFormatting>
  <conditionalFormatting sqref="P208">
    <cfRule type="expression" dxfId="499" priority="541" stopIfTrue="1">
      <formula>P208="GPIO pin"</formula>
    </cfRule>
    <cfRule type="expression" dxfId="498" priority="542" stopIfTrue="1">
      <formula>P208="Dedicated pin"</formula>
    </cfRule>
  </conditionalFormatting>
  <conditionalFormatting sqref="P208">
    <cfRule type="expression" dxfId="497" priority="539" stopIfTrue="1">
      <formula>P208="GPIO pin"</formula>
    </cfRule>
    <cfRule type="expression" dxfId="496" priority="540" stopIfTrue="1">
      <formula>P208="Dedicated pin"</formula>
    </cfRule>
  </conditionalFormatting>
  <conditionalFormatting sqref="P208">
    <cfRule type="expression" dxfId="495" priority="537" stopIfTrue="1">
      <formula>P208="GPIO pin"</formula>
    </cfRule>
    <cfRule type="expression" dxfId="494" priority="538" stopIfTrue="1">
      <formula>P208="Dedicated pin"</formula>
    </cfRule>
  </conditionalFormatting>
  <conditionalFormatting sqref="K204">
    <cfRule type="expression" dxfId="493" priority="535" stopIfTrue="1">
      <formula>K204="GPIO pin"</formula>
    </cfRule>
    <cfRule type="expression" dxfId="492" priority="536" stopIfTrue="1">
      <formula>K204="Dedicated pin"</formula>
    </cfRule>
  </conditionalFormatting>
  <conditionalFormatting sqref="K205">
    <cfRule type="expression" dxfId="491" priority="533" stopIfTrue="1">
      <formula>K205="GPIO pin"</formula>
    </cfRule>
    <cfRule type="expression" dxfId="490" priority="534" stopIfTrue="1">
      <formula>K205="Dedicated pin"</formula>
    </cfRule>
  </conditionalFormatting>
  <conditionalFormatting sqref="K206">
    <cfRule type="expression" dxfId="489" priority="531" stopIfTrue="1">
      <formula>K206="GPIO pin"</formula>
    </cfRule>
    <cfRule type="expression" dxfId="488" priority="532" stopIfTrue="1">
      <formula>K206="Dedicated pin"</formula>
    </cfRule>
  </conditionalFormatting>
  <conditionalFormatting sqref="J211">
    <cfRule type="expression" dxfId="487" priority="529" stopIfTrue="1">
      <formula>J211="GPIO pin"</formula>
    </cfRule>
    <cfRule type="expression" dxfId="486" priority="530" stopIfTrue="1">
      <formula>J211="Dedicated pin"</formula>
    </cfRule>
  </conditionalFormatting>
  <conditionalFormatting sqref="Q208">
    <cfRule type="expression" dxfId="485" priority="527" stopIfTrue="1">
      <formula>Q208="GPIO pin"</formula>
    </cfRule>
    <cfRule type="expression" dxfId="484" priority="528" stopIfTrue="1">
      <formula>Q208="Dedicated pin"</formula>
    </cfRule>
  </conditionalFormatting>
  <conditionalFormatting sqref="Q209">
    <cfRule type="expression" dxfId="483" priority="525" stopIfTrue="1">
      <formula>Q209="GPIO pin"</formula>
    </cfRule>
    <cfRule type="expression" dxfId="482" priority="526" stopIfTrue="1">
      <formula>Q209="Dedicated pin"</formula>
    </cfRule>
  </conditionalFormatting>
  <conditionalFormatting sqref="Q210">
    <cfRule type="expression" dxfId="481" priority="523" stopIfTrue="1">
      <formula>Q210="GPIO pin"</formula>
    </cfRule>
    <cfRule type="expression" dxfId="480" priority="524" stopIfTrue="1">
      <formula>Q210="Dedicated pin"</formula>
    </cfRule>
  </conditionalFormatting>
  <conditionalFormatting sqref="Q211">
    <cfRule type="expression" dxfId="479" priority="521" stopIfTrue="1">
      <formula>Q211="GPIO pin"</formula>
    </cfRule>
    <cfRule type="expression" dxfId="478" priority="522" stopIfTrue="1">
      <formula>Q211="Dedicated pin"</formula>
    </cfRule>
  </conditionalFormatting>
  <conditionalFormatting sqref="J209">
    <cfRule type="expression" dxfId="477" priority="519" stopIfTrue="1">
      <formula>J209="GPIO pin"</formula>
    </cfRule>
    <cfRule type="expression" dxfId="476" priority="520" stopIfTrue="1">
      <formula>J209="Dedicated pin"</formula>
    </cfRule>
  </conditionalFormatting>
  <conditionalFormatting sqref="J15">
    <cfRule type="expression" dxfId="475" priority="517" stopIfTrue="1">
      <formula>J15="GPIO pin"</formula>
    </cfRule>
    <cfRule type="expression" dxfId="474" priority="518" stopIfTrue="1">
      <formula>J15="Dedicated pin"</formula>
    </cfRule>
  </conditionalFormatting>
  <conditionalFormatting sqref="J16">
    <cfRule type="expression" dxfId="473" priority="515" stopIfTrue="1">
      <formula>J16="GPIO pin"</formula>
    </cfRule>
    <cfRule type="expression" dxfId="472" priority="516" stopIfTrue="1">
      <formula>J16="Dedicated pin"</formula>
    </cfRule>
  </conditionalFormatting>
  <conditionalFormatting sqref="J20:J25">
    <cfRule type="expression" dxfId="471" priority="513" stopIfTrue="1">
      <formula>J20="GPIO pin"</formula>
    </cfRule>
    <cfRule type="expression" dxfId="470" priority="514" stopIfTrue="1">
      <formula>J20="Dedicated pin"</formula>
    </cfRule>
  </conditionalFormatting>
  <conditionalFormatting sqref="J29:J30">
    <cfRule type="expression" dxfId="469" priority="511" stopIfTrue="1">
      <formula>J29="GPIO pin"</formula>
    </cfRule>
    <cfRule type="expression" dxfId="468" priority="512" stopIfTrue="1">
      <formula>J29="Dedicated pin"</formula>
    </cfRule>
  </conditionalFormatting>
  <conditionalFormatting sqref="J31">
    <cfRule type="expression" dxfId="467" priority="509" stopIfTrue="1">
      <formula>J31="GPIO pin"</formula>
    </cfRule>
    <cfRule type="expression" dxfId="466" priority="510" stopIfTrue="1">
      <formula>J31="Dedicated pin"</formula>
    </cfRule>
  </conditionalFormatting>
  <conditionalFormatting sqref="J33">
    <cfRule type="expression" dxfId="465" priority="507" stopIfTrue="1">
      <formula>J33="GPIO pin"</formula>
    </cfRule>
    <cfRule type="expression" dxfId="464" priority="508" stopIfTrue="1">
      <formula>J33="Dedicated pin"</formula>
    </cfRule>
  </conditionalFormatting>
  <conditionalFormatting sqref="P51">
    <cfRule type="expression" dxfId="463" priority="505" stopIfTrue="1">
      <formula>P51="GPIO pin"</formula>
    </cfRule>
    <cfRule type="expression" dxfId="462" priority="506" stopIfTrue="1">
      <formula>P51="Dedicated pin"</formula>
    </cfRule>
  </conditionalFormatting>
  <conditionalFormatting sqref="P39">
    <cfRule type="expression" dxfId="461" priority="503" stopIfTrue="1">
      <formula>P39="GPIO pin"</formula>
    </cfRule>
    <cfRule type="expression" dxfId="460" priority="504" stopIfTrue="1">
      <formula>P39="Dedicated pin"</formula>
    </cfRule>
  </conditionalFormatting>
  <conditionalFormatting sqref="J40">
    <cfRule type="expression" dxfId="459" priority="501" stopIfTrue="1">
      <formula>J40="GPIO pin"</formula>
    </cfRule>
    <cfRule type="expression" dxfId="458" priority="502" stopIfTrue="1">
      <formula>J40="Dedicated pin"</formula>
    </cfRule>
  </conditionalFormatting>
  <conditionalFormatting sqref="P43">
    <cfRule type="expression" dxfId="457" priority="499" stopIfTrue="1">
      <formula>P43="GPIO pin"</formula>
    </cfRule>
    <cfRule type="expression" dxfId="456" priority="500" stopIfTrue="1">
      <formula>P43="Dedicated pin"</formula>
    </cfRule>
  </conditionalFormatting>
  <conditionalFormatting sqref="K12">
    <cfRule type="expression" dxfId="455" priority="497" stopIfTrue="1">
      <formula>K12="GPIO pin"</formula>
    </cfRule>
    <cfRule type="expression" dxfId="454" priority="498" stopIfTrue="1">
      <formula>K12="Dedicated pin"</formula>
    </cfRule>
  </conditionalFormatting>
  <conditionalFormatting sqref="K13">
    <cfRule type="expression" dxfId="453" priority="495" stopIfTrue="1">
      <formula>K13="GPIO pin"</formula>
    </cfRule>
    <cfRule type="expression" dxfId="452" priority="496" stopIfTrue="1">
      <formula>K13="Dedicated pin"</formula>
    </cfRule>
  </conditionalFormatting>
  <conditionalFormatting sqref="K14:K19">
    <cfRule type="expression" dxfId="451" priority="493" stopIfTrue="1">
      <formula>K14="GPIO pin"</formula>
    </cfRule>
    <cfRule type="expression" dxfId="450" priority="494" stopIfTrue="1">
      <formula>K14="Dedicated pin"</formula>
    </cfRule>
  </conditionalFormatting>
  <conditionalFormatting sqref="K20">
    <cfRule type="expression" dxfId="449" priority="491" stopIfTrue="1">
      <formula>K20="GPIO pin"</formula>
    </cfRule>
    <cfRule type="expression" dxfId="448" priority="492" stopIfTrue="1">
      <formula>K20="Dedicated pin"</formula>
    </cfRule>
  </conditionalFormatting>
  <conditionalFormatting sqref="K21">
    <cfRule type="expression" dxfId="447" priority="489" stopIfTrue="1">
      <formula>K21="GPIO pin"</formula>
    </cfRule>
    <cfRule type="expression" dxfId="446" priority="490" stopIfTrue="1">
      <formula>K21="Dedicated pin"</formula>
    </cfRule>
  </conditionalFormatting>
  <conditionalFormatting sqref="K22:K27">
    <cfRule type="expression" dxfId="445" priority="487" stopIfTrue="1">
      <formula>K22="GPIO pin"</formula>
    </cfRule>
    <cfRule type="expression" dxfId="444" priority="488" stopIfTrue="1">
      <formula>K22="Dedicated pin"</formula>
    </cfRule>
  </conditionalFormatting>
  <conditionalFormatting sqref="K28">
    <cfRule type="expression" dxfId="443" priority="485" stopIfTrue="1">
      <formula>K28="GPIO pin"</formula>
    </cfRule>
    <cfRule type="expression" dxfId="442" priority="486" stopIfTrue="1">
      <formula>K28="Dedicated pin"</formula>
    </cfRule>
  </conditionalFormatting>
  <conditionalFormatting sqref="K29">
    <cfRule type="expression" dxfId="441" priority="483" stopIfTrue="1">
      <formula>K29="GPIO pin"</formula>
    </cfRule>
    <cfRule type="expression" dxfId="440" priority="484" stopIfTrue="1">
      <formula>K29="Dedicated pin"</formula>
    </cfRule>
  </conditionalFormatting>
  <conditionalFormatting sqref="K30:K31">
    <cfRule type="expression" dxfId="439" priority="481" stopIfTrue="1">
      <formula>K30="GPIO pin"</formula>
    </cfRule>
    <cfRule type="expression" dxfId="438" priority="482" stopIfTrue="1">
      <formula>K30="Dedicated pin"</formula>
    </cfRule>
  </conditionalFormatting>
  <conditionalFormatting sqref="K32">
    <cfRule type="expression" dxfId="437" priority="479" stopIfTrue="1">
      <formula>K32="GPIO pin"</formula>
    </cfRule>
    <cfRule type="expression" dxfId="436" priority="480" stopIfTrue="1">
      <formula>K32="Dedicated pin"</formula>
    </cfRule>
  </conditionalFormatting>
  <conditionalFormatting sqref="K33">
    <cfRule type="expression" dxfId="435" priority="477" stopIfTrue="1">
      <formula>K33="GPIO pin"</formula>
    </cfRule>
    <cfRule type="expression" dxfId="434" priority="478" stopIfTrue="1">
      <formula>K33="Dedicated pin"</formula>
    </cfRule>
  </conditionalFormatting>
  <conditionalFormatting sqref="K34">
    <cfRule type="expression" dxfId="433" priority="475" stopIfTrue="1">
      <formula>K34="GPIO pin"</formula>
    </cfRule>
    <cfRule type="expression" dxfId="432" priority="476" stopIfTrue="1">
      <formula>K34="Dedicated pin"</formula>
    </cfRule>
  </conditionalFormatting>
  <conditionalFormatting sqref="K35">
    <cfRule type="expression" dxfId="431" priority="473" stopIfTrue="1">
      <formula>K35="GPIO pin"</formula>
    </cfRule>
    <cfRule type="expression" dxfId="430" priority="474" stopIfTrue="1">
      <formula>K35="Dedicated pin"</formula>
    </cfRule>
  </conditionalFormatting>
  <conditionalFormatting sqref="K36">
    <cfRule type="expression" dxfId="429" priority="471" stopIfTrue="1">
      <formula>K36="GPIO pin"</formula>
    </cfRule>
    <cfRule type="expression" dxfId="428" priority="472" stopIfTrue="1">
      <formula>K36="Dedicated pin"</formula>
    </cfRule>
  </conditionalFormatting>
  <conditionalFormatting sqref="K37">
    <cfRule type="expression" dxfId="427" priority="469" stopIfTrue="1">
      <formula>K37="GPIO pin"</formula>
    </cfRule>
    <cfRule type="expression" dxfId="426" priority="470" stopIfTrue="1">
      <formula>K37="Dedicated pin"</formula>
    </cfRule>
  </conditionalFormatting>
  <conditionalFormatting sqref="K40">
    <cfRule type="expression" dxfId="425" priority="467" stopIfTrue="1">
      <formula>K40="GPIO pin"</formula>
    </cfRule>
    <cfRule type="expression" dxfId="424" priority="468" stopIfTrue="1">
      <formula>K40="Dedicated pin"</formula>
    </cfRule>
  </conditionalFormatting>
  <conditionalFormatting sqref="K41">
    <cfRule type="expression" dxfId="423" priority="465" stopIfTrue="1">
      <formula>K41="GPIO pin"</formula>
    </cfRule>
    <cfRule type="expression" dxfId="422" priority="466" stopIfTrue="1">
      <formula>K41="Dedicated pin"</formula>
    </cfRule>
  </conditionalFormatting>
  <conditionalFormatting sqref="K42">
    <cfRule type="expression" dxfId="421" priority="463" stopIfTrue="1">
      <formula>K42="GPIO pin"</formula>
    </cfRule>
    <cfRule type="expression" dxfId="420" priority="464" stopIfTrue="1">
      <formula>K42="Dedicated pin"</formula>
    </cfRule>
  </conditionalFormatting>
  <conditionalFormatting sqref="K43">
    <cfRule type="expression" dxfId="419" priority="461" stopIfTrue="1">
      <formula>K43="GPIO pin"</formula>
    </cfRule>
    <cfRule type="expression" dxfId="418" priority="462" stopIfTrue="1">
      <formula>K43="Dedicated pin"</formula>
    </cfRule>
  </conditionalFormatting>
  <conditionalFormatting sqref="P37:P38">
    <cfRule type="expression" dxfId="417" priority="459" stopIfTrue="1">
      <formula>P37="GPIO pin"</formula>
    </cfRule>
    <cfRule type="expression" dxfId="416" priority="460" stopIfTrue="1">
      <formula>P37="Dedicated pin"</formula>
    </cfRule>
  </conditionalFormatting>
  <conditionalFormatting sqref="P40">
    <cfRule type="expression" dxfId="415" priority="457" stopIfTrue="1">
      <formula>P40="GPIO pin"</formula>
    </cfRule>
    <cfRule type="expression" dxfId="414" priority="458" stopIfTrue="1">
      <formula>P40="Dedicated pin"</formula>
    </cfRule>
  </conditionalFormatting>
  <conditionalFormatting sqref="P41:P42">
    <cfRule type="expression" dxfId="413" priority="455" stopIfTrue="1">
      <formula>P41="GPIO pin"</formula>
    </cfRule>
    <cfRule type="expression" dxfId="412" priority="456" stopIfTrue="1">
      <formula>P41="Dedicated pin"</formula>
    </cfRule>
  </conditionalFormatting>
  <conditionalFormatting sqref="K48">
    <cfRule type="expression" dxfId="411" priority="453" stopIfTrue="1">
      <formula>K48="GPIO pin"</formula>
    </cfRule>
    <cfRule type="expression" dxfId="410" priority="454" stopIfTrue="1">
      <formula>K48="Dedicated pin"</formula>
    </cfRule>
  </conditionalFormatting>
  <conditionalFormatting sqref="K50">
    <cfRule type="expression" dxfId="409" priority="451" stopIfTrue="1">
      <formula>K50="GPIO pin"</formula>
    </cfRule>
    <cfRule type="expression" dxfId="408" priority="452" stopIfTrue="1">
      <formula>K50="Dedicated pin"</formula>
    </cfRule>
  </conditionalFormatting>
  <conditionalFormatting sqref="J45">
    <cfRule type="expression" dxfId="407" priority="449" stopIfTrue="1">
      <formula>J45="GPIO pin"</formula>
    </cfRule>
    <cfRule type="expression" dxfId="406" priority="450" stopIfTrue="1">
      <formula>J45="Dedicated pin"</formula>
    </cfRule>
  </conditionalFormatting>
  <conditionalFormatting sqref="K45">
    <cfRule type="expression" dxfId="405" priority="447" stopIfTrue="1">
      <formula>K45="GPIO pin"</formula>
    </cfRule>
    <cfRule type="expression" dxfId="404" priority="448" stopIfTrue="1">
      <formula>K45="Dedicated pin"</formula>
    </cfRule>
  </conditionalFormatting>
  <conditionalFormatting sqref="J46">
    <cfRule type="expression" dxfId="403" priority="445" stopIfTrue="1">
      <formula>J46="GPIO pin"</formula>
    </cfRule>
    <cfRule type="expression" dxfId="402" priority="446" stopIfTrue="1">
      <formula>J46="Dedicated pin"</formula>
    </cfRule>
  </conditionalFormatting>
  <conditionalFormatting sqref="K46">
    <cfRule type="expression" dxfId="401" priority="443" stopIfTrue="1">
      <formula>K46="GPIO pin"</formula>
    </cfRule>
    <cfRule type="expression" dxfId="400" priority="444" stopIfTrue="1">
      <formula>K46="Dedicated pin"</formula>
    </cfRule>
  </conditionalFormatting>
  <conditionalFormatting sqref="J47">
    <cfRule type="expression" dxfId="399" priority="441" stopIfTrue="1">
      <formula>J47="GPIO pin"</formula>
    </cfRule>
    <cfRule type="expression" dxfId="398" priority="442" stopIfTrue="1">
      <formula>J47="Dedicated pin"</formula>
    </cfRule>
  </conditionalFormatting>
  <conditionalFormatting sqref="K47">
    <cfRule type="expression" dxfId="397" priority="439" stopIfTrue="1">
      <formula>K47="GPIO pin"</formula>
    </cfRule>
    <cfRule type="expression" dxfId="396" priority="440" stopIfTrue="1">
      <formula>K47="Dedicated pin"</formula>
    </cfRule>
  </conditionalFormatting>
  <conditionalFormatting sqref="J52">
    <cfRule type="expression" dxfId="395" priority="437" stopIfTrue="1">
      <formula>J52="GPIO pin"</formula>
    </cfRule>
    <cfRule type="expression" dxfId="394" priority="438" stopIfTrue="1">
      <formula>J52="Dedicated pin"</formula>
    </cfRule>
  </conditionalFormatting>
  <conditionalFormatting sqref="K52">
    <cfRule type="expression" dxfId="393" priority="435" stopIfTrue="1">
      <formula>K52="GPIO pin"</formula>
    </cfRule>
    <cfRule type="expression" dxfId="392" priority="436" stopIfTrue="1">
      <formula>K52="Dedicated pin"</formula>
    </cfRule>
  </conditionalFormatting>
  <conditionalFormatting sqref="J53">
    <cfRule type="expression" dxfId="391" priority="433" stopIfTrue="1">
      <formula>J53="GPIO pin"</formula>
    </cfRule>
    <cfRule type="expression" dxfId="390" priority="434" stopIfTrue="1">
      <formula>J53="Dedicated pin"</formula>
    </cfRule>
  </conditionalFormatting>
  <conditionalFormatting sqref="K53">
    <cfRule type="expression" dxfId="389" priority="431" stopIfTrue="1">
      <formula>K53="GPIO pin"</formula>
    </cfRule>
    <cfRule type="expression" dxfId="388" priority="432" stopIfTrue="1">
      <formula>K53="Dedicated pin"</formula>
    </cfRule>
  </conditionalFormatting>
  <conditionalFormatting sqref="J54">
    <cfRule type="expression" dxfId="387" priority="429" stopIfTrue="1">
      <formula>J54="GPIO pin"</formula>
    </cfRule>
    <cfRule type="expression" dxfId="386" priority="430" stopIfTrue="1">
      <formula>J54="Dedicated pin"</formula>
    </cfRule>
  </conditionalFormatting>
  <conditionalFormatting sqref="K54">
    <cfRule type="expression" dxfId="385" priority="427" stopIfTrue="1">
      <formula>K54="GPIO pin"</formula>
    </cfRule>
    <cfRule type="expression" dxfId="384" priority="428" stopIfTrue="1">
      <formula>K54="Dedicated pin"</formula>
    </cfRule>
  </conditionalFormatting>
  <conditionalFormatting sqref="J55">
    <cfRule type="expression" dxfId="383" priority="425" stopIfTrue="1">
      <formula>J55="GPIO pin"</formula>
    </cfRule>
    <cfRule type="expression" dxfId="382" priority="426" stopIfTrue="1">
      <formula>J55="Dedicated pin"</formula>
    </cfRule>
  </conditionalFormatting>
  <conditionalFormatting sqref="K55">
    <cfRule type="expression" dxfId="381" priority="423" stopIfTrue="1">
      <formula>K55="GPIO pin"</formula>
    </cfRule>
    <cfRule type="expression" dxfId="380" priority="424" stopIfTrue="1">
      <formula>K55="Dedicated pin"</formula>
    </cfRule>
  </conditionalFormatting>
  <conditionalFormatting sqref="J56">
    <cfRule type="expression" dxfId="379" priority="421" stopIfTrue="1">
      <formula>J56="GPIO pin"</formula>
    </cfRule>
    <cfRule type="expression" dxfId="378" priority="422" stopIfTrue="1">
      <formula>J56="Dedicated pin"</formula>
    </cfRule>
  </conditionalFormatting>
  <conditionalFormatting sqref="K56">
    <cfRule type="expression" dxfId="377" priority="419" stopIfTrue="1">
      <formula>K56="GPIO pin"</formula>
    </cfRule>
    <cfRule type="expression" dxfId="376" priority="420" stopIfTrue="1">
      <formula>K56="Dedicated pin"</formula>
    </cfRule>
  </conditionalFormatting>
  <conditionalFormatting sqref="J57">
    <cfRule type="expression" dxfId="375" priority="417" stopIfTrue="1">
      <formula>J57="GPIO pin"</formula>
    </cfRule>
    <cfRule type="expression" dxfId="374" priority="418" stopIfTrue="1">
      <formula>J57="Dedicated pin"</formula>
    </cfRule>
  </conditionalFormatting>
  <conditionalFormatting sqref="K57">
    <cfRule type="expression" dxfId="373" priority="415" stopIfTrue="1">
      <formula>K57="GPIO pin"</formula>
    </cfRule>
    <cfRule type="expression" dxfId="372" priority="416" stopIfTrue="1">
      <formula>K57="Dedicated pin"</formula>
    </cfRule>
  </conditionalFormatting>
  <conditionalFormatting sqref="J58">
    <cfRule type="expression" dxfId="371" priority="413" stopIfTrue="1">
      <formula>J58="GPIO pin"</formula>
    </cfRule>
    <cfRule type="expression" dxfId="370" priority="414" stopIfTrue="1">
      <formula>J58="Dedicated pin"</formula>
    </cfRule>
  </conditionalFormatting>
  <conditionalFormatting sqref="K59">
    <cfRule type="expression" dxfId="369" priority="411" stopIfTrue="1">
      <formula>K59="GPIO pin"</formula>
    </cfRule>
    <cfRule type="expression" dxfId="368" priority="412" stopIfTrue="1">
      <formula>K59="Dedicated pin"</formula>
    </cfRule>
  </conditionalFormatting>
  <conditionalFormatting sqref="J60:J61">
    <cfRule type="expression" dxfId="367" priority="409" stopIfTrue="1">
      <formula>J60="GPIO pin"</formula>
    </cfRule>
    <cfRule type="expression" dxfId="366" priority="410" stopIfTrue="1">
      <formula>J60="Dedicated pin"</formula>
    </cfRule>
  </conditionalFormatting>
  <conditionalFormatting sqref="K60:K61">
    <cfRule type="expression" dxfId="365" priority="407" stopIfTrue="1">
      <formula>K60="GPIO pin"</formula>
    </cfRule>
    <cfRule type="expression" dxfId="364" priority="408" stopIfTrue="1">
      <formula>K60="Dedicated pin"</formula>
    </cfRule>
  </conditionalFormatting>
  <conditionalFormatting sqref="J62">
    <cfRule type="expression" dxfId="363" priority="405" stopIfTrue="1">
      <formula>J62="GPIO pin"</formula>
    </cfRule>
    <cfRule type="expression" dxfId="362" priority="406" stopIfTrue="1">
      <formula>J62="Dedicated pin"</formula>
    </cfRule>
  </conditionalFormatting>
  <conditionalFormatting sqref="K62">
    <cfRule type="expression" dxfId="361" priority="403" stopIfTrue="1">
      <formula>K62="GPIO pin"</formula>
    </cfRule>
    <cfRule type="expression" dxfId="360" priority="404" stopIfTrue="1">
      <formula>K62="Dedicated pin"</formula>
    </cfRule>
  </conditionalFormatting>
  <conditionalFormatting sqref="J63">
    <cfRule type="expression" dxfId="359" priority="401" stopIfTrue="1">
      <formula>J63="GPIO pin"</formula>
    </cfRule>
    <cfRule type="expression" dxfId="358" priority="402" stopIfTrue="1">
      <formula>J63="Dedicated pin"</formula>
    </cfRule>
  </conditionalFormatting>
  <conditionalFormatting sqref="J65">
    <cfRule type="expression" dxfId="357" priority="399" stopIfTrue="1">
      <formula>J65="GPIO pin"</formula>
    </cfRule>
    <cfRule type="expression" dxfId="356" priority="400" stopIfTrue="1">
      <formula>J65="Dedicated pin"</formula>
    </cfRule>
  </conditionalFormatting>
  <conditionalFormatting sqref="K65">
    <cfRule type="expression" dxfId="355" priority="397" stopIfTrue="1">
      <formula>K65="GPIO pin"</formula>
    </cfRule>
    <cfRule type="expression" dxfId="354" priority="398" stopIfTrue="1">
      <formula>K65="Dedicated pin"</formula>
    </cfRule>
  </conditionalFormatting>
  <conditionalFormatting sqref="J66">
    <cfRule type="expression" dxfId="353" priority="395" stopIfTrue="1">
      <formula>J66="GPIO pin"</formula>
    </cfRule>
    <cfRule type="expression" dxfId="352" priority="396" stopIfTrue="1">
      <formula>J66="Dedicated pin"</formula>
    </cfRule>
  </conditionalFormatting>
  <conditionalFormatting sqref="K66">
    <cfRule type="expression" dxfId="351" priority="393" stopIfTrue="1">
      <formula>K66="GPIO pin"</formula>
    </cfRule>
    <cfRule type="expression" dxfId="350" priority="394" stopIfTrue="1">
      <formula>K66="Dedicated pin"</formula>
    </cfRule>
  </conditionalFormatting>
  <conditionalFormatting sqref="J67">
    <cfRule type="expression" dxfId="349" priority="391" stopIfTrue="1">
      <formula>J67="GPIO pin"</formula>
    </cfRule>
    <cfRule type="expression" dxfId="348" priority="392" stopIfTrue="1">
      <formula>J67="Dedicated pin"</formula>
    </cfRule>
  </conditionalFormatting>
  <conditionalFormatting sqref="K67">
    <cfRule type="expression" dxfId="347" priority="389" stopIfTrue="1">
      <formula>K67="GPIO pin"</formula>
    </cfRule>
    <cfRule type="expression" dxfId="346" priority="390" stopIfTrue="1">
      <formula>K67="Dedicated pin"</formula>
    </cfRule>
  </conditionalFormatting>
  <conditionalFormatting sqref="K70">
    <cfRule type="expression" dxfId="345" priority="387" stopIfTrue="1">
      <formula>K70="GPIO pin"</formula>
    </cfRule>
    <cfRule type="expression" dxfId="344" priority="388" stopIfTrue="1">
      <formula>K70="Dedicated pin"</formula>
    </cfRule>
  </conditionalFormatting>
  <conditionalFormatting sqref="J71">
    <cfRule type="expression" dxfId="343" priority="385" stopIfTrue="1">
      <formula>J71="GPIO pin"</formula>
    </cfRule>
    <cfRule type="expression" dxfId="342" priority="386" stopIfTrue="1">
      <formula>J71="Dedicated pin"</formula>
    </cfRule>
  </conditionalFormatting>
  <conditionalFormatting sqref="K71">
    <cfRule type="expression" dxfId="341" priority="383" stopIfTrue="1">
      <formula>K71="GPIO pin"</formula>
    </cfRule>
    <cfRule type="expression" dxfId="340" priority="384" stopIfTrue="1">
      <formula>K71="Dedicated pin"</formula>
    </cfRule>
  </conditionalFormatting>
  <conditionalFormatting sqref="J73">
    <cfRule type="expression" dxfId="339" priority="381" stopIfTrue="1">
      <formula>J73="GPIO pin"</formula>
    </cfRule>
    <cfRule type="expression" dxfId="338" priority="382" stopIfTrue="1">
      <formula>J73="Dedicated pin"</formula>
    </cfRule>
  </conditionalFormatting>
  <conditionalFormatting sqref="K73">
    <cfRule type="expression" dxfId="337" priority="379" stopIfTrue="1">
      <formula>K73="GPIO pin"</formula>
    </cfRule>
    <cfRule type="expression" dxfId="336" priority="380" stopIfTrue="1">
      <formula>K73="Dedicated pin"</formula>
    </cfRule>
  </conditionalFormatting>
  <conditionalFormatting sqref="K74">
    <cfRule type="expression" dxfId="335" priority="377" stopIfTrue="1">
      <formula>K74="GPIO pin"</formula>
    </cfRule>
    <cfRule type="expression" dxfId="334" priority="378" stopIfTrue="1">
      <formula>K74="Dedicated pin"</formula>
    </cfRule>
  </conditionalFormatting>
  <conditionalFormatting sqref="J75">
    <cfRule type="expression" dxfId="333" priority="375" stopIfTrue="1">
      <formula>J75="GPIO pin"</formula>
    </cfRule>
    <cfRule type="expression" dxfId="332" priority="376" stopIfTrue="1">
      <formula>J75="Dedicated pin"</formula>
    </cfRule>
  </conditionalFormatting>
  <conditionalFormatting sqref="K75">
    <cfRule type="expression" dxfId="331" priority="373" stopIfTrue="1">
      <formula>K75="GPIO pin"</formula>
    </cfRule>
    <cfRule type="expression" dxfId="330" priority="374" stopIfTrue="1">
      <formula>K75="Dedicated pin"</formula>
    </cfRule>
  </conditionalFormatting>
  <conditionalFormatting sqref="K79">
    <cfRule type="expression" dxfId="329" priority="371" stopIfTrue="1">
      <formula>K79="GPIO pin"</formula>
    </cfRule>
    <cfRule type="expression" dxfId="328" priority="372" stopIfTrue="1">
      <formula>K79="Dedicated pin"</formula>
    </cfRule>
  </conditionalFormatting>
  <conditionalFormatting sqref="K77">
    <cfRule type="expression" dxfId="327" priority="369" stopIfTrue="1">
      <formula>K77="GPIO pin"</formula>
    </cfRule>
    <cfRule type="expression" dxfId="326" priority="370" stopIfTrue="1">
      <formula>K77="Dedicated pin"</formula>
    </cfRule>
  </conditionalFormatting>
  <conditionalFormatting sqref="K76">
    <cfRule type="expression" dxfId="325" priority="367" stopIfTrue="1">
      <formula>K76="GPIO pin"</formula>
    </cfRule>
    <cfRule type="expression" dxfId="324" priority="368" stopIfTrue="1">
      <formula>K76="Dedicated pin"</formula>
    </cfRule>
  </conditionalFormatting>
  <conditionalFormatting sqref="K78">
    <cfRule type="expression" dxfId="323" priority="365" stopIfTrue="1">
      <formula>K78="GPIO pin"</formula>
    </cfRule>
    <cfRule type="expression" dxfId="322" priority="366" stopIfTrue="1">
      <formula>K78="Dedicated pin"</formula>
    </cfRule>
  </conditionalFormatting>
  <conditionalFormatting sqref="K81">
    <cfRule type="expression" dxfId="321" priority="363" stopIfTrue="1">
      <formula>K81="GPIO pin"</formula>
    </cfRule>
    <cfRule type="expression" dxfId="320" priority="364" stopIfTrue="1">
      <formula>K81="Dedicated pin"</formula>
    </cfRule>
  </conditionalFormatting>
  <conditionalFormatting sqref="J82">
    <cfRule type="expression" dxfId="319" priority="361" stopIfTrue="1">
      <formula>J82="GPIO pin"</formula>
    </cfRule>
    <cfRule type="expression" dxfId="318" priority="362" stopIfTrue="1">
      <formula>J82="Dedicated pin"</formula>
    </cfRule>
  </conditionalFormatting>
  <conditionalFormatting sqref="K82">
    <cfRule type="expression" dxfId="317" priority="359" stopIfTrue="1">
      <formula>K82="GPIO pin"</formula>
    </cfRule>
    <cfRule type="expression" dxfId="316" priority="360" stopIfTrue="1">
      <formula>K82="Dedicated pin"</formula>
    </cfRule>
  </conditionalFormatting>
  <conditionalFormatting sqref="J83">
    <cfRule type="expression" dxfId="315" priority="357" stopIfTrue="1">
      <formula>J83="GPIO pin"</formula>
    </cfRule>
    <cfRule type="expression" dxfId="314" priority="358" stopIfTrue="1">
      <formula>J83="Dedicated pin"</formula>
    </cfRule>
  </conditionalFormatting>
  <conditionalFormatting sqref="K83">
    <cfRule type="expression" dxfId="313" priority="355" stopIfTrue="1">
      <formula>K83="GPIO pin"</formula>
    </cfRule>
    <cfRule type="expression" dxfId="312" priority="356" stopIfTrue="1">
      <formula>K83="Dedicated pin"</formula>
    </cfRule>
  </conditionalFormatting>
  <conditionalFormatting sqref="K87">
    <cfRule type="expression" dxfId="311" priority="353" stopIfTrue="1">
      <formula>K87="GPIO pin"</formula>
    </cfRule>
    <cfRule type="expression" dxfId="310" priority="354" stopIfTrue="1">
      <formula>K87="Dedicated pin"</formula>
    </cfRule>
  </conditionalFormatting>
  <conditionalFormatting sqref="K90">
    <cfRule type="expression" dxfId="309" priority="351" stopIfTrue="1">
      <formula>K90="GPIO pin"</formula>
    </cfRule>
    <cfRule type="expression" dxfId="308" priority="352" stopIfTrue="1">
      <formula>K90="Dedicated pin"</formula>
    </cfRule>
  </conditionalFormatting>
  <conditionalFormatting sqref="K91">
    <cfRule type="expression" dxfId="307" priority="349" stopIfTrue="1">
      <formula>K91="GPIO pin"</formula>
    </cfRule>
    <cfRule type="expression" dxfId="306" priority="350" stopIfTrue="1">
      <formula>K91="Dedicated pin"</formula>
    </cfRule>
  </conditionalFormatting>
  <conditionalFormatting sqref="K93">
    <cfRule type="expression" dxfId="305" priority="347" stopIfTrue="1">
      <formula>K93="GPIO pin"</formula>
    </cfRule>
    <cfRule type="expression" dxfId="304" priority="348" stopIfTrue="1">
      <formula>K93="Dedicated pin"</formula>
    </cfRule>
  </conditionalFormatting>
  <conditionalFormatting sqref="K92">
    <cfRule type="expression" dxfId="303" priority="345" stopIfTrue="1">
      <formula>K92="GPIO pin"</formula>
    </cfRule>
    <cfRule type="expression" dxfId="302" priority="346" stopIfTrue="1">
      <formula>K92="Dedicated pin"</formula>
    </cfRule>
  </conditionalFormatting>
  <conditionalFormatting sqref="K94">
    <cfRule type="expression" dxfId="301" priority="343" stopIfTrue="1">
      <formula>K94="GPIO pin"</formula>
    </cfRule>
    <cfRule type="expression" dxfId="300" priority="344" stopIfTrue="1">
      <formula>K94="Dedicated pin"</formula>
    </cfRule>
  </conditionalFormatting>
  <conditionalFormatting sqref="K102">
    <cfRule type="expression" dxfId="299" priority="341" stopIfTrue="1">
      <formula>K102="GPIO pin"</formula>
    </cfRule>
    <cfRule type="expression" dxfId="298" priority="342" stopIfTrue="1">
      <formula>K102="Dedicated pin"</formula>
    </cfRule>
  </conditionalFormatting>
  <conditionalFormatting sqref="K101">
    <cfRule type="expression" dxfId="297" priority="339" stopIfTrue="1">
      <formula>K101="GPIO pin"</formula>
    </cfRule>
    <cfRule type="expression" dxfId="296" priority="340" stopIfTrue="1">
      <formula>K101="Dedicated pin"</formula>
    </cfRule>
  </conditionalFormatting>
  <conditionalFormatting sqref="K100">
    <cfRule type="expression" dxfId="295" priority="337" stopIfTrue="1">
      <formula>K100="GPIO pin"</formula>
    </cfRule>
    <cfRule type="expression" dxfId="294" priority="338" stopIfTrue="1">
      <formula>K100="Dedicated pin"</formula>
    </cfRule>
  </conditionalFormatting>
  <conditionalFormatting sqref="K103">
    <cfRule type="expression" dxfId="293" priority="335" stopIfTrue="1">
      <formula>K103="GPIO pin"</formula>
    </cfRule>
    <cfRule type="expression" dxfId="292" priority="336" stopIfTrue="1">
      <formula>K103="Dedicated pin"</formula>
    </cfRule>
  </conditionalFormatting>
  <conditionalFormatting sqref="K104">
    <cfRule type="expression" dxfId="291" priority="333" stopIfTrue="1">
      <formula>K104="GPIO pin"</formula>
    </cfRule>
    <cfRule type="expression" dxfId="290" priority="334" stopIfTrue="1">
      <formula>K104="Dedicated pin"</formula>
    </cfRule>
  </conditionalFormatting>
  <conditionalFormatting sqref="K105">
    <cfRule type="expression" dxfId="289" priority="331" stopIfTrue="1">
      <formula>K105="GPIO pin"</formula>
    </cfRule>
    <cfRule type="expression" dxfId="288" priority="332" stopIfTrue="1">
      <formula>K105="Dedicated pin"</formula>
    </cfRule>
  </conditionalFormatting>
  <conditionalFormatting sqref="K106">
    <cfRule type="expression" dxfId="287" priority="329" stopIfTrue="1">
      <formula>K106="GPIO pin"</formula>
    </cfRule>
    <cfRule type="expression" dxfId="286" priority="330" stopIfTrue="1">
      <formula>K106="Dedicated pin"</formula>
    </cfRule>
  </conditionalFormatting>
  <conditionalFormatting sqref="K107">
    <cfRule type="expression" dxfId="285" priority="327" stopIfTrue="1">
      <formula>K107="GPIO pin"</formula>
    </cfRule>
    <cfRule type="expression" dxfId="284" priority="328" stopIfTrue="1">
      <formula>K107="Dedicated pin"</formula>
    </cfRule>
  </conditionalFormatting>
  <conditionalFormatting sqref="J109">
    <cfRule type="expression" dxfId="283" priority="325" stopIfTrue="1">
      <formula>J109="GPIO pin"</formula>
    </cfRule>
    <cfRule type="expression" dxfId="282" priority="326" stopIfTrue="1">
      <formula>J109="Dedicated pin"</formula>
    </cfRule>
  </conditionalFormatting>
  <conditionalFormatting sqref="K112">
    <cfRule type="expression" dxfId="281" priority="323" stopIfTrue="1">
      <formula>K112="GPIO pin"</formula>
    </cfRule>
    <cfRule type="expression" dxfId="280" priority="324" stopIfTrue="1">
      <formula>K112="Dedicated pin"</formula>
    </cfRule>
  </conditionalFormatting>
  <conditionalFormatting sqref="K113">
    <cfRule type="expression" dxfId="279" priority="321" stopIfTrue="1">
      <formula>K113="GPIO pin"</formula>
    </cfRule>
    <cfRule type="expression" dxfId="278" priority="322" stopIfTrue="1">
      <formula>K113="Dedicated pin"</formula>
    </cfRule>
  </conditionalFormatting>
  <conditionalFormatting sqref="J115">
    <cfRule type="expression" dxfId="277" priority="319" stopIfTrue="1">
      <formula>J115="GPIO pin"</formula>
    </cfRule>
    <cfRule type="expression" dxfId="276" priority="320" stopIfTrue="1">
      <formula>J115="Dedicated pin"</formula>
    </cfRule>
  </conditionalFormatting>
  <conditionalFormatting sqref="K118">
    <cfRule type="expression" dxfId="275" priority="317" stopIfTrue="1">
      <formula>K118="GPIO pin"</formula>
    </cfRule>
    <cfRule type="expression" dxfId="274" priority="318" stopIfTrue="1">
      <formula>K118="Dedicated pin"</formula>
    </cfRule>
  </conditionalFormatting>
  <conditionalFormatting sqref="K119">
    <cfRule type="expression" dxfId="273" priority="315" stopIfTrue="1">
      <formula>K119="GPIO pin"</formula>
    </cfRule>
    <cfRule type="expression" dxfId="272" priority="316" stopIfTrue="1">
      <formula>K119="Dedicated pin"</formula>
    </cfRule>
  </conditionalFormatting>
  <conditionalFormatting sqref="K120">
    <cfRule type="expression" dxfId="271" priority="313" stopIfTrue="1">
      <formula>K120="GPIO pin"</formula>
    </cfRule>
    <cfRule type="expression" dxfId="270" priority="314" stopIfTrue="1">
      <formula>K120="Dedicated pin"</formula>
    </cfRule>
  </conditionalFormatting>
  <conditionalFormatting sqref="K121">
    <cfRule type="expression" dxfId="269" priority="311" stopIfTrue="1">
      <formula>K121="GPIO pin"</formula>
    </cfRule>
    <cfRule type="expression" dxfId="268" priority="312" stopIfTrue="1">
      <formula>K121="Dedicated pin"</formula>
    </cfRule>
  </conditionalFormatting>
  <conditionalFormatting sqref="K123">
    <cfRule type="expression" dxfId="267" priority="309" stopIfTrue="1">
      <formula>K123="GPIO pin"</formula>
    </cfRule>
    <cfRule type="expression" dxfId="266" priority="310" stopIfTrue="1">
      <formula>K123="Dedicated pin"</formula>
    </cfRule>
  </conditionalFormatting>
  <conditionalFormatting sqref="K127">
    <cfRule type="expression" dxfId="265" priority="307" stopIfTrue="1">
      <formula>K127="GPIO pin"</formula>
    </cfRule>
    <cfRule type="expression" dxfId="264" priority="308" stopIfTrue="1">
      <formula>K127="Dedicated pin"</formula>
    </cfRule>
  </conditionalFormatting>
  <conditionalFormatting sqref="K128">
    <cfRule type="expression" dxfId="263" priority="305" stopIfTrue="1">
      <formula>K128="GPIO pin"</formula>
    </cfRule>
    <cfRule type="expression" dxfId="262" priority="306" stopIfTrue="1">
      <formula>K128="Dedicated pin"</formula>
    </cfRule>
  </conditionalFormatting>
  <conditionalFormatting sqref="K129">
    <cfRule type="expression" dxfId="261" priority="303" stopIfTrue="1">
      <formula>K129="GPIO pin"</formula>
    </cfRule>
    <cfRule type="expression" dxfId="260" priority="304" stopIfTrue="1">
      <formula>K129="Dedicated pin"</formula>
    </cfRule>
  </conditionalFormatting>
  <conditionalFormatting sqref="K130">
    <cfRule type="expression" dxfId="259" priority="301" stopIfTrue="1">
      <formula>K130="GPIO pin"</formula>
    </cfRule>
    <cfRule type="expression" dxfId="258" priority="302" stopIfTrue="1">
      <formula>K130="Dedicated pin"</formula>
    </cfRule>
  </conditionalFormatting>
  <conditionalFormatting sqref="K131">
    <cfRule type="expression" dxfId="257" priority="299" stopIfTrue="1">
      <formula>K131="GPIO pin"</formula>
    </cfRule>
    <cfRule type="expression" dxfId="256" priority="300" stopIfTrue="1">
      <formula>K131="Dedicated pin"</formula>
    </cfRule>
  </conditionalFormatting>
  <conditionalFormatting sqref="K132">
    <cfRule type="expression" dxfId="255" priority="297" stopIfTrue="1">
      <formula>K132="GPIO pin"</formula>
    </cfRule>
    <cfRule type="expression" dxfId="254" priority="298" stopIfTrue="1">
      <formula>K132="Dedicated pin"</formula>
    </cfRule>
  </conditionalFormatting>
  <conditionalFormatting sqref="J133">
    <cfRule type="expression" dxfId="253" priority="295" stopIfTrue="1">
      <formula>J133="GPIO pin"</formula>
    </cfRule>
    <cfRule type="expression" dxfId="252" priority="296" stopIfTrue="1">
      <formula>J133="Dedicated pin"</formula>
    </cfRule>
  </conditionalFormatting>
  <conditionalFormatting sqref="K133">
    <cfRule type="expression" dxfId="251" priority="293" stopIfTrue="1">
      <formula>K133="GPIO pin"</formula>
    </cfRule>
    <cfRule type="expression" dxfId="250" priority="294" stopIfTrue="1">
      <formula>K133="Dedicated pin"</formula>
    </cfRule>
  </conditionalFormatting>
  <conditionalFormatting sqref="K135">
    <cfRule type="expression" dxfId="249" priority="291" stopIfTrue="1">
      <formula>K135="GPIO pin"</formula>
    </cfRule>
    <cfRule type="expression" dxfId="248" priority="292" stopIfTrue="1">
      <formula>K135="Dedicated pin"</formula>
    </cfRule>
  </conditionalFormatting>
  <conditionalFormatting sqref="K134">
    <cfRule type="expression" dxfId="247" priority="289" stopIfTrue="1">
      <formula>K134="GPIO pin"</formula>
    </cfRule>
    <cfRule type="expression" dxfId="246" priority="290" stopIfTrue="1">
      <formula>K134="Dedicated pin"</formula>
    </cfRule>
  </conditionalFormatting>
  <conditionalFormatting sqref="K136">
    <cfRule type="expression" dxfId="245" priority="287" stopIfTrue="1">
      <formula>K136="GPIO pin"</formula>
    </cfRule>
    <cfRule type="expression" dxfId="244" priority="288" stopIfTrue="1">
      <formula>K136="Dedicated pin"</formula>
    </cfRule>
  </conditionalFormatting>
  <conditionalFormatting sqref="K137">
    <cfRule type="expression" dxfId="243" priority="285" stopIfTrue="1">
      <formula>K137="GPIO pin"</formula>
    </cfRule>
    <cfRule type="expression" dxfId="242" priority="286" stopIfTrue="1">
      <formula>K137="Dedicated pin"</formula>
    </cfRule>
  </conditionalFormatting>
  <conditionalFormatting sqref="K138">
    <cfRule type="expression" dxfId="241" priority="283" stopIfTrue="1">
      <formula>K138="GPIO pin"</formula>
    </cfRule>
    <cfRule type="expression" dxfId="240" priority="284" stopIfTrue="1">
      <formula>K138="Dedicated pin"</formula>
    </cfRule>
  </conditionalFormatting>
  <conditionalFormatting sqref="J138">
    <cfRule type="expression" dxfId="239" priority="281" stopIfTrue="1">
      <formula>J138="GPIO pin"</formula>
    </cfRule>
    <cfRule type="expression" dxfId="238" priority="282" stopIfTrue="1">
      <formula>J138="Dedicated pin"</formula>
    </cfRule>
  </conditionalFormatting>
  <conditionalFormatting sqref="K139">
    <cfRule type="expression" dxfId="237" priority="279" stopIfTrue="1">
      <formula>K139="GPIO pin"</formula>
    </cfRule>
    <cfRule type="expression" dxfId="236" priority="280" stopIfTrue="1">
      <formula>K139="Dedicated pin"</formula>
    </cfRule>
  </conditionalFormatting>
  <conditionalFormatting sqref="J139">
    <cfRule type="expression" dxfId="235" priority="277" stopIfTrue="1">
      <formula>J139="GPIO pin"</formula>
    </cfRule>
    <cfRule type="expression" dxfId="234" priority="278" stopIfTrue="1">
      <formula>J139="Dedicated pin"</formula>
    </cfRule>
  </conditionalFormatting>
  <conditionalFormatting sqref="K144">
    <cfRule type="expression" dxfId="233" priority="275" stopIfTrue="1">
      <formula>K144="GPIO pin"</formula>
    </cfRule>
    <cfRule type="expression" dxfId="232" priority="276" stopIfTrue="1">
      <formula>K144="Dedicated pin"</formula>
    </cfRule>
  </conditionalFormatting>
  <conditionalFormatting sqref="J144">
    <cfRule type="expression" dxfId="231" priority="273" stopIfTrue="1">
      <formula>J144="GPIO pin"</formula>
    </cfRule>
    <cfRule type="expression" dxfId="230" priority="274" stopIfTrue="1">
      <formula>J144="Dedicated pin"</formula>
    </cfRule>
  </conditionalFormatting>
  <conditionalFormatting sqref="K146">
    <cfRule type="expression" dxfId="229" priority="271" stopIfTrue="1">
      <formula>K146="GPIO pin"</formula>
    </cfRule>
    <cfRule type="expression" dxfId="228" priority="272" stopIfTrue="1">
      <formula>K146="Dedicated pin"</formula>
    </cfRule>
  </conditionalFormatting>
  <conditionalFormatting sqref="J146">
    <cfRule type="expression" dxfId="227" priority="269" stopIfTrue="1">
      <formula>J146="GPIO pin"</formula>
    </cfRule>
    <cfRule type="expression" dxfId="226" priority="270" stopIfTrue="1">
      <formula>J146="Dedicated pin"</formula>
    </cfRule>
  </conditionalFormatting>
  <conditionalFormatting sqref="K147">
    <cfRule type="expression" dxfId="225" priority="267" stopIfTrue="1">
      <formula>K147="GPIO pin"</formula>
    </cfRule>
    <cfRule type="expression" dxfId="224" priority="268" stopIfTrue="1">
      <formula>K147="Dedicated pin"</formula>
    </cfRule>
  </conditionalFormatting>
  <conditionalFormatting sqref="J147">
    <cfRule type="expression" dxfId="223" priority="265" stopIfTrue="1">
      <formula>J147="GPIO pin"</formula>
    </cfRule>
    <cfRule type="expression" dxfId="222" priority="266" stopIfTrue="1">
      <formula>J147="Dedicated pin"</formula>
    </cfRule>
  </conditionalFormatting>
  <conditionalFormatting sqref="K149">
    <cfRule type="expression" dxfId="221" priority="263" stopIfTrue="1">
      <formula>K149="GPIO pin"</formula>
    </cfRule>
    <cfRule type="expression" dxfId="220" priority="264" stopIfTrue="1">
      <formula>K149="Dedicated pin"</formula>
    </cfRule>
  </conditionalFormatting>
  <conditionalFormatting sqref="J150">
    <cfRule type="expression" dxfId="219" priority="261" stopIfTrue="1">
      <formula>J150="GPIO pin"</formula>
    </cfRule>
    <cfRule type="expression" dxfId="218" priority="262" stopIfTrue="1">
      <formula>J150="Dedicated pin"</formula>
    </cfRule>
  </conditionalFormatting>
  <conditionalFormatting sqref="K150">
    <cfRule type="expression" dxfId="217" priority="259" stopIfTrue="1">
      <formula>K150="GPIO pin"</formula>
    </cfRule>
    <cfRule type="expression" dxfId="216" priority="260" stopIfTrue="1">
      <formula>K150="Dedicated pin"</formula>
    </cfRule>
  </conditionalFormatting>
  <conditionalFormatting sqref="J151">
    <cfRule type="expression" dxfId="215" priority="257" stopIfTrue="1">
      <formula>J151="GPIO pin"</formula>
    </cfRule>
    <cfRule type="expression" dxfId="214" priority="258" stopIfTrue="1">
      <formula>J151="Dedicated pin"</formula>
    </cfRule>
  </conditionalFormatting>
  <conditionalFormatting sqref="K151">
    <cfRule type="expression" dxfId="213" priority="255" stopIfTrue="1">
      <formula>K151="GPIO pin"</formula>
    </cfRule>
    <cfRule type="expression" dxfId="212" priority="256" stopIfTrue="1">
      <formula>K151="Dedicated pin"</formula>
    </cfRule>
  </conditionalFormatting>
  <conditionalFormatting sqref="J152">
    <cfRule type="expression" dxfId="211" priority="253" stopIfTrue="1">
      <formula>J152="GPIO pin"</formula>
    </cfRule>
    <cfRule type="expression" dxfId="210" priority="254" stopIfTrue="1">
      <formula>J152="Dedicated pin"</formula>
    </cfRule>
  </conditionalFormatting>
  <conditionalFormatting sqref="K152">
    <cfRule type="expression" dxfId="209" priority="251" stopIfTrue="1">
      <formula>K152="GPIO pin"</formula>
    </cfRule>
    <cfRule type="expression" dxfId="208" priority="252" stopIfTrue="1">
      <formula>K152="Dedicated pin"</formula>
    </cfRule>
  </conditionalFormatting>
  <conditionalFormatting sqref="J153 J155">
    <cfRule type="expression" dxfId="207" priority="249" stopIfTrue="1">
      <formula>J153="GPIO pin"</formula>
    </cfRule>
    <cfRule type="expression" dxfId="206" priority="250" stopIfTrue="1">
      <formula>J153="Dedicated pin"</formula>
    </cfRule>
  </conditionalFormatting>
  <conditionalFormatting sqref="K153 K155">
    <cfRule type="expression" dxfId="205" priority="247" stopIfTrue="1">
      <formula>K153="GPIO pin"</formula>
    </cfRule>
    <cfRule type="expression" dxfId="204" priority="248" stopIfTrue="1">
      <formula>K153="Dedicated pin"</formula>
    </cfRule>
  </conditionalFormatting>
  <conditionalFormatting sqref="J154">
    <cfRule type="expression" dxfId="203" priority="245" stopIfTrue="1">
      <formula>J154="GPIO pin"</formula>
    </cfRule>
    <cfRule type="expression" dxfId="202" priority="246" stopIfTrue="1">
      <formula>J154="Dedicated pin"</formula>
    </cfRule>
  </conditionalFormatting>
  <conditionalFormatting sqref="K154">
    <cfRule type="expression" dxfId="201" priority="243" stopIfTrue="1">
      <formula>K154="GPIO pin"</formula>
    </cfRule>
    <cfRule type="expression" dxfId="200" priority="244" stopIfTrue="1">
      <formula>K154="Dedicated pin"</formula>
    </cfRule>
  </conditionalFormatting>
  <conditionalFormatting sqref="J156">
    <cfRule type="expression" dxfId="199" priority="241" stopIfTrue="1">
      <formula>J156="GPIO pin"</formula>
    </cfRule>
    <cfRule type="expression" dxfId="198" priority="242" stopIfTrue="1">
      <formula>J156="Dedicated pin"</formula>
    </cfRule>
  </conditionalFormatting>
  <conditionalFormatting sqref="K156">
    <cfRule type="expression" dxfId="197" priority="239" stopIfTrue="1">
      <formula>K156="GPIO pin"</formula>
    </cfRule>
    <cfRule type="expression" dxfId="196" priority="240" stopIfTrue="1">
      <formula>K156="Dedicated pin"</formula>
    </cfRule>
  </conditionalFormatting>
  <conditionalFormatting sqref="J157">
    <cfRule type="expression" dxfId="195" priority="237" stopIfTrue="1">
      <formula>J157="GPIO pin"</formula>
    </cfRule>
    <cfRule type="expression" dxfId="194" priority="238" stopIfTrue="1">
      <formula>J157="Dedicated pin"</formula>
    </cfRule>
  </conditionalFormatting>
  <conditionalFormatting sqref="K157">
    <cfRule type="expression" dxfId="193" priority="235" stopIfTrue="1">
      <formula>K157="GPIO pin"</formula>
    </cfRule>
    <cfRule type="expression" dxfId="192" priority="236" stopIfTrue="1">
      <formula>K157="Dedicated pin"</formula>
    </cfRule>
  </conditionalFormatting>
  <conditionalFormatting sqref="J159">
    <cfRule type="expression" dxfId="191" priority="233" stopIfTrue="1">
      <formula>J159="GPIO pin"</formula>
    </cfRule>
    <cfRule type="expression" dxfId="190" priority="234" stopIfTrue="1">
      <formula>J159="Dedicated pin"</formula>
    </cfRule>
  </conditionalFormatting>
  <conditionalFormatting sqref="K148">
    <cfRule type="expression" dxfId="189" priority="231" stopIfTrue="1">
      <formula>K148="GPIO pin"</formula>
    </cfRule>
    <cfRule type="expression" dxfId="188" priority="232" stopIfTrue="1">
      <formula>K148="Dedicated pin"</formula>
    </cfRule>
  </conditionalFormatting>
  <conditionalFormatting sqref="K158:K159">
    <cfRule type="expression" dxfId="187" priority="229" stopIfTrue="1">
      <formula>K158="GPIO pin"</formula>
    </cfRule>
    <cfRule type="expression" dxfId="186" priority="230" stopIfTrue="1">
      <formula>K158="Dedicated pin"</formula>
    </cfRule>
  </conditionalFormatting>
  <conditionalFormatting sqref="J160">
    <cfRule type="expression" dxfId="185" priority="227" stopIfTrue="1">
      <formula>J160="GPIO pin"</formula>
    </cfRule>
    <cfRule type="expression" dxfId="184" priority="228" stopIfTrue="1">
      <formula>J160="Dedicated pin"</formula>
    </cfRule>
  </conditionalFormatting>
  <conditionalFormatting sqref="K160">
    <cfRule type="expression" dxfId="183" priority="225" stopIfTrue="1">
      <formula>K160="GPIO pin"</formula>
    </cfRule>
    <cfRule type="expression" dxfId="182" priority="226" stopIfTrue="1">
      <formula>K160="Dedicated pin"</formula>
    </cfRule>
  </conditionalFormatting>
  <conditionalFormatting sqref="J161">
    <cfRule type="expression" dxfId="181" priority="223" stopIfTrue="1">
      <formula>J161="GPIO pin"</formula>
    </cfRule>
    <cfRule type="expression" dxfId="180" priority="224" stopIfTrue="1">
      <formula>J161="Dedicated pin"</formula>
    </cfRule>
  </conditionalFormatting>
  <conditionalFormatting sqref="K161">
    <cfRule type="expression" dxfId="179" priority="221" stopIfTrue="1">
      <formula>K161="GPIO pin"</formula>
    </cfRule>
    <cfRule type="expression" dxfId="178" priority="222" stopIfTrue="1">
      <formula>K161="Dedicated pin"</formula>
    </cfRule>
  </conditionalFormatting>
  <conditionalFormatting sqref="J162">
    <cfRule type="expression" dxfId="177" priority="219" stopIfTrue="1">
      <formula>J162="GPIO pin"</formula>
    </cfRule>
    <cfRule type="expression" dxfId="176" priority="220" stopIfTrue="1">
      <formula>J162="Dedicated pin"</formula>
    </cfRule>
  </conditionalFormatting>
  <conditionalFormatting sqref="K162">
    <cfRule type="expression" dxfId="175" priority="217" stopIfTrue="1">
      <formula>K162="GPIO pin"</formula>
    </cfRule>
    <cfRule type="expression" dxfId="174" priority="218" stopIfTrue="1">
      <formula>K162="Dedicated pin"</formula>
    </cfRule>
  </conditionalFormatting>
  <conditionalFormatting sqref="J163">
    <cfRule type="expression" dxfId="173" priority="215" stopIfTrue="1">
      <formula>J163="GPIO pin"</formula>
    </cfRule>
    <cfRule type="expression" dxfId="172" priority="216" stopIfTrue="1">
      <formula>J163="Dedicated pin"</formula>
    </cfRule>
  </conditionalFormatting>
  <conditionalFormatting sqref="K163">
    <cfRule type="expression" dxfId="171" priority="213" stopIfTrue="1">
      <formula>K163="GPIO pin"</formula>
    </cfRule>
    <cfRule type="expression" dxfId="170" priority="214" stopIfTrue="1">
      <formula>K163="Dedicated pin"</formula>
    </cfRule>
  </conditionalFormatting>
  <conditionalFormatting sqref="J164">
    <cfRule type="expression" dxfId="169" priority="211" stopIfTrue="1">
      <formula>J164="GPIO pin"</formula>
    </cfRule>
    <cfRule type="expression" dxfId="168" priority="212" stopIfTrue="1">
      <formula>J164="Dedicated pin"</formula>
    </cfRule>
  </conditionalFormatting>
  <conditionalFormatting sqref="K164">
    <cfRule type="expression" dxfId="167" priority="209" stopIfTrue="1">
      <formula>K164="GPIO pin"</formula>
    </cfRule>
    <cfRule type="expression" dxfId="166" priority="210" stopIfTrue="1">
      <formula>K164="Dedicated pin"</formula>
    </cfRule>
  </conditionalFormatting>
  <conditionalFormatting sqref="J165">
    <cfRule type="expression" dxfId="165" priority="207" stopIfTrue="1">
      <formula>J165="GPIO pin"</formula>
    </cfRule>
    <cfRule type="expression" dxfId="164" priority="208" stopIfTrue="1">
      <formula>J165="Dedicated pin"</formula>
    </cfRule>
  </conditionalFormatting>
  <conditionalFormatting sqref="K165">
    <cfRule type="expression" dxfId="163" priority="205" stopIfTrue="1">
      <formula>K165="GPIO pin"</formula>
    </cfRule>
    <cfRule type="expression" dxfId="162" priority="206" stopIfTrue="1">
      <formula>K165="Dedicated pin"</formula>
    </cfRule>
  </conditionalFormatting>
  <conditionalFormatting sqref="J166">
    <cfRule type="expression" dxfId="161" priority="203" stopIfTrue="1">
      <formula>J166="GPIO pin"</formula>
    </cfRule>
    <cfRule type="expression" dxfId="160" priority="204" stopIfTrue="1">
      <formula>J166="Dedicated pin"</formula>
    </cfRule>
  </conditionalFormatting>
  <conditionalFormatting sqref="K166">
    <cfRule type="expression" dxfId="159" priority="201" stopIfTrue="1">
      <formula>K166="GPIO pin"</formula>
    </cfRule>
    <cfRule type="expression" dxfId="158" priority="202" stopIfTrue="1">
      <formula>K166="Dedicated pin"</formula>
    </cfRule>
  </conditionalFormatting>
  <conditionalFormatting sqref="J167">
    <cfRule type="expression" dxfId="157" priority="199" stopIfTrue="1">
      <formula>J167="GPIO pin"</formula>
    </cfRule>
    <cfRule type="expression" dxfId="156" priority="200" stopIfTrue="1">
      <formula>J167="Dedicated pin"</formula>
    </cfRule>
  </conditionalFormatting>
  <conditionalFormatting sqref="K167">
    <cfRule type="expression" dxfId="155" priority="197" stopIfTrue="1">
      <formula>K167="GPIO pin"</formula>
    </cfRule>
    <cfRule type="expression" dxfId="154" priority="198" stopIfTrue="1">
      <formula>K167="Dedicated pin"</formula>
    </cfRule>
  </conditionalFormatting>
  <conditionalFormatting sqref="J168">
    <cfRule type="expression" dxfId="153" priority="195" stopIfTrue="1">
      <formula>J168="GPIO pin"</formula>
    </cfRule>
    <cfRule type="expression" dxfId="152" priority="196" stopIfTrue="1">
      <formula>J168="Dedicated pin"</formula>
    </cfRule>
  </conditionalFormatting>
  <conditionalFormatting sqref="K168">
    <cfRule type="expression" dxfId="151" priority="193" stopIfTrue="1">
      <formula>K168="GPIO pin"</formula>
    </cfRule>
    <cfRule type="expression" dxfId="150" priority="194" stopIfTrue="1">
      <formula>K168="Dedicated pin"</formula>
    </cfRule>
  </conditionalFormatting>
  <conditionalFormatting sqref="J169">
    <cfRule type="expression" dxfId="149" priority="191" stopIfTrue="1">
      <formula>J169="GPIO pin"</formula>
    </cfRule>
    <cfRule type="expression" dxfId="148" priority="192" stopIfTrue="1">
      <formula>J169="Dedicated pin"</formula>
    </cfRule>
  </conditionalFormatting>
  <conditionalFormatting sqref="K169">
    <cfRule type="expression" dxfId="147" priority="189" stopIfTrue="1">
      <formula>K169="GPIO pin"</formula>
    </cfRule>
    <cfRule type="expression" dxfId="146" priority="190" stopIfTrue="1">
      <formula>K169="Dedicated pin"</formula>
    </cfRule>
  </conditionalFormatting>
  <conditionalFormatting sqref="J170">
    <cfRule type="expression" dxfId="145" priority="187" stopIfTrue="1">
      <formula>J170="GPIO pin"</formula>
    </cfRule>
    <cfRule type="expression" dxfId="144" priority="188" stopIfTrue="1">
      <formula>J170="Dedicated pin"</formula>
    </cfRule>
  </conditionalFormatting>
  <conditionalFormatting sqref="K170">
    <cfRule type="expression" dxfId="143" priority="185" stopIfTrue="1">
      <formula>K170="GPIO pin"</formula>
    </cfRule>
    <cfRule type="expression" dxfId="142" priority="186" stopIfTrue="1">
      <formula>K170="Dedicated pin"</formula>
    </cfRule>
  </conditionalFormatting>
  <conditionalFormatting sqref="J171">
    <cfRule type="expression" dxfId="141" priority="183" stopIfTrue="1">
      <formula>J171="GPIO pin"</formula>
    </cfRule>
    <cfRule type="expression" dxfId="140" priority="184" stopIfTrue="1">
      <formula>J171="Dedicated pin"</formula>
    </cfRule>
  </conditionalFormatting>
  <conditionalFormatting sqref="K171">
    <cfRule type="expression" dxfId="139" priority="181" stopIfTrue="1">
      <formula>K171="GPIO pin"</formula>
    </cfRule>
    <cfRule type="expression" dxfId="138" priority="182" stopIfTrue="1">
      <formula>K171="Dedicated pin"</formula>
    </cfRule>
  </conditionalFormatting>
  <conditionalFormatting sqref="J185">
    <cfRule type="expression" dxfId="137" priority="155" stopIfTrue="1">
      <formula>J185="GPIO pin"</formula>
    </cfRule>
    <cfRule type="expression" dxfId="136" priority="156" stopIfTrue="1">
      <formula>J185="Dedicated pin"</formula>
    </cfRule>
  </conditionalFormatting>
  <conditionalFormatting sqref="K185">
    <cfRule type="expression" dxfId="135" priority="153" stopIfTrue="1">
      <formula>K185="GPIO pin"</formula>
    </cfRule>
    <cfRule type="expression" dxfId="134" priority="154" stopIfTrue="1">
      <formula>K185="Dedicated pin"</formula>
    </cfRule>
  </conditionalFormatting>
  <conditionalFormatting sqref="J186">
    <cfRule type="expression" dxfId="133" priority="151" stopIfTrue="1">
      <formula>J186="GPIO pin"</formula>
    </cfRule>
    <cfRule type="expression" dxfId="132" priority="152" stopIfTrue="1">
      <formula>J186="Dedicated pin"</formula>
    </cfRule>
  </conditionalFormatting>
  <conditionalFormatting sqref="K186">
    <cfRule type="expression" dxfId="131" priority="149" stopIfTrue="1">
      <formula>K186="GPIO pin"</formula>
    </cfRule>
    <cfRule type="expression" dxfId="130" priority="150" stopIfTrue="1">
      <formula>K186="Dedicated pin"</formula>
    </cfRule>
  </conditionalFormatting>
  <conditionalFormatting sqref="K187">
    <cfRule type="expression" dxfId="129" priority="147" stopIfTrue="1">
      <formula>K187="GPIO pin"</formula>
    </cfRule>
    <cfRule type="expression" dxfId="128" priority="148" stopIfTrue="1">
      <formula>K187="Dedicated pin"</formula>
    </cfRule>
  </conditionalFormatting>
  <conditionalFormatting sqref="K191">
    <cfRule type="expression" dxfId="127" priority="145" stopIfTrue="1">
      <formula>K191="GPIO pin"</formula>
    </cfRule>
    <cfRule type="expression" dxfId="126" priority="146" stopIfTrue="1">
      <formula>K191="Dedicated pin"</formula>
    </cfRule>
  </conditionalFormatting>
  <conditionalFormatting sqref="K192">
    <cfRule type="expression" dxfId="125" priority="143" stopIfTrue="1">
      <formula>K192="GPIO pin"</formula>
    </cfRule>
    <cfRule type="expression" dxfId="124" priority="144" stopIfTrue="1">
      <formula>K192="Dedicated pin"</formula>
    </cfRule>
  </conditionalFormatting>
  <conditionalFormatting sqref="K193">
    <cfRule type="expression" dxfId="123" priority="141" stopIfTrue="1">
      <formula>K193="GPIO pin"</formula>
    </cfRule>
    <cfRule type="expression" dxfId="122" priority="142" stopIfTrue="1">
      <formula>K193="Dedicated pin"</formula>
    </cfRule>
  </conditionalFormatting>
  <conditionalFormatting sqref="J194">
    <cfRule type="expression" dxfId="121" priority="139" stopIfTrue="1">
      <formula>J194="GPIO pin"</formula>
    </cfRule>
    <cfRule type="expression" dxfId="120" priority="140" stopIfTrue="1">
      <formula>J194="Dedicated pin"</formula>
    </cfRule>
  </conditionalFormatting>
  <conditionalFormatting sqref="K194">
    <cfRule type="expression" dxfId="119" priority="137" stopIfTrue="1">
      <formula>K194="GPIO pin"</formula>
    </cfRule>
    <cfRule type="expression" dxfId="118" priority="138" stopIfTrue="1">
      <formula>K194="Dedicated pin"</formula>
    </cfRule>
  </conditionalFormatting>
  <conditionalFormatting sqref="K195">
    <cfRule type="expression" dxfId="117" priority="135" stopIfTrue="1">
      <formula>K195="GPIO pin"</formula>
    </cfRule>
    <cfRule type="expression" dxfId="116" priority="136" stopIfTrue="1">
      <formula>K195="Dedicated pin"</formula>
    </cfRule>
  </conditionalFormatting>
  <conditionalFormatting sqref="K196">
    <cfRule type="expression" dxfId="115" priority="133" stopIfTrue="1">
      <formula>K196="GPIO pin"</formula>
    </cfRule>
    <cfRule type="expression" dxfId="114" priority="134" stopIfTrue="1">
      <formula>K196="Dedicated pin"</formula>
    </cfRule>
  </conditionalFormatting>
  <conditionalFormatting sqref="K197">
    <cfRule type="expression" dxfId="113" priority="131" stopIfTrue="1">
      <formula>K197="GPIO pin"</formula>
    </cfRule>
    <cfRule type="expression" dxfId="112" priority="132" stopIfTrue="1">
      <formula>K197="Dedicated pin"</formula>
    </cfRule>
  </conditionalFormatting>
  <conditionalFormatting sqref="K198">
    <cfRule type="expression" dxfId="111" priority="129" stopIfTrue="1">
      <formula>K198="GPIO pin"</formula>
    </cfRule>
    <cfRule type="expression" dxfId="110" priority="130" stopIfTrue="1">
      <formula>K198="Dedicated pin"</formula>
    </cfRule>
  </conditionalFormatting>
  <conditionalFormatting sqref="K199">
    <cfRule type="expression" dxfId="109" priority="127" stopIfTrue="1">
      <formula>K199="GPIO pin"</formula>
    </cfRule>
    <cfRule type="expression" dxfId="108" priority="128" stopIfTrue="1">
      <formula>K199="Dedicated pin"</formula>
    </cfRule>
  </conditionalFormatting>
  <conditionalFormatting sqref="J200">
    <cfRule type="expression" dxfId="107" priority="125" stopIfTrue="1">
      <formula>J200="GPIO pin"</formula>
    </cfRule>
    <cfRule type="expression" dxfId="106" priority="126" stopIfTrue="1">
      <formula>J200="Dedicated pin"</formula>
    </cfRule>
  </conditionalFormatting>
  <conditionalFormatting sqref="K200">
    <cfRule type="expression" dxfId="105" priority="123" stopIfTrue="1">
      <formula>K200="GPIO pin"</formula>
    </cfRule>
    <cfRule type="expression" dxfId="104" priority="124" stopIfTrue="1">
      <formula>K200="Dedicated pin"</formula>
    </cfRule>
  </conditionalFormatting>
  <conditionalFormatting sqref="J199">
    <cfRule type="expression" dxfId="103" priority="121" stopIfTrue="1">
      <formula>J199="GPIO pin"</formula>
    </cfRule>
    <cfRule type="expression" dxfId="102" priority="122" stopIfTrue="1">
      <formula>J199="Dedicated pin"</formula>
    </cfRule>
  </conditionalFormatting>
  <conditionalFormatting sqref="K201">
    <cfRule type="expression" dxfId="101" priority="119" stopIfTrue="1">
      <formula>K201="GPIO pin"</formula>
    </cfRule>
    <cfRule type="expression" dxfId="100" priority="120" stopIfTrue="1">
      <formula>K201="Dedicated pin"</formula>
    </cfRule>
  </conditionalFormatting>
  <conditionalFormatting sqref="K202">
    <cfRule type="expression" dxfId="99" priority="117" stopIfTrue="1">
      <formula>K202="GPIO pin"</formula>
    </cfRule>
    <cfRule type="expression" dxfId="98" priority="118" stopIfTrue="1">
      <formula>K202="Dedicated pin"</formula>
    </cfRule>
  </conditionalFormatting>
  <conditionalFormatting sqref="K203">
    <cfRule type="expression" dxfId="97" priority="115" stopIfTrue="1">
      <formula>K203="GPIO pin"</formula>
    </cfRule>
    <cfRule type="expression" dxfId="96" priority="116" stopIfTrue="1">
      <formula>K203="Dedicated pin"</formula>
    </cfRule>
  </conditionalFormatting>
  <conditionalFormatting sqref="K207">
    <cfRule type="expression" dxfId="95" priority="113" stopIfTrue="1">
      <formula>K207="GPIO pin"</formula>
    </cfRule>
    <cfRule type="expression" dxfId="94" priority="114" stopIfTrue="1">
      <formula>K207="Dedicated pin"</formula>
    </cfRule>
  </conditionalFormatting>
  <conditionalFormatting sqref="J208">
    <cfRule type="expression" dxfId="93" priority="111" stopIfTrue="1">
      <formula>J208="GPIO pin"</formula>
    </cfRule>
    <cfRule type="expression" dxfId="92" priority="112" stopIfTrue="1">
      <formula>J208="Dedicated pin"</formula>
    </cfRule>
  </conditionalFormatting>
  <conditionalFormatting sqref="K209">
    <cfRule type="expression" dxfId="91" priority="109" stopIfTrue="1">
      <formula>K209="GPIO pin"</formula>
    </cfRule>
    <cfRule type="expression" dxfId="90" priority="110" stopIfTrue="1">
      <formula>K209="Dedicated pin"</formula>
    </cfRule>
  </conditionalFormatting>
  <conditionalFormatting sqref="K208">
    <cfRule type="expression" dxfId="89" priority="107" stopIfTrue="1">
      <formula>K208="GPIO pin"</formula>
    </cfRule>
    <cfRule type="expression" dxfId="88" priority="108" stopIfTrue="1">
      <formula>K208="Dedicated pin"</formula>
    </cfRule>
  </conditionalFormatting>
  <conditionalFormatting sqref="J210">
    <cfRule type="expression" dxfId="87" priority="105" stopIfTrue="1">
      <formula>J210="GPIO pin"</formula>
    </cfRule>
    <cfRule type="expression" dxfId="86" priority="106" stopIfTrue="1">
      <formula>J210="Dedicated pin"</formula>
    </cfRule>
  </conditionalFormatting>
  <conditionalFormatting sqref="K210">
    <cfRule type="expression" dxfId="85" priority="103" stopIfTrue="1">
      <formula>K210="GPIO pin"</formula>
    </cfRule>
    <cfRule type="expression" dxfId="84" priority="104" stopIfTrue="1">
      <formula>K210="Dedicated pin"</formula>
    </cfRule>
  </conditionalFormatting>
  <conditionalFormatting sqref="K211">
    <cfRule type="expression" dxfId="83" priority="101" stopIfTrue="1">
      <formula>K211="GPIO pin"</formula>
    </cfRule>
    <cfRule type="expression" dxfId="82" priority="102" stopIfTrue="1">
      <formula>K211="Dedicated pin"</formula>
    </cfRule>
  </conditionalFormatting>
  <conditionalFormatting sqref="K38:K39">
    <cfRule type="expression" dxfId="81" priority="99" stopIfTrue="1">
      <formula>K38="GPIO pin"</formula>
    </cfRule>
    <cfRule type="expression" dxfId="80" priority="100" stopIfTrue="1">
      <formula>K38="Dedicated pin"</formula>
    </cfRule>
  </conditionalFormatting>
  <conditionalFormatting sqref="K58">
    <cfRule type="expression" dxfId="79" priority="97" stopIfTrue="1">
      <formula>K58="GPIO pin"</formula>
    </cfRule>
    <cfRule type="expression" dxfId="78" priority="98" stopIfTrue="1">
      <formula>K58="Dedicated pin"</formula>
    </cfRule>
  </conditionalFormatting>
  <conditionalFormatting sqref="K63">
    <cfRule type="expression" dxfId="77" priority="95" stopIfTrue="1">
      <formula>K63="GPIO pin"</formula>
    </cfRule>
    <cfRule type="expression" dxfId="76" priority="96" stopIfTrue="1">
      <formula>K63="Dedicated pin"</formula>
    </cfRule>
  </conditionalFormatting>
  <conditionalFormatting sqref="K64">
    <cfRule type="expression" dxfId="75" priority="93" stopIfTrue="1">
      <formula>K64="GPIO pin"</formula>
    </cfRule>
    <cfRule type="expression" dxfId="74" priority="94" stopIfTrue="1">
      <formula>K64="Dedicated pin"</formula>
    </cfRule>
  </conditionalFormatting>
  <conditionalFormatting sqref="K72">
    <cfRule type="expression" dxfId="73" priority="91" stopIfTrue="1">
      <formula>K72="GPIO pin"</formula>
    </cfRule>
    <cfRule type="expression" dxfId="72" priority="92" stopIfTrue="1">
      <formula>K72="Dedicated pin"</formula>
    </cfRule>
  </conditionalFormatting>
  <conditionalFormatting sqref="K114">
    <cfRule type="expression" dxfId="71" priority="89" stopIfTrue="1">
      <formula>K114="GPIO pin"</formula>
    </cfRule>
    <cfRule type="expression" dxfId="70" priority="90" stopIfTrue="1">
      <formula>K114="Dedicated pin"</formula>
    </cfRule>
  </conditionalFormatting>
  <conditionalFormatting sqref="K115">
    <cfRule type="expression" dxfId="69" priority="87" stopIfTrue="1">
      <formula>K115="GPIO pin"</formula>
    </cfRule>
    <cfRule type="expression" dxfId="68" priority="88" stopIfTrue="1">
      <formula>K115="Dedicated pin"</formula>
    </cfRule>
  </conditionalFormatting>
  <conditionalFormatting sqref="J119">
    <cfRule type="expression" dxfId="67" priority="85" stopIfTrue="1">
      <formula>J119="GPIO pin"</formula>
    </cfRule>
    <cfRule type="expression" dxfId="66" priority="86" stopIfTrue="1">
      <formula>J119="Dedicated pin"</formula>
    </cfRule>
  </conditionalFormatting>
  <conditionalFormatting sqref="K184">
    <cfRule type="expression" dxfId="65" priority="83" stopIfTrue="1">
      <formula>K184="GPIO pin"</formula>
    </cfRule>
    <cfRule type="expression" dxfId="64" priority="84" stopIfTrue="1">
      <formula>K184="Dedicated pin"</formula>
    </cfRule>
  </conditionalFormatting>
  <conditionalFormatting sqref="J192">
    <cfRule type="expression" dxfId="63" priority="81" stopIfTrue="1">
      <formula>J192="GPIO pin"</formula>
    </cfRule>
    <cfRule type="expression" dxfId="62" priority="82" stopIfTrue="1">
      <formula>J192="Dedicated pin"</formula>
    </cfRule>
  </conditionalFormatting>
  <conditionalFormatting sqref="J201">
    <cfRule type="expression" dxfId="61" priority="79" stopIfTrue="1">
      <formula>J201="GPIO pin"</formula>
    </cfRule>
    <cfRule type="expression" dxfId="60" priority="80" stopIfTrue="1">
      <formula>J201="Dedicated pin"</formula>
    </cfRule>
  </conditionalFormatting>
  <conditionalFormatting sqref="J202">
    <cfRule type="expression" dxfId="59" priority="77" stopIfTrue="1">
      <formula>J202="GPIO pin"</formula>
    </cfRule>
    <cfRule type="expression" dxfId="58" priority="78" stopIfTrue="1">
      <formula>J202="Dedicated pin"</formula>
    </cfRule>
  </conditionalFormatting>
  <conditionalFormatting sqref="J203">
    <cfRule type="expression" dxfId="57" priority="75" stopIfTrue="1">
      <formula>J203="GPIO pin"</formula>
    </cfRule>
    <cfRule type="expression" dxfId="56" priority="76" stopIfTrue="1">
      <formula>J203="Dedicated pin"</formula>
    </cfRule>
  </conditionalFormatting>
  <conditionalFormatting sqref="J72">
    <cfRule type="expression" dxfId="55" priority="73" stopIfTrue="1">
      <formula>J72="GPIO pin"</formula>
    </cfRule>
    <cfRule type="expression" dxfId="54" priority="74" stopIfTrue="1">
      <formula>J72="Dedicated pin"</formula>
    </cfRule>
  </conditionalFormatting>
  <conditionalFormatting sqref="J70">
    <cfRule type="expression" dxfId="53" priority="71" stopIfTrue="1">
      <formula>J70="GPIO pin"</formula>
    </cfRule>
    <cfRule type="expression" dxfId="52" priority="72" stopIfTrue="1">
      <formula>J70="Dedicated pin"</formula>
    </cfRule>
  </conditionalFormatting>
  <conditionalFormatting sqref="J69">
    <cfRule type="expression" dxfId="51" priority="69" stopIfTrue="1">
      <formula>J69="GPIO pin"</formula>
    </cfRule>
    <cfRule type="expression" dxfId="50" priority="70" stopIfTrue="1">
      <formula>J69="Dedicated pin"</formula>
    </cfRule>
  </conditionalFormatting>
  <conditionalFormatting sqref="J68">
    <cfRule type="expression" dxfId="49" priority="67" stopIfTrue="1">
      <formula>J68="GPIO pin"</formula>
    </cfRule>
    <cfRule type="expression" dxfId="48" priority="68" stopIfTrue="1">
      <formula>J68="Dedicated pin"</formula>
    </cfRule>
  </conditionalFormatting>
  <conditionalFormatting sqref="J97">
    <cfRule type="expression" dxfId="47" priority="65" stopIfTrue="1">
      <formula>J97="GPIO pin"</formula>
    </cfRule>
    <cfRule type="expression" dxfId="46" priority="66" stopIfTrue="1">
      <formula>J97="Dedicated pin"</formula>
    </cfRule>
  </conditionalFormatting>
  <conditionalFormatting sqref="K109:K110">
    <cfRule type="expression" dxfId="45" priority="61" stopIfTrue="1">
      <formula>K109="GPIO pin"</formula>
    </cfRule>
    <cfRule type="expression" dxfId="44" priority="62" stopIfTrue="1">
      <formula>K109="Dedicated pin"</formula>
    </cfRule>
  </conditionalFormatting>
  <conditionalFormatting sqref="J122">
    <cfRule type="expression" dxfId="43" priority="59" stopIfTrue="1">
      <formula>J122="GPIO pin"</formula>
    </cfRule>
    <cfRule type="expression" dxfId="42" priority="60" stopIfTrue="1">
      <formula>J122="Dedicated pin"</formula>
    </cfRule>
  </conditionalFormatting>
  <conditionalFormatting sqref="J120">
    <cfRule type="expression" dxfId="41" priority="57" stopIfTrue="1">
      <formula>J120="GPIO pin"</formula>
    </cfRule>
    <cfRule type="expression" dxfId="40" priority="58" stopIfTrue="1">
      <formula>J120="Dedicated pin"</formula>
    </cfRule>
  </conditionalFormatting>
  <conditionalFormatting sqref="J118">
    <cfRule type="expression" dxfId="39" priority="55" stopIfTrue="1">
      <formula>J118="GPIO pin"</formula>
    </cfRule>
    <cfRule type="expression" dxfId="38" priority="56" stopIfTrue="1">
      <formula>J118="Dedicated pin"</formula>
    </cfRule>
  </conditionalFormatting>
  <conditionalFormatting sqref="K122">
    <cfRule type="expression" dxfId="37" priority="53" stopIfTrue="1">
      <formula>K122="GPIO pin"</formula>
    </cfRule>
    <cfRule type="expression" dxfId="36" priority="54" stopIfTrue="1">
      <formula>K122="Dedicated pin"</formula>
    </cfRule>
  </conditionalFormatting>
  <conditionalFormatting sqref="K180">
    <cfRule type="expression" dxfId="35" priority="35" stopIfTrue="1">
      <formula>K180="GPIO pin"</formula>
    </cfRule>
    <cfRule type="expression" dxfId="34" priority="36" stopIfTrue="1">
      <formula>K180="Dedicated pin"</formula>
    </cfRule>
  </conditionalFormatting>
  <conditionalFormatting sqref="K181">
    <cfRule type="expression" dxfId="33" priority="33" stopIfTrue="1">
      <formula>K181="GPIO pin"</formula>
    </cfRule>
    <cfRule type="expression" dxfId="32" priority="34" stopIfTrue="1">
      <formula>K181="Dedicated pin"</formula>
    </cfRule>
  </conditionalFormatting>
  <conditionalFormatting sqref="K182">
    <cfRule type="expression" dxfId="31" priority="31" stopIfTrue="1">
      <formula>K182="GPIO pin"</formula>
    </cfRule>
    <cfRule type="expression" dxfId="30" priority="32" stopIfTrue="1">
      <formula>K182="Dedicated pin"</formula>
    </cfRule>
  </conditionalFormatting>
  <conditionalFormatting sqref="J177">
    <cfRule type="expression" dxfId="29" priority="29" stopIfTrue="1">
      <formula>J177="GPIO pin"</formula>
    </cfRule>
    <cfRule type="expression" dxfId="28" priority="30" stopIfTrue="1">
      <formula>J177="Dedicated pin"</formula>
    </cfRule>
  </conditionalFormatting>
  <conditionalFormatting sqref="K177">
    <cfRule type="expression" dxfId="27" priority="27" stopIfTrue="1">
      <formula>K177="GPIO pin"</formula>
    </cfRule>
    <cfRule type="expression" dxfId="26" priority="28" stopIfTrue="1">
      <formula>K177="Dedicated pin"</formula>
    </cfRule>
  </conditionalFormatting>
  <conditionalFormatting sqref="J178">
    <cfRule type="expression" dxfId="25" priority="25" stopIfTrue="1">
      <formula>J178="GPIO pin"</formula>
    </cfRule>
    <cfRule type="expression" dxfId="24" priority="26" stopIfTrue="1">
      <formula>J178="Dedicated pin"</formula>
    </cfRule>
  </conditionalFormatting>
  <conditionalFormatting sqref="K178">
    <cfRule type="expression" dxfId="23" priority="23" stopIfTrue="1">
      <formula>K178="GPIO pin"</formula>
    </cfRule>
    <cfRule type="expression" dxfId="22" priority="24" stopIfTrue="1">
      <formula>K178="Dedicated pin"</formula>
    </cfRule>
  </conditionalFormatting>
  <conditionalFormatting sqref="J179">
    <cfRule type="expression" dxfId="21" priority="21" stopIfTrue="1">
      <formula>J179="GPIO pin"</formula>
    </cfRule>
    <cfRule type="expression" dxfId="20" priority="22" stopIfTrue="1">
      <formula>J179="Dedicated pin"</formula>
    </cfRule>
  </conditionalFormatting>
  <conditionalFormatting sqref="K179">
    <cfRule type="expression" dxfId="19" priority="19" stopIfTrue="1">
      <formula>K179="GPIO pin"</formula>
    </cfRule>
    <cfRule type="expression" dxfId="18" priority="20" stopIfTrue="1">
      <formula>K179="Dedicated pin"</formula>
    </cfRule>
  </conditionalFormatting>
  <conditionalFormatting sqref="J175">
    <cfRule type="expression" dxfId="17" priority="17" stopIfTrue="1">
      <formula>J175="GPIO pin"</formula>
    </cfRule>
    <cfRule type="expression" dxfId="16" priority="18" stopIfTrue="1">
      <formula>J175="Dedicated pin"</formula>
    </cfRule>
  </conditionalFormatting>
  <conditionalFormatting sqref="J174">
    <cfRule type="expression" dxfId="15" priority="15" stopIfTrue="1">
      <formula>J174="GPIO pin"</formula>
    </cfRule>
    <cfRule type="expression" dxfId="14" priority="16" stopIfTrue="1">
      <formula>J174="Dedicated pin"</formula>
    </cfRule>
  </conditionalFormatting>
  <conditionalFormatting sqref="K174">
    <cfRule type="expression" dxfId="13" priority="13" stopIfTrue="1">
      <formula>K174="GPIO pin"</formula>
    </cfRule>
    <cfRule type="expression" dxfId="12" priority="14" stopIfTrue="1">
      <formula>K174="Dedicated pin"</formula>
    </cfRule>
  </conditionalFormatting>
  <conditionalFormatting sqref="K175">
    <cfRule type="expression" dxfId="11" priority="11" stopIfTrue="1">
      <formula>K175="GPIO pin"</formula>
    </cfRule>
    <cfRule type="expression" dxfId="10" priority="12" stopIfTrue="1">
      <formula>K175="Dedicated pin"</formula>
    </cfRule>
  </conditionalFormatting>
  <conditionalFormatting sqref="J176">
    <cfRule type="expression" dxfId="9" priority="9" stopIfTrue="1">
      <formula>J176="GPIO pin"</formula>
    </cfRule>
    <cfRule type="expression" dxfId="8" priority="10" stopIfTrue="1">
      <formula>J176="Dedicated pin"</formula>
    </cfRule>
  </conditionalFormatting>
  <conditionalFormatting sqref="K176">
    <cfRule type="expression" dxfId="7" priority="7" stopIfTrue="1">
      <formula>K176="GPIO pin"</formula>
    </cfRule>
    <cfRule type="expression" dxfId="6" priority="8" stopIfTrue="1">
      <formula>K176="Dedicated pin"</formula>
    </cfRule>
  </conditionalFormatting>
  <conditionalFormatting sqref="J183">
    <cfRule type="expression" dxfId="5" priority="5" stopIfTrue="1">
      <formula>J183="GPIO pin"</formula>
    </cfRule>
    <cfRule type="expression" dxfId="4" priority="6" stopIfTrue="1">
      <formula>J183="Dedicated pin"</formula>
    </cfRule>
  </conditionalFormatting>
  <conditionalFormatting sqref="K183">
    <cfRule type="expression" dxfId="3" priority="3" stopIfTrue="1">
      <formula>K183="GPIO pin"</formula>
    </cfRule>
    <cfRule type="expression" dxfId="2" priority="4" stopIfTrue="1">
      <formula>K183="Dedicated pin"</formula>
    </cfRule>
  </conditionalFormatting>
  <conditionalFormatting sqref="J95">
    <cfRule type="expression" dxfId="1" priority="1" stopIfTrue="1">
      <formula>J95="GPIO pin"</formula>
    </cfRule>
    <cfRule type="expression" dxfId="0" priority="2" stopIfTrue="1">
      <formula>J95="Dedicated pin"</formula>
    </cfRule>
  </conditionalFormatting>
  <dataValidations count="173">
    <dataValidation type="list" allowBlank="1" showInputMessage="1" showErrorMessage="1" promptTitle="FW Ctrl Block" sqref="O118:O139 O145:O211 O48:O51 O62:O107 O13:O43 O54:O59 O109:O115">
      <formula1>$AH$4:$AH$8</formula1>
    </dataValidation>
    <dataValidation type="list" allowBlank="1" showInputMessage="1" showErrorMessage="1" sqref="F123">
      <formula1>"PE0,FPSIN3,UDTRG2A"</formula1>
    </dataValidation>
    <dataValidation type="list" allowBlank="1" showInputMessage="1" showErrorMessage="1" sqref="F122">
      <formula1>"PE1,FPSOUT3,UDTRG2B"</formula1>
    </dataValidation>
    <dataValidation type="list" allowBlank="1" showInputMessage="1" showErrorMessage="1" sqref="F121">
      <formula1>"PE2,FPSIN1,UDTRG3A"</formula1>
    </dataValidation>
    <dataValidation type="list" allowBlank="1" showInputMessage="1" showErrorMessage="1" sqref="F120">
      <formula1>"PE3,FPSOUT1,UDTRG3B"</formula1>
    </dataValidation>
    <dataValidation type="list" allowBlank="1" showInputMessage="1" showErrorMessage="1" sqref="F119">
      <formula1>"PE4,FPSIN2,UDTRG4A"</formula1>
    </dataValidation>
    <dataValidation type="list" allowBlank="1" showInputMessage="1" showErrorMessage="1" sqref="F46">
      <formula1>"P45,FPSOUT0"</formula1>
    </dataValidation>
    <dataValidation type="list" allowBlank="1" showInputMessage="1" showErrorMessage="1" sqref="F45">
      <formula1>"P46(ALARM)"</formula1>
    </dataValidation>
    <dataValidation type="list" allowBlank="1" showInputMessage="1" showErrorMessage="1" sqref="F52">
      <formula1>"P67,EINT23"</formula1>
    </dataValidation>
    <dataValidation type="list" allowBlank="1" showInputMessage="1" showErrorMessage="1" sqref="F35">
      <formula1>"P20,SD3CDX_2"</formula1>
    </dataValidation>
    <dataValidation type="list" allowBlank="1" showInputMessage="1" showErrorMessage="1" sqref="F32">
      <formula1>"P23,SD3SW_2"</formula1>
    </dataValidation>
    <dataValidation type="list" allowBlank="1" showInputMessage="1" showErrorMessage="1" sqref="F30">
      <formula1>"P25,WTRG5"</formula1>
    </dataValidation>
    <dataValidation type="list" allowBlank="1" showInputMessage="1" showErrorMessage="1" sqref="F29">
      <formula1>"P26,WTRG6"</formula1>
    </dataValidation>
    <dataValidation type="list" allowBlank="1" showInputMessage="1" showErrorMessage="1" sqref="F28">
      <formula1>"P27,WTRG7"</formula1>
    </dataValidation>
    <dataValidation type="list" allowBlank="1" showInputMessage="1" showErrorMessage="1" sqref="F19">
      <formula1>"P00,EINT00"</formula1>
    </dataValidation>
    <dataValidation type="list" allowBlank="1" showInputMessage="1" showErrorMessage="1" sqref="F18">
      <formula1>"P01,EINT01"</formula1>
    </dataValidation>
    <dataValidation type="list" allowBlank="1" showInputMessage="1" showErrorMessage="1" sqref="F17">
      <formula1>"P02,EINT02"</formula1>
    </dataValidation>
    <dataValidation type="list" allowBlank="1" showInputMessage="1" showErrorMessage="1" sqref="F13">
      <formula1>"P06,EINT06"</formula1>
    </dataValidation>
    <dataValidation type="list" allowBlank="1" showInputMessage="1" showErrorMessage="1" sqref="F211">
      <formula1>"SD3CDX,PP0,FPSIN5,WPPG12_2"</formula1>
    </dataValidation>
    <dataValidation type="list" allowBlank="1" showInputMessage="1" showErrorMessage="1" sqref="F210">
      <formula1>"SD3WP,PP1,FPSCK5,WPP13_2"</formula1>
    </dataValidation>
    <dataValidation type="list" allowBlank="1" showInputMessage="1" showErrorMessage="1" sqref="F209">
      <formula1>"SD3LEDX,PP2,FPSOUT5,WPPG14_2"</formula1>
    </dataValidation>
    <dataValidation type="list" allowBlank="1" showInputMessage="1" showErrorMessage="1" sqref="F208">
      <formula1>"SD3SW,PP3,UDTRG5B,WPPG15_2"</formula1>
    </dataValidation>
    <dataValidation type="list" allowBlank="1" showInputMessage="1" showErrorMessage="1" sqref="F206:F207 F190 F182">
      <formula1>"PU5,WPPG12"</formula1>
    </dataValidation>
    <dataValidation type="list" allowBlank="1" showInputMessage="1" showErrorMessage="1" sqref="F205 F173 F189 F181">
      <formula1>"PU6,WPPG13"</formula1>
    </dataValidation>
    <dataValidation type="list" allowBlank="1" showInputMessage="1" showErrorMessage="1" sqref="F204 F172 F188 F180">
      <formula1>"PU7,WPPG14"</formula1>
    </dataValidation>
    <dataValidation type="list" allowBlank="1" showInputMessage="1" showErrorMessage="1" sqref="F147">
      <formula1>"PH0,SNAPCLKO2,WPPG6"</formula1>
    </dataValidation>
    <dataValidation type="list" allowBlank="1" showInputMessage="1" showErrorMessage="1" sqref="F146">
      <formula1>"PH1,SNHD3,WPPG7"</formula1>
    </dataValidation>
    <dataValidation type="list" allowBlank="1" showInputMessage="1" showErrorMessage="1" sqref="F145">
      <formula1>"PH2,SNVD3,WPPG8"</formula1>
    </dataValidation>
    <dataValidation type="list" allowBlank="1" showInputMessage="1" showErrorMessage="1" sqref="F139">
      <formula1>"PG0,SNHD0"</formula1>
    </dataValidation>
    <dataValidation type="list" allowBlank="1" showInputMessage="1" showErrorMessage="1" sqref="F138">
      <formula1>"PG1,SNVD0"</formula1>
    </dataValidation>
    <dataValidation type="list" allowBlank="1" showInputMessage="1" showErrorMessage="1" sqref="F137">
      <formula1>"PG2,SNAPCLKO0"</formula1>
    </dataValidation>
    <dataValidation type="list" allowBlank="1" showInputMessage="1" showErrorMessage="1" sqref="F136">
      <formula1>"PG3,SNHD1"</formula1>
    </dataValidation>
    <dataValidation type="list" allowBlank="1" showInputMessage="1" showErrorMessage="1" sqref="F135">
      <formula1>"PG4,SNVD1"</formula1>
    </dataValidation>
    <dataValidation type="list" allowBlank="1" showInputMessage="1" showErrorMessage="1" sqref="F134">
      <formula1>"PG5,SNAPCLKO1"</formula1>
    </dataValidation>
    <dataValidation type="list" allowBlank="1" showInputMessage="1" showErrorMessage="1" sqref="F133">
      <formula1>"PG6,SNHD2,WPPG4"</formula1>
    </dataValidation>
    <dataValidation type="list" allowBlank="1" showInputMessage="1" showErrorMessage="1" sqref="F132">
      <formula1>"PG7,SNVD2,WPPG5"</formula1>
    </dataValidation>
    <dataValidation type="list" allowBlank="1" showInputMessage="1" showErrorMessage="1" sqref="F131">
      <formula1>"PF0,FPSCTS1,RLTRG0,UDTRG0B"</formula1>
    </dataValidation>
    <dataValidation type="list" allowBlank="1" showInputMessage="1" showErrorMessage="1" sqref="F130">
      <formula1>"PF1,FPSCTS2,RTRG1,UDTRG1A"</formula1>
    </dataValidation>
    <dataValidation type="list" allowBlank="1" showInputMessage="1" showErrorMessage="1" sqref="F129">
      <formula1>"PF2,RLTRG2,UDTRG0A"</formula1>
    </dataValidation>
    <dataValidation type="list" allowBlank="1" showInputMessage="1" showErrorMessage="1" sqref="F128">
      <formula1>"PF3,RLTRG3"</formula1>
    </dataValidation>
    <dataValidation type="list" allowBlank="1" showInputMessage="1" showErrorMessage="1" sqref="F127">
      <formula1>"PF4,RLOUT"</formula1>
    </dataValidation>
    <dataValidation type="list" allowBlank="1" showInputMessage="1" showErrorMessage="1" sqref="F126">
      <formula1>"PR5,WTRG3,SMTD3"</formula1>
    </dataValidation>
    <dataValidation type="list" allowBlank="1" showInputMessage="1" showErrorMessage="1" sqref="F125">
      <formula1>"PR6,WTRG6"</formula1>
    </dataValidation>
    <dataValidation type="list" allowBlank="1" showInputMessage="1" showErrorMessage="1" sqref="F124">
      <formula1>"PR7,WTRG7,FPINT22"</formula1>
    </dataValidation>
    <dataValidation type="list" allowBlank="1" showInputMessage="1" showErrorMessage="1" sqref="F115">
      <formula1>"PD0,SP1MOSI"</formula1>
    </dataValidation>
    <dataValidation type="list" allowBlank="1" showInputMessage="1" showErrorMessage="1" sqref="F114">
      <formula1>"PD1,SP1MISO"</formula1>
    </dataValidation>
    <dataValidation type="list" allowBlank="1" showInputMessage="1" showErrorMessage="1" sqref="F113">
      <formula1>"PD2,SP1SCK"</formula1>
    </dataValidation>
    <dataValidation type="list" allowBlank="1" showInputMessage="1" showErrorMessage="1" sqref="F112">
      <formula1>"PD3,SP1CS0X"</formula1>
    </dataValidation>
    <dataValidation type="list" allowBlank="1" showInputMessage="1" showErrorMessage="1" sqref="F111">
      <formula1>"PD4,SP1CS1X"</formula1>
    </dataValidation>
    <dataValidation type="list" allowBlank="1" showInputMessage="1" showErrorMessage="1" sqref="F110">
      <formula1>"PD5,SP1CS2X"</formula1>
    </dataValidation>
    <dataValidation type="list" allowBlank="1" showInputMessage="1" showErrorMessage="1" sqref="F107">
      <formula1>"PC0L,IS0DA"</formula1>
    </dataValidation>
    <dataValidation type="list" allowBlank="1" showInputMessage="1" showErrorMessage="1" sqref="F106">
      <formula1>"PC1L,IS0CL"</formula1>
    </dataValidation>
    <dataValidation type="list" allowBlank="1" showInputMessage="1" showErrorMessage="1" sqref="F105">
      <formula1>"PC2L,IS1DA"</formula1>
    </dataValidation>
    <dataValidation type="list" allowBlank="1" showInputMessage="1" showErrorMessage="1" sqref="F104">
      <formula1>"PC3L,IS1CL"</formula1>
    </dataValidation>
    <dataValidation type="list" allowBlank="1" showInputMessage="1" showErrorMessage="1" sqref="F103">
      <formula1>"PC4L,IS2DA"</formula1>
    </dataValidation>
    <dataValidation type="list" allowBlank="1" showInputMessage="1" showErrorMessage="1" sqref="F102">
      <formula1>"PC5L,IS2CL"</formula1>
    </dataValidation>
    <dataValidation type="list" allowBlank="1" showInputMessage="1" showErrorMessage="1" sqref="F99">
      <formula1>"PB0,AU1CLK,SP3SCK"</formula1>
    </dataValidation>
    <dataValidation type="list" allowBlank="1" showInputMessage="1" showErrorMessage="1" sqref="F98">
      <formula1>"PB1,AU1LR,SP3CSX"</formula1>
    </dataValidation>
    <dataValidation type="list" allowBlank="1" showInputMessage="1" showErrorMessage="1" sqref="F97">
      <formula1>"PB2,AU1DI,SP3MOSI"</formula1>
    </dataValidation>
    <dataValidation type="list" allowBlank="1" showInputMessage="1" showErrorMessage="1" sqref="F96">
      <formula1>"PB3,AU1DO,SP3MISO"</formula1>
    </dataValidation>
    <dataValidation type="list" allowBlank="1" showInputMessage="1" showErrorMessage="1" sqref="F91">
      <formula1>"PA0,AU0CLK"</formula1>
    </dataValidation>
    <dataValidation type="list" allowBlank="1" showInputMessage="1" showErrorMessage="1" sqref="F90">
      <formula1>"PA1,AU0LR"</formula1>
    </dataValidation>
    <dataValidation type="list" allowBlank="1" showInputMessage="1" showErrorMessage="1" sqref="F89">
      <formula1>"PA2,AU0DI0"</formula1>
    </dataValidation>
    <dataValidation type="list" allowBlank="1" showInputMessage="1" showErrorMessage="1" sqref="F88">
      <formula1>"PA3,AU0DO0"</formula1>
    </dataValidation>
    <dataValidation type="list" allowBlank="1" showInputMessage="1" showErrorMessage="1" sqref="F87">
      <formula1>"PA4,AU0DI1,WPPG11"</formula1>
    </dataValidation>
    <dataValidation type="list" allowBlank="1" showInputMessage="1" showErrorMessage="1" sqref="F86">
      <formula1>"PA5,AU0DO1,WPPG11"</formula1>
    </dataValidation>
    <dataValidation type="list" allowBlank="1" showInputMessage="1" showErrorMessage="1" sqref="F85">
      <formula1>"PA6,AUMCLKI"</formula1>
    </dataValidation>
    <dataValidation type="list" allowBlank="1" showInputMessage="1" showErrorMessage="1" sqref="F84">
      <formula1>"PA7,AU0MCLKO"</formula1>
    </dataValidation>
    <dataValidation type="list" allowBlank="1" showInputMessage="1" showErrorMessage="1" sqref="F83">
      <formula1>"P90,PDMCLK0"</formula1>
    </dataValidation>
    <dataValidation type="list" allowBlank="1" showInputMessage="1" showErrorMessage="1" sqref="F82">
      <formula1>"P91,PDMDI0"</formula1>
    </dataValidation>
    <dataValidation type="list" allowBlank="1" showInputMessage="1" showErrorMessage="1" sqref="F81">
      <formula1>"P92,PDMCLK1"</formula1>
    </dataValidation>
    <dataValidation type="list" allowBlank="1" showInputMessage="1" showErrorMessage="1" sqref="F80">
      <formula1>"P93,PDMDI1"</formula1>
    </dataValidation>
    <dataValidation type="list" allowBlank="1" showInputMessage="1" showErrorMessage="1" sqref="F75">
      <formula1>"P80,WPPG0,AU1CLK"</formula1>
    </dataValidation>
    <dataValidation type="list" allowBlank="1" showInputMessage="1" showErrorMessage="1" sqref="F74">
      <formula1>"P81,WPPG1,AU1LR"</formula1>
    </dataValidation>
    <dataValidation type="list" allowBlank="1" showInputMessage="1" showErrorMessage="1" sqref="F73">
      <formula1>"P82,WPPG2,AU1DO"</formula1>
    </dataValidation>
    <dataValidation type="list" allowBlank="1" showInputMessage="1" showErrorMessage="1" sqref="F72">
      <formula1>"P83,WPPG3,AU1MCLKO"</formula1>
    </dataValidation>
    <dataValidation type="list" allowBlank="1" showInputMessage="1" showErrorMessage="1" sqref="F71">
      <formula1>"P84,FPSRST1,WTRG0"</formula1>
    </dataValidation>
    <dataValidation type="list" allowBlank="1" showInputMessage="1" showErrorMessage="1" sqref="F70">
      <formula1>"P85,FPSRST2,WTRG1,FPSCK3"</formula1>
    </dataValidation>
    <dataValidation type="list" allowBlank="1" showInputMessage="1" showErrorMessage="1" sqref="F69">
      <formula1>"P86,WTRG2,FPSCK1"</formula1>
    </dataValidation>
    <dataValidation type="list" allowBlank="1" showInputMessage="1" showErrorMessage="1" sqref="F68">
      <formula1>"P87,WTRG3,FPSCK2,UDTRG1B"</formula1>
    </dataValidation>
    <dataValidation type="list" allowBlank="1" showInputMessage="1" showErrorMessage="1" sqref="F12">
      <formula1>"P07,EINT07"</formula1>
    </dataValidation>
    <dataValidation type="list" allowBlank="1" showInputMessage="1" showErrorMessage="1" promptTitle="P0[7:0]選択時" sqref="L40:L42 N144:N211 M145:M211 L80:L82 M62:N107 L52:L58 L68:L74 L12:L37 M12:N43 L109:N115 M118:N139 L60:L66 L76:L78 L88:L107 L118:L123 L127:L139 M48:N51 L45:L50 L144:L211">
      <formula1>$AF$4:$AF$6</formula1>
    </dataValidation>
    <dataValidation type="list" allowBlank="1" showInputMessage="1" showErrorMessage="1" promptTitle="FW Ctrl Block" prompt="CM0_x000a_Boot      : Boot strap_x000a_Linux     : Linux_x000a_RTOS H : HOST_x000a_RTOS B : BaseFW_x000a_ " sqref="O12">
      <formula1>$AH$4:$AH$8</formula1>
    </dataValidation>
    <dataValidation type="list" allowBlank="1" showInputMessage="1" showErrorMessage="1" sqref="F14">
      <formula1>"P05,EINT05"</formula1>
    </dataValidation>
    <dataValidation type="list" allowBlank="1" showInputMessage="1" showErrorMessage="1" sqref="F15">
      <formula1>"P04,EINT04"</formula1>
    </dataValidation>
    <dataValidation type="list" allowBlank="1" showInputMessage="1" showErrorMessage="1" sqref="F16">
      <formula1>"P03,EINT03"</formula1>
    </dataValidation>
    <dataValidation type="list" allowBlank="1" showInputMessage="1" showErrorMessage="1" sqref="F20">
      <formula1>"P17,EINT15"</formula1>
    </dataValidation>
    <dataValidation type="list" allowBlank="1" showInputMessage="1" showErrorMessage="1" sqref="F21">
      <formula1>"P16,EINT14"</formula1>
    </dataValidation>
    <dataValidation type="list" allowBlank="1" showInputMessage="1" showErrorMessage="1" sqref="F22">
      <formula1>"P15,EINT13"</formula1>
    </dataValidation>
    <dataValidation type="list" allowBlank="1" showInputMessage="1" showErrorMessage="1" sqref="F23">
      <formula1>"P14,EINT12"</formula1>
    </dataValidation>
    <dataValidation type="list" allowBlank="1" showInputMessage="1" showErrorMessage="1" sqref="F24">
      <formula1>"P13,EINT11"</formula1>
    </dataValidation>
    <dataValidation type="list" allowBlank="1" showInputMessage="1" showErrorMessage="1" sqref="F25">
      <formula1>"P12,EINT10"</formula1>
    </dataValidation>
    <dataValidation type="list" allowBlank="1" showInputMessage="1" showErrorMessage="1" sqref="F26">
      <formula1>"P11,EINT09"</formula1>
    </dataValidation>
    <dataValidation type="list" allowBlank="1" showInputMessage="1" showErrorMessage="1" sqref="F27">
      <formula1>"P10,EINT08"</formula1>
    </dataValidation>
    <dataValidation type="list" allowBlank="1" showInputMessage="1" showErrorMessage="1" sqref="F31">
      <formula1>"P24,WTRG4"</formula1>
    </dataValidation>
    <dataValidation type="list" allowBlank="1" showInputMessage="1" showErrorMessage="1" sqref="F33">
      <formula1>"P22,SD3LED_2"</formula1>
    </dataValidation>
    <dataValidation type="list" allowBlank="1" showInputMessage="1" showErrorMessage="1" sqref="F34">
      <formula1>"P21,SD3WP_2"</formula1>
    </dataValidation>
    <dataValidation type="list" allowBlank="1" showInputMessage="1" showErrorMessage="1" sqref="F36">
      <formula1>"P37,U2IDPU_2"</formula1>
    </dataValidation>
    <dataValidation type="list" allowBlank="1" showInputMessage="1" showErrorMessage="1" sqref="F37">
      <formula1>"P36,U2IDDIG_2"</formula1>
    </dataValidation>
    <dataValidation type="list" allowBlank="1" showInputMessage="1" showErrorMessage="1" sqref="F38">
      <formula1>"P35,U2VBUSE_2"</formula1>
    </dataValidation>
    <dataValidation type="list" allowBlank="1" showInputMessage="1" showErrorMessage="1" sqref="F39">
      <formula1>"P34,U2OCDX_2"</formula1>
    </dataValidation>
    <dataValidation type="list" allowBlank="1" showInputMessage="1" showErrorMessage="1" sqref="F40">
      <formula1>"P33,U1IDPU_2"</formula1>
    </dataValidation>
    <dataValidation type="list" allowBlank="1" showInputMessage="1" showErrorMessage="1" sqref="F41">
      <formula1>"P32,U1DDIG_2"</formula1>
    </dataValidation>
    <dataValidation type="list" allowBlank="1" showInputMessage="1" showErrorMessage="1" sqref="F42">
      <formula1>"P31,U1VBUS_2"</formula1>
    </dataValidation>
    <dataValidation type="list" allowBlank="1" showInputMessage="1" showErrorMessage="1" sqref="F43">
      <formula1>"P30,U1OCDX_2"</formula1>
    </dataValidation>
    <dataValidation type="list" allowBlank="1" showInputMessage="1" showErrorMessage="1" sqref="F47">
      <formula1>"P44,FPSIN0"</formula1>
    </dataValidation>
    <dataValidation type="list" allowBlank="1" showInputMessage="1" showErrorMessage="1" sqref="F53">
      <formula1>"P66,EINT22"</formula1>
    </dataValidation>
    <dataValidation type="list" allowBlank="1" showInputMessage="1" showErrorMessage="1" sqref="F54">
      <formula1>"P65,EINT21"</formula1>
    </dataValidation>
    <dataValidation type="list" allowBlank="1" showInputMessage="1" showErrorMessage="1" sqref="F55">
      <formula1>"P64,EINT20"</formula1>
    </dataValidation>
    <dataValidation type="list" allowBlank="1" showInputMessage="1" showErrorMessage="1" sqref="F56">
      <formula1>"P63,EINT19"</formula1>
    </dataValidation>
    <dataValidation type="list" allowBlank="1" showInputMessage="1" showErrorMessage="1" sqref="F57">
      <formula1>"P62,EINT18"</formula1>
    </dataValidation>
    <dataValidation type="list" allowBlank="1" showInputMessage="1" showErrorMessage="1" sqref="F58">
      <formula1>"P61,EINT17"</formula1>
    </dataValidation>
    <dataValidation type="list" allowBlank="1" showInputMessage="1" showErrorMessage="1" sqref="F59">
      <formula1>"P60,EINT16"</formula1>
    </dataValidation>
    <dataValidation type="list" allowBlank="1" showInputMessage="1" showErrorMessage="1" sqref="F60">
      <formula1>"P77,EINT31"</formula1>
    </dataValidation>
    <dataValidation type="list" allowBlank="1" showInputMessage="1" showErrorMessage="1" sqref="F61">
      <formula1>"P76,EINT30"</formula1>
    </dataValidation>
    <dataValidation type="list" allowBlank="1" showInputMessage="1" showErrorMessage="1" sqref="F62">
      <formula1>"P75,EINT29"</formula1>
    </dataValidation>
    <dataValidation type="list" allowBlank="1" showInputMessage="1" showErrorMessage="1" sqref="F63">
      <formula1>"P74,EINT28"</formula1>
    </dataValidation>
    <dataValidation type="list" allowBlank="1" showInputMessage="1" showErrorMessage="1" sqref="F64">
      <formula1>"P73,EINT27"</formula1>
    </dataValidation>
    <dataValidation type="list" allowBlank="1" showInputMessage="1" showErrorMessage="1" sqref="F65">
      <formula1>"P72,EINT26"</formula1>
    </dataValidation>
    <dataValidation type="list" allowBlank="1" showInputMessage="1" showErrorMessage="1" sqref="F66">
      <formula1>"P71,EINT25"</formula1>
    </dataValidation>
    <dataValidation type="list" allowBlank="1" showInputMessage="1" showErrorMessage="1" sqref="F67">
      <formula1>"P70,EINT24"</formula1>
    </dataValidation>
    <dataValidation type="list" allowBlank="1" showInputMessage="1" showErrorMessage="1" sqref="F95">
      <formula1>"PB4,AU1MCLKO,SPIRLTRG"</formula1>
    </dataValidation>
    <dataValidation type="list" allowBlank="1" showInputMessage="1" showErrorMessage="1" sqref="F109">
      <formula1>"PD6,SP1CS3X"</formula1>
    </dataValidation>
    <dataValidation type="list" allowBlank="1" showInputMessage="1" showErrorMessage="1" sqref="F118">
      <formula1>"PE5,FPSOUT2,UDTRG4B"</formula1>
    </dataValidation>
    <dataValidation type="list" allowBlank="1" showInputMessage="1" showErrorMessage="1" sqref="F144">
      <formula1>"PH3,SNAPCLKO3,WPPG9"</formula1>
    </dataValidation>
    <dataValidation type="list" allowBlank="1" showInputMessage="1" showErrorMessage="1" sqref="F148">
      <formula1>"PW7,VLD07"</formula1>
    </dataValidation>
    <dataValidation type="list" allowBlank="1" showInputMessage="1" showErrorMessage="1" sqref="F149">
      <formula1>"PW6,VLD06"</formula1>
    </dataValidation>
    <dataValidation type="list" allowBlank="1" showInputMessage="1" showErrorMessage="1" sqref="F151">
      <formula1>"PW4,VLD04"</formula1>
    </dataValidation>
    <dataValidation type="list" allowBlank="1" showInputMessage="1" showErrorMessage="1" sqref="F150">
      <formula1>"PW5,VLD05"</formula1>
    </dataValidation>
    <dataValidation type="list" allowBlank="1" showInputMessage="1" showErrorMessage="1" sqref="F152">
      <formula1>"PW3,VLDO3"</formula1>
    </dataValidation>
    <dataValidation type="list" allowBlank="1" showInputMessage="1" showErrorMessage="1" sqref="F153">
      <formula1>"PW2,VLDO2"</formula1>
    </dataValidation>
    <dataValidation type="list" allowBlank="1" showInputMessage="1" showErrorMessage="1" sqref="F154">
      <formula1>"PW1,VLDO1"</formula1>
    </dataValidation>
    <dataValidation type="list" allowBlank="1" showInputMessage="1" showErrorMessage="1" sqref="F155">
      <formula1>"PW0,VLDO0"</formula1>
    </dataValidation>
    <dataValidation type="list" allowBlank="1" showInputMessage="1" showErrorMessage="1" sqref="F156">
      <formula1>"PJ7,VLD15"</formula1>
    </dataValidation>
    <dataValidation type="list" allowBlank="1" showInputMessage="1" showErrorMessage="1" sqref="F157">
      <formula1>"PJ6,VLD14"</formula1>
    </dataValidation>
    <dataValidation type="list" allowBlank="1" showInputMessage="1" showErrorMessage="1" sqref="F158">
      <formula1>"PJ5,VLD13"</formula1>
    </dataValidation>
    <dataValidation type="list" allowBlank="1" showInputMessage="1" showErrorMessage="1" sqref="F159">
      <formula1>"PJ4,VLD12"</formula1>
    </dataValidation>
    <dataValidation type="list" allowBlank="1" showInputMessage="1" showErrorMessage="1" sqref="F160">
      <formula1>"PJ3,VLD11"</formula1>
    </dataValidation>
    <dataValidation type="list" allowBlank="1" showInputMessage="1" showErrorMessage="1" sqref="F161">
      <formula1>"PJ2,VLD10"</formula1>
    </dataValidation>
    <dataValidation type="list" allowBlank="1" showInputMessage="1" showErrorMessage="1" sqref="F162">
      <formula1>"PJ1,VLD9"</formula1>
    </dataValidation>
    <dataValidation type="list" allowBlank="1" showInputMessage="1" showErrorMessage="1" sqref="F163">
      <formula1>"PJ0,VLD8"</formula1>
    </dataValidation>
    <dataValidation type="list" allowBlank="1" showInputMessage="1" showErrorMessage="1" sqref="F164">
      <formula1>"PK7,VLD23"</formula1>
    </dataValidation>
    <dataValidation type="list" allowBlank="1" showInputMessage="1" showErrorMessage="1" sqref="F165">
      <formula1>"PK6,VLD22"</formula1>
    </dataValidation>
    <dataValidation type="list" allowBlank="1" showInputMessage="1" showErrorMessage="1" sqref="F166">
      <formula1>"PK5,VLD21"</formula1>
    </dataValidation>
    <dataValidation type="list" allowBlank="1" showInputMessage="1" showErrorMessage="1" sqref="F167">
      <formula1>"PK4,VLD20"</formula1>
    </dataValidation>
    <dataValidation type="list" allowBlank="1" showInputMessage="1" showErrorMessage="1" sqref="F168">
      <formula1>"PK3,VLD19"</formula1>
    </dataValidation>
    <dataValidation type="list" allowBlank="1" showInputMessage="1" showErrorMessage="1" sqref="F169">
      <formula1>"PK2,VLD18"</formula1>
    </dataValidation>
    <dataValidation type="list" allowBlank="1" showInputMessage="1" showErrorMessage="1" sqref="F170">
      <formula1>"PK1,VLD17"</formula1>
    </dataValidation>
    <dataValidation type="list" allowBlank="1" showInputMessage="1" showErrorMessage="1" sqref="F171">
      <formula1>"PK0,VLD16"</formula1>
    </dataValidation>
    <dataValidation type="list" allowBlank="1" showInputMessage="1" showErrorMessage="1" sqref="F174">
      <formula1>"PL5,DPSD"</formula1>
    </dataValidation>
    <dataValidation type="list" allowBlank="1" showInputMessage="1" showErrorMessage="1" sqref="F175">
      <formula1>"PL4,DPCM"</formula1>
    </dataValidation>
    <dataValidation type="list" allowBlank="1" showInputMessage="1" showErrorMessage="1" sqref="F176">
      <formula1>"PL3,VLHREF"</formula1>
    </dataValidation>
    <dataValidation type="list" allowBlank="1" showInputMessage="1" showErrorMessage="1" sqref="F177">
      <formula1>"PL2,VLVD"</formula1>
    </dataValidation>
    <dataValidation type="list" allowBlank="1" showInputMessage="1" showErrorMessage="1" sqref="F178">
      <formula1>"PL1,VLHD"</formula1>
    </dataValidation>
    <dataValidation type="list" allowBlank="1" showInputMessage="1" showErrorMessage="1" sqref="F179">
      <formula1>"PL0,VLCLK"</formula1>
    </dataValidation>
    <dataValidation type="list" allowBlank="1" showInputMessage="1" showErrorMessage="1" sqref="F183">
      <formula1>"U1IDPU,PM4,WPPG13_1"</formula1>
    </dataValidation>
    <dataValidation type="list" allowBlank="1" showInputMessage="1" showErrorMessage="1" sqref="F184">
      <formula1>"U1IDDIG,PM3,FPSCK6"</formula1>
    </dataValidation>
    <dataValidation type="list" allowBlank="1" showInputMessage="1" showErrorMessage="1" sqref="F186">
      <formula1>"U1VBUSE,PM1,FPSOUT6"</formula1>
    </dataValidation>
    <dataValidation type="list" allowBlank="1" showInputMessage="1" showErrorMessage="1" sqref="F185">
      <formula1>"U1VBUSV,PM2"</formula1>
    </dataValidation>
    <dataValidation type="list" allowBlank="1" showInputMessage="1" showErrorMessage="1" sqref="F187">
      <formula1>"U1OCDX,PM0,FPSIN6,UDTRG5A"</formula1>
    </dataValidation>
    <dataValidation type="list" allowBlank="1" showInputMessage="1" showErrorMessage="1" sqref="F191">
      <formula1>"U2IDPU,PN4,WPPG14_1"</formula1>
    </dataValidation>
    <dataValidation type="list" allowBlank="1" showInputMessage="1" showErrorMessage="1" sqref="F192">
      <formula1>"U2IDDIG,PN3,FPSCK7"</formula1>
    </dataValidation>
    <dataValidation type="list" allowBlank="1" showInputMessage="1" showErrorMessage="1" sqref="F193">
      <formula1>"U2VBUSV,PN2"</formula1>
    </dataValidation>
    <dataValidation type="list" allowBlank="1" showInputMessage="1" showErrorMessage="1" sqref="F194">
      <formula1>"U2VBUSE,PN1,FPSOUT7"</formula1>
    </dataValidation>
    <dataValidation type="list" allowBlank="1" showInputMessage="1" showErrorMessage="1" sqref="F195">
      <formula1>"U2OCDX,PN0,FPSIN7"</formula1>
    </dataValidation>
    <dataValidation type="list" allowBlank="1" showInputMessage="1" showErrorMessage="1" sqref="F196">
      <formula1>"PY7,PXCLKREQ1,WPPG15_1"</formula1>
    </dataValidation>
    <dataValidation type="list" allowBlank="1" showInputMessage="1" showErrorMessage="1" sqref="F197">
      <formula1>"PY6,PXCLKREQ0,FPSCK8"</formula1>
    </dataValidation>
    <dataValidation type="list" allowBlank="1" showInputMessage="1" showErrorMessage="1" sqref="F199">
      <formula1>"PY4,PXWAKE0,WPPG12_1"</formula1>
    </dataValidation>
    <dataValidation type="list" allowBlank="1" showInputMessage="1" showErrorMessage="1" sqref="F200">
      <formula1>"PY3,PXCPPEX1,FPSIN8"</formula1>
    </dataValidation>
    <dataValidation type="list" allowBlank="1" showInputMessage="1" showErrorMessage="1" sqref="F198">
      <formula1>"PY5,PXWAKE1,FPSOUT8"</formula1>
    </dataValidation>
    <dataValidation type="list" allowBlank="1" showInputMessage="1" showErrorMessage="1" sqref="F201">
      <formula1>"PY2,PXCPPEX0,FPSIN4"</formula1>
    </dataValidation>
    <dataValidation type="list" allowBlank="1" showInputMessage="1" showErrorMessage="1" sqref="F202">
      <formula1>"PY1,PXRSTX1,FPSOUT4"</formula1>
    </dataValidation>
    <dataValidation type="list" allowBlank="1" showInputMessage="1" showErrorMessage="1" sqref="F203">
      <formula1>"PY0,PXRSTX0,FPSCK4"</formula1>
    </dataValidation>
  </dataValidations>
  <pageMargins left="0.19685039370078741" right="0.19685039370078741" top="0.19685039370078741" bottom="0.19685039370078741" header="0.19685039370078741" footer="0.19685039370078741"/>
  <pageSetup paperSize="9" scale="52" orientation="landscape" r:id="rId1"/>
  <headerFooter>
    <oddFooter>&amp;C&amp;12&amp;P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H198"/>
  <sheetViews>
    <sheetView showGridLines="0" tabSelected="1" topLeftCell="C1" zoomScale="85" zoomScaleNormal="85" workbookViewId="0">
      <pane ySplit="7" topLeftCell="A92" activePane="bottomLeft" state="frozen"/>
      <selection pane="bottomLeft" activeCell="E93" sqref="E93:K93"/>
    </sheetView>
  </sheetViews>
  <sheetFormatPr defaultColWidth="9.140625" defaultRowHeight="12.75"/>
  <cols>
    <col min="1" max="1" width="1.7109375" style="122" customWidth="1"/>
    <col min="2" max="2" width="9.140625" style="122"/>
    <col min="3" max="3" width="20.5703125" style="122" bestFit="1" customWidth="1"/>
    <col min="4" max="4" width="43.140625" style="122" bestFit="1" customWidth="1"/>
    <col min="5" max="5" width="15.42578125" style="122" customWidth="1"/>
    <col min="6" max="7" width="9.140625" style="122"/>
    <col min="8" max="9" width="9.140625" style="157"/>
    <col min="10" max="10" width="58.7109375" style="157" customWidth="1"/>
    <col min="11" max="11" width="33.28515625" style="122" customWidth="1"/>
    <col min="12" max="1022" width="9.140625" style="122"/>
    <col min="1023" max="16384" width="9.140625" style="123"/>
  </cols>
  <sheetData>
    <row r="1" spans="1:1022" ht="12" customHeight="1">
      <c r="B1" s="123"/>
      <c r="C1" s="123"/>
      <c r="D1" s="123"/>
      <c r="E1" s="158" t="s">
        <v>206</v>
      </c>
      <c r="F1" s="125" t="s">
        <v>207</v>
      </c>
      <c r="G1" s="124" t="s">
        <v>203</v>
      </c>
      <c r="H1" s="123"/>
      <c r="I1" s="124"/>
      <c r="J1" s="123"/>
      <c r="K1" s="123"/>
    </row>
    <row r="2" spans="1:1022" ht="12" customHeight="1">
      <c r="B2" s="123"/>
      <c r="C2" s="123"/>
      <c r="D2" s="123"/>
      <c r="E2" s="124"/>
      <c r="F2" s="125" t="s">
        <v>20</v>
      </c>
      <c r="G2" s="124" t="s">
        <v>202</v>
      </c>
      <c r="H2" s="123"/>
      <c r="I2" s="123"/>
      <c r="J2" s="123"/>
      <c r="K2" s="123"/>
    </row>
    <row r="3" spans="1:1022" ht="12" customHeight="1">
      <c r="B3" s="123"/>
      <c r="C3" s="123"/>
      <c r="D3" s="123"/>
      <c r="E3" s="124"/>
      <c r="F3" s="124"/>
      <c r="G3" s="123"/>
      <c r="H3" s="123"/>
      <c r="I3" s="123"/>
      <c r="J3" s="123"/>
      <c r="K3" s="123"/>
    </row>
    <row r="4" spans="1:1022" ht="12" customHeight="1" thickBot="1">
      <c r="B4" s="123" t="s">
        <v>608</v>
      </c>
      <c r="C4" s="123"/>
      <c r="D4" s="123"/>
      <c r="E4" s="123"/>
      <c r="F4" s="123"/>
      <c r="G4" s="123"/>
      <c r="H4" s="123"/>
      <c r="I4" s="123"/>
      <c r="J4" s="126"/>
      <c r="K4" s="123"/>
    </row>
    <row r="5" spans="1:1022" ht="12" customHeight="1" thickBot="1">
      <c r="B5" s="123"/>
      <c r="C5" s="123"/>
      <c r="D5" s="123"/>
      <c r="E5" s="123"/>
      <c r="F5" s="399" t="s">
        <v>609</v>
      </c>
      <c r="G5" s="400"/>
      <c r="H5" s="400"/>
      <c r="I5" s="401"/>
      <c r="J5" s="126"/>
      <c r="K5" s="123"/>
    </row>
    <row r="6" spans="1:1022" ht="13.5" customHeight="1" thickTop="1" thickBot="1">
      <c r="B6" s="127" t="s">
        <v>190</v>
      </c>
      <c r="C6" s="128"/>
      <c r="D6" s="128"/>
      <c r="E6" s="129"/>
      <c r="F6" s="188" t="s">
        <v>208</v>
      </c>
      <c r="G6" s="189"/>
      <c r="H6" s="190" t="s">
        <v>308</v>
      </c>
      <c r="I6" s="191"/>
      <c r="J6" s="126"/>
      <c r="K6" s="123"/>
    </row>
    <row r="7" spans="1:1022" ht="42" customHeight="1" thickTop="1" thickBot="1">
      <c r="B7" s="130" t="s">
        <v>189</v>
      </c>
      <c r="C7" s="130" t="s">
        <v>188</v>
      </c>
      <c r="D7" s="130" t="s">
        <v>187</v>
      </c>
      <c r="E7" s="130" t="s">
        <v>209</v>
      </c>
      <c r="F7" s="131" t="s">
        <v>210</v>
      </c>
      <c r="G7" s="131" t="s">
        <v>211</v>
      </c>
      <c r="H7" s="132" t="s">
        <v>212</v>
      </c>
      <c r="I7" s="133" t="s">
        <v>213</v>
      </c>
      <c r="J7" s="134" t="s">
        <v>99</v>
      </c>
      <c r="K7" s="134" t="s">
        <v>219</v>
      </c>
    </row>
    <row r="8" spans="1:1022" ht="13.5" customHeight="1" thickTop="1" thickBot="1">
      <c r="B8" s="135" t="s">
        <v>185</v>
      </c>
      <c r="C8" s="136"/>
      <c r="D8" s="136"/>
      <c r="E8" s="136"/>
      <c r="F8" s="136"/>
      <c r="G8" s="137"/>
      <c r="H8" s="138"/>
      <c r="I8" s="139"/>
      <c r="J8" s="140"/>
      <c r="K8" s="140"/>
    </row>
    <row r="9" spans="1:1022" ht="13.5" customHeight="1" thickTop="1" thickBot="1">
      <c r="B9" s="141"/>
      <c r="C9" s="142" t="s">
        <v>626</v>
      </c>
      <c r="D9" s="142" t="s">
        <v>629</v>
      </c>
      <c r="E9" s="142" t="s">
        <v>632</v>
      </c>
      <c r="F9" s="198" t="s">
        <v>207</v>
      </c>
      <c r="G9" s="198" t="s">
        <v>20</v>
      </c>
      <c r="H9" s="198" t="s">
        <v>6</v>
      </c>
      <c r="I9" s="198" t="s">
        <v>20</v>
      </c>
      <c r="J9" s="144" t="s">
        <v>238</v>
      </c>
      <c r="K9" s="144"/>
    </row>
    <row r="10" spans="1:1022" ht="13.5" customHeight="1" thickTop="1" thickBot="1">
      <c r="A10" s="240"/>
      <c r="B10" s="241"/>
      <c r="C10" s="142" t="s">
        <v>627</v>
      </c>
      <c r="D10" s="142" t="s">
        <v>630</v>
      </c>
      <c r="E10" s="142" t="s">
        <v>633</v>
      </c>
      <c r="F10" s="245" t="s">
        <v>20</v>
      </c>
      <c r="G10" s="245" t="s">
        <v>20</v>
      </c>
      <c r="H10" s="245" t="s">
        <v>6</v>
      </c>
      <c r="I10" s="245" t="s">
        <v>207</v>
      </c>
      <c r="J10" s="246" t="s">
        <v>641</v>
      </c>
      <c r="K10" s="246"/>
      <c r="L10" s="197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240"/>
      <c r="CI10" s="240"/>
      <c r="CJ10" s="240"/>
      <c r="CK10" s="240"/>
      <c r="CL10" s="240"/>
      <c r="CM10" s="240"/>
      <c r="CN10" s="240"/>
      <c r="CO10" s="240"/>
      <c r="CP10" s="240"/>
      <c r="CQ10" s="240"/>
      <c r="CR10" s="240"/>
      <c r="CS10" s="240"/>
      <c r="CT10" s="240"/>
      <c r="CU10" s="240"/>
      <c r="CV10" s="240"/>
      <c r="CW10" s="240"/>
      <c r="CX10" s="240"/>
      <c r="CY10" s="240"/>
      <c r="CZ10" s="240"/>
      <c r="DA10" s="240"/>
      <c r="DB10" s="240"/>
      <c r="DC10" s="240"/>
      <c r="DD10" s="240"/>
      <c r="DE10" s="240"/>
      <c r="DF10" s="240"/>
      <c r="DG10" s="240"/>
      <c r="DH10" s="240"/>
      <c r="DI10" s="240"/>
      <c r="DJ10" s="240"/>
      <c r="DK10" s="240"/>
      <c r="DL10" s="240"/>
      <c r="DM10" s="240"/>
      <c r="DN10" s="240"/>
      <c r="DO10" s="240"/>
      <c r="DP10" s="240"/>
      <c r="DQ10" s="240"/>
      <c r="DR10" s="240"/>
      <c r="DS10" s="240"/>
      <c r="DT10" s="240"/>
      <c r="DU10" s="240"/>
      <c r="DV10" s="240"/>
      <c r="DW10" s="240"/>
      <c r="DX10" s="240"/>
      <c r="DY10" s="240"/>
      <c r="DZ10" s="240"/>
      <c r="EA10" s="240"/>
      <c r="EB10" s="240"/>
      <c r="EC10" s="240"/>
      <c r="ED10" s="240"/>
      <c r="EE10" s="240"/>
      <c r="EF10" s="240"/>
      <c r="EG10" s="240"/>
      <c r="EH10" s="240"/>
      <c r="EI10" s="240"/>
      <c r="EJ10" s="240"/>
      <c r="EK10" s="240"/>
      <c r="EL10" s="240"/>
      <c r="EM10" s="240"/>
      <c r="EN10" s="240"/>
      <c r="EO10" s="240"/>
      <c r="EP10" s="240"/>
      <c r="EQ10" s="240"/>
      <c r="ER10" s="240"/>
      <c r="ES10" s="240"/>
      <c r="ET10" s="240"/>
      <c r="EU10" s="240"/>
      <c r="EV10" s="240"/>
      <c r="EW10" s="240"/>
      <c r="EX10" s="240"/>
      <c r="EY10" s="240"/>
      <c r="EZ10" s="240"/>
      <c r="FA10" s="240"/>
      <c r="FB10" s="240"/>
      <c r="FC10" s="240"/>
      <c r="FD10" s="240"/>
      <c r="FE10" s="240"/>
      <c r="FF10" s="240"/>
      <c r="FG10" s="240"/>
      <c r="FH10" s="240"/>
      <c r="FI10" s="240"/>
      <c r="FJ10" s="240"/>
      <c r="FK10" s="240"/>
      <c r="FL10" s="240"/>
      <c r="FM10" s="240"/>
      <c r="FN10" s="240"/>
      <c r="FO10" s="240"/>
      <c r="FP10" s="240"/>
      <c r="FQ10" s="240"/>
      <c r="FR10" s="240"/>
      <c r="FS10" s="240"/>
      <c r="FT10" s="240"/>
      <c r="FU10" s="240"/>
      <c r="FV10" s="240"/>
      <c r="FW10" s="240"/>
      <c r="FX10" s="240"/>
      <c r="FY10" s="240"/>
      <c r="FZ10" s="240"/>
      <c r="GA10" s="240"/>
      <c r="GB10" s="240"/>
      <c r="GC10" s="240"/>
      <c r="GD10" s="240"/>
      <c r="GE10" s="240"/>
      <c r="GF10" s="240"/>
      <c r="GG10" s="240"/>
      <c r="GH10" s="240"/>
      <c r="GI10" s="240"/>
      <c r="GJ10" s="240"/>
      <c r="GK10" s="240"/>
      <c r="GL10" s="240"/>
      <c r="GM10" s="240"/>
      <c r="GN10" s="240"/>
      <c r="GO10" s="240"/>
      <c r="GP10" s="240"/>
      <c r="GQ10" s="240"/>
      <c r="GR10" s="240"/>
      <c r="GS10" s="240"/>
      <c r="GT10" s="240"/>
      <c r="GU10" s="240"/>
      <c r="GV10" s="240"/>
      <c r="GW10" s="240"/>
      <c r="GX10" s="240"/>
      <c r="GY10" s="240"/>
      <c r="GZ10" s="240"/>
      <c r="HA10" s="240"/>
      <c r="HB10" s="240"/>
      <c r="HC10" s="240"/>
      <c r="HD10" s="240"/>
      <c r="HE10" s="240"/>
      <c r="HF10" s="240"/>
      <c r="HG10" s="240"/>
      <c r="HH10" s="240"/>
      <c r="HI10" s="240"/>
      <c r="HJ10" s="240"/>
      <c r="HK10" s="240"/>
      <c r="HL10" s="240"/>
      <c r="HM10" s="240"/>
      <c r="HN10" s="240"/>
      <c r="HO10" s="240"/>
      <c r="HP10" s="240"/>
      <c r="HQ10" s="240"/>
      <c r="HR10" s="240"/>
      <c r="HS10" s="240"/>
      <c r="HT10" s="240"/>
      <c r="HU10" s="240"/>
      <c r="HV10" s="240"/>
      <c r="HW10" s="240"/>
      <c r="HX10" s="240"/>
      <c r="HY10" s="240"/>
      <c r="HZ10" s="240"/>
      <c r="IA10" s="240"/>
      <c r="IB10" s="240"/>
      <c r="IC10" s="240"/>
      <c r="ID10" s="240"/>
      <c r="IE10" s="240"/>
      <c r="IF10" s="240"/>
      <c r="IG10" s="240"/>
      <c r="IH10" s="240"/>
      <c r="II10" s="240"/>
      <c r="IJ10" s="240"/>
      <c r="IK10" s="240"/>
      <c r="IL10" s="240"/>
      <c r="IM10" s="240"/>
      <c r="IN10" s="240"/>
      <c r="IO10" s="240"/>
      <c r="IP10" s="240"/>
      <c r="IQ10" s="240"/>
      <c r="IR10" s="240"/>
      <c r="IS10" s="240"/>
      <c r="IT10" s="240"/>
      <c r="IU10" s="240"/>
      <c r="IV10" s="240"/>
      <c r="IW10" s="240"/>
      <c r="IX10" s="240"/>
      <c r="IY10" s="240"/>
      <c r="IZ10" s="240"/>
      <c r="JA10" s="240"/>
      <c r="JB10" s="240"/>
      <c r="JC10" s="240"/>
      <c r="JD10" s="240"/>
      <c r="JE10" s="240"/>
      <c r="JF10" s="240"/>
      <c r="JG10" s="240"/>
      <c r="JH10" s="240"/>
      <c r="JI10" s="240"/>
      <c r="JJ10" s="240"/>
      <c r="JK10" s="240"/>
      <c r="JL10" s="240"/>
      <c r="JM10" s="240"/>
      <c r="JN10" s="240"/>
      <c r="JO10" s="240"/>
      <c r="JP10" s="240"/>
      <c r="JQ10" s="240"/>
      <c r="JR10" s="240"/>
      <c r="JS10" s="240"/>
      <c r="JT10" s="240"/>
      <c r="JU10" s="240"/>
      <c r="JV10" s="240"/>
      <c r="JW10" s="240"/>
      <c r="JX10" s="240"/>
      <c r="JY10" s="240"/>
      <c r="JZ10" s="240"/>
      <c r="KA10" s="240"/>
      <c r="KB10" s="240"/>
      <c r="KC10" s="240"/>
      <c r="KD10" s="240"/>
      <c r="KE10" s="240"/>
      <c r="KF10" s="240"/>
      <c r="KG10" s="240"/>
      <c r="KH10" s="240"/>
      <c r="KI10" s="240"/>
      <c r="KJ10" s="240"/>
      <c r="KK10" s="240"/>
      <c r="KL10" s="240"/>
      <c r="KM10" s="240"/>
      <c r="KN10" s="240"/>
      <c r="KO10" s="240"/>
      <c r="KP10" s="240"/>
      <c r="KQ10" s="240"/>
      <c r="KR10" s="240"/>
      <c r="KS10" s="240"/>
      <c r="KT10" s="240"/>
      <c r="KU10" s="240"/>
      <c r="KV10" s="240"/>
      <c r="KW10" s="240"/>
      <c r="KX10" s="240"/>
      <c r="KY10" s="240"/>
      <c r="KZ10" s="240"/>
      <c r="LA10" s="240"/>
      <c r="LB10" s="240"/>
      <c r="LC10" s="240"/>
      <c r="LD10" s="240"/>
      <c r="LE10" s="240"/>
      <c r="LF10" s="240"/>
      <c r="LG10" s="240"/>
      <c r="LH10" s="240"/>
      <c r="LI10" s="240"/>
      <c r="LJ10" s="240"/>
      <c r="LK10" s="240"/>
      <c r="LL10" s="240"/>
      <c r="LM10" s="240"/>
      <c r="LN10" s="240"/>
      <c r="LO10" s="240"/>
      <c r="LP10" s="240"/>
      <c r="LQ10" s="240"/>
      <c r="LR10" s="240"/>
      <c r="LS10" s="240"/>
      <c r="LT10" s="240"/>
      <c r="LU10" s="240"/>
      <c r="LV10" s="240"/>
      <c r="LW10" s="240"/>
      <c r="LX10" s="240"/>
      <c r="LY10" s="240"/>
      <c r="LZ10" s="240"/>
      <c r="MA10" s="240"/>
      <c r="MB10" s="240"/>
      <c r="MC10" s="240"/>
      <c r="MD10" s="240"/>
      <c r="ME10" s="240"/>
      <c r="MF10" s="240"/>
      <c r="MG10" s="240"/>
      <c r="MH10" s="240"/>
      <c r="MI10" s="240"/>
      <c r="MJ10" s="240"/>
      <c r="MK10" s="240"/>
      <c r="ML10" s="240"/>
      <c r="MM10" s="240"/>
      <c r="MN10" s="240"/>
      <c r="MO10" s="240"/>
      <c r="MP10" s="240"/>
      <c r="MQ10" s="240"/>
      <c r="MR10" s="240"/>
      <c r="MS10" s="240"/>
      <c r="MT10" s="240"/>
      <c r="MU10" s="240"/>
      <c r="MV10" s="240"/>
      <c r="MW10" s="240"/>
      <c r="MX10" s="240"/>
      <c r="MY10" s="240"/>
      <c r="MZ10" s="240"/>
      <c r="NA10" s="240"/>
      <c r="NB10" s="240"/>
      <c r="NC10" s="240"/>
      <c r="ND10" s="240"/>
      <c r="NE10" s="240"/>
      <c r="NF10" s="240"/>
      <c r="NG10" s="240"/>
      <c r="NH10" s="240"/>
      <c r="NI10" s="240"/>
      <c r="NJ10" s="240"/>
      <c r="NK10" s="240"/>
      <c r="NL10" s="240"/>
      <c r="NM10" s="240"/>
      <c r="NN10" s="240"/>
      <c r="NO10" s="240"/>
      <c r="NP10" s="240"/>
      <c r="NQ10" s="240"/>
      <c r="NR10" s="240"/>
      <c r="NS10" s="240"/>
      <c r="NT10" s="240"/>
      <c r="NU10" s="240"/>
      <c r="NV10" s="240"/>
      <c r="NW10" s="240"/>
      <c r="NX10" s="240"/>
      <c r="NY10" s="240"/>
      <c r="NZ10" s="240"/>
      <c r="OA10" s="240"/>
      <c r="OB10" s="240"/>
      <c r="OC10" s="240"/>
      <c r="OD10" s="240"/>
      <c r="OE10" s="240"/>
      <c r="OF10" s="240"/>
      <c r="OG10" s="240"/>
      <c r="OH10" s="240"/>
      <c r="OI10" s="240"/>
      <c r="OJ10" s="240"/>
      <c r="OK10" s="240"/>
      <c r="OL10" s="240"/>
      <c r="OM10" s="240"/>
      <c r="ON10" s="240"/>
      <c r="OO10" s="240"/>
      <c r="OP10" s="240"/>
      <c r="OQ10" s="240"/>
      <c r="OR10" s="240"/>
      <c r="OS10" s="240"/>
      <c r="OT10" s="240"/>
      <c r="OU10" s="240"/>
      <c r="OV10" s="240"/>
      <c r="OW10" s="240"/>
      <c r="OX10" s="240"/>
      <c r="OY10" s="240"/>
      <c r="OZ10" s="240"/>
      <c r="PA10" s="240"/>
      <c r="PB10" s="240"/>
      <c r="PC10" s="240"/>
      <c r="PD10" s="240"/>
      <c r="PE10" s="240"/>
      <c r="PF10" s="240"/>
      <c r="PG10" s="240"/>
      <c r="PH10" s="240"/>
      <c r="PI10" s="240"/>
      <c r="PJ10" s="240"/>
      <c r="PK10" s="240"/>
      <c r="PL10" s="240"/>
      <c r="PM10" s="240"/>
      <c r="PN10" s="240"/>
      <c r="PO10" s="240"/>
      <c r="PP10" s="240"/>
      <c r="PQ10" s="240"/>
      <c r="PR10" s="240"/>
      <c r="PS10" s="240"/>
      <c r="PT10" s="240"/>
      <c r="PU10" s="240"/>
      <c r="PV10" s="240"/>
      <c r="PW10" s="240"/>
      <c r="PX10" s="240"/>
      <c r="PY10" s="240"/>
      <c r="PZ10" s="240"/>
      <c r="QA10" s="240"/>
      <c r="QB10" s="240"/>
      <c r="QC10" s="240"/>
      <c r="QD10" s="240"/>
      <c r="QE10" s="240"/>
      <c r="QF10" s="240"/>
      <c r="QG10" s="240"/>
      <c r="QH10" s="240"/>
      <c r="QI10" s="240"/>
      <c r="QJ10" s="240"/>
      <c r="QK10" s="240"/>
      <c r="QL10" s="240"/>
      <c r="QM10" s="240"/>
      <c r="QN10" s="240"/>
      <c r="QO10" s="240"/>
      <c r="QP10" s="240"/>
      <c r="QQ10" s="240"/>
      <c r="QR10" s="240"/>
      <c r="QS10" s="240"/>
      <c r="QT10" s="240"/>
      <c r="QU10" s="240"/>
      <c r="QV10" s="240"/>
      <c r="QW10" s="240"/>
      <c r="QX10" s="240"/>
      <c r="QY10" s="240"/>
      <c r="QZ10" s="240"/>
      <c r="RA10" s="240"/>
      <c r="RB10" s="240"/>
      <c r="RC10" s="240"/>
      <c r="RD10" s="240"/>
      <c r="RE10" s="240"/>
      <c r="RF10" s="240"/>
      <c r="RG10" s="240"/>
      <c r="RH10" s="240"/>
      <c r="RI10" s="240"/>
      <c r="RJ10" s="240"/>
      <c r="RK10" s="240"/>
      <c r="RL10" s="240"/>
      <c r="RM10" s="240"/>
      <c r="RN10" s="240"/>
      <c r="RO10" s="240"/>
      <c r="RP10" s="240"/>
      <c r="RQ10" s="240"/>
      <c r="RR10" s="240"/>
      <c r="RS10" s="240"/>
      <c r="RT10" s="240"/>
      <c r="RU10" s="240"/>
      <c r="RV10" s="240"/>
      <c r="RW10" s="240"/>
      <c r="RX10" s="240"/>
      <c r="RY10" s="240"/>
      <c r="RZ10" s="240"/>
      <c r="SA10" s="240"/>
      <c r="SB10" s="240"/>
      <c r="SC10" s="240"/>
      <c r="SD10" s="240"/>
      <c r="SE10" s="240"/>
      <c r="SF10" s="240"/>
      <c r="SG10" s="240"/>
      <c r="SH10" s="240"/>
      <c r="SI10" s="240"/>
      <c r="SJ10" s="240"/>
      <c r="SK10" s="240"/>
      <c r="SL10" s="240"/>
      <c r="SM10" s="240"/>
      <c r="SN10" s="240"/>
      <c r="SO10" s="240"/>
      <c r="SP10" s="240"/>
      <c r="SQ10" s="240"/>
      <c r="SR10" s="240"/>
      <c r="SS10" s="240"/>
      <c r="ST10" s="240"/>
      <c r="SU10" s="240"/>
      <c r="SV10" s="240"/>
      <c r="SW10" s="240"/>
      <c r="SX10" s="240"/>
      <c r="SY10" s="240"/>
      <c r="SZ10" s="240"/>
      <c r="TA10" s="240"/>
      <c r="TB10" s="240"/>
      <c r="TC10" s="240"/>
      <c r="TD10" s="240"/>
      <c r="TE10" s="240"/>
      <c r="TF10" s="240"/>
      <c r="TG10" s="240"/>
      <c r="TH10" s="240"/>
      <c r="TI10" s="240"/>
      <c r="TJ10" s="240"/>
      <c r="TK10" s="240"/>
      <c r="TL10" s="240"/>
      <c r="TM10" s="240"/>
      <c r="TN10" s="240"/>
      <c r="TO10" s="240"/>
      <c r="TP10" s="240"/>
      <c r="TQ10" s="240"/>
      <c r="TR10" s="240"/>
      <c r="TS10" s="240"/>
      <c r="TT10" s="240"/>
      <c r="TU10" s="240"/>
      <c r="TV10" s="240"/>
      <c r="TW10" s="240"/>
      <c r="TX10" s="240"/>
      <c r="TY10" s="240"/>
      <c r="TZ10" s="240"/>
      <c r="UA10" s="240"/>
      <c r="UB10" s="240"/>
      <c r="UC10" s="240"/>
      <c r="UD10" s="240"/>
      <c r="UE10" s="240"/>
      <c r="UF10" s="240"/>
      <c r="UG10" s="240"/>
      <c r="UH10" s="240"/>
      <c r="UI10" s="240"/>
      <c r="UJ10" s="240"/>
      <c r="UK10" s="240"/>
      <c r="UL10" s="240"/>
      <c r="UM10" s="240"/>
      <c r="UN10" s="240"/>
      <c r="UO10" s="240"/>
      <c r="UP10" s="240"/>
      <c r="UQ10" s="240"/>
      <c r="UR10" s="240"/>
      <c r="US10" s="240"/>
      <c r="UT10" s="240"/>
      <c r="UU10" s="240"/>
      <c r="UV10" s="240"/>
      <c r="UW10" s="240"/>
      <c r="UX10" s="240"/>
      <c r="UY10" s="240"/>
      <c r="UZ10" s="240"/>
      <c r="VA10" s="240"/>
      <c r="VB10" s="240"/>
      <c r="VC10" s="240"/>
      <c r="VD10" s="240"/>
      <c r="VE10" s="240"/>
      <c r="VF10" s="240"/>
      <c r="VG10" s="240"/>
      <c r="VH10" s="240"/>
      <c r="VI10" s="240"/>
      <c r="VJ10" s="240"/>
      <c r="VK10" s="240"/>
      <c r="VL10" s="240"/>
      <c r="VM10" s="240"/>
      <c r="VN10" s="240"/>
      <c r="VO10" s="240"/>
      <c r="VP10" s="240"/>
      <c r="VQ10" s="240"/>
      <c r="VR10" s="240"/>
      <c r="VS10" s="240"/>
      <c r="VT10" s="240"/>
      <c r="VU10" s="240"/>
      <c r="VV10" s="240"/>
      <c r="VW10" s="240"/>
      <c r="VX10" s="240"/>
      <c r="VY10" s="240"/>
      <c r="VZ10" s="240"/>
      <c r="WA10" s="240"/>
      <c r="WB10" s="240"/>
      <c r="WC10" s="240"/>
      <c r="WD10" s="240"/>
      <c r="WE10" s="240"/>
      <c r="WF10" s="240"/>
      <c r="WG10" s="240"/>
      <c r="WH10" s="240"/>
      <c r="WI10" s="240"/>
      <c r="WJ10" s="240"/>
      <c r="WK10" s="240"/>
      <c r="WL10" s="240"/>
      <c r="WM10" s="240"/>
      <c r="WN10" s="240"/>
      <c r="WO10" s="240"/>
      <c r="WP10" s="240"/>
      <c r="WQ10" s="240"/>
      <c r="WR10" s="240"/>
      <c r="WS10" s="240"/>
      <c r="WT10" s="240"/>
      <c r="WU10" s="240"/>
      <c r="WV10" s="240"/>
      <c r="WW10" s="240"/>
      <c r="WX10" s="240"/>
      <c r="WY10" s="240"/>
      <c r="WZ10" s="240"/>
      <c r="XA10" s="240"/>
      <c r="XB10" s="240"/>
      <c r="XC10" s="240"/>
      <c r="XD10" s="240"/>
      <c r="XE10" s="240"/>
      <c r="XF10" s="240"/>
      <c r="XG10" s="240"/>
      <c r="XH10" s="240"/>
      <c r="XI10" s="240"/>
      <c r="XJ10" s="240"/>
      <c r="XK10" s="240"/>
      <c r="XL10" s="240"/>
      <c r="XM10" s="240"/>
      <c r="XN10" s="240"/>
      <c r="XO10" s="240"/>
      <c r="XP10" s="240"/>
      <c r="XQ10" s="240"/>
      <c r="XR10" s="240"/>
      <c r="XS10" s="240"/>
      <c r="XT10" s="240"/>
      <c r="XU10" s="240"/>
      <c r="XV10" s="240"/>
      <c r="XW10" s="240"/>
      <c r="XX10" s="240"/>
      <c r="XY10" s="240"/>
      <c r="XZ10" s="240"/>
      <c r="YA10" s="240"/>
      <c r="YB10" s="240"/>
      <c r="YC10" s="240"/>
      <c r="YD10" s="240"/>
      <c r="YE10" s="240"/>
      <c r="YF10" s="240"/>
      <c r="YG10" s="240"/>
      <c r="YH10" s="240"/>
      <c r="YI10" s="240"/>
      <c r="YJ10" s="240"/>
      <c r="YK10" s="240"/>
      <c r="YL10" s="240"/>
      <c r="YM10" s="240"/>
      <c r="YN10" s="240"/>
      <c r="YO10" s="240"/>
      <c r="YP10" s="240"/>
      <c r="YQ10" s="240"/>
      <c r="YR10" s="240"/>
      <c r="YS10" s="240"/>
      <c r="YT10" s="240"/>
      <c r="YU10" s="240"/>
      <c r="YV10" s="240"/>
      <c r="YW10" s="240"/>
      <c r="YX10" s="240"/>
      <c r="YY10" s="240"/>
      <c r="YZ10" s="240"/>
      <c r="ZA10" s="240"/>
      <c r="ZB10" s="240"/>
      <c r="ZC10" s="240"/>
      <c r="ZD10" s="240"/>
      <c r="ZE10" s="240"/>
      <c r="ZF10" s="240"/>
      <c r="ZG10" s="240"/>
      <c r="ZH10" s="240"/>
      <c r="ZI10" s="240"/>
      <c r="ZJ10" s="240"/>
      <c r="ZK10" s="240"/>
      <c r="ZL10" s="240"/>
      <c r="ZM10" s="240"/>
      <c r="ZN10" s="240"/>
      <c r="ZO10" s="240"/>
      <c r="ZP10" s="240"/>
      <c r="ZQ10" s="240"/>
      <c r="ZR10" s="240"/>
      <c r="ZS10" s="240"/>
      <c r="ZT10" s="240"/>
      <c r="ZU10" s="240"/>
      <c r="ZV10" s="240"/>
      <c r="ZW10" s="240"/>
      <c r="ZX10" s="240"/>
      <c r="ZY10" s="240"/>
      <c r="ZZ10" s="240"/>
      <c r="AAA10" s="240"/>
      <c r="AAB10" s="240"/>
      <c r="AAC10" s="240"/>
      <c r="AAD10" s="240"/>
      <c r="AAE10" s="240"/>
      <c r="AAF10" s="240"/>
      <c r="AAG10" s="240"/>
      <c r="AAH10" s="240"/>
      <c r="AAI10" s="240"/>
      <c r="AAJ10" s="240"/>
      <c r="AAK10" s="240"/>
      <c r="AAL10" s="240"/>
      <c r="AAM10" s="240"/>
      <c r="AAN10" s="240"/>
      <c r="AAO10" s="240"/>
      <c r="AAP10" s="240"/>
      <c r="AAQ10" s="240"/>
      <c r="AAR10" s="240"/>
      <c r="AAS10" s="240"/>
      <c r="AAT10" s="240"/>
      <c r="AAU10" s="240"/>
      <c r="AAV10" s="240"/>
      <c r="AAW10" s="240"/>
      <c r="AAX10" s="240"/>
      <c r="AAY10" s="240"/>
      <c r="AAZ10" s="240"/>
      <c r="ABA10" s="240"/>
      <c r="ABB10" s="240"/>
      <c r="ABC10" s="240"/>
      <c r="ABD10" s="240"/>
      <c r="ABE10" s="240"/>
      <c r="ABF10" s="240"/>
      <c r="ABG10" s="240"/>
      <c r="ABH10" s="240"/>
      <c r="ABI10" s="240"/>
      <c r="ABJ10" s="240"/>
      <c r="ABK10" s="240"/>
      <c r="ABL10" s="240"/>
      <c r="ABM10" s="240"/>
      <c r="ABN10" s="240"/>
      <c r="ABO10" s="240"/>
      <c r="ABP10" s="240"/>
      <c r="ABQ10" s="240"/>
      <c r="ABR10" s="240"/>
      <c r="ABS10" s="240"/>
      <c r="ABT10" s="240"/>
      <c r="ABU10" s="240"/>
      <c r="ABV10" s="240"/>
      <c r="ABW10" s="240"/>
      <c r="ABX10" s="240"/>
      <c r="ABY10" s="240"/>
      <c r="ABZ10" s="240"/>
      <c r="ACA10" s="240"/>
      <c r="ACB10" s="240"/>
      <c r="ACC10" s="240"/>
      <c r="ACD10" s="240"/>
      <c r="ACE10" s="240"/>
      <c r="ACF10" s="240"/>
      <c r="ACG10" s="240"/>
      <c r="ACH10" s="240"/>
      <c r="ACI10" s="240"/>
      <c r="ACJ10" s="240"/>
      <c r="ACK10" s="240"/>
      <c r="ACL10" s="240"/>
      <c r="ACM10" s="240"/>
      <c r="ACN10" s="240"/>
      <c r="ACO10" s="240"/>
      <c r="ACP10" s="240"/>
      <c r="ACQ10" s="240"/>
      <c r="ACR10" s="240"/>
      <c r="ACS10" s="240"/>
      <c r="ACT10" s="240"/>
      <c r="ACU10" s="240"/>
      <c r="ACV10" s="240"/>
      <c r="ACW10" s="240"/>
      <c r="ACX10" s="240"/>
      <c r="ACY10" s="240"/>
      <c r="ACZ10" s="240"/>
      <c r="ADA10" s="240"/>
      <c r="ADB10" s="240"/>
      <c r="ADC10" s="240"/>
      <c r="ADD10" s="240"/>
      <c r="ADE10" s="240"/>
      <c r="ADF10" s="240"/>
      <c r="ADG10" s="240"/>
      <c r="ADH10" s="240"/>
      <c r="ADI10" s="240"/>
      <c r="ADJ10" s="240"/>
      <c r="ADK10" s="240"/>
      <c r="ADL10" s="240"/>
      <c r="ADM10" s="240"/>
      <c r="ADN10" s="240"/>
      <c r="ADO10" s="240"/>
      <c r="ADP10" s="240"/>
      <c r="ADQ10" s="240"/>
      <c r="ADR10" s="240"/>
      <c r="ADS10" s="240"/>
      <c r="ADT10" s="240"/>
      <c r="ADU10" s="240"/>
      <c r="ADV10" s="240"/>
      <c r="ADW10" s="240"/>
      <c r="ADX10" s="240"/>
      <c r="ADY10" s="240"/>
      <c r="ADZ10" s="240"/>
      <c r="AEA10" s="240"/>
      <c r="AEB10" s="240"/>
      <c r="AEC10" s="240"/>
      <c r="AED10" s="240"/>
      <c r="AEE10" s="240"/>
      <c r="AEF10" s="240"/>
      <c r="AEG10" s="240"/>
      <c r="AEH10" s="240"/>
      <c r="AEI10" s="240"/>
      <c r="AEJ10" s="240"/>
      <c r="AEK10" s="240"/>
      <c r="AEL10" s="240"/>
      <c r="AEM10" s="240"/>
      <c r="AEN10" s="240"/>
      <c r="AEO10" s="240"/>
      <c r="AEP10" s="240"/>
      <c r="AEQ10" s="240"/>
      <c r="AER10" s="240"/>
      <c r="AES10" s="240"/>
      <c r="AET10" s="240"/>
      <c r="AEU10" s="240"/>
      <c r="AEV10" s="240"/>
      <c r="AEW10" s="240"/>
      <c r="AEX10" s="240"/>
      <c r="AEY10" s="240"/>
      <c r="AEZ10" s="240"/>
      <c r="AFA10" s="240"/>
      <c r="AFB10" s="240"/>
      <c r="AFC10" s="240"/>
      <c r="AFD10" s="240"/>
      <c r="AFE10" s="240"/>
      <c r="AFF10" s="240"/>
      <c r="AFG10" s="240"/>
      <c r="AFH10" s="240"/>
      <c r="AFI10" s="240"/>
      <c r="AFJ10" s="240"/>
      <c r="AFK10" s="240"/>
      <c r="AFL10" s="240"/>
      <c r="AFM10" s="240"/>
      <c r="AFN10" s="240"/>
      <c r="AFO10" s="240"/>
      <c r="AFP10" s="240"/>
      <c r="AFQ10" s="240"/>
      <c r="AFR10" s="240"/>
      <c r="AFS10" s="240"/>
      <c r="AFT10" s="240"/>
      <c r="AFU10" s="240"/>
      <c r="AFV10" s="240"/>
      <c r="AFW10" s="240"/>
      <c r="AFX10" s="240"/>
      <c r="AFY10" s="240"/>
      <c r="AFZ10" s="240"/>
      <c r="AGA10" s="240"/>
      <c r="AGB10" s="240"/>
      <c r="AGC10" s="240"/>
      <c r="AGD10" s="240"/>
      <c r="AGE10" s="240"/>
      <c r="AGF10" s="240"/>
      <c r="AGG10" s="240"/>
      <c r="AGH10" s="240"/>
      <c r="AGI10" s="240"/>
      <c r="AGJ10" s="240"/>
      <c r="AGK10" s="240"/>
      <c r="AGL10" s="240"/>
      <c r="AGM10" s="240"/>
      <c r="AGN10" s="240"/>
      <c r="AGO10" s="240"/>
      <c r="AGP10" s="240"/>
      <c r="AGQ10" s="240"/>
      <c r="AGR10" s="240"/>
      <c r="AGS10" s="240"/>
      <c r="AGT10" s="240"/>
      <c r="AGU10" s="240"/>
      <c r="AGV10" s="240"/>
      <c r="AGW10" s="240"/>
      <c r="AGX10" s="240"/>
      <c r="AGY10" s="240"/>
      <c r="AGZ10" s="240"/>
      <c r="AHA10" s="240"/>
      <c r="AHB10" s="240"/>
      <c r="AHC10" s="240"/>
      <c r="AHD10" s="240"/>
      <c r="AHE10" s="240"/>
      <c r="AHF10" s="240"/>
      <c r="AHG10" s="240"/>
      <c r="AHH10" s="240"/>
      <c r="AHI10" s="240"/>
      <c r="AHJ10" s="240"/>
      <c r="AHK10" s="240"/>
      <c r="AHL10" s="240"/>
      <c r="AHM10" s="240"/>
      <c r="AHN10" s="240"/>
      <c r="AHO10" s="240"/>
      <c r="AHP10" s="240"/>
      <c r="AHQ10" s="240"/>
      <c r="AHR10" s="240"/>
      <c r="AHS10" s="240"/>
      <c r="AHT10" s="240"/>
      <c r="AHU10" s="240"/>
      <c r="AHV10" s="240"/>
      <c r="AHW10" s="240"/>
      <c r="AHX10" s="240"/>
      <c r="AHY10" s="240"/>
      <c r="AHZ10" s="240"/>
      <c r="AIA10" s="240"/>
      <c r="AIB10" s="240"/>
      <c r="AIC10" s="240"/>
      <c r="AID10" s="240"/>
      <c r="AIE10" s="240"/>
      <c r="AIF10" s="240"/>
      <c r="AIG10" s="240"/>
      <c r="AIH10" s="240"/>
      <c r="AII10" s="240"/>
      <c r="AIJ10" s="240"/>
      <c r="AIK10" s="240"/>
      <c r="AIL10" s="240"/>
      <c r="AIM10" s="240"/>
      <c r="AIN10" s="240"/>
      <c r="AIO10" s="240"/>
      <c r="AIP10" s="240"/>
      <c r="AIQ10" s="240"/>
      <c r="AIR10" s="240"/>
      <c r="AIS10" s="240"/>
      <c r="AIT10" s="240"/>
      <c r="AIU10" s="240"/>
      <c r="AIV10" s="240"/>
      <c r="AIW10" s="240"/>
      <c r="AIX10" s="240"/>
      <c r="AIY10" s="240"/>
      <c r="AIZ10" s="240"/>
      <c r="AJA10" s="240"/>
      <c r="AJB10" s="240"/>
      <c r="AJC10" s="240"/>
      <c r="AJD10" s="240"/>
      <c r="AJE10" s="240"/>
      <c r="AJF10" s="240"/>
      <c r="AJG10" s="240"/>
      <c r="AJH10" s="240"/>
      <c r="AJI10" s="240"/>
      <c r="AJJ10" s="240"/>
      <c r="AJK10" s="240"/>
      <c r="AJL10" s="240"/>
      <c r="AJM10" s="240"/>
      <c r="AJN10" s="240"/>
      <c r="AJO10" s="240"/>
      <c r="AJP10" s="240"/>
      <c r="AJQ10" s="240"/>
      <c r="AJR10" s="240"/>
      <c r="AJS10" s="240"/>
      <c r="AJT10" s="240"/>
      <c r="AJU10" s="240"/>
      <c r="AJV10" s="240"/>
      <c r="AJW10" s="240"/>
      <c r="AJX10" s="240"/>
      <c r="AJY10" s="240"/>
      <c r="AJZ10" s="240"/>
      <c r="AKA10" s="240"/>
      <c r="AKB10" s="240"/>
      <c r="AKC10" s="240"/>
      <c r="AKD10" s="240"/>
      <c r="AKE10" s="240"/>
      <c r="AKF10" s="240"/>
      <c r="AKG10" s="240"/>
      <c r="AKH10" s="240"/>
      <c r="AKI10" s="240"/>
      <c r="AKJ10" s="240"/>
      <c r="AKK10" s="240"/>
      <c r="AKL10" s="240"/>
      <c r="AKM10" s="240"/>
      <c r="AKN10" s="240"/>
      <c r="AKO10" s="240"/>
      <c r="AKP10" s="240"/>
      <c r="AKQ10" s="240"/>
      <c r="AKR10" s="240"/>
      <c r="AKS10" s="240"/>
      <c r="AKT10" s="240"/>
      <c r="AKU10" s="240"/>
      <c r="AKV10" s="240"/>
      <c r="AKW10" s="240"/>
      <c r="AKX10" s="240"/>
      <c r="AKY10" s="240"/>
      <c r="AKZ10" s="240"/>
      <c r="ALA10" s="240"/>
      <c r="ALB10" s="240"/>
      <c r="ALC10" s="240"/>
      <c r="ALD10" s="240"/>
      <c r="ALE10" s="240"/>
      <c r="ALF10" s="240"/>
      <c r="ALG10" s="240"/>
      <c r="ALH10" s="240"/>
      <c r="ALI10" s="240"/>
      <c r="ALJ10" s="240"/>
      <c r="ALK10" s="240"/>
      <c r="ALL10" s="240"/>
      <c r="ALM10" s="240"/>
      <c r="ALN10" s="240"/>
      <c r="ALO10" s="240"/>
      <c r="ALP10" s="240"/>
      <c r="ALQ10" s="240"/>
      <c r="ALR10" s="240"/>
      <c r="ALS10" s="240"/>
      <c r="ALT10" s="240"/>
      <c r="ALU10" s="240"/>
      <c r="ALV10" s="240"/>
      <c r="ALW10" s="240"/>
      <c r="ALX10" s="240"/>
      <c r="ALY10" s="240"/>
      <c r="ALZ10" s="240"/>
      <c r="AMA10" s="240"/>
      <c r="AMB10" s="240"/>
      <c r="AMC10" s="240"/>
      <c r="AMD10" s="240"/>
      <c r="AME10" s="240"/>
      <c r="AMF10" s="240"/>
      <c r="AMG10" s="240"/>
      <c r="AMH10" s="240"/>
    </row>
    <row r="11" spans="1:1022" ht="13.5" customHeight="1" thickTop="1" thickBot="1">
      <c r="B11" s="141"/>
      <c r="C11" s="142" t="s">
        <v>628</v>
      </c>
      <c r="D11" s="142" t="s">
        <v>631</v>
      </c>
      <c r="E11" s="142" t="s">
        <v>634</v>
      </c>
      <c r="F11" s="198" t="s">
        <v>20</v>
      </c>
      <c r="G11" s="198" t="s">
        <v>20</v>
      </c>
      <c r="H11" s="198" t="s">
        <v>6</v>
      </c>
      <c r="I11" s="198" t="s">
        <v>207</v>
      </c>
      <c r="J11" s="144" t="s">
        <v>237</v>
      </c>
      <c r="K11" s="144"/>
      <c r="L11" s="197"/>
    </row>
    <row r="12" spans="1:1022" ht="13.5" customHeight="1" thickTop="1" thickBot="1">
      <c r="A12" s="240"/>
      <c r="B12" s="241"/>
      <c r="C12" s="142" t="s">
        <v>184</v>
      </c>
      <c r="D12" s="142" t="s">
        <v>183</v>
      </c>
      <c r="E12" s="142"/>
      <c r="F12" s="245" t="s">
        <v>20</v>
      </c>
      <c r="G12" s="245" t="s">
        <v>20</v>
      </c>
      <c r="H12" s="245" t="s">
        <v>6</v>
      </c>
      <c r="I12" s="245" t="s">
        <v>207</v>
      </c>
      <c r="J12" s="239" t="s">
        <v>230</v>
      </c>
      <c r="K12" s="239"/>
      <c r="L12" s="197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  <c r="CF12" s="240"/>
      <c r="CG12" s="240"/>
      <c r="CH12" s="240"/>
      <c r="CI12" s="240"/>
      <c r="CJ12" s="240"/>
      <c r="CK12" s="240"/>
      <c r="CL12" s="240"/>
      <c r="CM12" s="240"/>
      <c r="CN12" s="240"/>
      <c r="CO12" s="240"/>
      <c r="CP12" s="240"/>
      <c r="CQ12" s="240"/>
      <c r="CR12" s="240"/>
      <c r="CS12" s="240"/>
      <c r="CT12" s="240"/>
      <c r="CU12" s="240"/>
      <c r="CV12" s="240"/>
      <c r="CW12" s="240"/>
      <c r="CX12" s="240"/>
      <c r="CY12" s="240"/>
      <c r="CZ12" s="240"/>
      <c r="DA12" s="240"/>
      <c r="DB12" s="240"/>
      <c r="DC12" s="240"/>
      <c r="DD12" s="240"/>
      <c r="DE12" s="240"/>
      <c r="DF12" s="240"/>
      <c r="DG12" s="240"/>
      <c r="DH12" s="240"/>
      <c r="DI12" s="240"/>
      <c r="DJ12" s="240"/>
      <c r="DK12" s="240"/>
      <c r="DL12" s="240"/>
      <c r="DM12" s="240"/>
      <c r="DN12" s="240"/>
      <c r="DO12" s="240"/>
      <c r="DP12" s="240"/>
      <c r="DQ12" s="240"/>
      <c r="DR12" s="240"/>
      <c r="DS12" s="240"/>
      <c r="DT12" s="240"/>
      <c r="DU12" s="240"/>
      <c r="DV12" s="240"/>
      <c r="DW12" s="240"/>
      <c r="DX12" s="240"/>
      <c r="DY12" s="240"/>
      <c r="DZ12" s="240"/>
      <c r="EA12" s="240"/>
      <c r="EB12" s="240"/>
      <c r="EC12" s="240"/>
      <c r="ED12" s="240"/>
      <c r="EE12" s="240"/>
      <c r="EF12" s="240"/>
      <c r="EG12" s="240"/>
      <c r="EH12" s="240"/>
      <c r="EI12" s="240"/>
      <c r="EJ12" s="240"/>
      <c r="EK12" s="240"/>
      <c r="EL12" s="240"/>
      <c r="EM12" s="240"/>
      <c r="EN12" s="240"/>
      <c r="EO12" s="240"/>
      <c r="EP12" s="240"/>
      <c r="EQ12" s="240"/>
      <c r="ER12" s="240"/>
      <c r="ES12" s="240"/>
      <c r="ET12" s="240"/>
      <c r="EU12" s="240"/>
      <c r="EV12" s="240"/>
      <c r="EW12" s="240"/>
      <c r="EX12" s="240"/>
      <c r="EY12" s="240"/>
      <c r="EZ12" s="240"/>
      <c r="FA12" s="240"/>
      <c r="FB12" s="240"/>
      <c r="FC12" s="240"/>
      <c r="FD12" s="240"/>
      <c r="FE12" s="240"/>
      <c r="FF12" s="240"/>
      <c r="FG12" s="240"/>
      <c r="FH12" s="240"/>
      <c r="FI12" s="240"/>
      <c r="FJ12" s="240"/>
      <c r="FK12" s="240"/>
      <c r="FL12" s="240"/>
      <c r="FM12" s="240"/>
      <c r="FN12" s="240"/>
      <c r="FO12" s="240"/>
      <c r="FP12" s="240"/>
      <c r="FQ12" s="240"/>
      <c r="FR12" s="240"/>
      <c r="FS12" s="240"/>
      <c r="FT12" s="240"/>
      <c r="FU12" s="240"/>
      <c r="FV12" s="240"/>
      <c r="FW12" s="240"/>
      <c r="FX12" s="240"/>
      <c r="FY12" s="240"/>
      <c r="FZ12" s="240"/>
      <c r="GA12" s="240"/>
      <c r="GB12" s="240"/>
      <c r="GC12" s="240"/>
      <c r="GD12" s="240"/>
      <c r="GE12" s="240"/>
      <c r="GF12" s="240"/>
      <c r="GG12" s="240"/>
      <c r="GH12" s="240"/>
      <c r="GI12" s="240"/>
      <c r="GJ12" s="240"/>
      <c r="GK12" s="240"/>
      <c r="GL12" s="240"/>
      <c r="GM12" s="240"/>
      <c r="GN12" s="240"/>
      <c r="GO12" s="240"/>
      <c r="GP12" s="240"/>
      <c r="GQ12" s="240"/>
      <c r="GR12" s="240"/>
      <c r="GS12" s="240"/>
      <c r="GT12" s="240"/>
      <c r="GU12" s="240"/>
      <c r="GV12" s="240"/>
      <c r="GW12" s="240"/>
      <c r="GX12" s="240"/>
      <c r="GY12" s="240"/>
      <c r="GZ12" s="240"/>
      <c r="HA12" s="240"/>
      <c r="HB12" s="240"/>
      <c r="HC12" s="240"/>
      <c r="HD12" s="240"/>
      <c r="HE12" s="240"/>
      <c r="HF12" s="240"/>
      <c r="HG12" s="240"/>
      <c r="HH12" s="240"/>
      <c r="HI12" s="240"/>
      <c r="HJ12" s="240"/>
      <c r="HK12" s="240"/>
      <c r="HL12" s="240"/>
      <c r="HM12" s="240"/>
      <c r="HN12" s="240"/>
      <c r="HO12" s="240"/>
      <c r="HP12" s="240"/>
      <c r="HQ12" s="240"/>
      <c r="HR12" s="240"/>
      <c r="HS12" s="240"/>
      <c r="HT12" s="240"/>
      <c r="HU12" s="240"/>
      <c r="HV12" s="240"/>
      <c r="HW12" s="240"/>
      <c r="HX12" s="240"/>
      <c r="HY12" s="240"/>
      <c r="HZ12" s="240"/>
      <c r="IA12" s="240"/>
      <c r="IB12" s="240"/>
      <c r="IC12" s="240"/>
      <c r="ID12" s="240"/>
      <c r="IE12" s="240"/>
      <c r="IF12" s="240"/>
      <c r="IG12" s="240"/>
      <c r="IH12" s="240"/>
      <c r="II12" s="240"/>
      <c r="IJ12" s="240"/>
      <c r="IK12" s="240"/>
      <c r="IL12" s="240"/>
      <c r="IM12" s="240"/>
      <c r="IN12" s="240"/>
      <c r="IO12" s="240"/>
      <c r="IP12" s="240"/>
      <c r="IQ12" s="240"/>
      <c r="IR12" s="240"/>
      <c r="IS12" s="240"/>
      <c r="IT12" s="240"/>
      <c r="IU12" s="240"/>
      <c r="IV12" s="240"/>
      <c r="IW12" s="240"/>
      <c r="IX12" s="240"/>
      <c r="IY12" s="240"/>
      <c r="IZ12" s="240"/>
      <c r="JA12" s="240"/>
      <c r="JB12" s="240"/>
      <c r="JC12" s="240"/>
      <c r="JD12" s="240"/>
      <c r="JE12" s="240"/>
      <c r="JF12" s="240"/>
      <c r="JG12" s="240"/>
      <c r="JH12" s="240"/>
      <c r="JI12" s="240"/>
      <c r="JJ12" s="240"/>
      <c r="JK12" s="240"/>
      <c r="JL12" s="240"/>
      <c r="JM12" s="240"/>
      <c r="JN12" s="240"/>
      <c r="JO12" s="240"/>
      <c r="JP12" s="240"/>
      <c r="JQ12" s="240"/>
      <c r="JR12" s="240"/>
      <c r="JS12" s="240"/>
      <c r="JT12" s="240"/>
      <c r="JU12" s="240"/>
      <c r="JV12" s="240"/>
      <c r="JW12" s="240"/>
      <c r="JX12" s="240"/>
      <c r="JY12" s="240"/>
      <c r="JZ12" s="240"/>
      <c r="KA12" s="240"/>
      <c r="KB12" s="240"/>
      <c r="KC12" s="240"/>
      <c r="KD12" s="240"/>
      <c r="KE12" s="240"/>
      <c r="KF12" s="240"/>
      <c r="KG12" s="240"/>
      <c r="KH12" s="240"/>
      <c r="KI12" s="240"/>
      <c r="KJ12" s="240"/>
      <c r="KK12" s="240"/>
      <c r="KL12" s="240"/>
      <c r="KM12" s="240"/>
      <c r="KN12" s="240"/>
      <c r="KO12" s="240"/>
      <c r="KP12" s="240"/>
      <c r="KQ12" s="240"/>
      <c r="KR12" s="240"/>
      <c r="KS12" s="240"/>
      <c r="KT12" s="240"/>
      <c r="KU12" s="240"/>
      <c r="KV12" s="240"/>
      <c r="KW12" s="240"/>
      <c r="KX12" s="240"/>
      <c r="KY12" s="240"/>
      <c r="KZ12" s="240"/>
      <c r="LA12" s="240"/>
      <c r="LB12" s="240"/>
      <c r="LC12" s="240"/>
      <c r="LD12" s="240"/>
      <c r="LE12" s="240"/>
      <c r="LF12" s="240"/>
      <c r="LG12" s="240"/>
      <c r="LH12" s="240"/>
      <c r="LI12" s="240"/>
      <c r="LJ12" s="240"/>
      <c r="LK12" s="240"/>
      <c r="LL12" s="240"/>
      <c r="LM12" s="240"/>
      <c r="LN12" s="240"/>
      <c r="LO12" s="240"/>
      <c r="LP12" s="240"/>
      <c r="LQ12" s="240"/>
      <c r="LR12" s="240"/>
      <c r="LS12" s="240"/>
      <c r="LT12" s="240"/>
      <c r="LU12" s="240"/>
      <c r="LV12" s="240"/>
      <c r="LW12" s="240"/>
      <c r="LX12" s="240"/>
      <c r="LY12" s="240"/>
      <c r="LZ12" s="240"/>
      <c r="MA12" s="240"/>
      <c r="MB12" s="240"/>
      <c r="MC12" s="240"/>
      <c r="MD12" s="240"/>
      <c r="ME12" s="240"/>
      <c r="MF12" s="240"/>
      <c r="MG12" s="240"/>
      <c r="MH12" s="240"/>
      <c r="MI12" s="240"/>
      <c r="MJ12" s="240"/>
      <c r="MK12" s="240"/>
      <c r="ML12" s="240"/>
      <c r="MM12" s="240"/>
      <c r="MN12" s="240"/>
      <c r="MO12" s="240"/>
      <c r="MP12" s="240"/>
      <c r="MQ12" s="240"/>
      <c r="MR12" s="240"/>
      <c r="MS12" s="240"/>
      <c r="MT12" s="240"/>
      <c r="MU12" s="240"/>
      <c r="MV12" s="240"/>
      <c r="MW12" s="240"/>
      <c r="MX12" s="240"/>
      <c r="MY12" s="240"/>
      <c r="MZ12" s="240"/>
      <c r="NA12" s="240"/>
      <c r="NB12" s="240"/>
      <c r="NC12" s="240"/>
      <c r="ND12" s="240"/>
      <c r="NE12" s="240"/>
      <c r="NF12" s="240"/>
      <c r="NG12" s="240"/>
      <c r="NH12" s="240"/>
      <c r="NI12" s="240"/>
      <c r="NJ12" s="240"/>
      <c r="NK12" s="240"/>
      <c r="NL12" s="240"/>
      <c r="NM12" s="240"/>
      <c r="NN12" s="240"/>
      <c r="NO12" s="240"/>
      <c r="NP12" s="240"/>
      <c r="NQ12" s="240"/>
      <c r="NR12" s="240"/>
      <c r="NS12" s="240"/>
      <c r="NT12" s="240"/>
      <c r="NU12" s="240"/>
      <c r="NV12" s="240"/>
      <c r="NW12" s="240"/>
      <c r="NX12" s="240"/>
      <c r="NY12" s="240"/>
      <c r="NZ12" s="240"/>
      <c r="OA12" s="240"/>
      <c r="OB12" s="240"/>
      <c r="OC12" s="240"/>
      <c r="OD12" s="240"/>
      <c r="OE12" s="240"/>
      <c r="OF12" s="240"/>
      <c r="OG12" s="240"/>
      <c r="OH12" s="240"/>
      <c r="OI12" s="240"/>
      <c r="OJ12" s="240"/>
      <c r="OK12" s="240"/>
      <c r="OL12" s="240"/>
      <c r="OM12" s="240"/>
      <c r="ON12" s="240"/>
      <c r="OO12" s="240"/>
      <c r="OP12" s="240"/>
      <c r="OQ12" s="240"/>
      <c r="OR12" s="240"/>
      <c r="OS12" s="240"/>
      <c r="OT12" s="240"/>
      <c r="OU12" s="240"/>
      <c r="OV12" s="240"/>
      <c r="OW12" s="240"/>
      <c r="OX12" s="240"/>
      <c r="OY12" s="240"/>
      <c r="OZ12" s="240"/>
      <c r="PA12" s="240"/>
      <c r="PB12" s="240"/>
      <c r="PC12" s="240"/>
      <c r="PD12" s="240"/>
      <c r="PE12" s="240"/>
      <c r="PF12" s="240"/>
      <c r="PG12" s="240"/>
      <c r="PH12" s="240"/>
      <c r="PI12" s="240"/>
      <c r="PJ12" s="240"/>
      <c r="PK12" s="240"/>
      <c r="PL12" s="240"/>
      <c r="PM12" s="240"/>
      <c r="PN12" s="240"/>
      <c r="PO12" s="240"/>
      <c r="PP12" s="240"/>
      <c r="PQ12" s="240"/>
      <c r="PR12" s="240"/>
      <c r="PS12" s="240"/>
      <c r="PT12" s="240"/>
      <c r="PU12" s="240"/>
      <c r="PV12" s="240"/>
      <c r="PW12" s="240"/>
      <c r="PX12" s="240"/>
      <c r="PY12" s="240"/>
      <c r="PZ12" s="240"/>
      <c r="QA12" s="240"/>
      <c r="QB12" s="240"/>
      <c r="QC12" s="240"/>
      <c r="QD12" s="240"/>
      <c r="QE12" s="240"/>
      <c r="QF12" s="240"/>
      <c r="QG12" s="240"/>
      <c r="QH12" s="240"/>
      <c r="QI12" s="240"/>
      <c r="QJ12" s="240"/>
      <c r="QK12" s="240"/>
      <c r="QL12" s="240"/>
      <c r="QM12" s="240"/>
      <c r="QN12" s="240"/>
      <c r="QO12" s="240"/>
      <c r="QP12" s="240"/>
      <c r="QQ12" s="240"/>
      <c r="QR12" s="240"/>
      <c r="QS12" s="240"/>
      <c r="QT12" s="240"/>
      <c r="QU12" s="240"/>
      <c r="QV12" s="240"/>
      <c r="QW12" s="240"/>
      <c r="QX12" s="240"/>
      <c r="QY12" s="240"/>
      <c r="QZ12" s="240"/>
      <c r="RA12" s="240"/>
      <c r="RB12" s="240"/>
      <c r="RC12" s="240"/>
      <c r="RD12" s="240"/>
      <c r="RE12" s="240"/>
      <c r="RF12" s="240"/>
      <c r="RG12" s="240"/>
      <c r="RH12" s="240"/>
      <c r="RI12" s="240"/>
      <c r="RJ12" s="240"/>
      <c r="RK12" s="240"/>
      <c r="RL12" s="240"/>
      <c r="RM12" s="240"/>
      <c r="RN12" s="240"/>
      <c r="RO12" s="240"/>
      <c r="RP12" s="240"/>
      <c r="RQ12" s="240"/>
      <c r="RR12" s="240"/>
      <c r="RS12" s="240"/>
      <c r="RT12" s="240"/>
      <c r="RU12" s="240"/>
      <c r="RV12" s="240"/>
      <c r="RW12" s="240"/>
      <c r="RX12" s="240"/>
      <c r="RY12" s="240"/>
      <c r="RZ12" s="240"/>
      <c r="SA12" s="240"/>
      <c r="SB12" s="240"/>
      <c r="SC12" s="240"/>
      <c r="SD12" s="240"/>
      <c r="SE12" s="240"/>
      <c r="SF12" s="240"/>
      <c r="SG12" s="240"/>
      <c r="SH12" s="240"/>
      <c r="SI12" s="240"/>
      <c r="SJ12" s="240"/>
      <c r="SK12" s="240"/>
      <c r="SL12" s="240"/>
      <c r="SM12" s="240"/>
      <c r="SN12" s="240"/>
      <c r="SO12" s="240"/>
      <c r="SP12" s="240"/>
      <c r="SQ12" s="240"/>
      <c r="SR12" s="240"/>
      <c r="SS12" s="240"/>
      <c r="ST12" s="240"/>
      <c r="SU12" s="240"/>
      <c r="SV12" s="240"/>
      <c r="SW12" s="240"/>
      <c r="SX12" s="240"/>
      <c r="SY12" s="240"/>
      <c r="SZ12" s="240"/>
      <c r="TA12" s="240"/>
      <c r="TB12" s="240"/>
      <c r="TC12" s="240"/>
      <c r="TD12" s="240"/>
      <c r="TE12" s="240"/>
      <c r="TF12" s="240"/>
      <c r="TG12" s="240"/>
      <c r="TH12" s="240"/>
      <c r="TI12" s="240"/>
      <c r="TJ12" s="240"/>
      <c r="TK12" s="240"/>
      <c r="TL12" s="240"/>
      <c r="TM12" s="240"/>
      <c r="TN12" s="240"/>
      <c r="TO12" s="240"/>
      <c r="TP12" s="240"/>
      <c r="TQ12" s="240"/>
      <c r="TR12" s="240"/>
      <c r="TS12" s="240"/>
      <c r="TT12" s="240"/>
      <c r="TU12" s="240"/>
      <c r="TV12" s="240"/>
      <c r="TW12" s="240"/>
      <c r="TX12" s="240"/>
      <c r="TY12" s="240"/>
      <c r="TZ12" s="240"/>
      <c r="UA12" s="240"/>
      <c r="UB12" s="240"/>
      <c r="UC12" s="240"/>
      <c r="UD12" s="240"/>
      <c r="UE12" s="240"/>
      <c r="UF12" s="240"/>
      <c r="UG12" s="240"/>
      <c r="UH12" s="240"/>
      <c r="UI12" s="240"/>
      <c r="UJ12" s="240"/>
      <c r="UK12" s="240"/>
      <c r="UL12" s="240"/>
      <c r="UM12" s="240"/>
      <c r="UN12" s="240"/>
      <c r="UO12" s="240"/>
      <c r="UP12" s="240"/>
      <c r="UQ12" s="240"/>
      <c r="UR12" s="240"/>
      <c r="US12" s="240"/>
      <c r="UT12" s="240"/>
      <c r="UU12" s="240"/>
      <c r="UV12" s="240"/>
      <c r="UW12" s="240"/>
      <c r="UX12" s="240"/>
      <c r="UY12" s="240"/>
      <c r="UZ12" s="240"/>
      <c r="VA12" s="240"/>
      <c r="VB12" s="240"/>
      <c r="VC12" s="240"/>
      <c r="VD12" s="240"/>
      <c r="VE12" s="240"/>
      <c r="VF12" s="240"/>
      <c r="VG12" s="240"/>
      <c r="VH12" s="240"/>
      <c r="VI12" s="240"/>
      <c r="VJ12" s="240"/>
      <c r="VK12" s="240"/>
      <c r="VL12" s="240"/>
      <c r="VM12" s="240"/>
      <c r="VN12" s="240"/>
      <c r="VO12" s="240"/>
      <c r="VP12" s="240"/>
      <c r="VQ12" s="240"/>
      <c r="VR12" s="240"/>
      <c r="VS12" s="240"/>
      <c r="VT12" s="240"/>
      <c r="VU12" s="240"/>
      <c r="VV12" s="240"/>
      <c r="VW12" s="240"/>
      <c r="VX12" s="240"/>
      <c r="VY12" s="240"/>
      <c r="VZ12" s="240"/>
      <c r="WA12" s="240"/>
      <c r="WB12" s="240"/>
      <c r="WC12" s="240"/>
      <c r="WD12" s="240"/>
      <c r="WE12" s="240"/>
      <c r="WF12" s="240"/>
      <c r="WG12" s="240"/>
      <c r="WH12" s="240"/>
      <c r="WI12" s="240"/>
      <c r="WJ12" s="240"/>
      <c r="WK12" s="240"/>
      <c r="WL12" s="240"/>
      <c r="WM12" s="240"/>
      <c r="WN12" s="240"/>
      <c r="WO12" s="240"/>
      <c r="WP12" s="240"/>
      <c r="WQ12" s="240"/>
      <c r="WR12" s="240"/>
      <c r="WS12" s="240"/>
      <c r="WT12" s="240"/>
      <c r="WU12" s="240"/>
      <c r="WV12" s="240"/>
      <c r="WW12" s="240"/>
      <c r="WX12" s="240"/>
      <c r="WY12" s="240"/>
      <c r="WZ12" s="240"/>
      <c r="XA12" s="240"/>
      <c r="XB12" s="240"/>
      <c r="XC12" s="240"/>
      <c r="XD12" s="240"/>
      <c r="XE12" s="240"/>
      <c r="XF12" s="240"/>
      <c r="XG12" s="240"/>
      <c r="XH12" s="240"/>
      <c r="XI12" s="240"/>
      <c r="XJ12" s="240"/>
      <c r="XK12" s="240"/>
      <c r="XL12" s="240"/>
      <c r="XM12" s="240"/>
      <c r="XN12" s="240"/>
      <c r="XO12" s="240"/>
      <c r="XP12" s="240"/>
      <c r="XQ12" s="240"/>
      <c r="XR12" s="240"/>
      <c r="XS12" s="240"/>
      <c r="XT12" s="240"/>
      <c r="XU12" s="240"/>
      <c r="XV12" s="240"/>
      <c r="XW12" s="240"/>
      <c r="XX12" s="240"/>
      <c r="XY12" s="240"/>
      <c r="XZ12" s="240"/>
      <c r="YA12" s="240"/>
      <c r="YB12" s="240"/>
      <c r="YC12" s="240"/>
      <c r="YD12" s="240"/>
      <c r="YE12" s="240"/>
      <c r="YF12" s="240"/>
      <c r="YG12" s="240"/>
      <c r="YH12" s="240"/>
      <c r="YI12" s="240"/>
      <c r="YJ12" s="240"/>
      <c r="YK12" s="240"/>
      <c r="YL12" s="240"/>
      <c r="YM12" s="240"/>
      <c r="YN12" s="240"/>
      <c r="YO12" s="240"/>
      <c r="YP12" s="240"/>
      <c r="YQ12" s="240"/>
      <c r="YR12" s="240"/>
      <c r="YS12" s="240"/>
      <c r="YT12" s="240"/>
      <c r="YU12" s="240"/>
      <c r="YV12" s="240"/>
      <c r="YW12" s="240"/>
      <c r="YX12" s="240"/>
      <c r="YY12" s="240"/>
      <c r="YZ12" s="240"/>
      <c r="ZA12" s="240"/>
      <c r="ZB12" s="240"/>
      <c r="ZC12" s="240"/>
      <c r="ZD12" s="240"/>
      <c r="ZE12" s="240"/>
      <c r="ZF12" s="240"/>
      <c r="ZG12" s="240"/>
      <c r="ZH12" s="240"/>
      <c r="ZI12" s="240"/>
      <c r="ZJ12" s="240"/>
      <c r="ZK12" s="240"/>
      <c r="ZL12" s="240"/>
      <c r="ZM12" s="240"/>
      <c r="ZN12" s="240"/>
      <c r="ZO12" s="240"/>
      <c r="ZP12" s="240"/>
      <c r="ZQ12" s="240"/>
      <c r="ZR12" s="240"/>
      <c r="ZS12" s="240"/>
      <c r="ZT12" s="240"/>
      <c r="ZU12" s="240"/>
      <c r="ZV12" s="240"/>
      <c r="ZW12" s="240"/>
      <c r="ZX12" s="240"/>
      <c r="ZY12" s="240"/>
      <c r="ZZ12" s="240"/>
      <c r="AAA12" s="240"/>
      <c r="AAB12" s="240"/>
      <c r="AAC12" s="240"/>
      <c r="AAD12" s="240"/>
      <c r="AAE12" s="240"/>
      <c r="AAF12" s="240"/>
      <c r="AAG12" s="240"/>
      <c r="AAH12" s="240"/>
      <c r="AAI12" s="240"/>
      <c r="AAJ12" s="240"/>
      <c r="AAK12" s="240"/>
      <c r="AAL12" s="240"/>
      <c r="AAM12" s="240"/>
      <c r="AAN12" s="240"/>
      <c r="AAO12" s="240"/>
      <c r="AAP12" s="240"/>
      <c r="AAQ12" s="240"/>
      <c r="AAR12" s="240"/>
      <c r="AAS12" s="240"/>
      <c r="AAT12" s="240"/>
      <c r="AAU12" s="240"/>
      <c r="AAV12" s="240"/>
      <c r="AAW12" s="240"/>
      <c r="AAX12" s="240"/>
      <c r="AAY12" s="240"/>
      <c r="AAZ12" s="240"/>
      <c r="ABA12" s="240"/>
      <c r="ABB12" s="240"/>
      <c r="ABC12" s="240"/>
      <c r="ABD12" s="240"/>
      <c r="ABE12" s="240"/>
      <c r="ABF12" s="240"/>
      <c r="ABG12" s="240"/>
      <c r="ABH12" s="240"/>
      <c r="ABI12" s="240"/>
      <c r="ABJ12" s="240"/>
      <c r="ABK12" s="240"/>
      <c r="ABL12" s="240"/>
      <c r="ABM12" s="240"/>
      <c r="ABN12" s="240"/>
      <c r="ABO12" s="240"/>
      <c r="ABP12" s="240"/>
      <c r="ABQ12" s="240"/>
      <c r="ABR12" s="240"/>
      <c r="ABS12" s="240"/>
      <c r="ABT12" s="240"/>
      <c r="ABU12" s="240"/>
      <c r="ABV12" s="240"/>
      <c r="ABW12" s="240"/>
      <c r="ABX12" s="240"/>
      <c r="ABY12" s="240"/>
      <c r="ABZ12" s="240"/>
      <c r="ACA12" s="240"/>
      <c r="ACB12" s="240"/>
      <c r="ACC12" s="240"/>
      <c r="ACD12" s="240"/>
      <c r="ACE12" s="240"/>
      <c r="ACF12" s="240"/>
      <c r="ACG12" s="240"/>
      <c r="ACH12" s="240"/>
      <c r="ACI12" s="240"/>
      <c r="ACJ12" s="240"/>
      <c r="ACK12" s="240"/>
      <c r="ACL12" s="240"/>
      <c r="ACM12" s="240"/>
      <c r="ACN12" s="240"/>
      <c r="ACO12" s="240"/>
      <c r="ACP12" s="240"/>
      <c r="ACQ12" s="240"/>
      <c r="ACR12" s="240"/>
      <c r="ACS12" s="240"/>
      <c r="ACT12" s="240"/>
      <c r="ACU12" s="240"/>
      <c r="ACV12" s="240"/>
      <c r="ACW12" s="240"/>
      <c r="ACX12" s="240"/>
      <c r="ACY12" s="240"/>
      <c r="ACZ12" s="240"/>
      <c r="ADA12" s="240"/>
      <c r="ADB12" s="240"/>
      <c r="ADC12" s="240"/>
      <c r="ADD12" s="240"/>
      <c r="ADE12" s="240"/>
      <c r="ADF12" s="240"/>
      <c r="ADG12" s="240"/>
      <c r="ADH12" s="240"/>
      <c r="ADI12" s="240"/>
      <c r="ADJ12" s="240"/>
      <c r="ADK12" s="240"/>
      <c r="ADL12" s="240"/>
      <c r="ADM12" s="240"/>
      <c r="ADN12" s="240"/>
      <c r="ADO12" s="240"/>
      <c r="ADP12" s="240"/>
      <c r="ADQ12" s="240"/>
      <c r="ADR12" s="240"/>
      <c r="ADS12" s="240"/>
      <c r="ADT12" s="240"/>
      <c r="ADU12" s="240"/>
      <c r="ADV12" s="240"/>
      <c r="ADW12" s="240"/>
      <c r="ADX12" s="240"/>
      <c r="ADY12" s="240"/>
      <c r="ADZ12" s="240"/>
      <c r="AEA12" s="240"/>
      <c r="AEB12" s="240"/>
      <c r="AEC12" s="240"/>
      <c r="AED12" s="240"/>
      <c r="AEE12" s="240"/>
      <c r="AEF12" s="240"/>
      <c r="AEG12" s="240"/>
      <c r="AEH12" s="240"/>
      <c r="AEI12" s="240"/>
      <c r="AEJ12" s="240"/>
      <c r="AEK12" s="240"/>
      <c r="AEL12" s="240"/>
      <c r="AEM12" s="240"/>
      <c r="AEN12" s="240"/>
      <c r="AEO12" s="240"/>
      <c r="AEP12" s="240"/>
      <c r="AEQ12" s="240"/>
      <c r="AER12" s="240"/>
      <c r="AES12" s="240"/>
      <c r="AET12" s="240"/>
      <c r="AEU12" s="240"/>
      <c r="AEV12" s="240"/>
      <c r="AEW12" s="240"/>
      <c r="AEX12" s="240"/>
      <c r="AEY12" s="240"/>
      <c r="AEZ12" s="240"/>
      <c r="AFA12" s="240"/>
      <c r="AFB12" s="240"/>
      <c r="AFC12" s="240"/>
      <c r="AFD12" s="240"/>
      <c r="AFE12" s="240"/>
      <c r="AFF12" s="240"/>
      <c r="AFG12" s="240"/>
      <c r="AFH12" s="240"/>
      <c r="AFI12" s="240"/>
      <c r="AFJ12" s="240"/>
      <c r="AFK12" s="240"/>
      <c r="AFL12" s="240"/>
      <c r="AFM12" s="240"/>
      <c r="AFN12" s="240"/>
      <c r="AFO12" s="240"/>
      <c r="AFP12" s="240"/>
      <c r="AFQ12" s="240"/>
      <c r="AFR12" s="240"/>
      <c r="AFS12" s="240"/>
      <c r="AFT12" s="240"/>
      <c r="AFU12" s="240"/>
      <c r="AFV12" s="240"/>
      <c r="AFW12" s="240"/>
      <c r="AFX12" s="240"/>
      <c r="AFY12" s="240"/>
      <c r="AFZ12" s="240"/>
      <c r="AGA12" s="240"/>
      <c r="AGB12" s="240"/>
      <c r="AGC12" s="240"/>
      <c r="AGD12" s="240"/>
      <c r="AGE12" s="240"/>
      <c r="AGF12" s="240"/>
      <c r="AGG12" s="240"/>
      <c r="AGH12" s="240"/>
      <c r="AGI12" s="240"/>
      <c r="AGJ12" s="240"/>
      <c r="AGK12" s="240"/>
      <c r="AGL12" s="240"/>
      <c r="AGM12" s="240"/>
      <c r="AGN12" s="240"/>
      <c r="AGO12" s="240"/>
      <c r="AGP12" s="240"/>
      <c r="AGQ12" s="240"/>
      <c r="AGR12" s="240"/>
      <c r="AGS12" s="240"/>
      <c r="AGT12" s="240"/>
      <c r="AGU12" s="240"/>
      <c r="AGV12" s="240"/>
      <c r="AGW12" s="240"/>
      <c r="AGX12" s="240"/>
      <c r="AGY12" s="240"/>
      <c r="AGZ12" s="240"/>
      <c r="AHA12" s="240"/>
      <c r="AHB12" s="240"/>
      <c r="AHC12" s="240"/>
      <c r="AHD12" s="240"/>
      <c r="AHE12" s="240"/>
      <c r="AHF12" s="240"/>
      <c r="AHG12" s="240"/>
      <c r="AHH12" s="240"/>
      <c r="AHI12" s="240"/>
      <c r="AHJ12" s="240"/>
      <c r="AHK12" s="240"/>
      <c r="AHL12" s="240"/>
      <c r="AHM12" s="240"/>
      <c r="AHN12" s="240"/>
      <c r="AHO12" s="240"/>
      <c r="AHP12" s="240"/>
      <c r="AHQ12" s="240"/>
      <c r="AHR12" s="240"/>
      <c r="AHS12" s="240"/>
      <c r="AHT12" s="240"/>
      <c r="AHU12" s="240"/>
      <c r="AHV12" s="240"/>
      <c r="AHW12" s="240"/>
      <c r="AHX12" s="240"/>
      <c r="AHY12" s="240"/>
      <c r="AHZ12" s="240"/>
      <c r="AIA12" s="240"/>
      <c r="AIB12" s="240"/>
      <c r="AIC12" s="240"/>
      <c r="AID12" s="240"/>
      <c r="AIE12" s="240"/>
      <c r="AIF12" s="240"/>
      <c r="AIG12" s="240"/>
      <c r="AIH12" s="240"/>
      <c r="AII12" s="240"/>
      <c r="AIJ12" s="240"/>
      <c r="AIK12" s="240"/>
      <c r="AIL12" s="240"/>
      <c r="AIM12" s="240"/>
      <c r="AIN12" s="240"/>
      <c r="AIO12" s="240"/>
      <c r="AIP12" s="240"/>
      <c r="AIQ12" s="240"/>
      <c r="AIR12" s="240"/>
      <c r="AIS12" s="240"/>
      <c r="AIT12" s="240"/>
      <c r="AIU12" s="240"/>
      <c r="AIV12" s="240"/>
      <c r="AIW12" s="240"/>
      <c r="AIX12" s="240"/>
      <c r="AIY12" s="240"/>
      <c r="AIZ12" s="240"/>
      <c r="AJA12" s="240"/>
      <c r="AJB12" s="240"/>
      <c r="AJC12" s="240"/>
      <c r="AJD12" s="240"/>
      <c r="AJE12" s="240"/>
      <c r="AJF12" s="240"/>
      <c r="AJG12" s="240"/>
      <c r="AJH12" s="240"/>
      <c r="AJI12" s="240"/>
      <c r="AJJ12" s="240"/>
      <c r="AJK12" s="240"/>
      <c r="AJL12" s="240"/>
      <c r="AJM12" s="240"/>
      <c r="AJN12" s="240"/>
      <c r="AJO12" s="240"/>
      <c r="AJP12" s="240"/>
      <c r="AJQ12" s="240"/>
      <c r="AJR12" s="240"/>
      <c r="AJS12" s="240"/>
      <c r="AJT12" s="240"/>
      <c r="AJU12" s="240"/>
      <c r="AJV12" s="240"/>
      <c r="AJW12" s="240"/>
      <c r="AJX12" s="240"/>
      <c r="AJY12" s="240"/>
      <c r="AJZ12" s="240"/>
      <c r="AKA12" s="240"/>
      <c r="AKB12" s="240"/>
      <c r="AKC12" s="240"/>
      <c r="AKD12" s="240"/>
      <c r="AKE12" s="240"/>
      <c r="AKF12" s="240"/>
      <c r="AKG12" s="240"/>
      <c r="AKH12" s="240"/>
      <c r="AKI12" s="240"/>
      <c r="AKJ12" s="240"/>
      <c r="AKK12" s="240"/>
      <c r="AKL12" s="240"/>
      <c r="AKM12" s="240"/>
      <c r="AKN12" s="240"/>
      <c r="AKO12" s="240"/>
      <c r="AKP12" s="240"/>
      <c r="AKQ12" s="240"/>
      <c r="AKR12" s="240"/>
      <c r="AKS12" s="240"/>
      <c r="AKT12" s="240"/>
      <c r="AKU12" s="240"/>
      <c r="AKV12" s="240"/>
      <c r="AKW12" s="240"/>
      <c r="AKX12" s="240"/>
      <c r="AKY12" s="240"/>
      <c r="AKZ12" s="240"/>
      <c r="ALA12" s="240"/>
      <c r="ALB12" s="240"/>
      <c r="ALC12" s="240"/>
      <c r="ALD12" s="240"/>
      <c r="ALE12" s="240"/>
      <c r="ALF12" s="240"/>
      <c r="ALG12" s="240"/>
      <c r="ALH12" s="240"/>
      <c r="ALI12" s="240"/>
      <c r="ALJ12" s="240"/>
      <c r="ALK12" s="240"/>
      <c r="ALL12" s="240"/>
      <c r="ALM12" s="240"/>
      <c r="ALN12" s="240"/>
      <c r="ALO12" s="240"/>
      <c r="ALP12" s="240"/>
      <c r="ALQ12" s="240"/>
      <c r="ALR12" s="240"/>
      <c r="ALS12" s="240"/>
      <c r="ALT12" s="240"/>
      <c r="ALU12" s="240"/>
      <c r="ALV12" s="240"/>
      <c r="ALW12" s="240"/>
      <c r="ALX12" s="240"/>
      <c r="ALY12" s="240"/>
      <c r="ALZ12" s="240"/>
      <c r="AMA12" s="240"/>
      <c r="AMB12" s="240"/>
      <c r="AMC12" s="240"/>
      <c r="AMD12" s="240"/>
      <c r="AME12" s="240"/>
      <c r="AMF12" s="240"/>
      <c r="AMG12" s="240"/>
      <c r="AMH12" s="240"/>
    </row>
    <row r="13" spans="1:1022" ht="13.5" customHeight="1" thickTop="1" thickBot="1">
      <c r="B13" s="141"/>
      <c r="C13" s="142" t="s">
        <v>635</v>
      </c>
      <c r="D13" s="142" t="s">
        <v>636</v>
      </c>
      <c r="E13" s="142"/>
      <c r="F13" s="198" t="s">
        <v>20</v>
      </c>
      <c r="G13" s="198" t="s">
        <v>20</v>
      </c>
      <c r="H13" s="198" t="s">
        <v>6</v>
      </c>
      <c r="I13" s="198" t="s">
        <v>207</v>
      </c>
      <c r="J13" s="239" t="s">
        <v>637</v>
      </c>
      <c r="K13" s="233"/>
      <c r="L13" s="197"/>
    </row>
    <row r="14" spans="1:1022" ht="13.5" customHeight="1" thickTop="1" thickBot="1">
      <c r="A14" s="240"/>
      <c r="B14" s="241"/>
      <c r="C14" s="142" t="s">
        <v>182</v>
      </c>
      <c r="D14" s="142" t="s">
        <v>181</v>
      </c>
      <c r="E14" s="142"/>
      <c r="F14" s="245" t="s">
        <v>207</v>
      </c>
      <c r="G14" s="245" t="s">
        <v>20</v>
      </c>
      <c r="H14" s="245" t="s">
        <v>6</v>
      </c>
      <c r="I14" s="245" t="s">
        <v>6</v>
      </c>
      <c r="J14" s="239" t="s">
        <v>638</v>
      </c>
      <c r="K14" s="239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0"/>
      <c r="BT14" s="240"/>
      <c r="BU14" s="240"/>
      <c r="BV14" s="240"/>
      <c r="BW14" s="240"/>
      <c r="BX14" s="240"/>
      <c r="BY14" s="240"/>
      <c r="BZ14" s="240"/>
      <c r="CA14" s="240"/>
      <c r="CB14" s="240"/>
      <c r="CC14" s="240"/>
      <c r="CD14" s="240"/>
      <c r="CE14" s="240"/>
      <c r="CF14" s="240"/>
      <c r="CG14" s="240"/>
      <c r="CH14" s="240"/>
      <c r="CI14" s="240"/>
      <c r="CJ14" s="240"/>
      <c r="CK14" s="240"/>
      <c r="CL14" s="240"/>
      <c r="CM14" s="240"/>
      <c r="CN14" s="240"/>
      <c r="CO14" s="240"/>
      <c r="CP14" s="240"/>
      <c r="CQ14" s="240"/>
      <c r="CR14" s="240"/>
      <c r="CS14" s="240"/>
      <c r="CT14" s="240"/>
      <c r="CU14" s="240"/>
      <c r="CV14" s="240"/>
      <c r="CW14" s="240"/>
      <c r="CX14" s="240"/>
      <c r="CY14" s="240"/>
      <c r="CZ14" s="240"/>
      <c r="DA14" s="240"/>
      <c r="DB14" s="240"/>
      <c r="DC14" s="240"/>
      <c r="DD14" s="240"/>
      <c r="DE14" s="240"/>
      <c r="DF14" s="240"/>
      <c r="DG14" s="240"/>
      <c r="DH14" s="240"/>
      <c r="DI14" s="240"/>
      <c r="DJ14" s="240"/>
      <c r="DK14" s="240"/>
      <c r="DL14" s="240"/>
      <c r="DM14" s="240"/>
      <c r="DN14" s="240"/>
      <c r="DO14" s="240"/>
      <c r="DP14" s="240"/>
      <c r="DQ14" s="240"/>
      <c r="DR14" s="240"/>
      <c r="DS14" s="240"/>
      <c r="DT14" s="240"/>
      <c r="DU14" s="240"/>
      <c r="DV14" s="240"/>
      <c r="DW14" s="240"/>
      <c r="DX14" s="240"/>
      <c r="DY14" s="240"/>
      <c r="DZ14" s="240"/>
      <c r="EA14" s="240"/>
      <c r="EB14" s="240"/>
      <c r="EC14" s="240"/>
      <c r="ED14" s="240"/>
      <c r="EE14" s="240"/>
      <c r="EF14" s="240"/>
      <c r="EG14" s="240"/>
      <c r="EH14" s="240"/>
      <c r="EI14" s="240"/>
      <c r="EJ14" s="240"/>
      <c r="EK14" s="240"/>
      <c r="EL14" s="240"/>
      <c r="EM14" s="240"/>
      <c r="EN14" s="240"/>
      <c r="EO14" s="240"/>
      <c r="EP14" s="240"/>
      <c r="EQ14" s="240"/>
      <c r="ER14" s="240"/>
      <c r="ES14" s="240"/>
      <c r="ET14" s="240"/>
      <c r="EU14" s="240"/>
      <c r="EV14" s="240"/>
      <c r="EW14" s="240"/>
      <c r="EX14" s="240"/>
      <c r="EY14" s="240"/>
      <c r="EZ14" s="240"/>
      <c r="FA14" s="240"/>
      <c r="FB14" s="240"/>
      <c r="FC14" s="240"/>
      <c r="FD14" s="240"/>
      <c r="FE14" s="240"/>
      <c r="FF14" s="240"/>
      <c r="FG14" s="240"/>
      <c r="FH14" s="240"/>
      <c r="FI14" s="240"/>
      <c r="FJ14" s="240"/>
      <c r="FK14" s="240"/>
      <c r="FL14" s="240"/>
      <c r="FM14" s="240"/>
      <c r="FN14" s="240"/>
      <c r="FO14" s="240"/>
      <c r="FP14" s="240"/>
      <c r="FQ14" s="240"/>
      <c r="FR14" s="240"/>
      <c r="FS14" s="240"/>
      <c r="FT14" s="240"/>
      <c r="FU14" s="240"/>
      <c r="FV14" s="240"/>
      <c r="FW14" s="240"/>
      <c r="FX14" s="240"/>
      <c r="FY14" s="240"/>
      <c r="FZ14" s="240"/>
      <c r="GA14" s="240"/>
      <c r="GB14" s="240"/>
      <c r="GC14" s="240"/>
      <c r="GD14" s="240"/>
      <c r="GE14" s="240"/>
      <c r="GF14" s="240"/>
      <c r="GG14" s="240"/>
      <c r="GH14" s="240"/>
      <c r="GI14" s="240"/>
      <c r="GJ14" s="240"/>
      <c r="GK14" s="240"/>
      <c r="GL14" s="240"/>
      <c r="GM14" s="240"/>
      <c r="GN14" s="240"/>
      <c r="GO14" s="240"/>
      <c r="GP14" s="240"/>
      <c r="GQ14" s="240"/>
      <c r="GR14" s="240"/>
      <c r="GS14" s="240"/>
      <c r="GT14" s="240"/>
      <c r="GU14" s="240"/>
      <c r="GV14" s="240"/>
      <c r="GW14" s="240"/>
      <c r="GX14" s="240"/>
      <c r="GY14" s="240"/>
      <c r="GZ14" s="240"/>
      <c r="HA14" s="240"/>
      <c r="HB14" s="240"/>
      <c r="HC14" s="240"/>
      <c r="HD14" s="240"/>
      <c r="HE14" s="240"/>
      <c r="HF14" s="240"/>
      <c r="HG14" s="240"/>
      <c r="HH14" s="240"/>
      <c r="HI14" s="240"/>
      <c r="HJ14" s="240"/>
      <c r="HK14" s="240"/>
      <c r="HL14" s="240"/>
      <c r="HM14" s="240"/>
      <c r="HN14" s="240"/>
      <c r="HO14" s="240"/>
      <c r="HP14" s="240"/>
      <c r="HQ14" s="240"/>
      <c r="HR14" s="240"/>
      <c r="HS14" s="240"/>
      <c r="HT14" s="240"/>
      <c r="HU14" s="240"/>
      <c r="HV14" s="240"/>
      <c r="HW14" s="240"/>
      <c r="HX14" s="240"/>
      <c r="HY14" s="240"/>
      <c r="HZ14" s="240"/>
      <c r="IA14" s="240"/>
      <c r="IB14" s="240"/>
      <c r="IC14" s="240"/>
      <c r="ID14" s="240"/>
      <c r="IE14" s="240"/>
      <c r="IF14" s="240"/>
      <c r="IG14" s="240"/>
      <c r="IH14" s="240"/>
      <c r="II14" s="240"/>
      <c r="IJ14" s="240"/>
      <c r="IK14" s="240"/>
      <c r="IL14" s="240"/>
      <c r="IM14" s="240"/>
      <c r="IN14" s="240"/>
      <c r="IO14" s="240"/>
      <c r="IP14" s="240"/>
      <c r="IQ14" s="240"/>
      <c r="IR14" s="240"/>
      <c r="IS14" s="240"/>
      <c r="IT14" s="240"/>
      <c r="IU14" s="240"/>
      <c r="IV14" s="240"/>
      <c r="IW14" s="240"/>
      <c r="IX14" s="240"/>
      <c r="IY14" s="240"/>
      <c r="IZ14" s="240"/>
      <c r="JA14" s="240"/>
      <c r="JB14" s="240"/>
      <c r="JC14" s="240"/>
      <c r="JD14" s="240"/>
      <c r="JE14" s="240"/>
      <c r="JF14" s="240"/>
      <c r="JG14" s="240"/>
      <c r="JH14" s="240"/>
      <c r="JI14" s="240"/>
      <c r="JJ14" s="240"/>
      <c r="JK14" s="240"/>
      <c r="JL14" s="240"/>
      <c r="JM14" s="240"/>
      <c r="JN14" s="240"/>
      <c r="JO14" s="240"/>
      <c r="JP14" s="240"/>
      <c r="JQ14" s="240"/>
      <c r="JR14" s="240"/>
      <c r="JS14" s="240"/>
      <c r="JT14" s="240"/>
      <c r="JU14" s="240"/>
      <c r="JV14" s="240"/>
      <c r="JW14" s="240"/>
      <c r="JX14" s="240"/>
      <c r="JY14" s="240"/>
      <c r="JZ14" s="240"/>
      <c r="KA14" s="240"/>
      <c r="KB14" s="240"/>
      <c r="KC14" s="240"/>
      <c r="KD14" s="240"/>
      <c r="KE14" s="240"/>
      <c r="KF14" s="240"/>
      <c r="KG14" s="240"/>
      <c r="KH14" s="240"/>
      <c r="KI14" s="240"/>
      <c r="KJ14" s="240"/>
      <c r="KK14" s="240"/>
      <c r="KL14" s="240"/>
      <c r="KM14" s="240"/>
      <c r="KN14" s="240"/>
      <c r="KO14" s="240"/>
      <c r="KP14" s="240"/>
      <c r="KQ14" s="240"/>
      <c r="KR14" s="240"/>
      <c r="KS14" s="240"/>
      <c r="KT14" s="240"/>
      <c r="KU14" s="240"/>
      <c r="KV14" s="240"/>
      <c r="KW14" s="240"/>
      <c r="KX14" s="240"/>
      <c r="KY14" s="240"/>
      <c r="KZ14" s="240"/>
      <c r="LA14" s="240"/>
      <c r="LB14" s="240"/>
      <c r="LC14" s="240"/>
      <c r="LD14" s="240"/>
      <c r="LE14" s="240"/>
      <c r="LF14" s="240"/>
      <c r="LG14" s="240"/>
      <c r="LH14" s="240"/>
      <c r="LI14" s="240"/>
      <c r="LJ14" s="240"/>
      <c r="LK14" s="240"/>
      <c r="LL14" s="240"/>
      <c r="LM14" s="240"/>
      <c r="LN14" s="240"/>
      <c r="LO14" s="240"/>
      <c r="LP14" s="240"/>
      <c r="LQ14" s="240"/>
      <c r="LR14" s="240"/>
      <c r="LS14" s="240"/>
      <c r="LT14" s="240"/>
      <c r="LU14" s="240"/>
      <c r="LV14" s="240"/>
      <c r="LW14" s="240"/>
      <c r="LX14" s="240"/>
      <c r="LY14" s="240"/>
      <c r="LZ14" s="240"/>
      <c r="MA14" s="240"/>
      <c r="MB14" s="240"/>
      <c r="MC14" s="240"/>
      <c r="MD14" s="240"/>
      <c r="ME14" s="240"/>
      <c r="MF14" s="240"/>
      <c r="MG14" s="240"/>
      <c r="MH14" s="240"/>
      <c r="MI14" s="240"/>
      <c r="MJ14" s="240"/>
      <c r="MK14" s="240"/>
      <c r="ML14" s="240"/>
      <c r="MM14" s="240"/>
      <c r="MN14" s="240"/>
      <c r="MO14" s="240"/>
      <c r="MP14" s="240"/>
      <c r="MQ14" s="240"/>
      <c r="MR14" s="240"/>
      <c r="MS14" s="240"/>
      <c r="MT14" s="240"/>
      <c r="MU14" s="240"/>
      <c r="MV14" s="240"/>
      <c r="MW14" s="240"/>
      <c r="MX14" s="240"/>
      <c r="MY14" s="240"/>
      <c r="MZ14" s="240"/>
      <c r="NA14" s="240"/>
      <c r="NB14" s="240"/>
      <c r="NC14" s="240"/>
      <c r="ND14" s="240"/>
      <c r="NE14" s="240"/>
      <c r="NF14" s="240"/>
      <c r="NG14" s="240"/>
      <c r="NH14" s="240"/>
      <c r="NI14" s="240"/>
      <c r="NJ14" s="240"/>
      <c r="NK14" s="240"/>
      <c r="NL14" s="240"/>
      <c r="NM14" s="240"/>
      <c r="NN14" s="240"/>
      <c r="NO14" s="240"/>
      <c r="NP14" s="240"/>
      <c r="NQ14" s="240"/>
      <c r="NR14" s="240"/>
      <c r="NS14" s="240"/>
      <c r="NT14" s="240"/>
      <c r="NU14" s="240"/>
      <c r="NV14" s="240"/>
      <c r="NW14" s="240"/>
      <c r="NX14" s="240"/>
      <c r="NY14" s="240"/>
      <c r="NZ14" s="240"/>
      <c r="OA14" s="240"/>
      <c r="OB14" s="240"/>
      <c r="OC14" s="240"/>
      <c r="OD14" s="240"/>
      <c r="OE14" s="240"/>
      <c r="OF14" s="240"/>
      <c r="OG14" s="240"/>
      <c r="OH14" s="240"/>
      <c r="OI14" s="240"/>
      <c r="OJ14" s="240"/>
      <c r="OK14" s="240"/>
      <c r="OL14" s="240"/>
      <c r="OM14" s="240"/>
      <c r="ON14" s="240"/>
      <c r="OO14" s="240"/>
      <c r="OP14" s="240"/>
      <c r="OQ14" s="240"/>
      <c r="OR14" s="240"/>
      <c r="OS14" s="240"/>
      <c r="OT14" s="240"/>
      <c r="OU14" s="240"/>
      <c r="OV14" s="240"/>
      <c r="OW14" s="240"/>
      <c r="OX14" s="240"/>
      <c r="OY14" s="240"/>
      <c r="OZ14" s="240"/>
      <c r="PA14" s="240"/>
      <c r="PB14" s="240"/>
      <c r="PC14" s="240"/>
      <c r="PD14" s="240"/>
      <c r="PE14" s="240"/>
      <c r="PF14" s="240"/>
      <c r="PG14" s="240"/>
      <c r="PH14" s="240"/>
      <c r="PI14" s="240"/>
      <c r="PJ14" s="240"/>
      <c r="PK14" s="240"/>
      <c r="PL14" s="240"/>
      <c r="PM14" s="240"/>
      <c r="PN14" s="240"/>
      <c r="PO14" s="240"/>
      <c r="PP14" s="240"/>
      <c r="PQ14" s="240"/>
      <c r="PR14" s="240"/>
      <c r="PS14" s="240"/>
      <c r="PT14" s="240"/>
      <c r="PU14" s="240"/>
      <c r="PV14" s="240"/>
      <c r="PW14" s="240"/>
      <c r="PX14" s="240"/>
      <c r="PY14" s="240"/>
      <c r="PZ14" s="240"/>
      <c r="QA14" s="240"/>
      <c r="QB14" s="240"/>
      <c r="QC14" s="240"/>
      <c r="QD14" s="240"/>
      <c r="QE14" s="240"/>
      <c r="QF14" s="240"/>
      <c r="QG14" s="240"/>
      <c r="QH14" s="240"/>
      <c r="QI14" s="240"/>
      <c r="QJ14" s="240"/>
      <c r="QK14" s="240"/>
      <c r="QL14" s="240"/>
      <c r="QM14" s="240"/>
      <c r="QN14" s="240"/>
      <c r="QO14" s="240"/>
      <c r="QP14" s="240"/>
      <c r="QQ14" s="240"/>
      <c r="QR14" s="240"/>
      <c r="QS14" s="240"/>
      <c r="QT14" s="240"/>
      <c r="QU14" s="240"/>
      <c r="QV14" s="240"/>
      <c r="QW14" s="240"/>
      <c r="QX14" s="240"/>
      <c r="QY14" s="240"/>
      <c r="QZ14" s="240"/>
      <c r="RA14" s="240"/>
      <c r="RB14" s="240"/>
      <c r="RC14" s="240"/>
      <c r="RD14" s="240"/>
      <c r="RE14" s="240"/>
      <c r="RF14" s="240"/>
      <c r="RG14" s="240"/>
      <c r="RH14" s="240"/>
      <c r="RI14" s="240"/>
      <c r="RJ14" s="240"/>
      <c r="RK14" s="240"/>
      <c r="RL14" s="240"/>
      <c r="RM14" s="240"/>
      <c r="RN14" s="240"/>
      <c r="RO14" s="240"/>
      <c r="RP14" s="240"/>
      <c r="RQ14" s="240"/>
      <c r="RR14" s="240"/>
      <c r="RS14" s="240"/>
      <c r="RT14" s="240"/>
      <c r="RU14" s="240"/>
      <c r="RV14" s="240"/>
      <c r="RW14" s="240"/>
      <c r="RX14" s="240"/>
      <c r="RY14" s="240"/>
      <c r="RZ14" s="240"/>
      <c r="SA14" s="240"/>
      <c r="SB14" s="240"/>
      <c r="SC14" s="240"/>
      <c r="SD14" s="240"/>
      <c r="SE14" s="240"/>
      <c r="SF14" s="240"/>
      <c r="SG14" s="240"/>
      <c r="SH14" s="240"/>
      <c r="SI14" s="240"/>
      <c r="SJ14" s="240"/>
      <c r="SK14" s="240"/>
      <c r="SL14" s="240"/>
      <c r="SM14" s="240"/>
      <c r="SN14" s="240"/>
      <c r="SO14" s="240"/>
      <c r="SP14" s="240"/>
      <c r="SQ14" s="240"/>
      <c r="SR14" s="240"/>
      <c r="SS14" s="240"/>
      <c r="ST14" s="240"/>
      <c r="SU14" s="240"/>
      <c r="SV14" s="240"/>
      <c r="SW14" s="240"/>
      <c r="SX14" s="240"/>
      <c r="SY14" s="240"/>
      <c r="SZ14" s="240"/>
      <c r="TA14" s="240"/>
      <c r="TB14" s="240"/>
      <c r="TC14" s="240"/>
      <c r="TD14" s="240"/>
      <c r="TE14" s="240"/>
      <c r="TF14" s="240"/>
      <c r="TG14" s="240"/>
      <c r="TH14" s="240"/>
      <c r="TI14" s="240"/>
      <c r="TJ14" s="240"/>
      <c r="TK14" s="240"/>
      <c r="TL14" s="240"/>
      <c r="TM14" s="240"/>
      <c r="TN14" s="240"/>
      <c r="TO14" s="240"/>
      <c r="TP14" s="240"/>
      <c r="TQ14" s="240"/>
      <c r="TR14" s="240"/>
      <c r="TS14" s="240"/>
      <c r="TT14" s="240"/>
      <c r="TU14" s="240"/>
      <c r="TV14" s="240"/>
      <c r="TW14" s="240"/>
      <c r="TX14" s="240"/>
      <c r="TY14" s="240"/>
      <c r="TZ14" s="240"/>
      <c r="UA14" s="240"/>
      <c r="UB14" s="240"/>
      <c r="UC14" s="240"/>
      <c r="UD14" s="240"/>
      <c r="UE14" s="240"/>
      <c r="UF14" s="240"/>
      <c r="UG14" s="240"/>
      <c r="UH14" s="240"/>
      <c r="UI14" s="240"/>
      <c r="UJ14" s="240"/>
      <c r="UK14" s="240"/>
      <c r="UL14" s="240"/>
      <c r="UM14" s="240"/>
      <c r="UN14" s="240"/>
      <c r="UO14" s="240"/>
      <c r="UP14" s="240"/>
      <c r="UQ14" s="240"/>
      <c r="UR14" s="240"/>
      <c r="US14" s="240"/>
      <c r="UT14" s="240"/>
      <c r="UU14" s="240"/>
      <c r="UV14" s="240"/>
      <c r="UW14" s="240"/>
      <c r="UX14" s="240"/>
      <c r="UY14" s="240"/>
      <c r="UZ14" s="240"/>
      <c r="VA14" s="240"/>
      <c r="VB14" s="240"/>
      <c r="VC14" s="240"/>
      <c r="VD14" s="240"/>
      <c r="VE14" s="240"/>
      <c r="VF14" s="240"/>
      <c r="VG14" s="240"/>
      <c r="VH14" s="240"/>
      <c r="VI14" s="240"/>
      <c r="VJ14" s="240"/>
      <c r="VK14" s="240"/>
      <c r="VL14" s="240"/>
      <c r="VM14" s="240"/>
      <c r="VN14" s="240"/>
      <c r="VO14" s="240"/>
      <c r="VP14" s="240"/>
      <c r="VQ14" s="240"/>
      <c r="VR14" s="240"/>
      <c r="VS14" s="240"/>
      <c r="VT14" s="240"/>
      <c r="VU14" s="240"/>
      <c r="VV14" s="240"/>
      <c r="VW14" s="240"/>
      <c r="VX14" s="240"/>
      <c r="VY14" s="240"/>
      <c r="VZ14" s="240"/>
      <c r="WA14" s="240"/>
      <c r="WB14" s="240"/>
      <c r="WC14" s="240"/>
      <c r="WD14" s="240"/>
      <c r="WE14" s="240"/>
      <c r="WF14" s="240"/>
      <c r="WG14" s="240"/>
      <c r="WH14" s="240"/>
      <c r="WI14" s="240"/>
      <c r="WJ14" s="240"/>
      <c r="WK14" s="240"/>
      <c r="WL14" s="240"/>
      <c r="WM14" s="240"/>
      <c r="WN14" s="240"/>
      <c r="WO14" s="240"/>
      <c r="WP14" s="240"/>
      <c r="WQ14" s="240"/>
      <c r="WR14" s="240"/>
      <c r="WS14" s="240"/>
      <c r="WT14" s="240"/>
      <c r="WU14" s="240"/>
      <c r="WV14" s="240"/>
      <c r="WW14" s="240"/>
      <c r="WX14" s="240"/>
      <c r="WY14" s="240"/>
      <c r="WZ14" s="240"/>
      <c r="XA14" s="240"/>
      <c r="XB14" s="240"/>
      <c r="XC14" s="240"/>
      <c r="XD14" s="240"/>
      <c r="XE14" s="240"/>
      <c r="XF14" s="240"/>
      <c r="XG14" s="240"/>
      <c r="XH14" s="240"/>
      <c r="XI14" s="240"/>
      <c r="XJ14" s="240"/>
      <c r="XK14" s="240"/>
      <c r="XL14" s="240"/>
      <c r="XM14" s="240"/>
      <c r="XN14" s="240"/>
      <c r="XO14" s="240"/>
      <c r="XP14" s="240"/>
      <c r="XQ14" s="240"/>
      <c r="XR14" s="240"/>
      <c r="XS14" s="240"/>
      <c r="XT14" s="240"/>
      <c r="XU14" s="240"/>
      <c r="XV14" s="240"/>
      <c r="XW14" s="240"/>
      <c r="XX14" s="240"/>
      <c r="XY14" s="240"/>
      <c r="XZ14" s="240"/>
      <c r="YA14" s="240"/>
      <c r="YB14" s="240"/>
      <c r="YC14" s="240"/>
      <c r="YD14" s="240"/>
      <c r="YE14" s="240"/>
      <c r="YF14" s="240"/>
      <c r="YG14" s="240"/>
      <c r="YH14" s="240"/>
      <c r="YI14" s="240"/>
      <c r="YJ14" s="240"/>
      <c r="YK14" s="240"/>
      <c r="YL14" s="240"/>
      <c r="YM14" s="240"/>
      <c r="YN14" s="240"/>
      <c r="YO14" s="240"/>
      <c r="YP14" s="240"/>
      <c r="YQ14" s="240"/>
      <c r="YR14" s="240"/>
      <c r="YS14" s="240"/>
      <c r="YT14" s="240"/>
      <c r="YU14" s="240"/>
      <c r="YV14" s="240"/>
      <c r="YW14" s="240"/>
      <c r="YX14" s="240"/>
      <c r="YY14" s="240"/>
      <c r="YZ14" s="240"/>
      <c r="ZA14" s="240"/>
      <c r="ZB14" s="240"/>
      <c r="ZC14" s="240"/>
      <c r="ZD14" s="240"/>
      <c r="ZE14" s="240"/>
      <c r="ZF14" s="240"/>
      <c r="ZG14" s="240"/>
      <c r="ZH14" s="240"/>
      <c r="ZI14" s="240"/>
      <c r="ZJ14" s="240"/>
      <c r="ZK14" s="240"/>
      <c r="ZL14" s="240"/>
      <c r="ZM14" s="240"/>
      <c r="ZN14" s="240"/>
      <c r="ZO14" s="240"/>
      <c r="ZP14" s="240"/>
      <c r="ZQ14" s="240"/>
      <c r="ZR14" s="240"/>
      <c r="ZS14" s="240"/>
      <c r="ZT14" s="240"/>
      <c r="ZU14" s="240"/>
      <c r="ZV14" s="240"/>
      <c r="ZW14" s="240"/>
      <c r="ZX14" s="240"/>
      <c r="ZY14" s="240"/>
      <c r="ZZ14" s="240"/>
      <c r="AAA14" s="240"/>
      <c r="AAB14" s="240"/>
      <c r="AAC14" s="240"/>
      <c r="AAD14" s="240"/>
      <c r="AAE14" s="240"/>
      <c r="AAF14" s="240"/>
      <c r="AAG14" s="240"/>
      <c r="AAH14" s="240"/>
      <c r="AAI14" s="240"/>
      <c r="AAJ14" s="240"/>
      <c r="AAK14" s="240"/>
      <c r="AAL14" s="240"/>
      <c r="AAM14" s="240"/>
      <c r="AAN14" s="240"/>
      <c r="AAO14" s="240"/>
      <c r="AAP14" s="240"/>
      <c r="AAQ14" s="240"/>
      <c r="AAR14" s="240"/>
      <c r="AAS14" s="240"/>
      <c r="AAT14" s="240"/>
      <c r="AAU14" s="240"/>
      <c r="AAV14" s="240"/>
      <c r="AAW14" s="240"/>
      <c r="AAX14" s="240"/>
      <c r="AAY14" s="240"/>
      <c r="AAZ14" s="240"/>
      <c r="ABA14" s="240"/>
      <c r="ABB14" s="240"/>
      <c r="ABC14" s="240"/>
      <c r="ABD14" s="240"/>
      <c r="ABE14" s="240"/>
      <c r="ABF14" s="240"/>
      <c r="ABG14" s="240"/>
      <c r="ABH14" s="240"/>
      <c r="ABI14" s="240"/>
      <c r="ABJ14" s="240"/>
      <c r="ABK14" s="240"/>
      <c r="ABL14" s="240"/>
      <c r="ABM14" s="240"/>
      <c r="ABN14" s="240"/>
      <c r="ABO14" s="240"/>
      <c r="ABP14" s="240"/>
      <c r="ABQ14" s="240"/>
      <c r="ABR14" s="240"/>
      <c r="ABS14" s="240"/>
      <c r="ABT14" s="240"/>
      <c r="ABU14" s="240"/>
      <c r="ABV14" s="240"/>
      <c r="ABW14" s="240"/>
      <c r="ABX14" s="240"/>
      <c r="ABY14" s="240"/>
      <c r="ABZ14" s="240"/>
      <c r="ACA14" s="240"/>
      <c r="ACB14" s="240"/>
      <c r="ACC14" s="240"/>
      <c r="ACD14" s="240"/>
      <c r="ACE14" s="240"/>
      <c r="ACF14" s="240"/>
      <c r="ACG14" s="240"/>
      <c r="ACH14" s="240"/>
      <c r="ACI14" s="240"/>
      <c r="ACJ14" s="240"/>
      <c r="ACK14" s="240"/>
      <c r="ACL14" s="240"/>
      <c r="ACM14" s="240"/>
      <c r="ACN14" s="240"/>
      <c r="ACO14" s="240"/>
      <c r="ACP14" s="240"/>
      <c r="ACQ14" s="240"/>
      <c r="ACR14" s="240"/>
      <c r="ACS14" s="240"/>
      <c r="ACT14" s="240"/>
      <c r="ACU14" s="240"/>
      <c r="ACV14" s="240"/>
      <c r="ACW14" s="240"/>
      <c r="ACX14" s="240"/>
      <c r="ACY14" s="240"/>
      <c r="ACZ14" s="240"/>
      <c r="ADA14" s="240"/>
      <c r="ADB14" s="240"/>
      <c r="ADC14" s="240"/>
      <c r="ADD14" s="240"/>
      <c r="ADE14" s="240"/>
      <c r="ADF14" s="240"/>
      <c r="ADG14" s="240"/>
      <c r="ADH14" s="240"/>
      <c r="ADI14" s="240"/>
      <c r="ADJ14" s="240"/>
      <c r="ADK14" s="240"/>
      <c r="ADL14" s="240"/>
      <c r="ADM14" s="240"/>
      <c r="ADN14" s="240"/>
      <c r="ADO14" s="240"/>
      <c r="ADP14" s="240"/>
      <c r="ADQ14" s="240"/>
      <c r="ADR14" s="240"/>
      <c r="ADS14" s="240"/>
      <c r="ADT14" s="240"/>
      <c r="ADU14" s="240"/>
      <c r="ADV14" s="240"/>
      <c r="ADW14" s="240"/>
      <c r="ADX14" s="240"/>
      <c r="ADY14" s="240"/>
      <c r="ADZ14" s="240"/>
      <c r="AEA14" s="240"/>
      <c r="AEB14" s="240"/>
      <c r="AEC14" s="240"/>
      <c r="AED14" s="240"/>
      <c r="AEE14" s="240"/>
      <c r="AEF14" s="240"/>
      <c r="AEG14" s="240"/>
      <c r="AEH14" s="240"/>
      <c r="AEI14" s="240"/>
      <c r="AEJ14" s="240"/>
      <c r="AEK14" s="240"/>
      <c r="AEL14" s="240"/>
      <c r="AEM14" s="240"/>
      <c r="AEN14" s="240"/>
      <c r="AEO14" s="240"/>
      <c r="AEP14" s="240"/>
      <c r="AEQ14" s="240"/>
      <c r="AER14" s="240"/>
      <c r="AES14" s="240"/>
      <c r="AET14" s="240"/>
      <c r="AEU14" s="240"/>
      <c r="AEV14" s="240"/>
      <c r="AEW14" s="240"/>
      <c r="AEX14" s="240"/>
      <c r="AEY14" s="240"/>
      <c r="AEZ14" s="240"/>
      <c r="AFA14" s="240"/>
      <c r="AFB14" s="240"/>
      <c r="AFC14" s="240"/>
      <c r="AFD14" s="240"/>
      <c r="AFE14" s="240"/>
      <c r="AFF14" s="240"/>
      <c r="AFG14" s="240"/>
      <c r="AFH14" s="240"/>
      <c r="AFI14" s="240"/>
      <c r="AFJ14" s="240"/>
      <c r="AFK14" s="240"/>
      <c r="AFL14" s="240"/>
      <c r="AFM14" s="240"/>
      <c r="AFN14" s="240"/>
      <c r="AFO14" s="240"/>
      <c r="AFP14" s="240"/>
      <c r="AFQ14" s="240"/>
      <c r="AFR14" s="240"/>
      <c r="AFS14" s="240"/>
      <c r="AFT14" s="240"/>
      <c r="AFU14" s="240"/>
      <c r="AFV14" s="240"/>
      <c r="AFW14" s="240"/>
      <c r="AFX14" s="240"/>
      <c r="AFY14" s="240"/>
      <c r="AFZ14" s="240"/>
      <c r="AGA14" s="240"/>
      <c r="AGB14" s="240"/>
      <c r="AGC14" s="240"/>
      <c r="AGD14" s="240"/>
      <c r="AGE14" s="240"/>
      <c r="AGF14" s="240"/>
      <c r="AGG14" s="240"/>
      <c r="AGH14" s="240"/>
      <c r="AGI14" s="240"/>
      <c r="AGJ14" s="240"/>
      <c r="AGK14" s="240"/>
      <c r="AGL14" s="240"/>
      <c r="AGM14" s="240"/>
      <c r="AGN14" s="240"/>
      <c r="AGO14" s="240"/>
      <c r="AGP14" s="240"/>
      <c r="AGQ14" s="240"/>
      <c r="AGR14" s="240"/>
      <c r="AGS14" s="240"/>
      <c r="AGT14" s="240"/>
      <c r="AGU14" s="240"/>
      <c r="AGV14" s="240"/>
      <c r="AGW14" s="240"/>
      <c r="AGX14" s="240"/>
      <c r="AGY14" s="240"/>
      <c r="AGZ14" s="240"/>
      <c r="AHA14" s="240"/>
      <c r="AHB14" s="240"/>
      <c r="AHC14" s="240"/>
      <c r="AHD14" s="240"/>
      <c r="AHE14" s="240"/>
      <c r="AHF14" s="240"/>
      <c r="AHG14" s="240"/>
      <c r="AHH14" s="240"/>
      <c r="AHI14" s="240"/>
      <c r="AHJ14" s="240"/>
      <c r="AHK14" s="240"/>
      <c r="AHL14" s="240"/>
      <c r="AHM14" s="240"/>
      <c r="AHN14" s="240"/>
      <c r="AHO14" s="240"/>
      <c r="AHP14" s="240"/>
      <c r="AHQ14" s="240"/>
      <c r="AHR14" s="240"/>
      <c r="AHS14" s="240"/>
      <c r="AHT14" s="240"/>
      <c r="AHU14" s="240"/>
      <c r="AHV14" s="240"/>
      <c r="AHW14" s="240"/>
      <c r="AHX14" s="240"/>
      <c r="AHY14" s="240"/>
      <c r="AHZ14" s="240"/>
      <c r="AIA14" s="240"/>
      <c r="AIB14" s="240"/>
      <c r="AIC14" s="240"/>
      <c r="AID14" s="240"/>
      <c r="AIE14" s="240"/>
      <c r="AIF14" s="240"/>
      <c r="AIG14" s="240"/>
      <c r="AIH14" s="240"/>
      <c r="AII14" s="240"/>
      <c r="AIJ14" s="240"/>
      <c r="AIK14" s="240"/>
      <c r="AIL14" s="240"/>
      <c r="AIM14" s="240"/>
      <c r="AIN14" s="240"/>
      <c r="AIO14" s="240"/>
      <c r="AIP14" s="240"/>
      <c r="AIQ14" s="240"/>
      <c r="AIR14" s="240"/>
      <c r="AIS14" s="240"/>
      <c r="AIT14" s="240"/>
      <c r="AIU14" s="240"/>
      <c r="AIV14" s="240"/>
      <c r="AIW14" s="240"/>
      <c r="AIX14" s="240"/>
      <c r="AIY14" s="240"/>
      <c r="AIZ14" s="240"/>
      <c r="AJA14" s="240"/>
      <c r="AJB14" s="240"/>
      <c r="AJC14" s="240"/>
      <c r="AJD14" s="240"/>
      <c r="AJE14" s="240"/>
      <c r="AJF14" s="240"/>
      <c r="AJG14" s="240"/>
      <c r="AJH14" s="240"/>
      <c r="AJI14" s="240"/>
      <c r="AJJ14" s="240"/>
      <c r="AJK14" s="240"/>
      <c r="AJL14" s="240"/>
      <c r="AJM14" s="240"/>
      <c r="AJN14" s="240"/>
      <c r="AJO14" s="240"/>
      <c r="AJP14" s="240"/>
      <c r="AJQ14" s="240"/>
      <c r="AJR14" s="240"/>
      <c r="AJS14" s="240"/>
      <c r="AJT14" s="240"/>
      <c r="AJU14" s="240"/>
      <c r="AJV14" s="240"/>
      <c r="AJW14" s="240"/>
      <c r="AJX14" s="240"/>
      <c r="AJY14" s="240"/>
      <c r="AJZ14" s="240"/>
      <c r="AKA14" s="240"/>
      <c r="AKB14" s="240"/>
      <c r="AKC14" s="240"/>
      <c r="AKD14" s="240"/>
      <c r="AKE14" s="240"/>
      <c r="AKF14" s="240"/>
      <c r="AKG14" s="240"/>
      <c r="AKH14" s="240"/>
      <c r="AKI14" s="240"/>
      <c r="AKJ14" s="240"/>
      <c r="AKK14" s="240"/>
      <c r="AKL14" s="240"/>
      <c r="AKM14" s="240"/>
      <c r="AKN14" s="240"/>
      <c r="AKO14" s="240"/>
      <c r="AKP14" s="240"/>
      <c r="AKQ14" s="240"/>
      <c r="AKR14" s="240"/>
      <c r="AKS14" s="240"/>
      <c r="AKT14" s="240"/>
      <c r="AKU14" s="240"/>
      <c r="AKV14" s="240"/>
      <c r="AKW14" s="240"/>
      <c r="AKX14" s="240"/>
      <c r="AKY14" s="240"/>
      <c r="AKZ14" s="240"/>
      <c r="ALA14" s="240"/>
      <c r="ALB14" s="240"/>
      <c r="ALC14" s="240"/>
      <c r="ALD14" s="240"/>
      <c r="ALE14" s="240"/>
      <c r="ALF14" s="240"/>
      <c r="ALG14" s="240"/>
      <c r="ALH14" s="240"/>
      <c r="ALI14" s="240"/>
      <c r="ALJ14" s="240"/>
      <c r="ALK14" s="240"/>
      <c r="ALL14" s="240"/>
      <c r="ALM14" s="240"/>
      <c r="ALN14" s="240"/>
      <c r="ALO14" s="240"/>
      <c r="ALP14" s="240"/>
      <c r="ALQ14" s="240"/>
      <c r="ALR14" s="240"/>
      <c r="ALS14" s="240"/>
      <c r="ALT14" s="240"/>
      <c r="ALU14" s="240"/>
      <c r="ALV14" s="240"/>
      <c r="ALW14" s="240"/>
      <c r="ALX14" s="240"/>
      <c r="ALY14" s="240"/>
      <c r="ALZ14" s="240"/>
      <c r="AMA14" s="240"/>
      <c r="AMB14" s="240"/>
      <c r="AMC14" s="240"/>
      <c r="AMD14" s="240"/>
      <c r="AME14" s="240"/>
      <c r="AMF14" s="240"/>
      <c r="AMG14" s="240"/>
      <c r="AMH14" s="240"/>
    </row>
    <row r="15" spans="1:1022" ht="13.5" customHeight="1" thickTop="1" thickBot="1">
      <c r="B15" s="141"/>
      <c r="C15" s="142" t="s">
        <v>182</v>
      </c>
      <c r="D15" s="142" t="s">
        <v>181</v>
      </c>
      <c r="E15" s="142"/>
      <c r="F15" s="198" t="s">
        <v>207</v>
      </c>
      <c r="G15" s="198" t="s">
        <v>20</v>
      </c>
      <c r="H15" s="198" t="s">
        <v>6</v>
      </c>
      <c r="I15" s="198" t="s">
        <v>6</v>
      </c>
      <c r="J15" s="233" t="s">
        <v>639</v>
      </c>
      <c r="K15" s="233"/>
    </row>
    <row r="16" spans="1:1022" ht="13.5" customHeight="1" thickTop="1" thickBot="1">
      <c r="B16" s="141"/>
      <c r="C16" s="145" t="s">
        <v>180</v>
      </c>
      <c r="D16" s="142" t="s">
        <v>179</v>
      </c>
      <c r="E16" s="142"/>
      <c r="F16" s="198" t="s">
        <v>20</v>
      </c>
      <c r="G16" s="198" t="s">
        <v>20</v>
      </c>
      <c r="H16" s="198" t="s">
        <v>6</v>
      </c>
      <c r="I16" s="198" t="s">
        <v>207</v>
      </c>
      <c r="J16" s="233"/>
      <c r="K16" s="233" t="s">
        <v>226</v>
      </c>
    </row>
    <row r="17" spans="2:12" ht="13.5" customHeight="1" thickTop="1" thickBot="1">
      <c r="B17" s="141"/>
      <c r="C17" s="146"/>
      <c r="D17" s="142" t="s">
        <v>178</v>
      </c>
      <c r="E17" s="142"/>
      <c r="F17" s="198" t="s">
        <v>20</v>
      </c>
      <c r="G17" s="198" t="s">
        <v>20</v>
      </c>
      <c r="H17" s="198" t="s">
        <v>6</v>
      </c>
      <c r="I17" s="198" t="s">
        <v>207</v>
      </c>
      <c r="J17" s="233"/>
      <c r="K17" s="233" t="s">
        <v>226</v>
      </c>
    </row>
    <row r="18" spans="2:12" ht="13.5" customHeight="1" thickTop="1" thickBot="1">
      <c r="B18" s="141"/>
      <c r="C18" s="142" t="s">
        <v>177</v>
      </c>
      <c r="D18" s="142"/>
      <c r="E18" s="142"/>
      <c r="F18" s="198" t="s">
        <v>20</v>
      </c>
      <c r="G18" s="198" t="s">
        <v>20</v>
      </c>
      <c r="H18" s="198" t="s">
        <v>6</v>
      </c>
      <c r="I18" s="198" t="s">
        <v>6</v>
      </c>
      <c r="J18" s="233"/>
      <c r="K18" s="233"/>
    </row>
    <row r="19" spans="2:12" ht="13.5" customHeight="1" thickTop="1" thickBot="1">
      <c r="B19" s="141"/>
      <c r="C19" s="145" t="s">
        <v>176</v>
      </c>
      <c r="D19" s="142"/>
      <c r="E19" s="142"/>
      <c r="F19" s="198" t="s">
        <v>20</v>
      </c>
      <c r="G19" s="198" t="s">
        <v>20</v>
      </c>
      <c r="H19" s="198" t="s">
        <v>6</v>
      </c>
      <c r="I19" s="198" t="s">
        <v>207</v>
      </c>
      <c r="J19" s="233" t="s">
        <v>624</v>
      </c>
      <c r="K19" s="233"/>
    </row>
    <row r="20" spans="2:12" ht="13.5" customHeight="1" thickTop="1" thickBot="1">
      <c r="B20" s="141"/>
      <c r="C20" s="146"/>
      <c r="D20" s="142"/>
      <c r="E20" s="142"/>
      <c r="F20" s="198" t="s">
        <v>20</v>
      </c>
      <c r="G20" s="198" t="s">
        <v>20</v>
      </c>
      <c r="H20" s="198" t="s">
        <v>6</v>
      </c>
      <c r="I20" s="198" t="s">
        <v>207</v>
      </c>
      <c r="J20" s="236" t="s">
        <v>625</v>
      </c>
      <c r="K20" s="236"/>
    </row>
    <row r="21" spans="2:12" ht="13.5" customHeight="1" thickTop="1" thickBot="1">
      <c r="B21" s="141"/>
      <c r="C21" s="145" t="s">
        <v>175</v>
      </c>
      <c r="D21" s="142"/>
      <c r="E21" s="147" t="s">
        <v>115</v>
      </c>
      <c r="F21" s="198" t="s">
        <v>207</v>
      </c>
      <c r="G21" s="198" t="s">
        <v>20</v>
      </c>
      <c r="H21" s="198" t="s">
        <v>6</v>
      </c>
      <c r="I21" s="198" t="s">
        <v>6</v>
      </c>
      <c r="J21" s="233"/>
      <c r="K21" s="233" t="s">
        <v>96</v>
      </c>
      <c r="L21" s="196"/>
    </row>
    <row r="22" spans="2:12" ht="13.5" customHeight="1" thickTop="1" thickBot="1">
      <c r="B22" s="141"/>
      <c r="C22" s="148"/>
      <c r="D22" s="142"/>
      <c r="E22" s="147" t="s">
        <v>114</v>
      </c>
      <c r="F22" s="198" t="s">
        <v>207</v>
      </c>
      <c r="G22" s="198" t="s">
        <v>20</v>
      </c>
      <c r="H22" s="198" t="s">
        <v>6</v>
      </c>
      <c r="I22" s="198" t="s">
        <v>6</v>
      </c>
      <c r="J22" s="233"/>
      <c r="K22" s="233" t="s">
        <v>96</v>
      </c>
    </row>
    <row r="23" spans="2:12" ht="13.5" customHeight="1" thickTop="1" thickBot="1">
      <c r="B23" s="141"/>
      <c r="C23" s="148"/>
      <c r="D23" s="142"/>
      <c r="E23" s="147" t="s">
        <v>113</v>
      </c>
      <c r="F23" s="198" t="s">
        <v>20</v>
      </c>
      <c r="G23" s="198" t="s">
        <v>20</v>
      </c>
      <c r="H23" s="198" t="s">
        <v>6</v>
      </c>
      <c r="I23" s="198" t="s">
        <v>6</v>
      </c>
      <c r="J23" s="233"/>
      <c r="K23" s="233"/>
    </row>
    <row r="24" spans="2:12" ht="13.5" customHeight="1" thickTop="1" thickBot="1">
      <c r="B24" s="141"/>
      <c r="C24" s="146"/>
      <c r="D24" s="142"/>
      <c r="E24" s="147" t="s">
        <v>119</v>
      </c>
      <c r="F24" s="198" t="s">
        <v>20</v>
      </c>
      <c r="G24" s="198" t="s">
        <v>20</v>
      </c>
      <c r="H24" s="198" t="s">
        <v>6</v>
      </c>
      <c r="I24" s="198" t="s">
        <v>6</v>
      </c>
      <c r="J24" s="233"/>
      <c r="K24" s="233"/>
    </row>
    <row r="25" spans="2:12" ht="42" customHeight="1" thickTop="1" thickBot="1">
      <c r="B25" s="141"/>
      <c r="C25" s="149" t="s">
        <v>174</v>
      </c>
      <c r="D25" s="142"/>
      <c r="E25" s="142"/>
      <c r="F25" s="198" t="s">
        <v>20</v>
      </c>
      <c r="G25" s="198" t="s">
        <v>20</v>
      </c>
      <c r="H25" s="198" t="s">
        <v>6</v>
      </c>
      <c r="I25" s="198" t="s">
        <v>207</v>
      </c>
      <c r="J25" s="144" t="s">
        <v>228</v>
      </c>
      <c r="K25" s="144"/>
      <c r="L25" s="197"/>
    </row>
    <row r="26" spans="2:12" ht="13.5" customHeight="1" thickTop="1" thickBot="1">
      <c r="B26" s="141"/>
      <c r="C26" s="145" t="s">
        <v>173</v>
      </c>
      <c r="D26" s="142"/>
      <c r="E26" s="147" t="s">
        <v>115</v>
      </c>
      <c r="F26" s="198" t="s">
        <v>20</v>
      </c>
      <c r="G26" s="198" t="s">
        <v>20</v>
      </c>
      <c r="H26" s="198" t="s">
        <v>6</v>
      </c>
      <c r="I26" s="198" t="s">
        <v>207</v>
      </c>
      <c r="J26" s="233" t="s">
        <v>229</v>
      </c>
      <c r="K26" s="233"/>
    </row>
    <row r="27" spans="2:12" ht="13.5" customHeight="1" thickTop="1" thickBot="1">
      <c r="B27" s="141"/>
      <c r="C27" s="148"/>
      <c r="D27" s="142"/>
      <c r="E27" s="147" t="s">
        <v>114</v>
      </c>
      <c r="F27" s="198" t="s">
        <v>20</v>
      </c>
      <c r="G27" s="198" t="s">
        <v>20</v>
      </c>
      <c r="H27" s="198" t="s">
        <v>6</v>
      </c>
      <c r="I27" s="198" t="s">
        <v>6</v>
      </c>
      <c r="J27" s="233"/>
      <c r="K27" s="233"/>
    </row>
    <row r="28" spans="2:12" ht="13.5" customHeight="1" thickTop="1" thickBot="1">
      <c r="B28" s="141"/>
      <c r="C28" s="148"/>
      <c r="D28" s="142"/>
      <c r="E28" s="147" t="s">
        <v>113</v>
      </c>
      <c r="F28" s="198" t="s">
        <v>20</v>
      </c>
      <c r="G28" s="198" t="s">
        <v>20</v>
      </c>
      <c r="H28" s="198" t="s">
        <v>6</v>
      </c>
      <c r="I28" s="198" t="s">
        <v>6</v>
      </c>
      <c r="J28" s="233"/>
      <c r="K28" s="233"/>
    </row>
    <row r="29" spans="2:12" ht="13.5" customHeight="1" thickTop="1" thickBot="1">
      <c r="B29" s="150"/>
      <c r="C29" s="146"/>
      <c r="D29" s="142"/>
      <c r="E29" s="147" t="s">
        <v>119</v>
      </c>
      <c r="F29" s="198" t="s">
        <v>20</v>
      </c>
      <c r="G29" s="198" t="s">
        <v>20</v>
      </c>
      <c r="H29" s="198" t="s">
        <v>6</v>
      </c>
      <c r="I29" s="198" t="s">
        <v>6</v>
      </c>
      <c r="J29" s="233"/>
      <c r="K29" s="233"/>
    </row>
    <row r="30" spans="2:12" ht="13.5" customHeight="1" thickTop="1" thickBot="1">
      <c r="B30" s="135" t="s">
        <v>172</v>
      </c>
      <c r="C30" s="136"/>
      <c r="D30" s="136"/>
      <c r="E30" s="136"/>
      <c r="F30" s="137"/>
      <c r="G30" s="137"/>
      <c r="H30" s="137"/>
      <c r="I30" s="136"/>
      <c r="J30" s="179"/>
      <c r="K30" s="179"/>
    </row>
    <row r="31" spans="2:12" ht="13.5" customHeight="1" thickTop="1" thickBot="1">
      <c r="B31" s="141"/>
      <c r="C31" s="142" t="s">
        <v>231</v>
      </c>
      <c r="D31" s="149" t="s">
        <v>214</v>
      </c>
      <c r="E31" s="142"/>
      <c r="F31" s="198"/>
      <c r="G31" s="198"/>
      <c r="H31" s="198"/>
      <c r="I31" s="198"/>
      <c r="J31" s="192" t="s">
        <v>241</v>
      </c>
      <c r="K31" s="233"/>
    </row>
    <row r="32" spans="2:12" ht="13.5" customHeight="1" thickTop="1" thickBot="1">
      <c r="B32" s="141"/>
      <c r="C32" s="142" t="s">
        <v>171</v>
      </c>
      <c r="D32" s="149" t="s">
        <v>215</v>
      </c>
      <c r="E32" s="142"/>
      <c r="F32" s="198" t="s">
        <v>6</v>
      </c>
      <c r="G32" s="198" t="s">
        <v>6</v>
      </c>
      <c r="H32" s="198" t="s">
        <v>207</v>
      </c>
      <c r="I32" s="198" t="s">
        <v>207</v>
      </c>
      <c r="J32" s="192" t="s">
        <v>242</v>
      </c>
      <c r="K32" s="233"/>
    </row>
    <row r="33" spans="2:11" ht="13.5" customHeight="1" thickTop="1" thickBot="1">
      <c r="B33" s="135" t="s">
        <v>170</v>
      </c>
      <c r="C33" s="136"/>
      <c r="D33" s="136"/>
      <c r="E33" s="136"/>
      <c r="F33" s="137"/>
      <c r="G33" s="137"/>
      <c r="H33" s="137"/>
      <c r="I33" s="136"/>
      <c r="J33" s="179"/>
      <c r="K33" s="179"/>
    </row>
    <row r="34" spans="2:11" s="122" customFormat="1" ht="13.5" customHeight="1" thickTop="1" thickBot="1">
      <c r="B34" s="141"/>
      <c r="C34" s="145" t="s">
        <v>169</v>
      </c>
      <c r="D34" s="145" t="s">
        <v>169</v>
      </c>
      <c r="E34" s="142" t="s">
        <v>163</v>
      </c>
      <c r="F34" s="198" t="s">
        <v>6</v>
      </c>
      <c r="G34" s="198" t="s">
        <v>6</v>
      </c>
      <c r="H34" s="198"/>
      <c r="I34" s="198" t="s">
        <v>207</v>
      </c>
      <c r="J34" s="233"/>
      <c r="K34" s="233"/>
    </row>
    <row r="35" spans="2:11" s="122" customFormat="1" ht="13.5" customHeight="1" thickTop="1" thickBot="1">
      <c r="B35" s="141"/>
      <c r="C35" s="148"/>
      <c r="D35" s="148"/>
      <c r="E35" s="142" t="s">
        <v>610</v>
      </c>
      <c r="F35" s="198" t="s">
        <v>6</v>
      </c>
      <c r="G35" s="198" t="s">
        <v>6</v>
      </c>
      <c r="H35" s="198"/>
      <c r="I35" s="198" t="s">
        <v>207</v>
      </c>
      <c r="J35" s="233"/>
      <c r="K35" s="233"/>
    </row>
    <row r="36" spans="2:11" s="122" customFormat="1" ht="13.5" customHeight="1" thickTop="1" thickBot="1">
      <c r="B36" s="141"/>
      <c r="C36" s="148"/>
      <c r="D36" s="148"/>
      <c r="E36" s="142" t="s">
        <v>611</v>
      </c>
      <c r="F36" s="198" t="s">
        <v>6</v>
      </c>
      <c r="G36" s="198" t="s">
        <v>6</v>
      </c>
      <c r="H36" s="198"/>
      <c r="I36" s="198" t="s">
        <v>207</v>
      </c>
      <c r="J36" s="233"/>
      <c r="K36" s="233"/>
    </row>
    <row r="37" spans="2:11" s="122" customFormat="1" ht="13.5" customHeight="1" thickTop="1" thickBot="1">
      <c r="B37" s="141"/>
      <c r="C37" s="148"/>
      <c r="D37" s="146"/>
      <c r="E37" s="142" t="s">
        <v>612</v>
      </c>
      <c r="F37" s="198" t="s">
        <v>207</v>
      </c>
      <c r="G37" s="198"/>
      <c r="H37" s="198" t="s">
        <v>6</v>
      </c>
      <c r="I37" s="198" t="s">
        <v>6</v>
      </c>
      <c r="J37" s="233"/>
      <c r="K37" s="233"/>
    </row>
    <row r="38" spans="2:11" s="122" customFormat="1" ht="13.5" customHeight="1" thickTop="1" thickBot="1">
      <c r="B38" s="141"/>
      <c r="C38" s="148"/>
      <c r="D38" s="145" t="s">
        <v>239</v>
      </c>
      <c r="E38" s="142" t="s">
        <v>163</v>
      </c>
      <c r="F38" s="198" t="s">
        <v>6</v>
      </c>
      <c r="G38" s="198" t="s">
        <v>6</v>
      </c>
      <c r="H38" s="198" t="s">
        <v>6</v>
      </c>
      <c r="I38" s="198" t="s">
        <v>207</v>
      </c>
      <c r="J38" s="233"/>
      <c r="K38" s="233"/>
    </row>
    <row r="39" spans="2:11" s="122" customFormat="1" ht="13.5" customHeight="1" thickTop="1" thickBot="1">
      <c r="B39" s="141"/>
      <c r="C39" s="148"/>
      <c r="D39" s="148"/>
      <c r="E39" s="142" t="s">
        <v>610</v>
      </c>
      <c r="F39" s="198" t="s">
        <v>6</v>
      </c>
      <c r="G39" s="198" t="s">
        <v>6</v>
      </c>
      <c r="H39" s="198" t="s">
        <v>6</v>
      </c>
      <c r="I39" s="198" t="s">
        <v>207</v>
      </c>
      <c r="J39" s="233"/>
      <c r="K39" s="233"/>
    </row>
    <row r="40" spans="2:11" s="122" customFormat="1" ht="13.5" customHeight="1" thickTop="1" thickBot="1">
      <c r="B40" s="141"/>
      <c r="C40" s="148"/>
      <c r="D40" s="148"/>
      <c r="E40" s="142" t="s">
        <v>611</v>
      </c>
      <c r="F40" s="198" t="s">
        <v>6</v>
      </c>
      <c r="G40" s="198" t="s">
        <v>6</v>
      </c>
      <c r="H40" s="198" t="s">
        <v>6</v>
      </c>
      <c r="I40" s="198" t="s">
        <v>207</v>
      </c>
      <c r="J40" s="233"/>
      <c r="K40" s="233"/>
    </row>
    <row r="41" spans="2:11" s="122" customFormat="1" ht="13.5" customHeight="1" thickTop="1" thickBot="1">
      <c r="B41" s="141"/>
      <c r="C41" s="146"/>
      <c r="D41" s="146"/>
      <c r="E41" s="142" t="s">
        <v>612</v>
      </c>
      <c r="F41" s="198" t="s">
        <v>207</v>
      </c>
      <c r="G41" s="198" t="s">
        <v>6</v>
      </c>
      <c r="H41" s="198"/>
      <c r="I41" s="198" t="s">
        <v>6</v>
      </c>
      <c r="J41" s="192"/>
      <c r="K41" s="233"/>
    </row>
    <row r="42" spans="2:11" s="122" customFormat="1" ht="13.5" customHeight="1" thickTop="1" thickBot="1">
      <c r="B42" s="141"/>
      <c r="C42" s="145" t="s">
        <v>168</v>
      </c>
      <c r="D42" s="145" t="s">
        <v>168</v>
      </c>
      <c r="E42" s="142" t="s">
        <v>163</v>
      </c>
      <c r="F42" s="198" t="s">
        <v>20</v>
      </c>
      <c r="G42" s="198" t="s">
        <v>20</v>
      </c>
      <c r="H42" s="198" t="s">
        <v>20</v>
      </c>
      <c r="I42" s="245" t="s">
        <v>207</v>
      </c>
      <c r="J42" s="192"/>
      <c r="K42" s="233"/>
    </row>
    <row r="43" spans="2:11" s="122" customFormat="1" ht="13.5" customHeight="1" thickTop="1" thickBot="1">
      <c r="B43" s="141"/>
      <c r="C43" s="148"/>
      <c r="D43" s="148"/>
      <c r="E43" s="142" t="s">
        <v>610</v>
      </c>
      <c r="F43" s="198" t="s">
        <v>20</v>
      </c>
      <c r="G43" s="198" t="s">
        <v>20</v>
      </c>
      <c r="H43" s="198" t="s">
        <v>20</v>
      </c>
      <c r="I43" s="245" t="s">
        <v>207</v>
      </c>
      <c r="J43" s="192"/>
      <c r="K43" s="233"/>
    </row>
    <row r="44" spans="2:11" s="122" customFormat="1" ht="13.5" customHeight="1" thickTop="1" thickBot="1">
      <c r="B44" s="141"/>
      <c r="C44" s="148"/>
      <c r="D44" s="148"/>
      <c r="E44" s="142" t="s">
        <v>611</v>
      </c>
      <c r="F44" s="198" t="s">
        <v>20</v>
      </c>
      <c r="G44" s="198" t="s">
        <v>20</v>
      </c>
      <c r="H44" s="198" t="s">
        <v>20</v>
      </c>
      <c r="I44" s="245" t="s">
        <v>207</v>
      </c>
      <c r="J44" s="192"/>
      <c r="K44" s="233"/>
    </row>
    <row r="45" spans="2:11" s="122" customFormat="1" ht="13.5" customHeight="1" thickTop="1" thickBot="1">
      <c r="B45" s="141"/>
      <c r="C45" s="146"/>
      <c r="D45" s="146"/>
      <c r="E45" s="142" t="s">
        <v>612</v>
      </c>
      <c r="F45" s="198" t="s">
        <v>207</v>
      </c>
      <c r="G45" s="198" t="s">
        <v>6</v>
      </c>
      <c r="H45" s="198" t="s">
        <v>20</v>
      </c>
      <c r="I45" s="198" t="s">
        <v>20</v>
      </c>
      <c r="J45" s="233"/>
      <c r="K45" s="233"/>
    </row>
    <row r="46" spans="2:11" s="122" customFormat="1" ht="13.5" customHeight="1" thickTop="1" thickBot="1">
      <c r="B46" s="141"/>
      <c r="C46" s="142" t="s">
        <v>167</v>
      </c>
      <c r="D46" s="142" t="s">
        <v>240</v>
      </c>
      <c r="E46" s="142"/>
      <c r="F46" s="198" t="s">
        <v>20</v>
      </c>
      <c r="G46" s="198" t="s">
        <v>6</v>
      </c>
      <c r="H46" s="198" t="s">
        <v>20</v>
      </c>
      <c r="I46" s="198" t="s">
        <v>20</v>
      </c>
      <c r="J46" s="233"/>
      <c r="K46" s="233"/>
    </row>
    <row r="47" spans="2:11" s="122" customFormat="1" ht="13.5" customHeight="1" thickTop="1" thickBot="1">
      <c r="B47" s="141"/>
      <c r="C47" s="234" t="s">
        <v>166</v>
      </c>
      <c r="D47" s="142" t="s">
        <v>245</v>
      </c>
      <c r="E47" s="142"/>
      <c r="F47" s="198" t="s">
        <v>207</v>
      </c>
      <c r="G47" s="198" t="s">
        <v>6</v>
      </c>
      <c r="H47" s="198" t="s">
        <v>207</v>
      </c>
      <c r="I47" s="198" t="s">
        <v>207</v>
      </c>
      <c r="J47" s="233"/>
      <c r="K47" s="233"/>
    </row>
    <row r="48" spans="2:11" s="122" customFormat="1" ht="13.5" customHeight="1" thickTop="1" thickBot="1">
      <c r="B48" s="141"/>
      <c r="C48" s="142" t="s">
        <v>613</v>
      </c>
      <c r="D48" s="142"/>
      <c r="E48" s="142" t="s">
        <v>163</v>
      </c>
      <c r="F48" s="198" t="s">
        <v>20</v>
      </c>
      <c r="G48" s="151" t="s">
        <v>20</v>
      </c>
      <c r="H48" s="198" t="s">
        <v>6</v>
      </c>
      <c r="I48" s="198" t="s">
        <v>207</v>
      </c>
      <c r="J48" s="233" t="s">
        <v>294</v>
      </c>
      <c r="K48" s="233"/>
    </row>
    <row r="49" spans="2:11" s="122" customFormat="1" ht="13.5" customHeight="1" thickTop="1" thickBot="1">
      <c r="B49" s="141"/>
      <c r="C49" s="142" t="s">
        <v>165</v>
      </c>
      <c r="D49" s="142"/>
      <c r="E49" s="142"/>
      <c r="F49" s="198" t="s">
        <v>20</v>
      </c>
      <c r="G49" s="151" t="s">
        <v>20</v>
      </c>
      <c r="H49" s="198" t="s">
        <v>6</v>
      </c>
      <c r="I49" s="198" t="s">
        <v>6</v>
      </c>
      <c r="J49" s="144"/>
      <c r="K49" s="144"/>
    </row>
    <row r="50" spans="2:11" s="122" customFormat="1" ht="13.5" customHeight="1" thickTop="1" thickBot="1">
      <c r="B50" s="141"/>
      <c r="C50" s="152" t="s">
        <v>164</v>
      </c>
      <c r="D50" s="145"/>
      <c r="E50" s="142" t="s">
        <v>163</v>
      </c>
      <c r="F50" s="198" t="s">
        <v>20</v>
      </c>
      <c r="G50" s="151" t="s">
        <v>20</v>
      </c>
      <c r="H50" s="198" t="s">
        <v>6</v>
      </c>
      <c r="I50" s="198" t="s">
        <v>207</v>
      </c>
      <c r="J50" s="193"/>
      <c r="K50" s="233"/>
    </row>
    <row r="51" spans="2:11" s="122" customFormat="1" ht="13.5" customHeight="1" thickTop="1" thickBot="1">
      <c r="B51" s="141"/>
      <c r="C51" s="154"/>
      <c r="D51" s="148"/>
      <c r="E51" s="142" t="s">
        <v>610</v>
      </c>
      <c r="F51" s="198" t="s">
        <v>20</v>
      </c>
      <c r="G51" s="151" t="s">
        <v>20</v>
      </c>
      <c r="H51" s="151" t="s">
        <v>20</v>
      </c>
      <c r="I51" s="151" t="s">
        <v>20</v>
      </c>
      <c r="J51" s="193"/>
      <c r="K51" s="233"/>
    </row>
    <row r="52" spans="2:11" s="122" customFormat="1" ht="13.5" customHeight="1" thickTop="1" thickBot="1">
      <c r="B52" s="141"/>
      <c r="C52" s="154"/>
      <c r="D52" s="148"/>
      <c r="E52" s="142" t="s">
        <v>611</v>
      </c>
      <c r="F52" s="198" t="s">
        <v>20</v>
      </c>
      <c r="G52" s="151" t="s">
        <v>20</v>
      </c>
      <c r="H52" s="151" t="s">
        <v>20</v>
      </c>
      <c r="I52" s="151" t="s">
        <v>20</v>
      </c>
      <c r="J52" s="193"/>
      <c r="K52" s="233"/>
    </row>
    <row r="53" spans="2:11" s="122" customFormat="1" ht="13.5" customHeight="1" thickTop="1" thickBot="1">
      <c r="B53" s="150"/>
      <c r="C53" s="153"/>
      <c r="D53" s="146"/>
      <c r="E53" s="142" t="s">
        <v>612</v>
      </c>
      <c r="F53" s="151" t="s">
        <v>20</v>
      </c>
      <c r="G53" s="151" t="s">
        <v>20</v>
      </c>
      <c r="H53" s="151" t="s">
        <v>20</v>
      </c>
      <c r="I53" s="198" t="s">
        <v>6</v>
      </c>
      <c r="J53" s="233"/>
      <c r="K53" s="233"/>
    </row>
    <row r="54" spans="2:11" s="122" customFormat="1" ht="13.5" customHeight="1" thickTop="1" thickBot="1">
      <c r="B54" s="135" t="s">
        <v>640</v>
      </c>
      <c r="C54" s="136"/>
      <c r="D54" s="136"/>
      <c r="E54" s="136"/>
      <c r="F54" s="137"/>
      <c r="G54" s="137"/>
      <c r="H54" s="137"/>
      <c r="I54" s="136"/>
      <c r="J54" s="179"/>
      <c r="K54" s="179"/>
    </row>
    <row r="55" spans="2:11" s="122" customFormat="1" ht="13.5" customHeight="1" thickTop="1" thickBot="1">
      <c r="B55" s="141"/>
      <c r="C55" s="402" t="s">
        <v>162</v>
      </c>
      <c r="D55" s="145" t="s">
        <v>216</v>
      </c>
      <c r="E55" s="142" t="s">
        <v>115</v>
      </c>
      <c r="F55" s="198" t="s">
        <v>20</v>
      </c>
      <c r="G55" s="198" t="s">
        <v>6</v>
      </c>
      <c r="H55" s="198" t="s">
        <v>6</v>
      </c>
      <c r="I55" s="198" t="s">
        <v>6</v>
      </c>
      <c r="J55" s="193"/>
      <c r="K55" s="144"/>
    </row>
    <row r="56" spans="2:11" s="122" customFormat="1" ht="13.5" customHeight="1" thickTop="1" thickBot="1">
      <c r="B56" s="141"/>
      <c r="C56" s="402"/>
      <c r="D56" s="148"/>
      <c r="E56" s="142" t="s">
        <v>114</v>
      </c>
      <c r="F56" s="198" t="s">
        <v>20</v>
      </c>
      <c r="G56" s="198" t="s">
        <v>6</v>
      </c>
      <c r="H56" s="198" t="s">
        <v>6</v>
      </c>
      <c r="I56" s="198" t="s">
        <v>6</v>
      </c>
      <c r="J56" s="193"/>
      <c r="K56" s="144"/>
    </row>
    <row r="57" spans="2:11" s="122" customFormat="1" ht="13.5" customHeight="1" thickTop="1" thickBot="1">
      <c r="B57" s="141"/>
      <c r="C57" s="402"/>
      <c r="D57" s="148"/>
      <c r="E57" s="142" t="s">
        <v>113</v>
      </c>
      <c r="F57" s="198" t="s">
        <v>20</v>
      </c>
      <c r="G57" s="198" t="s">
        <v>6</v>
      </c>
      <c r="H57" s="198" t="s">
        <v>6</v>
      </c>
      <c r="I57" s="198" t="s">
        <v>6</v>
      </c>
      <c r="J57" s="193"/>
      <c r="K57" s="144"/>
    </row>
    <row r="58" spans="2:11" s="122" customFormat="1" ht="13.5" customHeight="1" thickTop="1" thickBot="1">
      <c r="B58" s="141"/>
      <c r="C58" s="402"/>
      <c r="D58" s="148"/>
      <c r="E58" s="142" t="s">
        <v>119</v>
      </c>
      <c r="F58" s="198" t="s">
        <v>20</v>
      </c>
      <c r="G58" s="198" t="s">
        <v>6</v>
      </c>
      <c r="H58" s="198" t="s">
        <v>6</v>
      </c>
      <c r="I58" s="198" t="s">
        <v>6</v>
      </c>
      <c r="J58" s="193"/>
      <c r="K58" s="144"/>
    </row>
    <row r="59" spans="2:11" s="122" customFormat="1" ht="13.5" customHeight="1" thickTop="1" thickBot="1">
      <c r="B59" s="141"/>
      <c r="C59" s="402"/>
      <c r="D59" s="148"/>
      <c r="E59" s="142" t="s">
        <v>118</v>
      </c>
      <c r="F59" s="198" t="s">
        <v>20</v>
      </c>
      <c r="G59" s="198" t="s">
        <v>6</v>
      </c>
      <c r="H59" s="198" t="s">
        <v>6</v>
      </c>
      <c r="I59" s="198" t="s">
        <v>6</v>
      </c>
      <c r="J59" s="193"/>
      <c r="K59" s="144"/>
    </row>
    <row r="60" spans="2:11" s="122" customFormat="1" ht="13.5" customHeight="1" thickTop="1" thickBot="1">
      <c r="B60" s="141"/>
      <c r="C60" s="402"/>
      <c r="D60" s="148"/>
      <c r="E60" s="142" t="s">
        <v>117</v>
      </c>
      <c r="F60" s="198" t="s">
        <v>20</v>
      </c>
      <c r="G60" s="198" t="s">
        <v>6</v>
      </c>
      <c r="H60" s="198" t="s">
        <v>6</v>
      </c>
      <c r="I60" s="198" t="s">
        <v>6</v>
      </c>
      <c r="J60" s="193"/>
      <c r="K60" s="144"/>
    </row>
    <row r="61" spans="2:11" s="122" customFormat="1" ht="13.5" customHeight="1" thickTop="1" thickBot="1">
      <c r="B61" s="141"/>
      <c r="C61" s="402"/>
      <c r="D61" s="148"/>
      <c r="E61" s="142" t="s">
        <v>133</v>
      </c>
      <c r="F61" s="198" t="s">
        <v>20</v>
      </c>
      <c r="G61" s="198" t="s">
        <v>6</v>
      </c>
      <c r="H61" s="198" t="s">
        <v>6</v>
      </c>
      <c r="I61" s="198" t="s">
        <v>6</v>
      </c>
      <c r="J61" s="193"/>
      <c r="K61" s="144"/>
    </row>
    <row r="62" spans="2:11" s="122" customFormat="1" ht="13.5" customHeight="1" thickTop="1" thickBot="1">
      <c r="B62" s="141"/>
      <c r="C62" s="402"/>
      <c r="D62" s="148"/>
      <c r="E62" s="142" t="s">
        <v>132</v>
      </c>
      <c r="F62" s="198" t="s">
        <v>20</v>
      </c>
      <c r="G62" s="198" t="s">
        <v>6</v>
      </c>
      <c r="H62" s="198" t="s">
        <v>6</v>
      </c>
      <c r="I62" s="198" t="s">
        <v>6</v>
      </c>
      <c r="J62" s="193"/>
      <c r="K62" s="144"/>
    </row>
    <row r="63" spans="2:11" s="122" customFormat="1" ht="13.5" customHeight="1" thickTop="1" thickBot="1">
      <c r="B63" s="141"/>
      <c r="C63" s="402"/>
      <c r="D63" s="148"/>
      <c r="E63" s="142" t="s">
        <v>130</v>
      </c>
      <c r="F63" s="198" t="s">
        <v>20</v>
      </c>
      <c r="G63" s="198" t="s">
        <v>6</v>
      </c>
      <c r="H63" s="198" t="s">
        <v>6</v>
      </c>
      <c r="I63" s="198" t="s">
        <v>6</v>
      </c>
      <c r="J63" s="193"/>
      <c r="K63" s="144"/>
    </row>
    <row r="64" spans="2:11" s="122" customFormat="1" ht="13.5" customHeight="1" thickTop="1" thickBot="1">
      <c r="B64" s="141"/>
      <c r="C64" s="402"/>
      <c r="D64" s="148"/>
      <c r="E64" s="142" t="s">
        <v>129</v>
      </c>
      <c r="F64" s="198" t="s">
        <v>20</v>
      </c>
      <c r="G64" s="198" t="s">
        <v>6</v>
      </c>
      <c r="H64" s="198" t="s">
        <v>6</v>
      </c>
      <c r="I64" s="198" t="s">
        <v>6</v>
      </c>
      <c r="J64" s="193"/>
      <c r="K64" s="144"/>
    </row>
    <row r="65" spans="2:11" s="122" customFormat="1" ht="13.5" customHeight="1" thickTop="1" thickBot="1">
      <c r="B65" s="141"/>
      <c r="C65" s="402"/>
      <c r="D65" s="148"/>
      <c r="E65" s="142" t="s">
        <v>128</v>
      </c>
      <c r="F65" s="198" t="s">
        <v>20</v>
      </c>
      <c r="G65" s="198" t="s">
        <v>6</v>
      </c>
      <c r="H65" s="198" t="s">
        <v>6</v>
      </c>
      <c r="I65" s="198" t="s">
        <v>6</v>
      </c>
      <c r="J65" s="193"/>
      <c r="K65" s="144"/>
    </row>
    <row r="66" spans="2:11" s="122" customFormat="1" ht="13.5" customHeight="1" thickTop="1" thickBot="1">
      <c r="B66" s="141"/>
      <c r="C66" s="402"/>
      <c r="D66" s="148"/>
      <c r="E66" s="142" t="s">
        <v>127</v>
      </c>
      <c r="F66" s="198" t="s">
        <v>20</v>
      </c>
      <c r="G66" s="198" t="s">
        <v>6</v>
      </c>
      <c r="H66" s="198" t="s">
        <v>6</v>
      </c>
      <c r="I66" s="198" t="s">
        <v>6</v>
      </c>
      <c r="J66" s="193"/>
      <c r="K66" s="144"/>
    </row>
    <row r="67" spans="2:11" s="122" customFormat="1" ht="13.5" customHeight="1" thickTop="1" thickBot="1">
      <c r="B67" s="141"/>
      <c r="C67" s="402"/>
      <c r="D67" s="148"/>
      <c r="E67" s="142" t="s">
        <v>125</v>
      </c>
      <c r="F67" s="198" t="s">
        <v>20</v>
      </c>
      <c r="G67" s="198" t="s">
        <v>6</v>
      </c>
      <c r="H67" s="198" t="s">
        <v>6</v>
      </c>
      <c r="I67" s="198" t="s">
        <v>6</v>
      </c>
      <c r="J67" s="193"/>
      <c r="K67" s="144"/>
    </row>
    <row r="68" spans="2:11" s="122" customFormat="1" ht="13.5" customHeight="1" thickTop="1" thickBot="1">
      <c r="B68" s="141"/>
      <c r="C68" s="402"/>
      <c r="D68" s="148"/>
      <c r="E68" s="142" t="s">
        <v>124</v>
      </c>
      <c r="F68" s="198" t="s">
        <v>20</v>
      </c>
      <c r="G68" s="198" t="s">
        <v>6</v>
      </c>
      <c r="H68" s="198" t="s">
        <v>6</v>
      </c>
      <c r="I68" s="198" t="s">
        <v>6</v>
      </c>
      <c r="J68" s="193"/>
      <c r="K68" s="144"/>
    </row>
    <row r="69" spans="2:11" s="122" customFormat="1" ht="13.5" customHeight="1" thickTop="1" thickBot="1">
      <c r="B69" s="141"/>
      <c r="C69" s="402"/>
      <c r="D69" s="148"/>
      <c r="E69" s="142" t="s">
        <v>123</v>
      </c>
      <c r="F69" s="198" t="s">
        <v>20</v>
      </c>
      <c r="G69" s="198" t="s">
        <v>6</v>
      </c>
      <c r="H69" s="198" t="s">
        <v>6</v>
      </c>
      <c r="I69" s="198" t="s">
        <v>6</v>
      </c>
      <c r="J69" s="193"/>
      <c r="K69" s="144"/>
    </row>
    <row r="70" spans="2:11" s="122" customFormat="1" ht="13.5" customHeight="1" thickTop="1" thickBot="1">
      <c r="B70" s="141"/>
      <c r="C70" s="402"/>
      <c r="D70" s="148"/>
      <c r="E70" s="142" t="s">
        <v>122</v>
      </c>
      <c r="F70" s="198" t="s">
        <v>20</v>
      </c>
      <c r="G70" s="198" t="s">
        <v>6</v>
      </c>
      <c r="H70" s="198" t="s">
        <v>6</v>
      </c>
      <c r="I70" s="198" t="s">
        <v>6</v>
      </c>
      <c r="J70" s="193"/>
      <c r="K70" s="144"/>
    </row>
    <row r="71" spans="2:11" s="122" customFormat="1" ht="13.5" customHeight="1" thickTop="1" thickBot="1">
      <c r="B71" s="141"/>
      <c r="C71" s="402"/>
      <c r="D71" s="148"/>
      <c r="E71" s="142" t="s">
        <v>161</v>
      </c>
      <c r="F71" s="198" t="s">
        <v>20</v>
      </c>
      <c r="G71" s="198" t="s">
        <v>6</v>
      </c>
      <c r="H71" s="198" t="s">
        <v>6</v>
      </c>
      <c r="I71" s="198" t="s">
        <v>6</v>
      </c>
      <c r="J71" s="193"/>
      <c r="K71" s="144"/>
    </row>
    <row r="72" spans="2:11" s="122" customFormat="1" ht="13.5" customHeight="1" thickTop="1" thickBot="1">
      <c r="B72" s="141"/>
      <c r="C72" s="402"/>
      <c r="D72" s="148"/>
      <c r="E72" s="142" t="s">
        <v>160</v>
      </c>
      <c r="F72" s="198" t="s">
        <v>20</v>
      </c>
      <c r="G72" s="198" t="s">
        <v>6</v>
      </c>
      <c r="H72" s="198" t="s">
        <v>6</v>
      </c>
      <c r="I72" s="198" t="s">
        <v>6</v>
      </c>
      <c r="J72" s="193"/>
      <c r="K72" s="144"/>
    </row>
    <row r="73" spans="2:11" s="122" customFormat="1" ht="13.5" customHeight="1" thickTop="1" thickBot="1">
      <c r="B73" s="141"/>
      <c r="C73" s="402"/>
      <c r="D73" s="148"/>
      <c r="E73" s="142" t="s">
        <v>159</v>
      </c>
      <c r="F73" s="198" t="s">
        <v>20</v>
      </c>
      <c r="G73" s="198" t="s">
        <v>6</v>
      </c>
      <c r="H73" s="198" t="s">
        <v>6</v>
      </c>
      <c r="I73" s="198" t="s">
        <v>6</v>
      </c>
      <c r="J73" s="193"/>
      <c r="K73" s="144"/>
    </row>
    <row r="74" spans="2:11" s="122" customFormat="1" ht="13.5" customHeight="1" thickTop="1" thickBot="1">
      <c r="B74" s="141"/>
      <c r="C74" s="402"/>
      <c r="D74" s="148"/>
      <c r="E74" s="142" t="s">
        <v>158</v>
      </c>
      <c r="F74" s="198" t="s">
        <v>20</v>
      </c>
      <c r="G74" s="198" t="s">
        <v>6</v>
      </c>
      <c r="H74" s="198" t="s">
        <v>6</v>
      </c>
      <c r="I74" s="198" t="s">
        <v>6</v>
      </c>
      <c r="J74" s="193"/>
      <c r="K74" s="144"/>
    </row>
    <row r="75" spans="2:11" s="122" customFormat="1" ht="13.5" customHeight="1" thickTop="1" thickBot="1">
      <c r="B75" s="141"/>
      <c r="C75" s="402"/>
      <c r="D75" s="148"/>
      <c r="E75" s="142" t="s">
        <v>157</v>
      </c>
      <c r="F75" s="198" t="s">
        <v>20</v>
      </c>
      <c r="G75" s="198" t="s">
        <v>6</v>
      </c>
      <c r="H75" s="198" t="s">
        <v>6</v>
      </c>
      <c r="I75" s="198" t="s">
        <v>6</v>
      </c>
      <c r="J75" s="193"/>
      <c r="K75" s="144"/>
    </row>
    <row r="76" spans="2:11" s="122" customFormat="1" ht="13.5" customHeight="1" thickTop="1" thickBot="1">
      <c r="B76" s="141"/>
      <c r="C76" s="402"/>
      <c r="D76" s="148"/>
      <c r="E76" s="142" t="s">
        <v>156</v>
      </c>
      <c r="F76" s="198" t="s">
        <v>20</v>
      </c>
      <c r="G76" s="198" t="s">
        <v>6</v>
      </c>
      <c r="H76" s="198" t="s">
        <v>6</v>
      </c>
      <c r="I76" s="198" t="s">
        <v>6</v>
      </c>
      <c r="J76" s="193"/>
      <c r="K76" s="144"/>
    </row>
    <row r="77" spans="2:11" s="122" customFormat="1" ht="13.5" customHeight="1" thickTop="1" thickBot="1">
      <c r="B77" s="141"/>
      <c r="C77" s="402"/>
      <c r="D77" s="148"/>
      <c r="E77" s="142" t="s">
        <v>155</v>
      </c>
      <c r="F77" s="198" t="s">
        <v>20</v>
      </c>
      <c r="G77" s="198" t="s">
        <v>6</v>
      </c>
      <c r="H77" s="198" t="s">
        <v>6</v>
      </c>
      <c r="I77" s="198" t="s">
        <v>6</v>
      </c>
      <c r="J77" s="193"/>
      <c r="K77" s="144"/>
    </row>
    <row r="78" spans="2:11" s="122" customFormat="1" ht="13.5" customHeight="1" thickTop="1" thickBot="1">
      <c r="B78" s="141"/>
      <c r="C78" s="402"/>
      <c r="D78" s="148"/>
      <c r="E78" s="142" t="s">
        <v>154</v>
      </c>
      <c r="F78" s="198" t="s">
        <v>20</v>
      </c>
      <c r="G78" s="198" t="s">
        <v>6</v>
      </c>
      <c r="H78" s="198" t="s">
        <v>6</v>
      </c>
      <c r="I78" s="198" t="s">
        <v>6</v>
      </c>
      <c r="J78" s="193"/>
      <c r="K78" s="144"/>
    </row>
    <row r="79" spans="2:11" s="122" customFormat="1" ht="13.5" customHeight="1" thickTop="1" thickBot="1">
      <c r="B79" s="141"/>
      <c r="C79" s="402"/>
      <c r="D79" s="148"/>
      <c r="E79" s="142" t="s">
        <v>153</v>
      </c>
      <c r="F79" s="198" t="s">
        <v>20</v>
      </c>
      <c r="G79" s="198" t="s">
        <v>6</v>
      </c>
      <c r="H79" s="198" t="s">
        <v>6</v>
      </c>
      <c r="I79" s="198" t="s">
        <v>6</v>
      </c>
      <c r="J79" s="193"/>
      <c r="K79" s="144"/>
    </row>
    <row r="80" spans="2:11" s="122" customFormat="1" ht="13.5" customHeight="1" thickTop="1" thickBot="1">
      <c r="B80" s="141"/>
      <c r="C80" s="402"/>
      <c r="D80" s="148"/>
      <c r="E80" s="142" t="s">
        <v>152</v>
      </c>
      <c r="F80" s="198" t="s">
        <v>20</v>
      </c>
      <c r="G80" s="198" t="s">
        <v>6</v>
      </c>
      <c r="H80" s="198" t="s">
        <v>6</v>
      </c>
      <c r="I80" s="198" t="s">
        <v>6</v>
      </c>
      <c r="J80" s="193"/>
      <c r="K80" s="144"/>
    </row>
    <row r="81" spans="2:11" s="122" customFormat="1" ht="13.5" customHeight="1" thickTop="1" thickBot="1">
      <c r="B81" s="141"/>
      <c r="C81" s="402"/>
      <c r="D81" s="148"/>
      <c r="E81" s="142" t="s">
        <v>151</v>
      </c>
      <c r="F81" s="198" t="s">
        <v>20</v>
      </c>
      <c r="G81" s="198" t="s">
        <v>6</v>
      </c>
      <c r="H81" s="198" t="s">
        <v>6</v>
      </c>
      <c r="I81" s="198" t="s">
        <v>6</v>
      </c>
      <c r="J81" s="193"/>
      <c r="K81" s="144"/>
    </row>
    <row r="82" spans="2:11" s="122" customFormat="1" ht="13.5" customHeight="1" thickTop="1" thickBot="1">
      <c r="B82" s="141"/>
      <c r="C82" s="402"/>
      <c r="D82" s="148"/>
      <c r="E82" s="142" t="s">
        <v>150</v>
      </c>
      <c r="F82" s="198" t="s">
        <v>20</v>
      </c>
      <c r="G82" s="198" t="s">
        <v>6</v>
      </c>
      <c r="H82" s="198" t="s">
        <v>6</v>
      </c>
      <c r="I82" s="198" t="s">
        <v>6</v>
      </c>
      <c r="J82" s="193"/>
      <c r="K82" s="144"/>
    </row>
    <row r="83" spans="2:11" s="122" customFormat="1" ht="13.5" customHeight="1" thickTop="1" thickBot="1">
      <c r="B83" s="141"/>
      <c r="C83" s="402"/>
      <c r="D83" s="148"/>
      <c r="E83" s="142" t="s">
        <v>149</v>
      </c>
      <c r="F83" s="198" t="s">
        <v>20</v>
      </c>
      <c r="G83" s="198" t="s">
        <v>6</v>
      </c>
      <c r="H83" s="198" t="s">
        <v>6</v>
      </c>
      <c r="I83" s="198" t="s">
        <v>6</v>
      </c>
      <c r="J83" s="193"/>
      <c r="K83" s="144"/>
    </row>
    <row r="84" spans="2:11" s="122" customFormat="1" ht="13.5" customHeight="1" thickTop="1" thickBot="1">
      <c r="B84" s="141"/>
      <c r="C84" s="402"/>
      <c r="D84" s="148"/>
      <c r="E84" s="142" t="s">
        <v>148</v>
      </c>
      <c r="F84" s="198" t="s">
        <v>20</v>
      </c>
      <c r="G84" s="198" t="s">
        <v>6</v>
      </c>
      <c r="H84" s="198" t="s">
        <v>6</v>
      </c>
      <c r="I84" s="198" t="s">
        <v>6</v>
      </c>
      <c r="J84" s="193"/>
      <c r="K84" s="144"/>
    </row>
    <row r="85" spans="2:11" s="122" customFormat="1" ht="13.5" customHeight="1" thickTop="1" thickBot="1">
      <c r="B85" s="141"/>
      <c r="C85" s="402"/>
      <c r="D85" s="148"/>
      <c r="E85" s="142" t="s">
        <v>147</v>
      </c>
      <c r="F85" s="198" t="s">
        <v>20</v>
      </c>
      <c r="G85" s="198" t="s">
        <v>6</v>
      </c>
      <c r="H85" s="198" t="s">
        <v>6</v>
      </c>
      <c r="I85" s="198" t="s">
        <v>6</v>
      </c>
      <c r="J85" s="193"/>
      <c r="K85" s="144"/>
    </row>
    <row r="86" spans="2:11" s="122" customFormat="1" ht="13.5" customHeight="1" thickTop="1" thickBot="1">
      <c r="B86" s="141"/>
      <c r="C86" s="402"/>
      <c r="D86" s="146"/>
      <c r="E86" s="142" t="s">
        <v>146</v>
      </c>
      <c r="F86" s="198" t="s">
        <v>20</v>
      </c>
      <c r="G86" s="198" t="s">
        <v>6</v>
      </c>
      <c r="H86" s="198" t="s">
        <v>207</v>
      </c>
      <c r="I86" s="198" t="s">
        <v>6</v>
      </c>
      <c r="J86" s="144" t="s">
        <v>261</v>
      </c>
      <c r="K86" s="233" t="s">
        <v>224</v>
      </c>
    </row>
    <row r="87" spans="2:11" s="122" customFormat="1" ht="13.5" customHeight="1" thickTop="1" thickBot="1">
      <c r="B87" s="141"/>
      <c r="C87" s="145" t="s">
        <v>145</v>
      </c>
      <c r="D87" s="145" t="s">
        <v>145</v>
      </c>
      <c r="E87" s="147" t="s">
        <v>115</v>
      </c>
      <c r="F87" s="198" t="s">
        <v>20</v>
      </c>
      <c r="G87" s="198" t="s">
        <v>6</v>
      </c>
      <c r="H87" s="198" t="s">
        <v>6</v>
      </c>
      <c r="I87" s="198" t="s">
        <v>6</v>
      </c>
      <c r="J87" s="233"/>
      <c r="K87" s="233"/>
    </row>
    <row r="88" spans="2:11" s="122" customFormat="1" ht="13.5" customHeight="1" thickTop="1" thickBot="1">
      <c r="B88" s="141"/>
      <c r="C88" s="148"/>
      <c r="D88" s="148"/>
      <c r="E88" s="147" t="s">
        <v>114</v>
      </c>
      <c r="F88" s="198" t="s">
        <v>20</v>
      </c>
      <c r="G88" s="198" t="s">
        <v>6</v>
      </c>
      <c r="H88" s="198" t="s">
        <v>207</v>
      </c>
      <c r="I88" s="143" t="s">
        <v>6</v>
      </c>
      <c r="J88" s="180" t="s">
        <v>236</v>
      </c>
      <c r="K88" s="180"/>
    </row>
    <row r="89" spans="2:11" s="122" customFormat="1" ht="13.5" customHeight="1" thickTop="1" thickBot="1">
      <c r="B89" s="141"/>
      <c r="C89" s="148"/>
      <c r="D89" s="148"/>
      <c r="E89" s="147" t="s">
        <v>113</v>
      </c>
      <c r="F89" s="198" t="s">
        <v>20</v>
      </c>
      <c r="G89" s="198" t="s">
        <v>6</v>
      </c>
      <c r="H89" s="198" t="s">
        <v>6</v>
      </c>
      <c r="I89" s="198" t="s">
        <v>6</v>
      </c>
      <c r="J89" s="233"/>
      <c r="K89" s="233"/>
    </row>
    <row r="90" spans="2:11" s="122" customFormat="1" ht="13.5" customHeight="1" thickTop="1" thickBot="1">
      <c r="B90" s="141"/>
      <c r="C90" s="146"/>
      <c r="D90" s="146"/>
      <c r="E90" s="147" t="s">
        <v>119</v>
      </c>
      <c r="F90" s="198" t="s">
        <v>20</v>
      </c>
      <c r="G90" s="198" t="s">
        <v>6</v>
      </c>
      <c r="H90" s="198" t="s">
        <v>6</v>
      </c>
      <c r="I90" s="198" t="s">
        <v>6</v>
      </c>
      <c r="J90" s="233"/>
      <c r="K90" s="233"/>
    </row>
    <row r="91" spans="2:11" s="122" customFormat="1" ht="13.5" customHeight="1" thickTop="1" thickBot="1">
      <c r="B91" s="141"/>
      <c r="C91" s="142" t="s">
        <v>144</v>
      </c>
      <c r="D91" s="142"/>
      <c r="E91" s="142"/>
      <c r="F91" s="198" t="s">
        <v>20</v>
      </c>
      <c r="G91" s="198" t="s">
        <v>6</v>
      </c>
      <c r="H91" s="198" t="s">
        <v>6</v>
      </c>
      <c r="I91" s="198" t="s">
        <v>20</v>
      </c>
      <c r="J91" s="233"/>
      <c r="K91" s="233"/>
    </row>
    <row r="92" spans="2:11" s="122" customFormat="1" ht="13.5" customHeight="1" thickTop="1" thickBot="1">
      <c r="B92" s="135" t="s">
        <v>143</v>
      </c>
      <c r="C92" s="155"/>
      <c r="D92" s="155"/>
      <c r="E92" s="136"/>
      <c r="F92" s="137"/>
      <c r="G92" s="137"/>
      <c r="H92" s="137"/>
      <c r="I92" s="136"/>
      <c r="J92" s="179"/>
      <c r="K92" s="179"/>
    </row>
    <row r="93" spans="2:11" s="122" customFormat="1" ht="13.5" customHeight="1" thickTop="1" thickBot="1">
      <c r="B93" s="156"/>
      <c r="C93" s="152" t="s">
        <v>654</v>
      </c>
      <c r="D93" s="145" t="s">
        <v>142</v>
      </c>
      <c r="E93" s="404" t="s">
        <v>115</v>
      </c>
      <c r="F93" s="405" t="s">
        <v>20</v>
      </c>
      <c r="G93" s="143" t="s">
        <v>6</v>
      </c>
      <c r="H93" s="143" t="s">
        <v>6</v>
      </c>
      <c r="I93" s="143" t="s">
        <v>207</v>
      </c>
      <c r="J93" s="406" t="s">
        <v>2995</v>
      </c>
      <c r="K93" s="406" t="s">
        <v>2996</v>
      </c>
    </row>
    <row r="94" spans="2:11" s="122" customFormat="1" ht="13.5" customHeight="1" thickTop="1" thickBot="1">
      <c r="B94" s="156"/>
      <c r="C94" s="154"/>
      <c r="D94" s="148"/>
      <c r="E94" s="147" t="s">
        <v>114</v>
      </c>
      <c r="F94" s="151" t="s">
        <v>20</v>
      </c>
      <c r="G94" s="198" t="s">
        <v>6</v>
      </c>
      <c r="H94" s="198" t="s">
        <v>6</v>
      </c>
      <c r="I94" s="198" t="s">
        <v>6</v>
      </c>
      <c r="J94" s="144"/>
      <c r="K94" s="144"/>
    </row>
    <row r="95" spans="2:11" s="122" customFormat="1" ht="13.5" customHeight="1" thickTop="1" thickBot="1">
      <c r="B95" s="156"/>
      <c r="C95" s="154"/>
      <c r="D95" s="148"/>
      <c r="E95" s="147" t="s">
        <v>113</v>
      </c>
      <c r="F95" s="151" t="s">
        <v>20</v>
      </c>
      <c r="G95" s="198" t="s">
        <v>6</v>
      </c>
      <c r="H95" s="198" t="s">
        <v>6</v>
      </c>
      <c r="I95" s="198" t="s">
        <v>6</v>
      </c>
      <c r="J95" s="144"/>
      <c r="K95" s="144"/>
    </row>
    <row r="96" spans="2:11" s="122" customFormat="1" ht="13.5" customHeight="1" thickTop="1" thickBot="1">
      <c r="B96" s="156"/>
      <c r="C96" s="154"/>
      <c r="D96" s="148"/>
      <c r="E96" s="147" t="s">
        <v>119</v>
      </c>
      <c r="F96" s="151" t="s">
        <v>20</v>
      </c>
      <c r="G96" s="198" t="s">
        <v>6</v>
      </c>
      <c r="H96" s="198" t="s">
        <v>6</v>
      </c>
      <c r="I96" s="198" t="s">
        <v>6</v>
      </c>
      <c r="J96" s="144"/>
      <c r="K96" s="144"/>
    </row>
    <row r="97" spans="2:11" s="122" customFormat="1" ht="13.5" customHeight="1" thickTop="1" thickBot="1">
      <c r="B97" s="156"/>
      <c r="C97" s="154"/>
      <c r="D97" s="148"/>
      <c r="E97" s="147" t="s">
        <v>118</v>
      </c>
      <c r="F97" s="151" t="s">
        <v>20</v>
      </c>
      <c r="G97" s="198" t="s">
        <v>6</v>
      </c>
      <c r="H97" s="198" t="s">
        <v>6</v>
      </c>
      <c r="I97" s="151" t="s">
        <v>207</v>
      </c>
      <c r="J97" s="144" t="s">
        <v>255</v>
      </c>
      <c r="K97" s="144"/>
    </row>
    <row r="98" spans="2:11" s="122" customFormat="1" ht="13.5" customHeight="1" thickTop="1" thickBot="1">
      <c r="B98" s="156"/>
      <c r="C98" s="154"/>
      <c r="D98" s="148"/>
      <c r="E98" s="147" t="s">
        <v>117</v>
      </c>
      <c r="F98" s="151" t="s">
        <v>207</v>
      </c>
      <c r="G98" s="198" t="s">
        <v>6</v>
      </c>
      <c r="H98" s="198" t="s">
        <v>6</v>
      </c>
      <c r="I98" s="198" t="s">
        <v>6</v>
      </c>
      <c r="J98" s="193"/>
      <c r="K98" s="233"/>
    </row>
    <row r="99" spans="2:11" s="122" customFormat="1" ht="13.5" customHeight="1" thickTop="1" thickBot="1">
      <c r="B99" s="156"/>
      <c r="C99" s="154"/>
      <c r="D99" s="148"/>
      <c r="E99" s="147" t="s">
        <v>133</v>
      </c>
      <c r="F99" s="151" t="s">
        <v>20</v>
      </c>
      <c r="G99" s="198" t="s">
        <v>6</v>
      </c>
      <c r="H99" s="198" t="s">
        <v>6</v>
      </c>
      <c r="I99" s="198" t="s">
        <v>6</v>
      </c>
      <c r="J99" s="193"/>
      <c r="K99" s="233"/>
    </row>
    <row r="100" spans="2:11" s="122" customFormat="1" ht="13.5" customHeight="1" thickTop="1" thickBot="1">
      <c r="B100" s="156"/>
      <c r="C100" s="154"/>
      <c r="D100" s="148"/>
      <c r="E100" s="147" t="s">
        <v>132</v>
      </c>
      <c r="F100" s="198" t="s">
        <v>20</v>
      </c>
      <c r="G100" s="198" t="s">
        <v>6</v>
      </c>
      <c r="H100" s="198" t="s">
        <v>6</v>
      </c>
      <c r="I100" s="198" t="s">
        <v>207</v>
      </c>
      <c r="J100" s="144" t="s">
        <v>235</v>
      </c>
      <c r="K100" s="233" t="s">
        <v>227</v>
      </c>
    </row>
    <row r="101" spans="2:11" s="122" customFormat="1" ht="13.5" customHeight="1" thickTop="1" thickBot="1">
      <c r="B101" s="156"/>
      <c r="C101" s="154"/>
      <c r="D101" s="148"/>
      <c r="E101" s="147" t="s">
        <v>130</v>
      </c>
      <c r="F101" s="198"/>
      <c r="G101" s="198"/>
      <c r="H101" s="198"/>
      <c r="I101" s="198"/>
      <c r="J101" s="144"/>
      <c r="K101" s="233"/>
    </row>
    <row r="102" spans="2:11" s="122" customFormat="1" ht="13.5" customHeight="1" thickTop="1" thickBot="1">
      <c r="B102" s="156"/>
      <c r="C102" s="154"/>
      <c r="D102" s="148"/>
      <c r="E102" s="147" t="s">
        <v>302</v>
      </c>
      <c r="F102" s="198"/>
      <c r="G102" s="198"/>
      <c r="H102" s="198"/>
      <c r="I102" s="198"/>
      <c r="J102" s="144"/>
      <c r="K102" s="233"/>
    </row>
    <row r="103" spans="2:11" s="122" customFormat="1" ht="13.5" customHeight="1" thickTop="1" thickBot="1">
      <c r="B103" s="156"/>
      <c r="C103" s="154"/>
      <c r="D103" s="148"/>
      <c r="E103" s="147" t="s">
        <v>303</v>
      </c>
      <c r="F103" s="198"/>
      <c r="G103" s="198"/>
      <c r="H103" s="198"/>
      <c r="I103" s="198"/>
      <c r="J103" s="144"/>
      <c r="K103" s="233"/>
    </row>
    <row r="104" spans="2:11" s="122" customFormat="1" ht="13.5" customHeight="1" thickTop="1" thickBot="1">
      <c r="B104" s="156"/>
      <c r="C104" s="154"/>
      <c r="D104" s="148"/>
      <c r="E104" s="147" t="s">
        <v>304</v>
      </c>
      <c r="F104" s="151" t="s">
        <v>20</v>
      </c>
      <c r="G104" s="198" t="s">
        <v>6</v>
      </c>
      <c r="H104" s="198" t="s">
        <v>6</v>
      </c>
      <c r="I104" s="198" t="s">
        <v>6</v>
      </c>
      <c r="J104" s="144"/>
      <c r="K104" s="144"/>
    </row>
    <row r="105" spans="2:11" s="122" customFormat="1" ht="13.5" customHeight="1" thickTop="1" thickBot="1">
      <c r="B105" s="156"/>
      <c r="C105" s="154"/>
      <c r="D105" s="148"/>
      <c r="E105" s="147" t="s">
        <v>305</v>
      </c>
      <c r="F105" s="151"/>
      <c r="G105" s="198"/>
      <c r="H105" s="198"/>
      <c r="I105" s="198"/>
      <c r="J105" s="144"/>
      <c r="K105" s="144"/>
    </row>
    <row r="106" spans="2:11" s="122" customFormat="1" ht="13.5" customHeight="1" thickTop="1" thickBot="1">
      <c r="B106" s="156"/>
      <c r="C106" s="153"/>
      <c r="D106" s="146"/>
      <c r="E106" s="147" t="s">
        <v>306</v>
      </c>
      <c r="F106" s="243" t="s">
        <v>20</v>
      </c>
      <c r="G106" s="245" t="s">
        <v>6</v>
      </c>
      <c r="H106" s="245" t="s">
        <v>6</v>
      </c>
      <c r="I106" s="245" t="s">
        <v>207</v>
      </c>
      <c r="J106" s="246" t="s">
        <v>307</v>
      </c>
      <c r="K106" s="144"/>
    </row>
    <row r="107" spans="2:11" s="240" customFormat="1" ht="13.5" customHeight="1" thickTop="1" thickBot="1">
      <c r="B107" s="156"/>
      <c r="C107" s="244" t="s">
        <v>655</v>
      </c>
      <c r="D107" s="148" t="s">
        <v>655</v>
      </c>
      <c r="E107" s="249"/>
      <c r="F107" s="243" t="s">
        <v>20</v>
      </c>
      <c r="G107" s="245" t="s">
        <v>648</v>
      </c>
      <c r="H107" s="245" t="s">
        <v>648</v>
      </c>
      <c r="I107" s="245" t="s">
        <v>207</v>
      </c>
      <c r="J107" s="246" t="s">
        <v>651</v>
      </c>
      <c r="K107" s="246"/>
    </row>
    <row r="108" spans="2:11" s="122" customFormat="1" ht="13.5" customHeight="1" thickTop="1" thickBot="1">
      <c r="B108" s="141"/>
      <c r="C108" s="152" t="s">
        <v>653</v>
      </c>
      <c r="D108" s="145" t="s">
        <v>141</v>
      </c>
      <c r="E108" s="249" t="s">
        <v>2553</v>
      </c>
      <c r="F108" s="243" t="s">
        <v>20</v>
      </c>
      <c r="G108" s="245" t="s">
        <v>232</v>
      </c>
      <c r="H108" s="245" t="s">
        <v>232</v>
      </c>
      <c r="I108" s="245" t="s">
        <v>207</v>
      </c>
      <c r="J108" s="246" t="s">
        <v>672</v>
      </c>
      <c r="K108" s="144"/>
    </row>
    <row r="109" spans="2:11" s="122" customFormat="1" ht="13.5" customHeight="1" thickTop="1" thickBot="1">
      <c r="B109" s="141"/>
      <c r="C109" s="154"/>
      <c r="D109" s="148"/>
      <c r="E109" s="249" t="s">
        <v>621</v>
      </c>
      <c r="F109" s="243" t="s">
        <v>207</v>
      </c>
      <c r="G109" s="245" t="s">
        <v>232</v>
      </c>
      <c r="H109" s="245" t="s">
        <v>232</v>
      </c>
      <c r="I109" s="245" t="s">
        <v>232</v>
      </c>
      <c r="J109" s="246" t="s">
        <v>659</v>
      </c>
      <c r="K109" s="144"/>
    </row>
    <row r="110" spans="2:11" s="122" customFormat="1" ht="13.5" customHeight="1" thickTop="1" thickBot="1">
      <c r="B110" s="141"/>
      <c r="C110" s="154"/>
      <c r="D110" s="148"/>
      <c r="E110" s="249" t="s">
        <v>633</v>
      </c>
      <c r="F110" s="243" t="s">
        <v>20</v>
      </c>
      <c r="G110" s="245" t="s">
        <v>232</v>
      </c>
      <c r="H110" s="245" t="s">
        <v>232</v>
      </c>
      <c r="I110" s="245" t="s">
        <v>207</v>
      </c>
      <c r="J110" s="246" t="s">
        <v>646</v>
      </c>
      <c r="K110" s="144"/>
    </row>
    <row r="111" spans="2:11" s="122" customFormat="1" ht="13.5" customHeight="1" thickTop="1" thickBot="1">
      <c r="B111" s="141"/>
      <c r="C111" s="154"/>
      <c r="D111" s="148"/>
      <c r="E111" s="249" t="s">
        <v>614</v>
      </c>
      <c r="F111" s="243" t="s">
        <v>20</v>
      </c>
      <c r="G111" s="245" t="s">
        <v>232</v>
      </c>
      <c r="H111" s="245" t="s">
        <v>232</v>
      </c>
      <c r="I111" s="245" t="s">
        <v>207</v>
      </c>
      <c r="J111" s="246" t="s">
        <v>658</v>
      </c>
      <c r="K111" s="144"/>
    </row>
    <row r="112" spans="2:11" s="240" customFormat="1" ht="13.5" customHeight="1" thickTop="1" thickBot="1">
      <c r="B112" s="241"/>
      <c r="C112" s="244"/>
      <c r="D112" s="148"/>
      <c r="E112" s="249" t="s">
        <v>617</v>
      </c>
      <c r="F112" s="243" t="s">
        <v>20</v>
      </c>
      <c r="G112" s="245" t="s">
        <v>232</v>
      </c>
      <c r="H112" s="245" t="s">
        <v>232</v>
      </c>
      <c r="I112" s="245" t="s">
        <v>207</v>
      </c>
      <c r="J112" s="246" t="s">
        <v>656</v>
      </c>
      <c r="K112" s="242"/>
    </row>
    <row r="113" spans="2:11" s="240" customFormat="1" ht="13.5" customHeight="1" thickTop="1" thickBot="1">
      <c r="B113" s="241"/>
      <c r="C113" s="244"/>
      <c r="D113" s="148"/>
      <c r="E113" s="249" t="s">
        <v>619</v>
      </c>
      <c r="F113" s="245" t="s">
        <v>20</v>
      </c>
      <c r="G113" s="245" t="s">
        <v>20</v>
      </c>
      <c r="H113" s="245" t="s">
        <v>232</v>
      </c>
      <c r="I113" s="245" t="s">
        <v>207</v>
      </c>
      <c r="J113" s="246"/>
      <c r="K113" s="242"/>
    </row>
    <row r="114" spans="2:11" s="240" customFormat="1" ht="13.5" customHeight="1" thickTop="1" thickBot="1">
      <c r="B114" s="241"/>
      <c r="C114" s="244"/>
      <c r="D114" s="148"/>
      <c r="E114" s="249" t="s">
        <v>2554</v>
      </c>
      <c r="F114" s="245" t="s">
        <v>20</v>
      </c>
      <c r="G114" s="245" t="s">
        <v>20</v>
      </c>
      <c r="H114" s="245" t="s">
        <v>232</v>
      </c>
      <c r="I114" s="245" t="s">
        <v>20</v>
      </c>
      <c r="J114" s="246"/>
      <c r="K114" s="242"/>
    </row>
    <row r="115" spans="2:11" s="122" customFormat="1" ht="13.5" customHeight="1" thickTop="1" thickBot="1">
      <c r="B115" s="141"/>
      <c r="C115" s="154"/>
      <c r="D115" s="148"/>
      <c r="E115" s="249" t="s">
        <v>2555</v>
      </c>
      <c r="F115" s="245" t="s">
        <v>20</v>
      </c>
      <c r="G115" s="245" t="s">
        <v>20</v>
      </c>
      <c r="H115" s="245" t="s">
        <v>232</v>
      </c>
      <c r="I115" s="245" t="s">
        <v>20</v>
      </c>
      <c r="J115" s="246" t="s">
        <v>657</v>
      </c>
      <c r="K115" s="144"/>
    </row>
    <row r="116" spans="2:11" s="240" customFormat="1" ht="13.5" customHeight="1" thickTop="1" thickBot="1">
      <c r="B116" s="241"/>
      <c r="C116" s="152" t="s">
        <v>652</v>
      </c>
      <c r="D116" s="250" t="s">
        <v>647</v>
      </c>
      <c r="E116" s="249" t="s">
        <v>2553</v>
      </c>
      <c r="F116" s="243" t="s">
        <v>20</v>
      </c>
      <c r="G116" s="245" t="s">
        <v>648</v>
      </c>
      <c r="H116" s="245" t="s">
        <v>648</v>
      </c>
      <c r="I116" s="245" t="s">
        <v>207</v>
      </c>
      <c r="J116" s="246" t="s">
        <v>649</v>
      </c>
      <c r="K116" s="246"/>
    </row>
    <row r="117" spans="2:11" s="240" customFormat="1" ht="13.5" customHeight="1" thickTop="1" thickBot="1">
      <c r="B117" s="241"/>
      <c r="C117" s="244"/>
      <c r="D117" s="251"/>
      <c r="E117" s="249" t="s">
        <v>621</v>
      </c>
      <c r="F117" s="243" t="s">
        <v>20</v>
      </c>
      <c r="G117" s="245" t="s">
        <v>648</v>
      </c>
      <c r="H117" s="245" t="s">
        <v>648</v>
      </c>
      <c r="I117" s="245" t="s">
        <v>207</v>
      </c>
      <c r="J117" s="246" t="s">
        <v>650</v>
      </c>
      <c r="K117" s="246"/>
    </row>
    <row r="118" spans="2:11" s="240" customFormat="1" ht="13.5" customHeight="1" thickTop="1" thickBot="1">
      <c r="B118" s="241"/>
      <c r="C118" s="244"/>
      <c r="D118" s="252"/>
      <c r="E118" s="249" t="s">
        <v>633</v>
      </c>
      <c r="F118" s="243" t="s">
        <v>20</v>
      </c>
      <c r="G118" s="245" t="s">
        <v>648</v>
      </c>
      <c r="H118" s="245" t="s">
        <v>648</v>
      </c>
      <c r="I118" s="245" t="s">
        <v>207</v>
      </c>
      <c r="J118" s="246" t="s">
        <v>651</v>
      </c>
      <c r="K118" s="246"/>
    </row>
    <row r="119" spans="2:11" s="122" customFormat="1" ht="13.5" customHeight="1" thickTop="1" thickBot="1">
      <c r="B119" s="141"/>
      <c r="C119" s="145" t="s">
        <v>140</v>
      </c>
      <c r="D119" s="145" t="s">
        <v>139</v>
      </c>
      <c r="E119" s="147" t="s">
        <v>115</v>
      </c>
      <c r="F119" s="151" t="s">
        <v>20</v>
      </c>
      <c r="G119" s="198" t="s">
        <v>6</v>
      </c>
      <c r="H119" s="198" t="s">
        <v>6</v>
      </c>
      <c r="I119" s="151" t="s">
        <v>207</v>
      </c>
      <c r="J119" s="144" t="s">
        <v>225</v>
      </c>
      <c r="K119" s="233" t="s">
        <v>224</v>
      </c>
    </row>
    <row r="120" spans="2:11" s="122" customFormat="1" ht="13.5" customHeight="1" thickTop="1" thickBot="1">
      <c r="B120" s="141"/>
      <c r="C120" s="148"/>
      <c r="D120" s="148"/>
      <c r="E120" s="147" t="s">
        <v>114</v>
      </c>
      <c r="F120" s="151" t="s">
        <v>20</v>
      </c>
      <c r="G120" s="198" t="s">
        <v>6</v>
      </c>
      <c r="H120" s="198" t="s">
        <v>6</v>
      </c>
      <c r="I120" s="151" t="s">
        <v>207</v>
      </c>
      <c r="J120" s="144" t="s">
        <v>225</v>
      </c>
      <c r="K120" s="233" t="s">
        <v>224</v>
      </c>
    </row>
    <row r="121" spans="2:11" s="122" customFormat="1" ht="13.5" customHeight="1" thickTop="1" thickBot="1">
      <c r="B121" s="141"/>
      <c r="C121" s="148"/>
      <c r="D121" s="148"/>
      <c r="E121" s="147" t="s">
        <v>113</v>
      </c>
      <c r="F121" s="151" t="s">
        <v>20</v>
      </c>
      <c r="G121" s="198" t="s">
        <v>6</v>
      </c>
      <c r="H121" s="198" t="s">
        <v>6</v>
      </c>
      <c r="I121" s="151" t="s">
        <v>207</v>
      </c>
      <c r="J121" s="144" t="s">
        <v>225</v>
      </c>
      <c r="K121" s="233" t="s">
        <v>224</v>
      </c>
    </row>
    <row r="122" spans="2:11" s="122" customFormat="1" ht="13.5" customHeight="1" thickTop="1" thickBot="1">
      <c r="B122" s="141"/>
      <c r="C122" s="148"/>
      <c r="D122" s="148"/>
      <c r="E122" s="147" t="s">
        <v>119</v>
      </c>
      <c r="F122" s="151" t="s">
        <v>20</v>
      </c>
      <c r="G122" s="198" t="s">
        <v>6</v>
      </c>
      <c r="H122" s="198" t="s">
        <v>6</v>
      </c>
      <c r="I122" s="151" t="s">
        <v>207</v>
      </c>
      <c r="J122" s="144" t="s">
        <v>225</v>
      </c>
      <c r="K122" s="233" t="s">
        <v>224</v>
      </c>
    </row>
    <row r="123" spans="2:11" s="122" customFormat="1" ht="13.5" customHeight="1" thickTop="1" thickBot="1">
      <c r="B123" s="141"/>
      <c r="C123" s="148"/>
      <c r="D123" s="148"/>
      <c r="E123" s="147" t="s">
        <v>118</v>
      </c>
      <c r="F123" s="151" t="s">
        <v>20</v>
      </c>
      <c r="G123" s="198" t="s">
        <v>6</v>
      </c>
      <c r="H123" s="198" t="s">
        <v>6</v>
      </c>
      <c r="I123" s="151" t="s">
        <v>207</v>
      </c>
      <c r="J123" s="144" t="s">
        <v>225</v>
      </c>
      <c r="K123" s="233" t="s">
        <v>224</v>
      </c>
    </row>
    <row r="124" spans="2:11" s="122" customFormat="1" ht="13.5" customHeight="1" thickTop="1" thickBot="1">
      <c r="B124" s="141"/>
      <c r="C124" s="148"/>
      <c r="D124" s="148"/>
      <c r="E124" s="147" t="s">
        <v>117</v>
      </c>
      <c r="F124" s="151" t="s">
        <v>20</v>
      </c>
      <c r="G124" s="198" t="s">
        <v>6</v>
      </c>
      <c r="H124" s="198" t="s">
        <v>6</v>
      </c>
      <c r="I124" s="151" t="s">
        <v>207</v>
      </c>
      <c r="J124" s="144" t="s">
        <v>225</v>
      </c>
      <c r="K124" s="233" t="s">
        <v>224</v>
      </c>
    </row>
    <row r="125" spans="2:11" s="122" customFormat="1" ht="13.5" customHeight="1" thickTop="1" thickBot="1">
      <c r="B125" s="141"/>
      <c r="C125" s="148"/>
      <c r="D125" s="148"/>
      <c r="E125" s="147" t="s">
        <v>133</v>
      </c>
      <c r="F125" s="151" t="s">
        <v>20</v>
      </c>
      <c r="G125" s="198" t="s">
        <v>6</v>
      </c>
      <c r="H125" s="198" t="s">
        <v>6</v>
      </c>
      <c r="I125" s="151" t="s">
        <v>207</v>
      </c>
      <c r="J125" s="144" t="s">
        <v>225</v>
      </c>
      <c r="K125" s="235" t="s">
        <v>224</v>
      </c>
    </row>
    <row r="126" spans="2:11" s="122" customFormat="1" ht="13.5" customHeight="1" thickTop="1" thickBot="1">
      <c r="B126" s="141"/>
      <c r="C126" s="148"/>
      <c r="D126" s="146"/>
      <c r="E126" s="147" t="s">
        <v>132</v>
      </c>
      <c r="F126" s="151" t="s">
        <v>20</v>
      </c>
      <c r="G126" s="198" t="s">
        <v>6</v>
      </c>
      <c r="H126" s="198" t="s">
        <v>6</v>
      </c>
      <c r="I126" s="151" t="s">
        <v>207</v>
      </c>
      <c r="J126" s="144" t="s">
        <v>225</v>
      </c>
      <c r="K126" s="235" t="s">
        <v>224</v>
      </c>
    </row>
    <row r="127" spans="2:11" s="122" customFormat="1" ht="13.5" customHeight="1" thickTop="1" thickBot="1">
      <c r="B127" s="141"/>
      <c r="C127" s="148"/>
      <c r="D127" s="145" t="s">
        <v>138</v>
      </c>
      <c r="E127" s="147" t="s">
        <v>115</v>
      </c>
      <c r="F127" s="151" t="s">
        <v>20</v>
      </c>
      <c r="G127" s="198" t="s">
        <v>6</v>
      </c>
      <c r="H127" s="245" t="s">
        <v>6</v>
      </c>
      <c r="I127" s="245" t="s">
        <v>207</v>
      </c>
      <c r="J127" s="246" t="s">
        <v>2556</v>
      </c>
      <c r="K127" s="144"/>
    </row>
    <row r="128" spans="2:11" s="122" customFormat="1" ht="13.5" customHeight="1" thickTop="1" thickBot="1">
      <c r="B128" s="141"/>
      <c r="C128" s="148"/>
      <c r="D128" s="148"/>
      <c r="E128" s="147" t="s">
        <v>114</v>
      </c>
      <c r="F128" s="151" t="s">
        <v>20</v>
      </c>
      <c r="G128" s="198" t="s">
        <v>6</v>
      </c>
      <c r="H128" s="245" t="s">
        <v>6</v>
      </c>
      <c r="I128" s="245" t="s">
        <v>207</v>
      </c>
      <c r="J128" s="246" t="s">
        <v>2556</v>
      </c>
      <c r="K128" s="144"/>
    </row>
    <row r="129" spans="2:11" s="122" customFormat="1" ht="13.5" customHeight="1" thickTop="1" thickBot="1">
      <c r="B129" s="141"/>
      <c r="C129" s="148"/>
      <c r="D129" s="148"/>
      <c r="E129" s="147" t="s">
        <v>113</v>
      </c>
      <c r="F129" s="151" t="s">
        <v>20</v>
      </c>
      <c r="G129" s="198" t="s">
        <v>6</v>
      </c>
      <c r="H129" s="245" t="s">
        <v>6</v>
      </c>
      <c r="I129" s="245" t="s">
        <v>207</v>
      </c>
      <c r="J129" s="246" t="s">
        <v>2556</v>
      </c>
      <c r="K129" s="144"/>
    </row>
    <row r="130" spans="2:11" s="122" customFormat="1" ht="13.5" customHeight="1" thickTop="1" thickBot="1">
      <c r="B130" s="141"/>
      <c r="C130" s="148"/>
      <c r="D130" s="148"/>
      <c r="E130" s="147" t="s">
        <v>119</v>
      </c>
      <c r="F130" s="151" t="s">
        <v>20</v>
      </c>
      <c r="G130" s="198" t="s">
        <v>6</v>
      </c>
      <c r="H130" s="245" t="s">
        <v>6</v>
      </c>
      <c r="I130" s="245" t="s">
        <v>207</v>
      </c>
      <c r="J130" s="246" t="s">
        <v>2556</v>
      </c>
      <c r="K130" s="144"/>
    </row>
    <row r="131" spans="2:11" s="122" customFormat="1" ht="13.5" customHeight="1" thickTop="1" thickBot="1">
      <c r="B131" s="141"/>
      <c r="C131" s="148"/>
      <c r="D131" s="148"/>
      <c r="E131" s="147" t="s">
        <v>118</v>
      </c>
      <c r="F131" s="151" t="s">
        <v>20</v>
      </c>
      <c r="G131" s="198" t="s">
        <v>6</v>
      </c>
      <c r="H131" s="245" t="s">
        <v>6</v>
      </c>
      <c r="I131" s="245" t="s">
        <v>207</v>
      </c>
      <c r="J131" s="246" t="s">
        <v>2556</v>
      </c>
      <c r="K131" s="144"/>
    </row>
    <row r="132" spans="2:11" s="122" customFormat="1" ht="13.5" customHeight="1" thickTop="1" thickBot="1">
      <c r="B132" s="141"/>
      <c r="C132" s="148"/>
      <c r="D132" s="148"/>
      <c r="E132" s="147" t="s">
        <v>117</v>
      </c>
      <c r="F132" s="151" t="s">
        <v>20</v>
      </c>
      <c r="G132" s="198" t="s">
        <v>6</v>
      </c>
      <c r="H132" s="245" t="s">
        <v>207</v>
      </c>
      <c r="I132" s="198" t="s">
        <v>6</v>
      </c>
      <c r="J132" s="144"/>
      <c r="K132" s="144"/>
    </row>
    <row r="133" spans="2:11" s="122" customFormat="1" ht="13.5" customHeight="1" thickTop="1" thickBot="1">
      <c r="B133" s="141"/>
      <c r="C133" s="148"/>
      <c r="D133" s="148"/>
      <c r="E133" s="147" t="s">
        <v>133</v>
      </c>
      <c r="F133" s="151" t="s">
        <v>20</v>
      </c>
      <c r="G133" s="198" t="s">
        <v>6</v>
      </c>
      <c r="H133" s="245" t="s">
        <v>207</v>
      </c>
      <c r="I133" s="198" t="s">
        <v>6</v>
      </c>
      <c r="J133" s="144"/>
      <c r="K133" s="144"/>
    </row>
    <row r="134" spans="2:11" s="122" customFormat="1" ht="13.5" customHeight="1" thickTop="1" thickBot="1">
      <c r="B134" s="141"/>
      <c r="C134" s="146"/>
      <c r="D134" s="146"/>
      <c r="E134" s="147" t="s">
        <v>132</v>
      </c>
      <c r="F134" s="151" t="s">
        <v>20</v>
      </c>
      <c r="G134" s="198" t="s">
        <v>6</v>
      </c>
      <c r="H134" s="245" t="s">
        <v>207</v>
      </c>
      <c r="I134" s="198" t="s">
        <v>6</v>
      </c>
      <c r="J134" s="144"/>
      <c r="K134" s="144"/>
    </row>
    <row r="135" spans="2:11" s="122" customFormat="1" ht="13.5" customHeight="1" thickTop="1" thickBot="1">
      <c r="B135" s="141"/>
      <c r="C135" s="142" t="s">
        <v>137</v>
      </c>
      <c r="D135" s="142" t="s">
        <v>137</v>
      </c>
      <c r="E135" s="142"/>
      <c r="F135" s="198" t="s">
        <v>20</v>
      </c>
      <c r="G135" s="198" t="s">
        <v>6</v>
      </c>
      <c r="H135" s="198" t="s">
        <v>6</v>
      </c>
      <c r="I135" s="198" t="s">
        <v>6</v>
      </c>
      <c r="J135" s="233"/>
      <c r="K135" s="233"/>
    </row>
    <row r="136" spans="2:11" s="122" customFormat="1" ht="13.5" customHeight="1" thickTop="1" thickBot="1">
      <c r="B136" s="141"/>
      <c r="C136" s="145" t="s">
        <v>136</v>
      </c>
      <c r="D136" s="145" t="s">
        <v>135</v>
      </c>
      <c r="E136" s="147" t="s">
        <v>115</v>
      </c>
      <c r="F136" s="198" t="s">
        <v>20</v>
      </c>
      <c r="G136" s="198" t="s">
        <v>6</v>
      </c>
      <c r="H136" s="198" t="s">
        <v>6</v>
      </c>
      <c r="I136" s="198" t="s">
        <v>6</v>
      </c>
      <c r="J136" s="193"/>
      <c r="K136" s="233"/>
    </row>
    <row r="137" spans="2:11" s="122" customFormat="1" ht="13.5" customHeight="1" thickTop="1" thickBot="1">
      <c r="B137" s="141"/>
      <c r="C137" s="148"/>
      <c r="D137" s="148"/>
      <c r="E137" s="147" t="s">
        <v>114</v>
      </c>
      <c r="F137" s="151" t="s">
        <v>20</v>
      </c>
      <c r="G137" s="198" t="s">
        <v>6</v>
      </c>
      <c r="H137" s="198" t="s">
        <v>6</v>
      </c>
      <c r="I137" s="198" t="s">
        <v>6</v>
      </c>
      <c r="J137" s="193"/>
      <c r="K137" s="233"/>
    </row>
    <row r="138" spans="2:11" s="122" customFormat="1" ht="13.5" customHeight="1" thickTop="1" thickBot="1">
      <c r="B138" s="141"/>
      <c r="C138" s="148"/>
      <c r="D138" s="148"/>
      <c r="E138" s="147" t="s">
        <v>113</v>
      </c>
      <c r="F138" s="151" t="s">
        <v>20</v>
      </c>
      <c r="G138" s="198" t="s">
        <v>6</v>
      </c>
      <c r="H138" s="198" t="s">
        <v>6</v>
      </c>
      <c r="I138" s="198" t="s">
        <v>6</v>
      </c>
      <c r="J138" s="193"/>
      <c r="K138" s="233"/>
    </row>
    <row r="139" spans="2:11" s="122" customFormat="1" ht="13.5" customHeight="1" thickTop="1" thickBot="1">
      <c r="B139" s="141"/>
      <c r="C139" s="148"/>
      <c r="D139" s="146"/>
      <c r="E139" s="147" t="s">
        <v>119</v>
      </c>
      <c r="F139" s="151" t="s">
        <v>20</v>
      </c>
      <c r="G139" s="198" t="s">
        <v>6</v>
      </c>
      <c r="H139" s="198" t="s">
        <v>6</v>
      </c>
      <c r="I139" s="198" t="s">
        <v>6</v>
      </c>
      <c r="J139" s="193"/>
      <c r="K139" s="233"/>
    </row>
    <row r="140" spans="2:11" s="122" customFormat="1" ht="13.5" customHeight="1" thickTop="1" thickBot="1">
      <c r="B140" s="141"/>
      <c r="C140" s="148"/>
      <c r="D140" s="145" t="s">
        <v>134</v>
      </c>
      <c r="E140" s="147" t="s">
        <v>118</v>
      </c>
      <c r="F140" s="151" t="s">
        <v>20</v>
      </c>
      <c r="G140" s="198" t="s">
        <v>6</v>
      </c>
      <c r="H140" s="198" t="s">
        <v>6</v>
      </c>
      <c r="I140" s="198" t="s">
        <v>6</v>
      </c>
      <c r="J140" s="193"/>
      <c r="K140" s="233"/>
    </row>
    <row r="141" spans="2:11" s="122" customFormat="1" ht="13.5" customHeight="1" thickTop="1" thickBot="1">
      <c r="B141" s="141"/>
      <c r="C141" s="148"/>
      <c r="D141" s="148"/>
      <c r="E141" s="147" t="s">
        <v>117</v>
      </c>
      <c r="F141" s="151" t="s">
        <v>20</v>
      </c>
      <c r="G141" s="198" t="s">
        <v>6</v>
      </c>
      <c r="H141" s="198" t="s">
        <v>6</v>
      </c>
      <c r="I141" s="198" t="s">
        <v>6</v>
      </c>
      <c r="J141" s="193"/>
      <c r="K141" s="233"/>
    </row>
    <row r="142" spans="2:11" s="122" customFormat="1" ht="13.5" customHeight="1" thickTop="1" thickBot="1">
      <c r="B142" s="141"/>
      <c r="C142" s="148"/>
      <c r="D142" s="148"/>
      <c r="E142" s="147" t="s">
        <v>133</v>
      </c>
      <c r="F142" s="151" t="s">
        <v>20</v>
      </c>
      <c r="G142" s="198" t="s">
        <v>6</v>
      </c>
      <c r="H142" s="198" t="s">
        <v>6</v>
      </c>
      <c r="I142" s="198" t="s">
        <v>6</v>
      </c>
      <c r="J142" s="193"/>
      <c r="K142" s="233"/>
    </row>
    <row r="143" spans="2:11" s="122" customFormat="1" ht="13.5" customHeight="1" thickTop="1" thickBot="1">
      <c r="B143" s="141"/>
      <c r="C143" s="148"/>
      <c r="D143" s="146"/>
      <c r="E143" s="147" t="s">
        <v>132</v>
      </c>
      <c r="F143" s="151" t="s">
        <v>20</v>
      </c>
      <c r="G143" s="198" t="s">
        <v>6</v>
      </c>
      <c r="H143" s="198" t="s">
        <v>6</v>
      </c>
      <c r="I143" s="198" t="s">
        <v>6</v>
      </c>
      <c r="J143" s="193"/>
      <c r="K143" s="233"/>
    </row>
    <row r="144" spans="2:11" s="122" customFormat="1" ht="13.5" customHeight="1" thickTop="1" thickBot="1">
      <c r="B144" s="141"/>
      <c r="C144" s="148"/>
      <c r="D144" s="145" t="s">
        <v>131</v>
      </c>
      <c r="E144" s="147" t="s">
        <v>130</v>
      </c>
      <c r="F144" s="151" t="s">
        <v>20</v>
      </c>
      <c r="G144" s="198" t="s">
        <v>6</v>
      </c>
      <c r="H144" s="198" t="s">
        <v>6</v>
      </c>
      <c r="I144" s="198" t="s">
        <v>6</v>
      </c>
      <c r="J144" s="193"/>
      <c r="K144" s="233"/>
    </row>
    <row r="145" spans="2:11" s="122" customFormat="1" ht="13.5" customHeight="1" thickTop="1" thickBot="1">
      <c r="B145" s="141"/>
      <c r="C145" s="148"/>
      <c r="D145" s="148"/>
      <c r="E145" s="147" t="s">
        <v>129</v>
      </c>
      <c r="F145" s="151" t="s">
        <v>20</v>
      </c>
      <c r="G145" s="198" t="s">
        <v>6</v>
      </c>
      <c r="H145" s="198" t="s">
        <v>6</v>
      </c>
      <c r="I145" s="198" t="s">
        <v>6</v>
      </c>
      <c r="J145" s="193"/>
      <c r="K145" s="233"/>
    </row>
    <row r="146" spans="2:11" s="122" customFormat="1" ht="13.5" customHeight="1" thickTop="1" thickBot="1">
      <c r="B146" s="141"/>
      <c r="C146" s="148"/>
      <c r="D146" s="148"/>
      <c r="E146" s="147" t="s">
        <v>128</v>
      </c>
      <c r="F146" s="151" t="s">
        <v>20</v>
      </c>
      <c r="G146" s="198" t="s">
        <v>6</v>
      </c>
      <c r="H146" s="198" t="s">
        <v>6</v>
      </c>
      <c r="I146" s="198" t="s">
        <v>6</v>
      </c>
      <c r="J146" s="193"/>
      <c r="K146" s="233"/>
    </row>
    <row r="147" spans="2:11" s="122" customFormat="1" ht="13.5" customHeight="1" thickTop="1" thickBot="1">
      <c r="B147" s="141"/>
      <c r="C147" s="148"/>
      <c r="D147" s="146"/>
      <c r="E147" s="147" t="s">
        <v>127</v>
      </c>
      <c r="F147" s="151" t="s">
        <v>20</v>
      </c>
      <c r="G147" s="198" t="s">
        <v>6</v>
      </c>
      <c r="H147" s="198" t="s">
        <v>6</v>
      </c>
      <c r="I147" s="198" t="s">
        <v>6</v>
      </c>
      <c r="J147" s="193"/>
      <c r="K147" s="144"/>
    </row>
    <row r="148" spans="2:11" s="122" customFormat="1" ht="13.5" customHeight="1" thickTop="1" thickBot="1">
      <c r="B148" s="141"/>
      <c r="C148" s="148"/>
      <c r="D148" s="145" t="s">
        <v>126</v>
      </c>
      <c r="E148" s="147" t="s">
        <v>125</v>
      </c>
      <c r="F148" s="151" t="s">
        <v>20</v>
      </c>
      <c r="G148" s="198" t="s">
        <v>6</v>
      </c>
      <c r="H148" s="198" t="s">
        <v>6</v>
      </c>
      <c r="I148" s="245" t="s">
        <v>207</v>
      </c>
      <c r="J148" s="247" t="s">
        <v>643</v>
      </c>
      <c r="K148" s="233"/>
    </row>
    <row r="149" spans="2:11" s="122" customFormat="1" ht="13.5" customHeight="1" thickTop="1" thickBot="1">
      <c r="B149" s="141"/>
      <c r="C149" s="148"/>
      <c r="D149" s="148"/>
      <c r="E149" s="147" t="s">
        <v>124</v>
      </c>
      <c r="F149" s="151" t="s">
        <v>20</v>
      </c>
      <c r="G149" s="198" t="s">
        <v>6</v>
      </c>
      <c r="H149" s="198" t="s">
        <v>6</v>
      </c>
      <c r="I149" s="245" t="s">
        <v>207</v>
      </c>
      <c r="J149" s="373" t="s">
        <v>2546</v>
      </c>
      <c r="K149" s="233"/>
    </row>
    <row r="150" spans="2:11" s="122" customFormat="1" ht="13.5" customHeight="1" thickTop="1" thickBot="1">
      <c r="B150" s="141"/>
      <c r="C150" s="148"/>
      <c r="D150" s="148"/>
      <c r="E150" s="147" t="s">
        <v>123</v>
      </c>
      <c r="F150" s="151" t="s">
        <v>20</v>
      </c>
      <c r="G150" s="198" t="s">
        <v>6</v>
      </c>
      <c r="H150" s="198" t="s">
        <v>6</v>
      </c>
      <c r="I150" s="245" t="s">
        <v>207</v>
      </c>
      <c r="J150" s="247" t="s">
        <v>642</v>
      </c>
      <c r="K150" s="233"/>
    </row>
    <row r="151" spans="2:11" s="122" customFormat="1" ht="13.5" customHeight="1" thickTop="1" thickBot="1">
      <c r="B151" s="141"/>
      <c r="C151" s="146"/>
      <c r="D151" s="146"/>
      <c r="E151" s="147" t="s">
        <v>122</v>
      </c>
      <c r="F151" s="151" t="s">
        <v>20</v>
      </c>
      <c r="G151" s="198" t="s">
        <v>6</v>
      </c>
      <c r="H151" s="198" t="s">
        <v>6</v>
      </c>
      <c r="I151" s="245" t="s">
        <v>207</v>
      </c>
      <c r="J151" s="247" t="s">
        <v>644</v>
      </c>
      <c r="K151" s="233"/>
    </row>
    <row r="152" spans="2:11" s="122" customFormat="1" ht="13.5" customHeight="1" thickTop="1" thickBot="1">
      <c r="B152" s="141"/>
      <c r="C152" s="145" t="s">
        <v>121</v>
      </c>
      <c r="D152" s="142" t="s">
        <v>120</v>
      </c>
      <c r="E152" s="147" t="s">
        <v>115</v>
      </c>
      <c r="F152" s="198" t="s">
        <v>20</v>
      </c>
      <c r="G152" s="198" t="s">
        <v>6</v>
      </c>
      <c r="H152" s="198" t="s">
        <v>6</v>
      </c>
      <c r="I152" s="198" t="s">
        <v>6</v>
      </c>
      <c r="J152" s="233"/>
      <c r="K152" s="233"/>
    </row>
    <row r="153" spans="2:11" s="122" customFormat="1" ht="13.5" customHeight="1" thickTop="1" thickBot="1">
      <c r="B153" s="141"/>
      <c r="C153" s="148"/>
      <c r="D153" s="142"/>
      <c r="E153" s="147" t="s">
        <v>114</v>
      </c>
      <c r="F153" s="198" t="s">
        <v>20</v>
      </c>
      <c r="G153" s="198" t="s">
        <v>6</v>
      </c>
      <c r="H153" s="198" t="s">
        <v>6</v>
      </c>
      <c r="I153" s="198" t="s">
        <v>6</v>
      </c>
      <c r="J153" s="233"/>
      <c r="K153" s="233"/>
    </row>
    <row r="154" spans="2:11" s="122" customFormat="1" ht="13.5" customHeight="1" thickTop="1" thickBot="1">
      <c r="B154" s="141"/>
      <c r="C154" s="148"/>
      <c r="D154" s="142"/>
      <c r="E154" s="147" t="s">
        <v>113</v>
      </c>
      <c r="F154" s="198" t="s">
        <v>20</v>
      </c>
      <c r="G154" s="198" t="s">
        <v>6</v>
      </c>
      <c r="H154" s="198" t="s">
        <v>6</v>
      </c>
      <c r="I154" s="198" t="s">
        <v>6</v>
      </c>
      <c r="J154" s="233"/>
      <c r="K154" s="233"/>
    </row>
    <row r="155" spans="2:11" s="122" customFormat="1" ht="13.5" customHeight="1" thickTop="1" thickBot="1">
      <c r="B155" s="141"/>
      <c r="C155" s="148"/>
      <c r="D155" s="142"/>
      <c r="E155" s="147" t="s">
        <v>119</v>
      </c>
      <c r="F155" s="198" t="s">
        <v>20</v>
      </c>
      <c r="G155" s="198" t="s">
        <v>6</v>
      </c>
      <c r="H155" s="198" t="s">
        <v>6</v>
      </c>
      <c r="I155" s="198" t="s">
        <v>6</v>
      </c>
      <c r="J155" s="233"/>
      <c r="K155" s="233"/>
    </row>
    <row r="156" spans="2:11" s="122" customFormat="1" ht="13.5" customHeight="1" thickTop="1" thickBot="1">
      <c r="B156" s="141"/>
      <c r="C156" s="148"/>
      <c r="D156" s="142"/>
      <c r="E156" s="147" t="s">
        <v>118</v>
      </c>
      <c r="F156" s="198" t="s">
        <v>20</v>
      </c>
      <c r="G156" s="198" t="s">
        <v>6</v>
      </c>
      <c r="H156" s="198" t="s">
        <v>6</v>
      </c>
      <c r="I156" s="198" t="s">
        <v>6</v>
      </c>
      <c r="J156" s="233"/>
      <c r="K156" s="233"/>
    </row>
    <row r="157" spans="2:11" s="122" customFormat="1" ht="13.5" customHeight="1" thickTop="1" thickBot="1">
      <c r="B157" s="141"/>
      <c r="C157" s="146"/>
      <c r="D157" s="142"/>
      <c r="E157" s="147" t="s">
        <v>117</v>
      </c>
      <c r="F157" s="198" t="s">
        <v>20</v>
      </c>
      <c r="G157" s="198" t="s">
        <v>6</v>
      </c>
      <c r="H157" s="198" t="s">
        <v>6</v>
      </c>
      <c r="I157" s="245" t="s">
        <v>207</v>
      </c>
      <c r="J157" s="247" t="s">
        <v>645</v>
      </c>
      <c r="K157" s="233"/>
    </row>
    <row r="158" spans="2:11" s="122" customFormat="1" ht="13.5" customHeight="1" thickTop="1" thickBot="1">
      <c r="B158" s="141"/>
      <c r="C158" s="145" t="s">
        <v>116</v>
      </c>
      <c r="D158" s="142"/>
      <c r="E158" s="147" t="s">
        <v>115</v>
      </c>
      <c r="F158" s="151" t="s">
        <v>20</v>
      </c>
      <c r="G158" s="198" t="s">
        <v>6</v>
      </c>
      <c r="H158" s="198" t="s">
        <v>6</v>
      </c>
      <c r="I158" s="198" t="s">
        <v>6</v>
      </c>
      <c r="J158" s="144"/>
      <c r="K158" s="144"/>
    </row>
    <row r="159" spans="2:11" s="122" customFormat="1" ht="13.5" customHeight="1" thickTop="1" thickBot="1">
      <c r="B159" s="141"/>
      <c r="C159" s="148"/>
      <c r="D159" s="142"/>
      <c r="E159" s="147" t="s">
        <v>114</v>
      </c>
      <c r="F159" s="151" t="s">
        <v>20</v>
      </c>
      <c r="G159" s="198" t="s">
        <v>6</v>
      </c>
      <c r="H159" s="198" t="s">
        <v>6</v>
      </c>
      <c r="I159" s="151" t="s">
        <v>20</v>
      </c>
      <c r="J159" s="144"/>
      <c r="K159" s="144"/>
    </row>
    <row r="160" spans="2:11" s="122" customFormat="1" ht="13.5" customHeight="1" thickTop="1" thickBot="1">
      <c r="B160" s="141"/>
      <c r="C160" s="146"/>
      <c r="D160" s="142"/>
      <c r="E160" s="147" t="s">
        <v>113</v>
      </c>
      <c r="F160" s="151" t="s">
        <v>20</v>
      </c>
      <c r="G160" s="198" t="s">
        <v>6</v>
      </c>
      <c r="H160" s="198" t="s">
        <v>207</v>
      </c>
      <c r="I160" s="198" t="s">
        <v>6</v>
      </c>
      <c r="J160" s="144" t="s">
        <v>260</v>
      </c>
      <c r="K160" s="233" t="s">
        <v>224</v>
      </c>
    </row>
    <row r="161" spans="1:1022" s="122" customFormat="1" ht="13.5" customHeight="1" thickTop="1" thickBot="1">
      <c r="B161" s="141"/>
      <c r="C161" s="145" t="s">
        <v>622</v>
      </c>
      <c r="D161" s="142"/>
      <c r="E161" s="147" t="s">
        <v>115</v>
      </c>
      <c r="F161" s="151" t="s">
        <v>20</v>
      </c>
      <c r="G161" s="198" t="s">
        <v>6</v>
      </c>
      <c r="H161" s="198" t="s">
        <v>6</v>
      </c>
      <c r="I161" s="151" t="s">
        <v>207</v>
      </c>
      <c r="J161" s="144" t="s">
        <v>225</v>
      </c>
      <c r="K161" s="233" t="s">
        <v>224</v>
      </c>
    </row>
    <row r="162" spans="1:1022" s="122" customFormat="1" ht="13.5" customHeight="1" thickTop="1" thickBot="1">
      <c r="B162" s="141"/>
      <c r="C162" s="148"/>
      <c r="D162" s="142"/>
      <c r="E162" s="147" t="s">
        <v>114</v>
      </c>
      <c r="F162" s="151" t="s">
        <v>20</v>
      </c>
      <c r="G162" s="198" t="s">
        <v>6</v>
      </c>
      <c r="H162" s="198" t="s">
        <v>6</v>
      </c>
      <c r="I162" s="151" t="s">
        <v>207</v>
      </c>
      <c r="J162" s="144" t="s">
        <v>225</v>
      </c>
      <c r="K162" s="233" t="s">
        <v>224</v>
      </c>
    </row>
    <row r="163" spans="1:1022" s="122" customFormat="1" ht="13.5" customHeight="1" thickTop="1" thickBot="1">
      <c r="B163" s="141"/>
      <c r="C163" s="148"/>
      <c r="D163" s="142"/>
      <c r="E163" s="147" t="s">
        <v>113</v>
      </c>
      <c r="F163" s="151" t="s">
        <v>20</v>
      </c>
      <c r="G163" s="198" t="s">
        <v>6</v>
      </c>
      <c r="H163" s="198" t="s">
        <v>6</v>
      </c>
      <c r="I163" s="151" t="s">
        <v>207</v>
      </c>
      <c r="J163" s="144" t="s">
        <v>615</v>
      </c>
      <c r="K163" s="235" t="s">
        <v>616</v>
      </c>
    </row>
    <row r="164" spans="1:1022" ht="13.5" customHeight="1" thickTop="1" thickBot="1">
      <c r="B164" s="141"/>
      <c r="C164" s="148"/>
      <c r="D164" s="142"/>
      <c r="E164" s="147" t="s">
        <v>614</v>
      </c>
      <c r="F164" s="151" t="s">
        <v>20</v>
      </c>
      <c r="G164" s="198" t="s">
        <v>6</v>
      </c>
      <c r="H164" s="198" t="s">
        <v>6</v>
      </c>
      <c r="I164" s="151" t="s">
        <v>207</v>
      </c>
      <c r="J164" s="144" t="s">
        <v>615</v>
      </c>
      <c r="K164" s="235" t="s">
        <v>616</v>
      </c>
    </row>
    <row r="165" spans="1:1022" ht="13.5" customHeight="1" thickTop="1" thickBot="1">
      <c r="B165" s="141"/>
      <c r="C165" s="148"/>
      <c r="D165" s="142"/>
      <c r="E165" s="147" t="s">
        <v>617</v>
      </c>
      <c r="F165" s="151" t="s">
        <v>20</v>
      </c>
      <c r="G165" s="198" t="s">
        <v>618</v>
      </c>
      <c r="H165" s="198" t="s">
        <v>618</v>
      </c>
      <c r="I165" s="151" t="s">
        <v>207</v>
      </c>
      <c r="J165" s="144" t="s">
        <v>615</v>
      </c>
      <c r="K165" s="235" t="s">
        <v>616</v>
      </c>
    </row>
    <row r="166" spans="1:1022" ht="13.5" customHeight="1" thickTop="1" thickBot="1">
      <c r="B166" s="141"/>
      <c r="C166" s="146"/>
      <c r="D166" s="142"/>
      <c r="E166" s="147" t="s">
        <v>619</v>
      </c>
      <c r="F166" s="151" t="s">
        <v>20</v>
      </c>
      <c r="G166" s="198" t="s">
        <v>618</v>
      </c>
      <c r="H166" s="198" t="s">
        <v>618</v>
      </c>
      <c r="I166" s="151" t="s">
        <v>207</v>
      </c>
      <c r="J166" s="144" t="s">
        <v>615</v>
      </c>
      <c r="K166" s="235" t="s">
        <v>616</v>
      </c>
    </row>
    <row r="167" spans="1:1022" ht="13.5" customHeight="1" thickTop="1" thickBot="1">
      <c r="A167" s="240"/>
      <c r="B167" s="241"/>
      <c r="C167" s="145" t="s">
        <v>620</v>
      </c>
      <c r="D167" s="142"/>
      <c r="E167" s="147" t="s">
        <v>115</v>
      </c>
      <c r="F167" s="243" t="s">
        <v>20</v>
      </c>
      <c r="G167" s="245" t="s">
        <v>6</v>
      </c>
      <c r="H167" s="245" t="s">
        <v>6</v>
      </c>
      <c r="I167" s="243" t="s">
        <v>207</v>
      </c>
      <c r="J167" s="246" t="s">
        <v>225</v>
      </c>
      <c r="K167" s="253" t="s">
        <v>673</v>
      </c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0"/>
      <c r="AB167" s="240"/>
      <c r="AC167" s="240"/>
      <c r="AD167" s="240"/>
      <c r="AE167" s="240"/>
      <c r="AF167" s="240"/>
      <c r="AG167" s="240"/>
      <c r="AH167" s="240"/>
      <c r="AI167" s="240"/>
      <c r="AJ167" s="240"/>
      <c r="AK167" s="240"/>
      <c r="AL167" s="240"/>
      <c r="AM167" s="240"/>
      <c r="AN167" s="240"/>
      <c r="AO167" s="240"/>
      <c r="AP167" s="240"/>
      <c r="AQ167" s="240"/>
      <c r="AR167" s="240"/>
      <c r="AS167" s="240"/>
      <c r="AT167" s="240"/>
      <c r="AU167" s="240"/>
      <c r="AV167" s="240"/>
      <c r="AW167" s="240"/>
      <c r="AX167" s="240"/>
      <c r="AY167" s="240"/>
      <c r="AZ167" s="240"/>
      <c r="BA167" s="240"/>
      <c r="BB167" s="240"/>
      <c r="BC167" s="240"/>
      <c r="BD167" s="240"/>
      <c r="BE167" s="240"/>
      <c r="BF167" s="240"/>
      <c r="BG167" s="240"/>
      <c r="BH167" s="240"/>
      <c r="BI167" s="240"/>
      <c r="BJ167" s="240"/>
      <c r="BK167" s="240"/>
      <c r="BL167" s="240"/>
      <c r="BM167" s="240"/>
      <c r="BN167" s="240"/>
      <c r="BO167" s="240"/>
      <c r="BP167" s="240"/>
      <c r="BQ167" s="240"/>
      <c r="BR167" s="240"/>
      <c r="BS167" s="240"/>
      <c r="BT167" s="240"/>
      <c r="BU167" s="240"/>
      <c r="BV167" s="240"/>
      <c r="BW167" s="240"/>
      <c r="BX167" s="240"/>
      <c r="BY167" s="240"/>
      <c r="BZ167" s="240"/>
      <c r="CA167" s="240"/>
      <c r="CB167" s="240"/>
      <c r="CC167" s="240"/>
      <c r="CD167" s="240"/>
      <c r="CE167" s="240"/>
      <c r="CF167" s="240"/>
      <c r="CG167" s="240"/>
      <c r="CH167" s="240"/>
      <c r="CI167" s="240"/>
      <c r="CJ167" s="240"/>
      <c r="CK167" s="240"/>
      <c r="CL167" s="240"/>
      <c r="CM167" s="240"/>
      <c r="CN167" s="240"/>
      <c r="CO167" s="240"/>
      <c r="CP167" s="240"/>
      <c r="CQ167" s="240"/>
      <c r="CR167" s="240"/>
      <c r="CS167" s="240"/>
      <c r="CT167" s="240"/>
      <c r="CU167" s="240"/>
      <c r="CV167" s="240"/>
      <c r="CW167" s="240"/>
      <c r="CX167" s="240"/>
      <c r="CY167" s="240"/>
      <c r="CZ167" s="240"/>
      <c r="DA167" s="240"/>
      <c r="DB167" s="240"/>
      <c r="DC167" s="240"/>
      <c r="DD167" s="240"/>
      <c r="DE167" s="240"/>
      <c r="DF167" s="240"/>
      <c r="DG167" s="240"/>
      <c r="DH167" s="240"/>
      <c r="DI167" s="240"/>
      <c r="DJ167" s="240"/>
      <c r="DK167" s="240"/>
      <c r="DL167" s="240"/>
      <c r="DM167" s="240"/>
      <c r="DN167" s="240"/>
      <c r="DO167" s="240"/>
      <c r="DP167" s="240"/>
      <c r="DQ167" s="240"/>
      <c r="DR167" s="240"/>
      <c r="DS167" s="240"/>
      <c r="DT167" s="240"/>
      <c r="DU167" s="240"/>
      <c r="DV167" s="240"/>
      <c r="DW167" s="240"/>
      <c r="DX167" s="240"/>
      <c r="DY167" s="240"/>
      <c r="DZ167" s="240"/>
      <c r="EA167" s="240"/>
      <c r="EB167" s="240"/>
      <c r="EC167" s="240"/>
      <c r="ED167" s="240"/>
      <c r="EE167" s="240"/>
      <c r="EF167" s="240"/>
      <c r="EG167" s="240"/>
      <c r="EH167" s="240"/>
      <c r="EI167" s="240"/>
      <c r="EJ167" s="240"/>
      <c r="EK167" s="240"/>
      <c r="EL167" s="240"/>
      <c r="EM167" s="240"/>
      <c r="EN167" s="240"/>
      <c r="EO167" s="240"/>
      <c r="EP167" s="240"/>
      <c r="EQ167" s="240"/>
      <c r="ER167" s="240"/>
      <c r="ES167" s="240"/>
      <c r="ET167" s="240"/>
      <c r="EU167" s="240"/>
      <c r="EV167" s="240"/>
      <c r="EW167" s="240"/>
      <c r="EX167" s="240"/>
      <c r="EY167" s="240"/>
      <c r="EZ167" s="240"/>
      <c r="FA167" s="240"/>
      <c r="FB167" s="240"/>
      <c r="FC167" s="240"/>
      <c r="FD167" s="240"/>
      <c r="FE167" s="240"/>
      <c r="FF167" s="240"/>
      <c r="FG167" s="240"/>
      <c r="FH167" s="240"/>
      <c r="FI167" s="240"/>
      <c r="FJ167" s="240"/>
      <c r="FK167" s="240"/>
      <c r="FL167" s="240"/>
      <c r="FM167" s="240"/>
      <c r="FN167" s="240"/>
      <c r="FO167" s="240"/>
      <c r="FP167" s="240"/>
      <c r="FQ167" s="240"/>
      <c r="FR167" s="240"/>
      <c r="FS167" s="240"/>
      <c r="FT167" s="240"/>
      <c r="FU167" s="240"/>
      <c r="FV167" s="240"/>
      <c r="FW167" s="240"/>
      <c r="FX167" s="240"/>
      <c r="FY167" s="240"/>
      <c r="FZ167" s="240"/>
      <c r="GA167" s="240"/>
      <c r="GB167" s="240"/>
      <c r="GC167" s="240"/>
      <c r="GD167" s="240"/>
      <c r="GE167" s="240"/>
      <c r="GF167" s="240"/>
      <c r="GG167" s="240"/>
      <c r="GH167" s="240"/>
      <c r="GI167" s="240"/>
      <c r="GJ167" s="240"/>
      <c r="GK167" s="240"/>
      <c r="GL167" s="240"/>
      <c r="GM167" s="240"/>
      <c r="GN167" s="240"/>
      <c r="GO167" s="240"/>
      <c r="GP167" s="240"/>
      <c r="GQ167" s="240"/>
      <c r="GR167" s="240"/>
      <c r="GS167" s="240"/>
      <c r="GT167" s="240"/>
      <c r="GU167" s="240"/>
      <c r="GV167" s="240"/>
      <c r="GW167" s="240"/>
      <c r="GX167" s="240"/>
      <c r="GY167" s="240"/>
      <c r="GZ167" s="240"/>
      <c r="HA167" s="240"/>
      <c r="HB167" s="240"/>
      <c r="HC167" s="240"/>
      <c r="HD167" s="240"/>
      <c r="HE167" s="240"/>
      <c r="HF167" s="240"/>
      <c r="HG167" s="240"/>
      <c r="HH167" s="240"/>
      <c r="HI167" s="240"/>
      <c r="HJ167" s="240"/>
      <c r="HK167" s="240"/>
      <c r="HL167" s="240"/>
      <c r="HM167" s="240"/>
      <c r="HN167" s="240"/>
      <c r="HO167" s="240"/>
      <c r="HP167" s="240"/>
      <c r="HQ167" s="240"/>
      <c r="HR167" s="240"/>
      <c r="HS167" s="240"/>
      <c r="HT167" s="240"/>
      <c r="HU167" s="240"/>
      <c r="HV167" s="240"/>
      <c r="HW167" s="240"/>
      <c r="HX167" s="240"/>
      <c r="HY167" s="240"/>
      <c r="HZ167" s="240"/>
      <c r="IA167" s="240"/>
      <c r="IB167" s="240"/>
      <c r="IC167" s="240"/>
      <c r="ID167" s="240"/>
      <c r="IE167" s="240"/>
      <c r="IF167" s="240"/>
      <c r="IG167" s="240"/>
      <c r="IH167" s="240"/>
      <c r="II167" s="240"/>
      <c r="IJ167" s="240"/>
      <c r="IK167" s="240"/>
      <c r="IL167" s="240"/>
      <c r="IM167" s="240"/>
      <c r="IN167" s="240"/>
      <c r="IO167" s="240"/>
      <c r="IP167" s="240"/>
      <c r="IQ167" s="240"/>
      <c r="IR167" s="240"/>
      <c r="IS167" s="240"/>
      <c r="IT167" s="240"/>
      <c r="IU167" s="240"/>
      <c r="IV167" s="240"/>
      <c r="IW167" s="240"/>
      <c r="IX167" s="240"/>
      <c r="IY167" s="240"/>
      <c r="IZ167" s="240"/>
      <c r="JA167" s="240"/>
      <c r="JB167" s="240"/>
      <c r="JC167" s="240"/>
      <c r="JD167" s="240"/>
      <c r="JE167" s="240"/>
      <c r="JF167" s="240"/>
      <c r="JG167" s="240"/>
      <c r="JH167" s="240"/>
      <c r="JI167" s="240"/>
      <c r="JJ167" s="240"/>
      <c r="JK167" s="240"/>
      <c r="JL167" s="240"/>
      <c r="JM167" s="240"/>
      <c r="JN167" s="240"/>
      <c r="JO167" s="240"/>
      <c r="JP167" s="240"/>
      <c r="JQ167" s="240"/>
      <c r="JR167" s="240"/>
      <c r="JS167" s="240"/>
      <c r="JT167" s="240"/>
      <c r="JU167" s="240"/>
      <c r="JV167" s="240"/>
      <c r="JW167" s="240"/>
      <c r="JX167" s="240"/>
      <c r="JY167" s="240"/>
      <c r="JZ167" s="240"/>
      <c r="KA167" s="240"/>
      <c r="KB167" s="240"/>
      <c r="KC167" s="240"/>
      <c r="KD167" s="240"/>
      <c r="KE167" s="240"/>
      <c r="KF167" s="240"/>
      <c r="KG167" s="240"/>
      <c r="KH167" s="240"/>
      <c r="KI167" s="240"/>
      <c r="KJ167" s="240"/>
      <c r="KK167" s="240"/>
      <c r="KL167" s="240"/>
      <c r="KM167" s="240"/>
      <c r="KN167" s="240"/>
      <c r="KO167" s="240"/>
      <c r="KP167" s="240"/>
      <c r="KQ167" s="240"/>
      <c r="KR167" s="240"/>
      <c r="KS167" s="240"/>
      <c r="KT167" s="240"/>
      <c r="KU167" s="240"/>
      <c r="KV167" s="240"/>
      <c r="KW167" s="240"/>
      <c r="KX167" s="240"/>
      <c r="KY167" s="240"/>
      <c r="KZ167" s="240"/>
      <c r="LA167" s="240"/>
      <c r="LB167" s="240"/>
      <c r="LC167" s="240"/>
      <c r="LD167" s="240"/>
      <c r="LE167" s="240"/>
      <c r="LF167" s="240"/>
      <c r="LG167" s="240"/>
      <c r="LH167" s="240"/>
      <c r="LI167" s="240"/>
      <c r="LJ167" s="240"/>
      <c r="LK167" s="240"/>
      <c r="LL167" s="240"/>
      <c r="LM167" s="240"/>
      <c r="LN167" s="240"/>
      <c r="LO167" s="240"/>
      <c r="LP167" s="240"/>
      <c r="LQ167" s="240"/>
      <c r="LR167" s="240"/>
      <c r="LS167" s="240"/>
      <c r="LT167" s="240"/>
      <c r="LU167" s="240"/>
      <c r="LV167" s="240"/>
      <c r="LW167" s="240"/>
      <c r="LX167" s="240"/>
      <c r="LY167" s="240"/>
      <c r="LZ167" s="240"/>
      <c r="MA167" s="240"/>
      <c r="MB167" s="240"/>
      <c r="MC167" s="240"/>
      <c r="MD167" s="240"/>
      <c r="ME167" s="240"/>
      <c r="MF167" s="240"/>
      <c r="MG167" s="240"/>
      <c r="MH167" s="240"/>
      <c r="MI167" s="240"/>
      <c r="MJ167" s="240"/>
      <c r="MK167" s="240"/>
      <c r="ML167" s="240"/>
      <c r="MM167" s="240"/>
      <c r="MN167" s="240"/>
      <c r="MO167" s="240"/>
      <c r="MP167" s="240"/>
      <c r="MQ167" s="240"/>
      <c r="MR167" s="240"/>
      <c r="MS167" s="240"/>
      <c r="MT167" s="240"/>
      <c r="MU167" s="240"/>
      <c r="MV167" s="240"/>
      <c r="MW167" s="240"/>
      <c r="MX167" s="240"/>
      <c r="MY167" s="240"/>
      <c r="MZ167" s="240"/>
      <c r="NA167" s="240"/>
      <c r="NB167" s="240"/>
      <c r="NC167" s="240"/>
      <c r="ND167" s="240"/>
      <c r="NE167" s="240"/>
      <c r="NF167" s="240"/>
      <c r="NG167" s="240"/>
      <c r="NH167" s="240"/>
      <c r="NI167" s="240"/>
      <c r="NJ167" s="240"/>
      <c r="NK167" s="240"/>
      <c r="NL167" s="240"/>
      <c r="NM167" s="240"/>
      <c r="NN167" s="240"/>
      <c r="NO167" s="240"/>
      <c r="NP167" s="240"/>
      <c r="NQ167" s="240"/>
      <c r="NR167" s="240"/>
      <c r="NS167" s="240"/>
      <c r="NT167" s="240"/>
      <c r="NU167" s="240"/>
      <c r="NV167" s="240"/>
      <c r="NW167" s="240"/>
      <c r="NX167" s="240"/>
      <c r="NY167" s="240"/>
      <c r="NZ167" s="240"/>
      <c r="OA167" s="240"/>
      <c r="OB167" s="240"/>
      <c r="OC167" s="240"/>
      <c r="OD167" s="240"/>
      <c r="OE167" s="240"/>
      <c r="OF167" s="240"/>
      <c r="OG167" s="240"/>
      <c r="OH167" s="240"/>
      <c r="OI167" s="240"/>
      <c r="OJ167" s="240"/>
      <c r="OK167" s="240"/>
      <c r="OL167" s="240"/>
      <c r="OM167" s="240"/>
      <c r="ON167" s="240"/>
      <c r="OO167" s="240"/>
      <c r="OP167" s="240"/>
      <c r="OQ167" s="240"/>
      <c r="OR167" s="240"/>
      <c r="OS167" s="240"/>
      <c r="OT167" s="240"/>
      <c r="OU167" s="240"/>
      <c r="OV167" s="240"/>
      <c r="OW167" s="240"/>
      <c r="OX167" s="240"/>
      <c r="OY167" s="240"/>
      <c r="OZ167" s="240"/>
      <c r="PA167" s="240"/>
      <c r="PB167" s="240"/>
      <c r="PC167" s="240"/>
      <c r="PD167" s="240"/>
      <c r="PE167" s="240"/>
      <c r="PF167" s="240"/>
      <c r="PG167" s="240"/>
      <c r="PH167" s="240"/>
      <c r="PI167" s="240"/>
      <c r="PJ167" s="240"/>
      <c r="PK167" s="240"/>
      <c r="PL167" s="240"/>
      <c r="PM167" s="240"/>
      <c r="PN167" s="240"/>
      <c r="PO167" s="240"/>
      <c r="PP167" s="240"/>
      <c r="PQ167" s="240"/>
      <c r="PR167" s="240"/>
      <c r="PS167" s="240"/>
      <c r="PT167" s="240"/>
      <c r="PU167" s="240"/>
      <c r="PV167" s="240"/>
      <c r="PW167" s="240"/>
      <c r="PX167" s="240"/>
      <c r="PY167" s="240"/>
      <c r="PZ167" s="240"/>
      <c r="QA167" s="240"/>
      <c r="QB167" s="240"/>
      <c r="QC167" s="240"/>
      <c r="QD167" s="240"/>
      <c r="QE167" s="240"/>
      <c r="QF167" s="240"/>
      <c r="QG167" s="240"/>
      <c r="QH167" s="240"/>
      <c r="QI167" s="240"/>
      <c r="QJ167" s="240"/>
      <c r="QK167" s="240"/>
      <c r="QL167" s="240"/>
      <c r="QM167" s="240"/>
      <c r="QN167" s="240"/>
      <c r="QO167" s="240"/>
      <c r="QP167" s="240"/>
      <c r="QQ167" s="240"/>
      <c r="QR167" s="240"/>
      <c r="QS167" s="240"/>
      <c r="QT167" s="240"/>
      <c r="QU167" s="240"/>
      <c r="QV167" s="240"/>
      <c r="QW167" s="240"/>
      <c r="QX167" s="240"/>
      <c r="QY167" s="240"/>
      <c r="QZ167" s="240"/>
      <c r="RA167" s="240"/>
      <c r="RB167" s="240"/>
      <c r="RC167" s="240"/>
      <c r="RD167" s="240"/>
      <c r="RE167" s="240"/>
      <c r="RF167" s="240"/>
      <c r="RG167" s="240"/>
      <c r="RH167" s="240"/>
      <c r="RI167" s="240"/>
      <c r="RJ167" s="240"/>
      <c r="RK167" s="240"/>
      <c r="RL167" s="240"/>
      <c r="RM167" s="240"/>
      <c r="RN167" s="240"/>
      <c r="RO167" s="240"/>
      <c r="RP167" s="240"/>
      <c r="RQ167" s="240"/>
      <c r="RR167" s="240"/>
      <c r="RS167" s="240"/>
      <c r="RT167" s="240"/>
      <c r="RU167" s="240"/>
      <c r="RV167" s="240"/>
      <c r="RW167" s="240"/>
      <c r="RX167" s="240"/>
      <c r="RY167" s="240"/>
      <c r="RZ167" s="240"/>
      <c r="SA167" s="240"/>
      <c r="SB167" s="240"/>
      <c r="SC167" s="240"/>
      <c r="SD167" s="240"/>
      <c r="SE167" s="240"/>
      <c r="SF167" s="240"/>
      <c r="SG167" s="240"/>
      <c r="SH167" s="240"/>
      <c r="SI167" s="240"/>
      <c r="SJ167" s="240"/>
      <c r="SK167" s="240"/>
      <c r="SL167" s="240"/>
      <c r="SM167" s="240"/>
      <c r="SN167" s="240"/>
      <c r="SO167" s="240"/>
      <c r="SP167" s="240"/>
      <c r="SQ167" s="240"/>
      <c r="SR167" s="240"/>
      <c r="SS167" s="240"/>
      <c r="ST167" s="240"/>
      <c r="SU167" s="240"/>
      <c r="SV167" s="240"/>
      <c r="SW167" s="240"/>
      <c r="SX167" s="240"/>
      <c r="SY167" s="240"/>
      <c r="SZ167" s="240"/>
      <c r="TA167" s="240"/>
      <c r="TB167" s="240"/>
      <c r="TC167" s="240"/>
      <c r="TD167" s="240"/>
      <c r="TE167" s="240"/>
      <c r="TF167" s="240"/>
      <c r="TG167" s="240"/>
      <c r="TH167" s="240"/>
      <c r="TI167" s="240"/>
      <c r="TJ167" s="240"/>
      <c r="TK167" s="240"/>
      <c r="TL167" s="240"/>
      <c r="TM167" s="240"/>
      <c r="TN167" s="240"/>
      <c r="TO167" s="240"/>
      <c r="TP167" s="240"/>
      <c r="TQ167" s="240"/>
      <c r="TR167" s="240"/>
      <c r="TS167" s="240"/>
      <c r="TT167" s="240"/>
      <c r="TU167" s="240"/>
      <c r="TV167" s="240"/>
      <c r="TW167" s="240"/>
      <c r="TX167" s="240"/>
      <c r="TY167" s="240"/>
      <c r="TZ167" s="240"/>
      <c r="UA167" s="240"/>
      <c r="UB167" s="240"/>
      <c r="UC167" s="240"/>
      <c r="UD167" s="240"/>
      <c r="UE167" s="240"/>
      <c r="UF167" s="240"/>
      <c r="UG167" s="240"/>
      <c r="UH167" s="240"/>
      <c r="UI167" s="240"/>
      <c r="UJ167" s="240"/>
      <c r="UK167" s="240"/>
      <c r="UL167" s="240"/>
      <c r="UM167" s="240"/>
      <c r="UN167" s="240"/>
      <c r="UO167" s="240"/>
      <c r="UP167" s="240"/>
      <c r="UQ167" s="240"/>
      <c r="UR167" s="240"/>
      <c r="US167" s="240"/>
      <c r="UT167" s="240"/>
      <c r="UU167" s="240"/>
      <c r="UV167" s="240"/>
      <c r="UW167" s="240"/>
      <c r="UX167" s="240"/>
      <c r="UY167" s="240"/>
      <c r="UZ167" s="240"/>
      <c r="VA167" s="240"/>
      <c r="VB167" s="240"/>
      <c r="VC167" s="240"/>
      <c r="VD167" s="240"/>
      <c r="VE167" s="240"/>
      <c r="VF167" s="240"/>
      <c r="VG167" s="240"/>
      <c r="VH167" s="240"/>
      <c r="VI167" s="240"/>
      <c r="VJ167" s="240"/>
      <c r="VK167" s="240"/>
      <c r="VL167" s="240"/>
      <c r="VM167" s="240"/>
      <c r="VN167" s="240"/>
      <c r="VO167" s="240"/>
      <c r="VP167" s="240"/>
      <c r="VQ167" s="240"/>
      <c r="VR167" s="240"/>
      <c r="VS167" s="240"/>
      <c r="VT167" s="240"/>
      <c r="VU167" s="240"/>
      <c r="VV167" s="240"/>
      <c r="VW167" s="240"/>
      <c r="VX167" s="240"/>
      <c r="VY167" s="240"/>
      <c r="VZ167" s="240"/>
      <c r="WA167" s="240"/>
      <c r="WB167" s="240"/>
      <c r="WC167" s="240"/>
      <c r="WD167" s="240"/>
      <c r="WE167" s="240"/>
      <c r="WF167" s="240"/>
      <c r="WG167" s="240"/>
      <c r="WH167" s="240"/>
      <c r="WI167" s="240"/>
      <c r="WJ167" s="240"/>
      <c r="WK167" s="240"/>
      <c r="WL167" s="240"/>
      <c r="WM167" s="240"/>
      <c r="WN167" s="240"/>
      <c r="WO167" s="240"/>
      <c r="WP167" s="240"/>
      <c r="WQ167" s="240"/>
      <c r="WR167" s="240"/>
      <c r="WS167" s="240"/>
      <c r="WT167" s="240"/>
      <c r="WU167" s="240"/>
      <c r="WV167" s="240"/>
      <c r="WW167" s="240"/>
      <c r="WX167" s="240"/>
      <c r="WY167" s="240"/>
      <c r="WZ167" s="240"/>
      <c r="XA167" s="240"/>
      <c r="XB167" s="240"/>
      <c r="XC167" s="240"/>
      <c r="XD167" s="240"/>
      <c r="XE167" s="240"/>
      <c r="XF167" s="240"/>
      <c r="XG167" s="240"/>
      <c r="XH167" s="240"/>
      <c r="XI167" s="240"/>
      <c r="XJ167" s="240"/>
      <c r="XK167" s="240"/>
      <c r="XL167" s="240"/>
      <c r="XM167" s="240"/>
      <c r="XN167" s="240"/>
      <c r="XO167" s="240"/>
      <c r="XP167" s="240"/>
      <c r="XQ167" s="240"/>
      <c r="XR167" s="240"/>
      <c r="XS167" s="240"/>
      <c r="XT167" s="240"/>
      <c r="XU167" s="240"/>
      <c r="XV167" s="240"/>
      <c r="XW167" s="240"/>
      <c r="XX167" s="240"/>
      <c r="XY167" s="240"/>
      <c r="XZ167" s="240"/>
      <c r="YA167" s="240"/>
      <c r="YB167" s="240"/>
      <c r="YC167" s="240"/>
      <c r="YD167" s="240"/>
      <c r="YE167" s="240"/>
      <c r="YF167" s="240"/>
      <c r="YG167" s="240"/>
      <c r="YH167" s="240"/>
      <c r="YI167" s="240"/>
      <c r="YJ167" s="240"/>
      <c r="YK167" s="240"/>
      <c r="YL167" s="240"/>
      <c r="YM167" s="240"/>
      <c r="YN167" s="240"/>
      <c r="YO167" s="240"/>
      <c r="YP167" s="240"/>
      <c r="YQ167" s="240"/>
      <c r="YR167" s="240"/>
      <c r="YS167" s="240"/>
      <c r="YT167" s="240"/>
      <c r="YU167" s="240"/>
      <c r="YV167" s="240"/>
      <c r="YW167" s="240"/>
      <c r="YX167" s="240"/>
      <c r="YY167" s="240"/>
      <c r="YZ167" s="240"/>
      <c r="ZA167" s="240"/>
      <c r="ZB167" s="240"/>
      <c r="ZC167" s="240"/>
      <c r="ZD167" s="240"/>
      <c r="ZE167" s="240"/>
      <c r="ZF167" s="240"/>
      <c r="ZG167" s="240"/>
      <c r="ZH167" s="240"/>
      <c r="ZI167" s="240"/>
      <c r="ZJ167" s="240"/>
      <c r="ZK167" s="240"/>
      <c r="ZL167" s="240"/>
      <c r="ZM167" s="240"/>
      <c r="ZN167" s="240"/>
      <c r="ZO167" s="240"/>
      <c r="ZP167" s="240"/>
      <c r="ZQ167" s="240"/>
      <c r="ZR167" s="240"/>
      <c r="ZS167" s="240"/>
      <c r="ZT167" s="240"/>
      <c r="ZU167" s="240"/>
      <c r="ZV167" s="240"/>
      <c r="ZW167" s="240"/>
      <c r="ZX167" s="240"/>
      <c r="ZY167" s="240"/>
      <c r="ZZ167" s="240"/>
      <c r="AAA167" s="240"/>
      <c r="AAB167" s="240"/>
      <c r="AAC167" s="240"/>
      <c r="AAD167" s="240"/>
      <c r="AAE167" s="240"/>
      <c r="AAF167" s="240"/>
      <c r="AAG167" s="240"/>
      <c r="AAH167" s="240"/>
      <c r="AAI167" s="240"/>
      <c r="AAJ167" s="240"/>
      <c r="AAK167" s="240"/>
      <c r="AAL167" s="240"/>
      <c r="AAM167" s="240"/>
      <c r="AAN167" s="240"/>
      <c r="AAO167" s="240"/>
      <c r="AAP167" s="240"/>
      <c r="AAQ167" s="240"/>
      <c r="AAR167" s="240"/>
      <c r="AAS167" s="240"/>
      <c r="AAT167" s="240"/>
      <c r="AAU167" s="240"/>
      <c r="AAV167" s="240"/>
      <c r="AAW167" s="240"/>
      <c r="AAX167" s="240"/>
      <c r="AAY167" s="240"/>
      <c r="AAZ167" s="240"/>
      <c r="ABA167" s="240"/>
      <c r="ABB167" s="240"/>
      <c r="ABC167" s="240"/>
      <c r="ABD167" s="240"/>
      <c r="ABE167" s="240"/>
      <c r="ABF167" s="240"/>
      <c r="ABG167" s="240"/>
      <c r="ABH167" s="240"/>
      <c r="ABI167" s="240"/>
      <c r="ABJ167" s="240"/>
      <c r="ABK167" s="240"/>
      <c r="ABL167" s="240"/>
      <c r="ABM167" s="240"/>
      <c r="ABN167" s="240"/>
      <c r="ABO167" s="240"/>
      <c r="ABP167" s="240"/>
      <c r="ABQ167" s="240"/>
      <c r="ABR167" s="240"/>
      <c r="ABS167" s="240"/>
      <c r="ABT167" s="240"/>
      <c r="ABU167" s="240"/>
      <c r="ABV167" s="240"/>
      <c r="ABW167" s="240"/>
      <c r="ABX167" s="240"/>
      <c r="ABY167" s="240"/>
      <c r="ABZ167" s="240"/>
      <c r="ACA167" s="240"/>
      <c r="ACB167" s="240"/>
      <c r="ACC167" s="240"/>
      <c r="ACD167" s="240"/>
      <c r="ACE167" s="240"/>
      <c r="ACF167" s="240"/>
      <c r="ACG167" s="240"/>
      <c r="ACH167" s="240"/>
      <c r="ACI167" s="240"/>
      <c r="ACJ167" s="240"/>
      <c r="ACK167" s="240"/>
      <c r="ACL167" s="240"/>
      <c r="ACM167" s="240"/>
      <c r="ACN167" s="240"/>
      <c r="ACO167" s="240"/>
      <c r="ACP167" s="240"/>
      <c r="ACQ167" s="240"/>
      <c r="ACR167" s="240"/>
      <c r="ACS167" s="240"/>
      <c r="ACT167" s="240"/>
      <c r="ACU167" s="240"/>
      <c r="ACV167" s="240"/>
      <c r="ACW167" s="240"/>
      <c r="ACX167" s="240"/>
      <c r="ACY167" s="240"/>
      <c r="ACZ167" s="240"/>
      <c r="ADA167" s="240"/>
      <c r="ADB167" s="240"/>
      <c r="ADC167" s="240"/>
      <c r="ADD167" s="240"/>
      <c r="ADE167" s="240"/>
      <c r="ADF167" s="240"/>
      <c r="ADG167" s="240"/>
      <c r="ADH167" s="240"/>
      <c r="ADI167" s="240"/>
      <c r="ADJ167" s="240"/>
      <c r="ADK167" s="240"/>
      <c r="ADL167" s="240"/>
      <c r="ADM167" s="240"/>
      <c r="ADN167" s="240"/>
      <c r="ADO167" s="240"/>
      <c r="ADP167" s="240"/>
      <c r="ADQ167" s="240"/>
      <c r="ADR167" s="240"/>
      <c r="ADS167" s="240"/>
      <c r="ADT167" s="240"/>
      <c r="ADU167" s="240"/>
      <c r="ADV167" s="240"/>
      <c r="ADW167" s="240"/>
      <c r="ADX167" s="240"/>
      <c r="ADY167" s="240"/>
      <c r="ADZ167" s="240"/>
      <c r="AEA167" s="240"/>
      <c r="AEB167" s="240"/>
      <c r="AEC167" s="240"/>
      <c r="AED167" s="240"/>
      <c r="AEE167" s="240"/>
      <c r="AEF167" s="240"/>
      <c r="AEG167" s="240"/>
      <c r="AEH167" s="240"/>
      <c r="AEI167" s="240"/>
      <c r="AEJ167" s="240"/>
      <c r="AEK167" s="240"/>
      <c r="AEL167" s="240"/>
      <c r="AEM167" s="240"/>
      <c r="AEN167" s="240"/>
      <c r="AEO167" s="240"/>
      <c r="AEP167" s="240"/>
      <c r="AEQ167" s="240"/>
      <c r="AER167" s="240"/>
      <c r="AES167" s="240"/>
      <c r="AET167" s="240"/>
      <c r="AEU167" s="240"/>
      <c r="AEV167" s="240"/>
      <c r="AEW167" s="240"/>
      <c r="AEX167" s="240"/>
      <c r="AEY167" s="240"/>
      <c r="AEZ167" s="240"/>
      <c r="AFA167" s="240"/>
      <c r="AFB167" s="240"/>
      <c r="AFC167" s="240"/>
      <c r="AFD167" s="240"/>
      <c r="AFE167" s="240"/>
      <c r="AFF167" s="240"/>
      <c r="AFG167" s="240"/>
      <c r="AFH167" s="240"/>
      <c r="AFI167" s="240"/>
      <c r="AFJ167" s="240"/>
      <c r="AFK167" s="240"/>
      <c r="AFL167" s="240"/>
      <c r="AFM167" s="240"/>
      <c r="AFN167" s="240"/>
      <c r="AFO167" s="240"/>
      <c r="AFP167" s="240"/>
      <c r="AFQ167" s="240"/>
      <c r="AFR167" s="240"/>
      <c r="AFS167" s="240"/>
      <c r="AFT167" s="240"/>
      <c r="AFU167" s="240"/>
      <c r="AFV167" s="240"/>
      <c r="AFW167" s="240"/>
      <c r="AFX167" s="240"/>
      <c r="AFY167" s="240"/>
      <c r="AFZ167" s="240"/>
      <c r="AGA167" s="240"/>
      <c r="AGB167" s="240"/>
      <c r="AGC167" s="240"/>
      <c r="AGD167" s="240"/>
      <c r="AGE167" s="240"/>
      <c r="AGF167" s="240"/>
      <c r="AGG167" s="240"/>
      <c r="AGH167" s="240"/>
      <c r="AGI167" s="240"/>
      <c r="AGJ167" s="240"/>
      <c r="AGK167" s="240"/>
      <c r="AGL167" s="240"/>
      <c r="AGM167" s="240"/>
      <c r="AGN167" s="240"/>
      <c r="AGO167" s="240"/>
      <c r="AGP167" s="240"/>
      <c r="AGQ167" s="240"/>
      <c r="AGR167" s="240"/>
      <c r="AGS167" s="240"/>
      <c r="AGT167" s="240"/>
      <c r="AGU167" s="240"/>
      <c r="AGV167" s="240"/>
      <c r="AGW167" s="240"/>
      <c r="AGX167" s="240"/>
      <c r="AGY167" s="240"/>
      <c r="AGZ167" s="240"/>
      <c r="AHA167" s="240"/>
      <c r="AHB167" s="240"/>
      <c r="AHC167" s="240"/>
      <c r="AHD167" s="240"/>
      <c r="AHE167" s="240"/>
      <c r="AHF167" s="240"/>
      <c r="AHG167" s="240"/>
      <c r="AHH167" s="240"/>
      <c r="AHI167" s="240"/>
      <c r="AHJ167" s="240"/>
      <c r="AHK167" s="240"/>
      <c r="AHL167" s="240"/>
      <c r="AHM167" s="240"/>
      <c r="AHN167" s="240"/>
      <c r="AHO167" s="240"/>
      <c r="AHP167" s="240"/>
      <c r="AHQ167" s="240"/>
      <c r="AHR167" s="240"/>
      <c r="AHS167" s="240"/>
      <c r="AHT167" s="240"/>
      <c r="AHU167" s="240"/>
      <c r="AHV167" s="240"/>
      <c r="AHW167" s="240"/>
      <c r="AHX167" s="240"/>
      <c r="AHY167" s="240"/>
      <c r="AHZ167" s="240"/>
      <c r="AIA167" s="240"/>
      <c r="AIB167" s="240"/>
      <c r="AIC167" s="240"/>
      <c r="AID167" s="240"/>
      <c r="AIE167" s="240"/>
      <c r="AIF167" s="240"/>
      <c r="AIG167" s="240"/>
      <c r="AIH167" s="240"/>
      <c r="AII167" s="240"/>
      <c r="AIJ167" s="240"/>
      <c r="AIK167" s="240"/>
      <c r="AIL167" s="240"/>
      <c r="AIM167" s="240"/>
      <c r="AIN167" s="240"/>
      <c r="AIO167" s="240"/>
      <c r="AIP167" s="240"/>
      <c r="AIQ167" s="240"/>
      <c r="AIR167" s="240"/>
      <c r="AIS167" s="240"/>
      <c r="AIT167" s="240"/>
      <c r="AIU167" s="240"/>
      <c r="AIV167" s="240"/>
      <c r="AIW167" s="240"/>
      <c r="AIX167" s="240"/>
      <c r="AIY167" s="240"/>
      <c r="AIZ167" s="240"/>
      <c r="AJA167" s="240"/>
      <c r="AJB167" s="240"/>
      <c r="AJC167" s="240"/>
      <c r="AJD167" s="240"/>
      <c r="AJE167" s="240"/>
      <c r="AJF167" s="240"/>
      <c r="AJG167" s="240"/>
      <c r="AJH167" s="240"/>
      <c r="AJI167" s="240"/>
      <c r="AJJ167" s="240"/>
      <c r="AJK167" s="240"/>
      <c r="AJL167" s="240"/>
      <c r="AJM167" s="240"/>
      <c r="AJN167" s="240"/>
      <c r="AJO167" s="240"/>
      <c r="AJP167" s="240"/>
      <c r="AJQ167" s="240"/>
      <c r="AJR167" s="240"/>
      <c r="AJS167" s="240"/>
      <c r="AJT167" s="240"/>
      <c r="AJU167" s="240"/>
      <c r="AJV167" s="240"/>
      <c r="AJW167" s="240"/>
      <c r="AJX167" s="240"/>
      <c r="AJY167" s="240"/>
      <c r="AJZ167" s="240"/>
      <c r="AKA167" s="240"/>
      <c r="AKB167" s="240"/>
      <c r="AKC167" s="240"/>
      <c r="AKD167" s="240"/>
      <c r="AKE167" s="240"/>
      <c r="AKF167" s="240"/>
      <c r="AKG167" s="240"/>
      <c r="AKH167" s="240"/>
      <c r="AKI167" s="240"/>
      <c r="AKJ167" s="240"/>
      <c r="AKK167" s="240"/>
      <c r="AKL167" s="240"/>
      <c r="AKM167" s="240"/>
      <c r="AKN167" s="240"/>
      <c r="AKO167" s="240"/>
      <c r="AKP167" s="240"/>
      <c r="AKQ167" s="240"/>
      <c r="AKR167" s="240"/>
      <c r="AKS167" s="240"/>
      <c r="AKT167" s="240"/>
      <c r="AKU167" s="240"/>
      <c r="AKV167" s="240"/>
      <c r="AKW167" s="240"/>
      <c r="AKX167" s="240"/>
      <c r="AKY167" s="240"/>
      <c r="AKZ167" s="240"/>
      <c r="ALA167" s="240"/>
      <c r="ALB167" s="240"/>
      <c r="ALC167" s="240"/>
      <c r="ALD167" s="240"/>
      <c r="ALE167" s="240"/>
      <c r="ALF167" s="240"/>
      <c r="ALG167" s="240"/>
      <c r="ALH167" s="240"/>
      <c r="ALI167" s="240"/>
      <c r="ALJ167" s="240"/>
      <c r="ALK167" s="240"/>
      <c r="ALL167" s="240"/>
      <c r="ALM167" s="240"/>
      <c r="ALN167" s="240"/>
      <c r="ALO167" s="240"/>
      <c r="ALP167" s="240"/>
      <c r="ALQ167" s="240"/>
      <c r="ALR167" s="240"/>
      <c r="ALS167" s="240"/>
      <c r="ALT167" s="240"/>
      <c r="ALU167" s="240"/>
      <c r="ALV167" s="240"/>
      <c r="ALW167" s="240"/>
      <c r="ALX167" s="240"/>
      <c r="ALY167" s="240"/>
      <c r="ALZ167" s="240"/>
      <c r="AMA167" s="240"/>
      <c r="AMB167" s="240"/>
      <c r="AMC167" s="240"/>
      <c r="AMD167" s="240"/>
      <c r="AME167" s="240"/>
      <c r="AMF167" s="240"/>
      <c r="AMG167" s="240"/>
      <c r="AMH167" s="240"/>
    </row>
    <row r="168" spans="1:1022" ht="13.5" customHeight="1" thickTop="1" thickBot="1">
      <c r="A168" s="240"/>
      <c r="B168" s="241"/>
      <c r="C168" s="146"/>
      <c r="D168" s="142"/>
      <c r="E168" s="147" t="s">
        <v>621</v>
      </c>
      <c r="F168" s="243" t="s">
        <v>20</v>
      </c>
      <c r="G168" s="245" t="s">
        <v>6</v>
      </c>
      <c r="H168" s="245" t="s">
        <v>6</v>
      </c>
      <c r="I168" s="243" t="s">
        <v>207</v>
      </c>
      <c r="J168" s="246" t="s">
        <v>225</v>
      </c>
      <c r="K168" s="253" t="s">
        <v>224</v>
      </c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0"/>
      <c r="AB168" s="240"/>
      <c r="AC168" s="240"/>
      <c r="AD168" s="240"/>
      <c r="AE168" s="240"/>
      <c r="AF168" s="240"/>
      <c r="AG168" s="240"/>
      <c r="AH168" s="240"/>
      <c r="AI168" s="240"/>
      <c r="AJ168" s="240"/>
      <c r="AK168" s="240"/>
      <c r="AL168" s="240"/>
      <c r="AM168" s="240"/>
      <c r="AN168" s="240"/>
      <c r="AO168" s="240"/>
      <c r="AP168" s="240"/>
      <c r="AQ168" s="240"/>
      <c r="AR168" s="240"/>
      <c r="AS168" s="240"/>
      <c r="AT168" s="240"/>
      <c r="AU168" s="240"/>
      <c r="AV168" s="240"/>
      <c r="AW168" s="240"/>
      <c r="AX168" s="240"/>
      <c r="AY168" s="240"/>
      <c r="AZ168" s="240"/>
      <c r="BA168" s="240"/>
      <c r="BB168" s="240"/>
      <c r="BC168" s="240"/>
      <c r="BD168" s="240"/>
      <c r="BE168" s="240"/>
      <c r="BF168" s="240"/>
      <c r="BG168" s="240"/>
      <c r="BH168" s="240"/>
      <c r="BI168" s="240"/>
      <c r="BJ168" s="240"/>
      <c r="BK168" s="240"/>
      <c r="BL168" s="240"/>
      <c r="BM168" s="240"/>
      <c r="BN168" s="240"/>
      <c r="BO168" s="240"/>
      <c r="BP168" s="240"/>
      <c r="BQ168" s="240"/>
      <c r="BR168" s="240"/>
      <c r="BS168" s="240"/>
      <c r="BT168" s="240"/>
      <c r="BU168" s="240"/>
      <c r="BV168" s="240"/>
      <c r="BW168" s="240"/>
      <c r="BX168" s="240"/>
      <c r="BY168" s="240"/>
      <c r="BZ168" s="240"/>
      <c r="CA168" s="240"/>
      <c r="CB168" s="240"/>
      <c r="CC168" s="240"/>
      <c r="CD168" s="240"/>
      <c r="CE168" s="240"/>
      <c r="CF168" s="240"/>
      <c r="CG168" s="240"/>
      <c r="CH168" s="240"/>
      <c r="CI168" s="240"/>
      <c r="CJ168" s="240"/>
      <c r="CK168" s="240"/>
      <c r="CL168" s="240"/>
      <c r="CM168" s="240"/>
      <c r="CN168" s="240"/>
      <c r="CO168" s="240"/>
      <c r="CP168" s="240"/>
      <c r="CQ168" s="240"/>
      <c r="CR168" s="240"/>
      <c r="CS168" s="240"/>
      <c r="CT168" s="240"/>
      <c r="CU168" s="240"/>
      <c r="CV168" s="240"/>
      <c r="CW168" s="240"/>
      <c r="CX168" s="240"/>
      <c r="CY168" s="240"/>
      <c r="CZ168" s="240"/>
      <c r="DA168" s="240"/>
      <c r="DB168" s="240"/>
      <c r="DC168" s="240"/>
      <c r="DD168" s="240"/>
      <c r="DE168" s="240"/>
      <c r="DF168" s="240"/>
      <c r="DG168" s="240"/>
      <c r="DH168" s="240"/>
      <c r="DI168" s="240"/>
      <c r="DJ168" s="240"/>
      <c r="DK168" s="240"/>
      <c r="DL168" s="240"/>
      <c r="DM168" s="240"/>
      <c r="DN168" s="240"/>
      <c r="DO168" s="240"/>
      <c r="DP168" s="240"/>
      <c r="DQ168" s="240"/>
      <c r="DR168" s="240"/>
      <c r="DS168" s="240"/>
      <c r="DT168" s="240"/>
      <c r="DU168" s="240"/>
      <c r="DV168" s="240"/>
      <c r="DW168" s="240"/>
      <c r="DX168" s="240"/>
      <c r="DY168" s="240"/>
      <c r="DZ168" s="240"/>
      <c r="EA168" s="240"/>
      <c r="EB168" s="240"/>
      <c r="EC168" s="240"/>
      <c r="ED168" s="240"/>
      <c r="EE168" s="240"/>
      <c r="EF168" s="240"/>
      <c r="EG168" s="240"/>
      <c r="EH168" s="240"/>
      <c r="EI168" s="240"/>
      <c r="EJ168" s="240"/>
      <c r="EK168" s="240"/>
      <c r="EL168" s="240"/>
      <c r="EM168" s="240"/>
      <c r="EN168" s="240"/>
      <c r="EO168" s="240"/>
      <c r="EP168" s="240"/>
      <c r="EQ168" s="240"/>
      <c r="ER168" s="240"/>
      <c r="ES168" s="240"/>
      <c r="ET168" s="240"/>
      <c r="EU168" s="240"/>
      <c r="EV168" s="240"/>
      <c r="EW168" s="240"/>
      <c r="EX168" s="240"/>
      <c r="EY168" s="240"/>
      <c r="EZ168" s="240"/>
      <c r="FA168" s="240"/>
      <c r="FB168" s="240"/>
      <c r="FC168" s="240"/>
      <c r="FD168" s="240"/>
      <c r="FE168" s="240"/>
      <c r="FF168" s="240"/>
      <c r="FG168" s="240"/>
      <c r="FH168" s="240"/>
      <c r="FI168" s="240"/>
      <c r="FJ168" s="240"/>
      <c r="FK168" s="240"/>
      <c r="FL168" s="240"/>
      <c r="FM168" s="240"/>
      <c r="FN168" s="240"/>
      <c r="FO168" s="240"/>
      <c r="FP168" s="240"/>
      <c r="FQ168" s="240"/>
      <c r="FR168" s="240"/>
      <c r="FS168" s="240"/>
      <c r="FT168" s="240"/>
      <c r="FU168" s="240"/>
      <c r="FV168" s="240"/>
      <c r="FW168" s="240"/>
      <c r="FX168" s="240"/>
      <c r="FY168" s="240"/>
      <c r="FZ168" s="240"/>
      <c r="GA168" s="240"/>
      <c r="GB168" s="240"/>
      <c r="GC168" s="240"/>
      <c r="GD168" s="240"/>
      <c r="GE168" s="240"/>
      <c r="GF168" s="240"/>
      <c r="GG168" s="240"/>
      <c r="GH168" s="240"/>
      <c r="GI168" s="240"/>
      <c r="GJ168" s="240"/>
      <c r="GK168" s="240"/>
      <c r="GL168" s="240"/>
      <c r="GM168" s="240"/>
      <c r="GN168" s="240"/>
      <c r="GO168" s="240"/>
      <c r="GP168" s="240"/>
      <c r="GQ168" s="240"/>
      <c r="GR168" s="240"/>
      <c r="GS168" s="240"/>
      <c r="GT168" s="240"/>
      <c r="GU168" s="240"/>
      <c r="GV168" s="240"/>
      <c r="GW168" s="240"/>
      <c r="GX168" s="240"/>
      <c r="GY168" s="240"/>
      <c r="GZ168" s="240"/>
      <c r="HA168" s="240"/>
      <c r="HB168" s="240"/>
      <c r="HC168" s="240"/>
      <c r="HD168" s="240"/>
      <c r="HE168" s="240"/>
      <c r="HF168" s="240"/>
      <c r="HG168" s="240"/>
      <c r="HH168" s="240"/>
      <c r="HI168" s="240"/>
      <c r="HJ168" s="240"/>
      <c r="HK168" s="240"/>
      <c r="HL168" s="240"/>
      <c r="HM168" s="240"/>
      <c r="HN168" s="240"/>
      <c r="HO168" s="240"/>
      <c r="HP168" s="240"/>
      <c r="HQ168" s="240"/>
      <c r="HR168" s="240"/>
      <c r="HS168" s="240"/>
      <c r="HT168" s="240"/>
      <c r="HU168" s="240"/>
      <c r="HV168" s="240"/>
      <c r="HW168" s="240"/>
      <c r="HX168" s="240"/>
      <c r="HY168" s="240"/>
      <c r="HZ168" s="240"/>
      <c r="IA168" s="240"/>
      <c r="IB168" s="240"/>
      <c r="IC168" s="240"/>
      <c r="ID168" s="240"/>
      <c r="IE168" s="240"/>
      <c r="IF168" s="240"/>
      <c r="IG168" s="240"/>
      <c r="IH168" s="240"/>
      <c r="II168" s="240"/>
      <c r="IJ168" s="240"/>
      <c r="IK168" s="240"/>
      <c r="IL168" s="240"/>
      <c r="IM168" s="240"/>
      <c r="IN168" s="240"/>
      <c r="IO168" s="240"/>
      <c r="IP168" s="240"/>
      <c r="IQ168" s="240"/>
      <c r="IR168" s="240"/>
      <c r="IS168" s="240"/>
      <c r="IT168" s="240"/>
      <c r="IU168" s="240"/>
      <c r="IV168" s="240"/>
      <c r="IW168" s="240"/>
      <c r="IX168" s="240"/>
      <c r="IY168" s="240"/>
      <c r="IZ168" s="240"/>
      <c r="JA168" s="240"/>
      <c r="JB168" s="240"/>
      <c r="JC168" s="240"/>
      <c r="JD168" s="240"/>
      <c r="JE168" s="240"/>
      <c r="JF168" s="240"/>
      <c r="JG168" s="240"/>
      <c r="JH168" s="240"/>
      <c r="JI168" s="240"/>
      <c r="JJ168" s="240"/>
      <c r="JK168" s="240"/>
      <c r="JL168" s="240"/>
      <c r="JM168" s="240"/>
      <c r="JN168" s="240"/>
      <c r="JO168" s="240"/>
      <c r="JP168" s="240"/>
      <c r="JQ168" s="240"/>
      <c r="JR168" s="240"/>
      <c r="JS168" s="240"/>
      <c r="JT168" s="240"/>
      <c r="JU168" s="240"/>
      <c r="JV168" s="240"/>
      <c r="JW168" s="240"/>
      <c r="JX168" s="240"/>
      <c r="JY168" s="240"/>
      <c r="JZ168" s="240"/>
      <c r="KA168" s="240"/>
      <c r="KB168" s="240"/>
      <c r="KC168" s="240"/>
      <c r="KD168" s="240"/>
      <c r="KE168" s="240"/>
      <c r="KF168" s="240"/>
      <c r="KG168" s="240"/>
      <c r="KH168" s="240"/>
      <c r="KI168" s="240"/>
      <c r="KJ168" s="240"/>
      <c r="KK168" s="240"/>
      <c r="KL168" s="240"/>
      <c r="KM168" s="240"/>
      <c r="KN168" s="240"/>
      <c r="KO168" s="240"/>
      <c r="KP168" s="240"/>
      <c r="KQ168" s="240"/>
      <c r="KR168" s="240"/>
      <c r="KS168" s="240"/>
      <c r="KT168" s="240"/>
      <c r="KU168" s="240"/>
      <c r="KV168" s="240"/>
      <c r="KW168" s="240"/>
      <c r="KX168" s="240"/>
      <c r="KY168" s="240"/>
      <c r="KZ168" s="240"/>
      <c r="LA168" s="240"/>
      <c r="LB168" s="240"/>
      <c r="LC168" s="240"/>
      <c r="LD168" s="240"/>
      <c r="LE168" s="240"/>
      <c r="LF168" s="240"/>
      <c r="LG168" s="240"/>
      <c r="LH168" s="240"/>
      <c r="LI168" s="240"/>
      <c r="LJ168" s="240"/>
      <c r="LK168" s="240"/>
      <c r="LL168" s="240"/>
      <c r="LM168" s="240"/>
      <c r="LN168" s="240"/>
      <c r="LO168" s="240"/>
      <c r="LP168" s="240"/>
      <c r="LQ168" s="240"/>
      <c r="LR168" s="240"/>
      <c r="LS168" s="240"/>
      <c r="LT168" s="240"/>
      <c r="LU168" s="240"/>
      <c r="LV168" s="240"/>
      <c r="LW168" s="240"/>
      <c r="LX168" s="240"/>
      <c r="LY168" s="240"/>
      <c r="LZ168" s="240"/>
      <c r="MA168" s="240"/>
      <c r="MB168" s="240"/>
      <c r="MC168" s="240"/>
      <c r="MD168" s="240"/>
      <c r="ME168" s="240"/>
      <c r="MF168" s="240"/>
      <c r="MG168" s="240"/>
      <c r="MH168" s="240"/>
      <c r="MI168" s="240"/>
      <c r="MJ168" s="240"/>
      <c r="MK168" s="240"/>
      <c r="ML168" s="240"/>
      <c r="MM168" s="240"/>
      <c r="MN168" s="240"/>
      <c r="MO168" s="240"/>
      <c r="MP168" s="240"/>
      <c r="MQ168" s="240"/>
      <c r="MR168" s="240"/>
      <c r="MS168" s="240"/>
      <c r="MT168" s="240"/>
      <c r="MU168" s="240"/>
      <c r="MV168" s="240"/>
      <c r="MW168" s="240"/>
      <c r="MX168" s="240"/>
      <c r="MY168" s="240"/>
      <c r="MZ168" s="240"/>
      <c r="NA168" s="240"/>
      <c r="NB168" s="240"/>
      <c r="NC168" s="240"/>
      <c r="ND168" s="240"/>
      <c r="NE168" s="240"/>
      <c r="NF168" s="240"/>
      <c r="NG168" s="240"/>
      <c r="NH168" s="240"/>
      <c r="NI168" s="240"/>
      <c r="NJ168" s="240"/>
      <c r="NK168" s="240"/>
      <c r="NL168" s="240"/>
      <c r="NM168" s="240"/>
      <c r="NN168" s="240"/>
      <c r="NO168" s="240"/>
      <c r="NP168" s="240"/>
      <c r="NQ168" s="240"/>
      <c r="NR168" s="240"/>
      <c r="NS168" s="240"/>
      <c r="NT168" s="240"/>
      <c r="NU168" s="240"/>
      <c r="NV168" s="240"/>
      <c r="NW168" s="240"/>
      <c r="NX168" s="240"/>
      <c r="NY168" s="240"/>
      <c r="NZ168" s="240"/>
      <c r="OA168" s="240"/>
      <c r="OB168" s="240"/>
      <c r="OC168" s="240"/>
      <c r="OD168" s="240"/>
      <c r="OE168" s="240"/>
      <c r="OF168" s="240"/>
      <c r="OG168" s="240"/>
      <c r="OH168" s="240"/>
      <c r="OI168" s="240"/>
      <c r="OJ168" s="240"/>
      <c r="OK168" s="240"/>
      <c r="OL168" s="240"/>
      <c r="OM168" s="240"/>
      <c r="ON168" s="240"/>
      <c r="OO168" s="240"/>
      <c r="OP168" s="240"/>
      <c r="OQ168" s="240"/>
      <c r="OR168" s="240"/>
      <c r="OS168" s="240"/>
      <c r="OT168" s="240"/>
      <c r="OU168" s="240"/>
      <c r="OV168" s="240"/>
      <c r="OW168" s="240"/>
      <c r="OX168" s="240"/>
      <c r="OY168" s="240"/>
      <c r="OZ168" s="240"/>
      <c r="PA168" s="240"/>
      <c r="PB168" s="240"/>
      <c r="PC168" s="240"/>
      <c r="PD168" s="240"/>
      <c r="PE168" s="240"/>
      <c r="PF168" s="240"/>
      <c r="PG168" s="240"/>
      <c r="PH168" s="240"/>
      <c r="PI168" s="240"/>
      <c r="PJ168" s="240"/>
      <c r="PK168" s="240"/>
      <c r="PL168" s="240"/>
      <c r="PM168" s="240"/>
      <c r="PN168" s="240"/>
      <c r="PO168" s="240"/>
      <c r="PP168" s="240"/>
      <c r="PQ168" s="240"/>
      <c r="PR168" s="240"/>
      <c r="PS168" s="240"/>
      <c r="PT168" s="240"/>
      <c r="PU168" s="240"/>
      <c r="PV168" s="240"/>
      <c r="PW168" s="240"/>
      <c r="PX168" s="240"/>
      <c r="PY168" s="240"/>
      <c r="PZ168" s="240"/>
      <c r="QA168" s="240"/>
      <c r="QB168" s="240"/>
      <c r="QC168" s="240"/>
      <c r="QD168" s="240"/>
      <c r="QE168" s="240"/>
      <c r="QF168" s="240"/>
      <c r="QG168" s="240"/>
      <c r="QH168" s="240"/>
      <c r="QI168" s="240"/>
      <c r="QJ168" s="240"/>
      <c r="QK168" s="240"/>
      <c r="QL168" s="240"/>
      <c r="QM168" s="240"/>
      <c r="QN168" s="240"/>
      <c r="QO168" s="240"/>
      <c r="QP168" s="240"/>
      <c r="QQ168" s="240"/>
      <c r="QR168" s="240"/>
      <c r="QS168" s="240"/>
      <c r="QT168" s="240"/>
      <c r="QU168" s="240"/>
      <c r="QV168" s="240"/>
      <c r="QW168" s="240"/>
      <c r="QX168" s="240"/>
      <c r="QY168" s="240"/>
      <c r="QZ168" s="240"/>
      <c r="RA168" s="240"/>
      <c r="RB168" s="240"/>
      <c r="RC168" s="240"/>
      <c r="RD168" s="240"/>
      <c r="RE168" s="240"/>
      <c r="RF168" s="240"/>
      <c r="RG168" s="240"/>
      <c r="RH168" s="240"/>
      <c r="RI168" s="240"/>
      <c r="RJ168" s="240"/>
      <c r="RK168" s="240"/>
      <c r="RL168" s="240"/>
      <c r="RM168" s="240"/>
      <c r="RN168" s="240"/>
      <c r="RO168" s="240"/>
      <c r="RP168" s="240"/>
      <c r="RQ168" s="240"/>
      <c r="RR168" s="240"/>
      <c r="RS168" s="240"/>
      <c r="RT168" s="240"/>
      <c r="RU168" s="240"/>
      <c r="RV168" s="240"/>
      <c r="RW168" s="240"/>
      <c r="RX168" s="240"/>
      <c r="RY168" s="240"/>
      <c r="RZ168" s="240"/>
      <c r="SA168" s="240"/>
      <c r="SB168" s="240"/>
      <c r="SC168" s="240"/>
      <c r="SD168" s="240"/>
      <c r="SE168" s="240"/>
      <c r="SF168" s="240"/>
      <c r="SG168" s="240"/>
      <c r="SH168" s="240"/>
      <c r="SI168" s="240"/>
      <c r="SJ168" s="240"/>
      <c r="SK168" s="240"/>
      <c r="SL168" s="240"/>
      <c r="SM168" s="240"/>
      <c r="SN168" s="240"/>
      <c r="SO168" s="240"/>
      <c r="SP168" s="240"/>
      <c r="SQ168" s="240"/>
      <c r="SR168" s="240"/>
      <c r="SS168" s="240"/>
      <c r="ST168" s="240"/>
      <c r="SU168" s="240"/>
      <c r="SV168" s="240"/>
      <c r="SW168" s="240"/>
      <c r="SX168" s="240"/>
      <c r="SY168" s="240"/>
      <c r="SZ168" s="240"/>
      <c r="TA168" s="240"/>
      <c r="TB168" s="240"/>
      <c r="TC168" s="240"/>
      <c r="TD168" s="240"/>
      <c r="TE168" s="240"/>
      <c r="TF168" s="240"/>
      <c r="TG168" s="240"/>
      <c r="TH168" s="240"/>
      <c r="TI168" s="240"/>
      <c r="TJ168" s="240"/>
      <c r="TK168" s="240"/>
      <c r="TL168" s="240"/>
      <c r="TM168" s="240"/>
      <c r="TN168" s="240"/>
      <c r="TO168" s="240"/>
      <c r="TP168" s="240"/>
      <c r="TQ168" s="240"/>
      <c r="TR168" s="240"/>
      <c r="TS168" s="240"/>
      <c r="TT168" s="240"/>
      <c r="TU168" s="240"/>
      <c r="TV168" s="240"/>
      <c r="TW168" s="240"/>
      <c r="TX168" s="240"/>
      <c r="TY168" s="240"/>
      <c r="TZ168" s="240"/>
      <c r="UA168" s="240"/>
      <c r="UB168" s="240"/>
      <c r="UC168" s="240"/>
      <c r="UD168" s="240"/>
      <c r="UE168" s="240"/>
      <c r="UF168" s="240"/>
      <c r="UG168" s="240"/>
      <c r="UH168" s="240"/>
      <c r="UI168" s="240"/>
      <c r="UJ168" s="240"/>
      <c r="UK168" s="240"/>
      <c r="UL168" s="240"/>
      <c r="UM168" s="240"/>
      <c r="UN168" s="240"/>
      <c r="UO168" s="240"/>
      <c r="UP168" s="240"/>
      <c r="UQ168" s="240"/>
      <c r="UR168" s="240"/>
      <c r="US168" s="240"/>
      <c r="UT168" s="240"/>
      <c r="UU168" s="240"/>
      <c r="UV168" s="240"/>
      <c r="UW168" s="240"/>
      <c r="UX168" s="240"/>
      <c r="UY168" s="240"/>
      <c r="UZ168" s="240"/>
      <c r="VA168" s="240"/>
      <c r="VB168" s="240"/>
      <c r="VC168" s="240"/>
      <c r="VD168" s="240"/>
      <c r="VE168" s="240"/>
      <c r="VF168" s="240"/>
      <c r="VG168" s="240"/>
      <c r="VH168" s="240"/>
      <c r="VI168" s="240"/>
      <c r="VJ168" s="240"/>
      <c r="VK168" s="240"/>
      <c r="VL168" s="240"/>
      <c r="VM168" s="240"/>
      <c r="VN168" s="240"/>
      <c r="VO168" s="240"/>
      <c r="VP168" s="240"/>
      <c r="VQ168" s="240"/>
      <c r="VR168" s="240"/>
      <c r="VS168" s="240"/>
      <c r="VT168" s="240"/>
      <c r="VU168" s="240"/>
      <c r="VV168" s="240"/>
      <c r="VW168" s="240"/>
      <c r="VX168" s="240"/>
      <c r="VY168" s="240"/>
      <c r="VZ168" s="240"/>
      <c r="WA168" s="240"/>
      <c r="WB168" s="240"/>
      <c r="WC168" s="240"/>
      <c r="WD168" s="240"/>
      <c r="WE168" s="240"/>
      <c r="WF168" s="240"/>
      <c r="WG168" s="240"/>
      <c r="WH168" s="240"/>
      <c r="WI168" s="240"/>
      <c r="WJ168" s="240"/>
      <c r="WK168" s="240"/>
      <c r="WL168" s="240"/>
      <c r="WM168" s="240"/>
      <c r="WN168" s="240"/>
      <c r="WO168" s="240"/>
      <c r="WP168" s="240"/>
      <c r="WQ168" s="240"/>
      <c r="WR168" s="240"/>
      <c r="WS168" s="240"/>
      <c r="WT168" s="240"/>
      <c r="WU168" s="240"/>
      <c r="WV168" s="240"/>
      <c r="WW168" s="240"/>
      <c r="WX168" s="240"/>
      <c r="WY168" s="240"/>
      <c r="WZ168" s="240"/>
      <c r="XA168" s="240"/>
      <c r="XB168" s="240"/>
      <c r="XC168" s="240"/>
      <c r="XD168" s="240"/>
      <c r="XE168" s="240"/>
      <c r="XF168" s="240"/>
      <c r="XG168" s="240"/>
      <c r="XH168" s="240"/>
      <c r="XI168" s="240"/>
      <c r="XJ168" s="240"/>
      <c r="XK168" s="240"/>
      <c r="XL168" s="240"/>
      <c r="XM168" s="240"/>
      <c r="XN168" s="240"/>
      <c r="XO168" s="240"/>
      <c r="XP168" s="240"/>
      <c r="XQ168" s="240"/>
      <c r="XR168" s="240"/>
      <c r="XS168" s="240"/>
      <c r="XT168" s="240"/>
      <c r="XU168" s="240"/>
      <c r="XV168" s="240"/>
      <c r="XW168" s="240"/>
      <c r="XX168" s="240"/>
      <c r="XY168" s="240"/>
      <c r="XZ168" s="240"/>
      <c r="YA168" s="240"/>
      <c r="YB168" s="240"/>
      <c r="YC168" s="240"/>
      <c r="YD168" s="240"/>
      <c r="YE168" s="240"/>
      <c r="YF168" s="240"/>
      <c r="YG168" s="240"/>
      <c r="YH168" s="240"/>
      <c r="YI168" s="240"/>
      <c r="YJ168" s="240"/>
      <c r="YK168" s="240"/>
      <c r="YL168" s="240"/>
      <c r="YM168" s="240"/>
      <c r="YN168" s="240"/>
      <c r="YO168" s="240"/>
      <c r="YP168" s="240"/>
      <c r="YQ168" s="240"/>
      <c r="YR168" s="240"/>
      <c r="YS168" s="240"/>
      <c r="YT168" s="240"/>
      <c r="YU168" s="240"/>
      <c r="YV168" s="240"/>
      <c r="YW168" s="240"/>
      <c r="YX168" s="240"/>
      <c r="YY168" s="240"/>
      <c r="YZ168" s="240"/>
      <c r="ZA168" s="240"/>
      <c r="ZB168" s="240"/>
      <c r="ZC168" s="240"/>
      <c r="ZD168" s="240"/>
      <c r="ZE168" s="240"/>
      <c r="ZF168" s="240"/>
      <c r="ZG168" s="240"/>
      <c r="ZH168" s="240"/>
      <c r="ZI168" s="240"/>
      <c r="ZJ168" s="240"/>
      <c r="ZK168" s="240"/>
      <c r="ZL168" s="240"/>
      <c r="ZM168" s="240"/>
      <c r="ZN168" s="240"/>
      <c r="ZO168" s="240"/>
      <c r="ZP168" s="240"/>
      <c r="ZQ168" s="240"/>
      <c r="ZR168" s="240"/>
      <c r="ZS168" s="240"/>
      <c r="ZT168" s="240"/>
      <c r="ZU168" s="240"/>
      <c r="ZV168" s="240"/>
      <c r="ZW168" s="240"/>
      <c r="ZX168" s="240"/>
      <c r="ZY168" s="240"/>
      <c r="ZZ168" s="240"/>
      <c r="AAA168" s="240"/>
      <c r="AAB168" s="240"/>
      <c r="AAC168" s="240"/>
      <c r="AAD168" s="240"/>
      <c r="AAE168" s="240"/>
      <c r="AAF168" s="240"/>
      <c r="AAG168" s="240"/>
      <c r="AAH168" s="240"/>
      <c r="AAI168" s="240"/>
      <c r="AAJ168" s="240"/>
      <c r="AAK168" s="240"/>
      <c r="AAL168" s="240"/>
      <c r="AAM168" s="240"/>
      <c r="AAN168" s="240"/>
      <c r="AAO168" s="240"/>
      <c r="AAP168" s="240"/>
      <c r="AAQ168" s="240"/>
      <c r="AAR168" s="240"/>
      <c r="AAS168" s="240"/>
      <c r="AAT168" s="240"/>
      <c r="AAU168" s="240"/>
      <c r="AAV168" s="240"/>
      <c r="AAW168" s="240"/>
      <c r="AAX168" s="240"/>
      <c r="AAY168" s="240"/>
      <c r="AAZ168" s="240"/>
      <c r="ABA168" s="240"/>
      <c r="ABB168" s="240"/>
      <c r="ABC168" s="240"/>
      <c r="ABD168" s="240"/>
      <c r="ABE168" s="240"/>
      <c r="ABF168" s="240"/>
      <c r="ABG168" s="240"/>
      <c r="ABH168" s="240"/>
      <c r="ABI168" s="240"/>
      <c r="ABJ168" s="240"/>
      <c r="ABK168" s="240"/>
      <c r="ABL168" s="240"/>
      <c r="ABM168" s="240"/>
      <c r="ABN168" s="240"/>
      <c r="ABO168" s="240"/>
      <c r="ABP168" s="240"/>
      <c r="ABQ168" s="240"/>
      <c r="ABR168" s="240"/>
      <c r="ABS168" s="240"/>
      <c r="ABT168" s="240"/>
      <c r="ABU168" s="240"/>
      <c r="ABV168" s="240"/>
      <c r="ABW168" s="240"/>
      <c r="ABX168" s="240"/>
      <c r="ABY168" s="240"/>
      <c r="ABZ168" s="240"/>
      <c r="ACA168" s="240"/>
      <c r="ACB168" s="240"/>
      <c r="ACC168" s="240"/>
      <c r="ACD168" s="240"/>
      <c r="ACE168" s="240"/>
      <c r="ACF168" s="240"/>
      <c r="ACG168" s="240"/>
      <c r="ACH168" s="240"/>
      <c r="ACI168" s="240"/>
      <c r="ACJ168" s="240"/>
      <c r="ACK168" s="240"/>
      <c r="ACL168" s="240"/>
      <c r="ACM168" s="240"/>
      <c r="ACN168" s="240"/>
      <c r="ACO168" s="240"/>
      <c r="ACP168" s="240"/>
      <c r="ACQ168" s="240"/>
      <c r="ACR168" s="240"/>
      <c r="ACS168" s="240"/>
      <c r="ACT168" s="240"/>
      <c r="ACU168" s="240"/>
      <c r="ACV168" s="240"/>
      <c r="ACW168" s="240"/>
      <c r="ACX168" s="240"/>
      <c r="ACY168" s="240"/>
      <c r="ACZ168" s="240"/>
      <c r="ADA168" s="240"/>
      <c r="ADB168" s="240"/>
      <c r="ADC168" s="240"/>
      <c r="ADD168" s="240"/>
      <c r="ADE168" s="240"/>
      <c r="ADF168" s="240"/>
      <c r="ADG168" s="240"/>
      <c r="ADH168" s="240"/>
      <c r="ADI168" s="240"/>
      <c r="ADJ168" s="240"/>
      <c r="ADK168" s="240"/>
      <c r="ADL168" s="240"/>
      <c r="ADM168" s="240"/>
      <c r="ADN168" s="240"/>
      <c r="ADO168" s="240"/>
      <c r="ADP168" s="240"/>
      <c r="ADQ168" s="240"/>
      <c r="ADR168" s="240"/>
      <c r="ADS168" s="240"/>
      <c r="ADT168" s="240"/>
      <c r="ADU168" s="240"/>
      <c r="ADV168" s="240"/>
      <c r="ADW168" s="240"/>
      <c r="ADX168" s="240"/>
      <c r="ADY168" s="240"/>
      <c r="ADZ168" s="240"/>
      <c r="AEA168" s="240"/>
      <c r="AEB168" s="240"/>
      <c r="AEC168" s="240"/>
      <c r="AED168" s="240"/>
      <c r="AEE168" s="240"/>
      <c r="AEF168" s="240"/>
      <c r="AEG168" s="240"/>
      <c r="AEH168" s="240"/>
      <c r="AEI168" s="240"/>
      <c r="AEJ168" s="240"/>
      <c r="AEK168" s="240"/>
      <c r="AEL168" s="240"/>
      <c r="AEM168" s="240"/>
      <c r="AEN168" s="240"/>
      <c r="AEO168" s="240"/>
      <c r="AEP168" s="240"/>
      <c r="AEQ168" s="240"/>
      <c r="AER168" s="240"/>
      <c r="AES168" s="240"/>
      <c r="AET168" s="240"/>
      <c r="AEU168" s="240"/>
      <c r="AEV168" s="240"/>
      <c r="AEW168" s="240"/>
      <c r="AEX168" s="240"/>
      <c r="AEY168" s="240"/>
      <c r="AEZ168" s="240"/>
      <c r="AFA168" s="240"/>
      <c r="AFB168" s="240"/>
      <c r="AFC168" s="240"/>
      <c r="AFD168" s="240"/>
      <c r="AFE168" s="240"/>
      <c r="AFF168" s="240"/>
      <c r="AFG168" s="240"/>
      <c r="AFH168" s="240"/>
      <c r="AFI168" s="240"/>
      <c r="AFJ168" s="240"/>
      <c r="AFK168" s="240"/>
      <c r="AFL168" s="240"/>
      <c r="AFM168" s="240"/>
      <c r="AFN168" s="240"/>
      <c r="AFO168" s="240"/>
      <c r="AFP168" s="240"/>
      <c r="AFQ168" s="240"/>
      <c r="AFR168" s="240"/>
      <c r="AFS168" s="240"/>
      <c r="AFT168" s="240"/>
      <c r="AFU168" s="240"/>
      <c r="AFV168" s="240"/>
      <c r="AFW168" s="240"/>
      <c r="AFX168" s="240"/>
      <c r="AFY168" s="240"/>
      <c r="AFZ168" s="240"/>
      <c r="AGA168" s="240"/>
      <c r="AGB168" s="240"/>
      <c r="AGC168" s="240"/>
      <c r="AGD168" s="240"/>
      <c r="AGE168" s="240"/>
      <c r="AGF168" s="240"/>
      <c r="AGG168" s="240"/>
      <c r="AGH168" s="240"/>
      <c r="AGI168" s="240"/>
      <c r="AGJ168" s="240"/>
      <c r="AGK168" s="240"/>
      <c r="AGL168" s="240"/>
      <c r="AGM168" s="240"/>
      <c r="AGN168" s="240"/>
      <c r="AGO168" s="240"/>
      <c r="AGP168" s="240"/>
      <c r="AGQ168" s="240"/>
      <c r="AGR168" s="240"/>
      <c r="AGS168" s="240"/>
      <c r="AGT168" s="240"/>
      <c r="AGU168" s="240"/>
      <c r="AGV168" s="240"/>
      <c r="AGW168" s="240"/>
      <c r="AGX168" s="240"/>
      <c r="AGY168" s="240"/>
      <c r="AGZ168" s="240"/>
      <c r="AHA168" s="240"/>
      <c r="AHB168" s="240"/>
      <c r="AHC168" s="240"/>
      <c r="AHD168" s="240"/>
      <c r="AHE168" s="240"/>
      <c r="AHF168" s="240"/>
      <c r="AHG168" s="240"/>
      <c r="AHH168" s="240"/>
      <c r="AHI168" s="240"/>
      <c r="AHJ168" s="240"/>
      <c r="AHK168" s="240"/>
      <c r="AHL168" s="240"/>
      <c r="AHM168" s="240"/>
      <c r="AHN168" s="240"/>
      <c r="AHO168" s="240"/>
      <c r="AHP168" s="240"/>
      <c r="AHQ168" s="240"/>
      <c r="AHR168" s="240"/>
      <c r="AHS168" s="240"/>
      <c r="AHT168" s="240"/>
      <c r="AHU168" s="240"/>
      <c r="AHV168" s="240"/>
      <c r="AHW168" s="240"/>
      <c r="AHX168" s="240"/>
      <c r="AHY168" s="240"/>
      <c r="AHZ168" s="240"/>
      <c r="AIA168" s="240"/>
      <c r="AIB168" s="240"/>
      <c r="AIC168" s="240"/>
      <c r="AID168" s="240"/>
      <c r="AIE168" s="240"/>
      <c r="AIF168" s="240"/>
      <c r="AIG168" s="240"/>
      <c r="AIH168" s="240"/>
      <c r="AII168" s="240"/>
      <c r="AIJ168" s="240"/>
      <c r="AIK168" s="240"/>
      <c r="AIL168" s="240"/>
      <c r="AIM168" s="240"/>
      <c r="AIN168" s="240"/>
      <c r="AIO168" s="240"/>
      <c r="AIP168" s="240"/>
      <c r="AIQ168" s="240"/>
      <c r="AIR168" s="240"/>
      <c r="AIS168" s="240"/>
      <c r="AIT168" s="240"/>
      <c r="AIU168" s="240"/>
      <c r="AIV168" s="240"/>
      <c r="AIW168" s="240"/>
      <c r="AIX168" s="240"/>
      <c r="AIY168" s="240"/>
      <c r="AIZ168" s="240"/>
      <c r="AJA168" s="240"/>
      <c r="AJB168" s="240"/>
      <c r="AJC168" s="240"/>
      <c r="AJD168" s="240"/>
      <c r="AJE168" s="240"/>
      <c r="AJF168" s="240"/>
      <c r="AJG168" s="240"/>
      <c r="AJH168" s="240"/>
      <c r="AJI168" s="240"/>
      <c r="AJJ168" s="240"/>
      <c r="AJK168" s="240"/>
      <c r="AJL168" s="240"/>
      <c r="AJM168" s="240"/>
      <c r="AJN168" s="240"/>
      <c r="AJO168" s="240"/>
      <c r="AJP168" s="240"/>
      <c r="AJQ168" s="240"/>
      <c r="AJR168" s="240"/>
      <c r="AJS168" s="240"/>
      <c r="AJT168" s="240"/>
      <c r="AJU168" s="240"/>
      <c r="AJV168" s="240"/>
      <c r="AJW168" s="240"/>
      <c r="AJX168" s="240"/>
      <c r="AJY168" s="240"/>
      <c r="AJZ168" s="240"/>
      <c r="AKA168" s="240"/>
      <c r="AKB168" s="240"/>
      <c r="AKC168" s="240"/>
      <c r="AKD168" s="240"/>
      <c r="AKE168" s="240"/>
      <c r="AKF168" s="240"/>
      <c r="AKG168" s="240"/>
      <c r="AKH168" s="240"/>
      <c r="AKI168" s="240"/>
      <c r="AKJ168" s="240"/>
      <c r="AKK168" s="240"/>
      <c r="AKL168" s="240"/>
      <c r="AKM168" s="240"/>
      <c r="AKN168" s="240"/>
      <c r="AKO168" s="240"/>
      <c r="AKP168" s="240"/>
      <c r="AKQ168" s="240"/>
      <c r="AKR168" s="240"/>
      <c r="AKS168" s="240"/>
      <c r="AKT168" s="240"/>
      <c r="AKU168" s="240"/>
      <c r="AKV168" s="240"/>
      <c r="AKW168" s="240"/>
      <c r="AKX168" s="240"/>
      <c r="AKY168" s="240"/>
      <c r="AKZ168" s="240"/>
      <c r="ALA168" s="240"/>
      <c r="ALB168" s="240"/>
      <c r="ALC168" s="240"/>
      <c r="ALD168" s="240"/>
      <c r="ALE168" s="240"/>
      <c r="ALF168" s="240"/>
      <c r="ALG168" s="240"/>
      <c r="ALH168" s="240"/>
      <c r="ALI168" s="240"/>
      <c r="ALJ168" s="240"/>
      <c r="ALK168" s="240"/>
      <c r="ALL168" s="240"/>
      <c r="ALM168" s="240"/>
      <c r="ALN168" s="240"/>
      <c r="ALO168" s="240"/>
      <c r="ALP168" s="240"/>
      <c r="ALQ168" s="240"/>
      <c r="ALR168" s="240"/>
      <c r="ALS168" s="240"/>
      <c r="ALT168" s="240"/>
      <c r="ALU168" s="240"/>
      <c r="ALV168" s="240"/>
      <c r="ALW168" s="240"/>
      <c r="ALX168" s="240"/>
      <c r="ALY168" s="240"/>
      <c r="ALZ168" s="240"/>
      <c r="AMA168" s="240"/>
      <c r="AMB168" s="240"/>
      <c r="AMC168" s="240"/>
      <c r="AMD168" s="240"/>
      <c r="AME168" s="240"/>
      <c r="AMF168" s="240"/>
      <c r="AMG168" s="240"/>
      <c r="AMH168" s="240"/>
    </row>
    <row r="169" spans="1:1022" ht="13.5" customHeight="1" thickTop="1" thickBot="1">
      <c r="A169" s="240"/>
      <c r="B169" s="241"/>
      <c r="C169" s="145" t="s">
        <v>674</v>
      </c>
      <c r="D169" s="145" t="s">
        <v>675</v>
      </c>
      <c r="E169" s="147" t="s">
        <v>115</v>
      </c>
      <c r="F169" s="243" t="s">
        <v>20</v>
      </c>
      <c r="G169" s="245" t="s">
        <v>6</v>
      </c>
      <c r="H169" s="245" t="s">
        <v>6</v>
      </c>
      <c r="I169" s="243" t="s">
        <v>207</v>
      </c>
      <c r="J169" s="246"/>
      <c r="K169" s="253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0"/>
      <c r="AB169" s="240"/>
      <c r="AC169" s="240"/>
      <c r="AD169" s="240"/>
      <c r="AE169" s="240"/>
      <c r="AF169" s="240"/>
      <c r="AG169" s="240"/>
      <c r="AH169" s="240"/>
      <c r="AI169" s="240"/>
      <c r="AJ169" s="240"/>
      <c r="AK169" s="240"/>
      <c r="AL169" s="240"/>
      <c r="AM169" s="240"/>
      <c r="AN169" s="240"/>
      <c r="AO169" s="240"/>
      <c r="AP169" s="240"/>
      <c r="AQ169" s="240"/>
      <c r="AR169" s="240"/>
      <c r="AS169" s="240"/>
      <c r="AT169" s="240"/>
      <c r="AU169" s="240"/>
      <c r="AV169" s="240"/>
      <c r="AW169" s="240"/>
      <c r="AX169" s="240"/>
      <c r="AY169" s="240"/>
      <c r="AZ169" s="240"/>
      <c r="BA169" s="240"/>
      <c r="BB169" s="240"/>
      <c r="BC169" s="240"/>
      <c r="BD169" s="240"/>
      <c r="BE169" s="240"/>
      <c r="BF169" s="240"/>
      <c r="BG169" s="240"/>
      <c r="BH169" s="240"/>
      <c r="BI169" s="240"/>
      <c r="BJ169" s="240"/>
      <c r="BK169" s="240"/>
      <c r="BL169" s="240"/>
      <c r="BM169" s="240"/>
      <c r="BN169" s="240"/>
      <c r="BO169" s="240"/>
      <c r="BP169" s="240"/>
      <c r="BQ169" s="240"/>
      <c r="BR169" s="240"/>
      <c r="BS169" s="240"/>
      <c r="BT169" s="240"/>
      <c r="BU169" s="240"/>
      <c r="BV169" s="240"/>
      <c r="BW169" s="240"/>
      <c r="BX169" s="240"/>
      <c r="BY169" s="240"/>
      <c r="BZ169" s="240"/>
      <c r="CA169" s="240"/>
      <c r="CB169" s="240"/>
      <c r="CC169" s="240"/>
      <c r="CD169" s="240"/>
      <c r="CE169" s="240"/>
      <c r="CF169" s="240"/>
      <c r="CG169" s="240"/>
      <c r="CH169" s="240"/>
      <c r="CI169" s="240"/>
      <c r="CJ169" s="240"/>
      <c r="CK169" s="240"/>
      <c r="CL169" s="240"/>
      <c r="CM169" s="240"/>
      <c r="CN169" s="240"/>
      <c r="CO169" s="240"/>
      <c r="CP169" s="240"/>
      <c r="CQ169" s="240"/>
      <c r="CR169" s="240"/>
      <c r="CS169" s="240"/>
      <c r="CT169" s="240"/>
      <c r="CU169" s="240"/>
      <c r="CV169" s="240"/>
      <c r="CW169" s="240"/>
      <c r="CX169" s="240"/>
      <c r="CY169" s="240"/>
      <c r="CZ169" s="240"/>
      <c r="DA169" s="240"/>
      <c r="DB169" s="240"/>
      <c r="DC169" s="240"/>
      <c r="DD169" s="240"/>
      <c r="DE169" s="240"/>
      <c r="DF169" s="240"/>
      <c r="DG169" s="240"/>
      <c r="DH169" s="240"/>
      <c r="DI169" s="240"/>
      <c r="DJ169" s="240"/>
      <c r="DK169" s="240"/>
      <c r="DL169" s="240"/>
      <c r="DM169" s="240"/>
      <c r="DN169" s="240"/>
      <c r="DO169" s="240"/>
      <c r="DP169" s="240"/>
      <c r="DQ169" s="240"/>
      <c r="DR169" s="240"/>
      <c r="DS169" s="240"/>
      <c r="DT169" s="240"/>
      <c r="DU169" s="240"/>
      <c r="DV169" s="240"/>
      <c r="DW169" s="240"/>
      <c r="DX169" s="240"/>
      <c r="DY169" s="240"/>
      <c r="DZ169" s="240"/>
      <c r="EA169" s="240"/>
      <c r="EB169" s="240"/>
      <c r="EC169" s="240"/>
      <c r="ED169" s="240"/>
      <c r="EE169" s="240"/>
      <c r="EF169" s="240"/>
      <c r="EG169" s="240"/>
      <c r="EH169" s="240"/>
      <c r="EI169" s="240"/>
      <c r="EJ169" s="240"/>
      <c r="EK169" s="240"/>
      <c r="EL169" s="240"/>
      <c r="EM169" s="240"/>
      <c r="EN169" s="240"/>
      <c r="EO169" s="240"/>
      <c r="EP169" s="240"/>
      <c r="EQ169" s="240"/>
      <c r="ER169" s="240"/>
      <c r="ES169" s="240"/>
      <c r="ET169" s="240"/>
      <c r="EU169" s="240"/>
      <c r="EV169" s="240"/>
      <c r="EW169" s="240"/>
      <c r="EX169" s="240"/>
      <c r="EY169" s="240"/>
      <c r="EZ169" s="240"/>
      <c r="FA169" s="240"/>
      <c r="FB169" s="240"/>
      <c r="FC169" s="240"/>
      <c r="FD169" s="240"/>
      <c r="FE169" s="240"/>
      <c r="FF169" s="240"/>
      <c r="FG169" s="240"/>
      <c r="FH169" s="240"/>
      <c r="FI169" s="240"/>
      <c r="FJ169" s="240"/>
      <c r="FK169" s="240"/>
      <c r="FL169" s="240"/>
      <c r="FM169" s="240"/>
      <c r="FN169" s="240"/>
      <c r="FO169" s="240"/>
      <c r="FP169" s="240"/>
      <c r="FQ169" s="240"/>
      <c r="FR169" s="240"/>
      <c r="FS169" s="240"/>
      <c r="FT169" s="240"/>
      <c r="FU169" s="240"/>
      <c r="FV169" s="240"/>
      <c r="FW169" s="240"/>
      <c r="FX169" s="240"/>
      <c r="FY169" s="240"/>
      <c r="FZ169" s="240"/>
      <c r="GA169" s="240"/>
      <c r="GB169" s="240"/>
      <c r="GC169" s="240"/>
      <c r="GD169" s="240"/>
      <c r="GE169" s="240"/>
      <c r="GF169" s="240"/>
      <c r="GG169" s="240"/>
      <c r="GH169" s="240"/>
      <c r="GI169" s="240"/>
      <c r="GJ169" s="240"/>
      <c r="GK169" s="240"/>
      <c r="GL169" s="240"/>
      <c r="GM169" s="240"/>
      <c r="GN169" s="240"/>
      <c r="GO169" s="240"/>
      <c r="GP169" s="240"/>
      <c r="GQ169" s="240"/>
      <c r="GR169" s="240"/>
      <c r="GS169" s="240"/>
      <c r="GT169" s="240"/>
      <c r="GU169" s="240"/>
      <c r="GV169" s="240"/>
      <c r="GW169" s="240"/>
      <c r="GX169" s="240"/>
      <c r="GY169" s="240"/>
      <c r="GZ169" s="240"/>
      <c r="HA169" s="240"/>
      <c r="HB169" s="240"/>
      <c r="HC169" s="240"/>
      <c r="HD169" s="240"/>
      <c r="HE169" s="240"/>
      <c r="HF169" s="240"/>
      <c r="HG169" s="240"/>
      <c r="HH169" s="240"/>
      <c r="HI169" s="240"/>
      <c r="HJ169" s="240"/>
      <c r="HK169" s="240"/>
      <c r="HL169" s="240"/>
      <c r="HM169" s="240"/>
      <c r="HN169" s="240"/>
      <c r="HO169" s="240"/>
      <c r="HP169" s="240"/>
      <c r="HQ169" s="240"/>
      <c r="HR169" s="240"/>
      <c r="HS169" s="240"/>
      <c r="HT169" s="240"/>
      <c r="HU169" s="240"/>
      <c r="HV169" s="240"/>
      <c r="HW169" s="240"/>
      <c r="HX169" s="240"/>
      <c r="HY169" s="240"/>
      <c r="HZ169" s="240"/>
      <c r="IA169" s="240"/>
      <c r="IB169" s="240"/>
      <c r="IC169" s="240"/>
      <c r="ID169" s="240"/>
      <c r="IE169" s="240"/>
      <c r="IF169" s="240"/>
      <c r="IG169" s="240"/>
      <c r="IH169" s="240"/>
      <c r="II169" s="240"/>
      <c r="IJ169" s="240"/>
      <c r="IK169" s="240"/>
      <c r="IL169" s="240"/>
      <c r="IM169" s="240"/>
      <c r="IN169" s="240"/>
      <c r="IO169" s="240"/>
      <c r="IP169" s="240"/>
      <c r="IQ169" s="240"/>
      <c r="IR169" s="240"/>
      <c r="IS169" s="240"/>
      <c r="IT169" s="240"/>
      <c r="IU169" s="240"/>
      <c r="IV169" s="240"/>
      <c r="IW169" s="240"/>
      <c r="IX169" s="240"/>
      <c r="IY169" s="240"/>
      <c r="IZ169" s="240"/>
      <c r="JA169" s="240"/>
      <c r="JB169" s="240"/>
      <c r="JC169" s="240"/>
      <c r="JD169" s="240"/>
      <c r="JE169" s="240"/>
      <c r="JF169" s="240"/>
      <c r="JG169" s="240"/>
      <c r="JH169" s="240"/>
      <c r="JI169" s="240"/>
      <c r="JJ169" s="240"/>
      <c r="JK169" s="240"/>
      <c r="JL169" s="240"/>
      <c r="JM169" s="240"/>
      <c r="JN169" s="240"/>
      <c r="JO169" s="240"/>
      <c r="JP169" s="240"/>
      <c r="JQ169" s="240"/>
      <c r="JR169" s="240"/>
      <c r="JS169" s="240"/>
      <c r="JT169" s="240"/>
      <c r="JU169" s="240"/>
      <c r="JV169" s="240"/>
      <c r="JW169" s="240"/>
      <c r="JX169" s="240"/>
      <c r="JY169" s="240"/>
      <c r="JZ169" s="240"/>
      <c r="KA169" s="240"/>
      <c r="KB169" s="240"/>
      <c r="KC169" s="240"/>
      <c r="KD169" s="240"/>
      <c r="KE169" s="240"/>
      <c r="KF169" s="240"/>
      <c r="KG169" s="240"/>
      <c r="KH169" s="240"/>
      <c r="KI169" s="240"/>
      <c r="KJ169" s="240"/>
      <c r="KK169" s="240"/>
      <c r="KL169" s="240"/>
      <c r="KM169" s="240"/>
      <c r="KN169" s="240"/>
      <c r="KO169" s="240"/>
      <c r="KP169" s="240"/>
      <c r="KQ169" s="240"/>
      <c r="KR169" s="240"/>
      <c r="KS169" s="240"/>
      <c r="KT169" s="240"/>
      <c r="KU169" s="240"/>
      <c r="KV169" s="240"/>
      <c r="KW169" s="240"/>
      <c r="KX169" s="240"/>
      <c r="KY169" s="240"/>
      <c r="KZ169" s="240"/>
      <c r="LA169" s="240"/>
      <c r="LB169" s="240"/>
      <c r="LC169" s="240"/>
      <c r="LD169" s="240"/>
      <c r="LE169" s="240"/>
      <c r="LF169" s="240"/>
      <c r="LG169" s="240"/>
      <c r="LH169" s="240"/>
      <c r="LI169" s="240"/>
      <c r="LJ169" s="240"/>
      <c r="LK169" s="240"/>
      <c r="LL169" s="240"/>
      <c r="LM169" s="240"/>
      <c r="LN169" s="240"/>
      <c r="LO169" s="240"/>
      <c r="LP169" s="240"/>
      <c r="LQ169" s="240"/>
      <c r="LR169" s="240"/>
      <c r="LS169" s="240"/>
      <c r="LT169" s="240"/>
      <c r="LU169" s="240"/>
      <c r="LV169" s="240"/>
      <c r="LW169" s="240"/>
      <c r="LX169" s="240"/>
      <c r="LY169" s="240"/>
      <c r="LZ169" s="240"/>
      <c r="MA169" s="240"/>
      <c r="MB169" s="240"/>
      <c r="MC169" s="240"/>
      <c r="MD169" s="240"/>
      <c r="ME169" s="240"/>
      <c r="MF169" s="240"/>
      <c r="MG169" s="240"/>
      <c r="MH169" s="240"/>
      <c r="MI169" s="240"/>
      <c r="MJ169" s="240"/>
      <c r="MK169" s="240"/>
      <c r="ML169" s="240"/>
      <c r="MM169" s="240"/>
      <c r="MN169" s="240"/>
      <c r="MO169" s="240"/>
      <c r="MP169" s="240"/>
      <c r="MQ169" s="240"/>
      <c r="MR169" s="240"/>
      <c r="MS169" s="240"/>
      <c r="MT169" s="240"/>
      <c r="MU169" s="240"/>
      <c r="MV169" s="240"/>
      <c r="MW169" s="240"/>
      <c r="MX169" s="240"/>
      <c r="MY169" s="240"/>
      <c r="MZ169" s="240"/>
      <c r="NA169" s="240"/>
      <c r="NB169" s="240"/>
      <c r="NC169" s="240"/>
      <c r="ND169" s="240"/>
      <c r="NE169" s="240"/>
      <c r="NF169" s="240"/>
      <c r="NG169" s="240"/>
      <c r="NH169" s="240"/>
      <c r="NI169" s="240"/>
      <c r="NJ169" s="240"/>
      <c r="NK169" s="240"/>
      <c r="NL169" s="240"/>
      <c r="NM169" s="240"/>
      <c r="NN169" s="240"/>
      <c r="NO169" s="240"/>
      <c r="NP169" s="240"/>
      <c r="NQ169" s="240"/>
      <c r="NR169" s="240"/>
      <c r="NS169" s="240"/>
      <c r="NT169" s="240"/>
      <c r="NU169" s="240"/>
      <c r="NV169" s="240"/>
      <c r="NW169" s="240"/>
      <c r="NX169" s="240"/>
      <c r="NY169" s="240"/>
      <c r="NZ169" s="240"/>
      <c r="OA169" s="240"/>
      <c r="OB169" s="240"/>
      <c r="OC169" s="240"/>
      <c r="OD169" s="240"/>
      <c r="OE169" s="240"/>
      <c r="OF169" s="240"/>
      <c r="OG169" s="240"/>
      <c r="OH169" s="240"/>
      <c r="OI169" s="240"/>
      <c r="OJ169" s="240"/>
      <c r="OK169" s="240"/>
      <c r="OL169" s="240"/>
      <c r="OM169" s="240"/>
      <c r="ON169" s="240"/>
      <c r="OO169" s="240"/>
      <c r="OP169" s="240"/>
      <c r="OQ169" s="240"/>
      <c r="OR169" s="240"/>
      <c r="OS169" s="240"/>
      <c r="OT169" s="240"/>
      <c r="OU169" s="240"/>
      <c r="OV169" s="240"/>
      <c r="OW169" s="240"/>
      <c r="OX169" s="240"/>
      <c r="OY169" s="240"/>
      <c r="OZ169" s="240"/>
      <c r="PA169" s="240"/>
      <c r="PB169" s="240"/>
      <c r="PC169" s="240"/>
      <c r="PD169" s="240"/>
      <c r="PE169" s="240"/>
      <c r="PF169" s="240"/>
      <c r="PG169" s="240"/>
      <c r="PH169" s="240"/>
      <c r="PI169" s="240"/>
      <c r="PJ169" s="240"/>
      <c r="PK169" s="240"/>
      <c r="PL169" s="240"/>
      <c r="PM169" s="240"/>
      <c r="PN169" s="240"/>
      <c r="PO169" s="240"/>
      <c r="PP169" s="240"/>
      <c r="PQ169" s="240"/>
      <c r="PR169" s="240"/>
      <c r="PS169" s="240"/>
      <c r="PT169" s="240"/>
      <c r="PU169" s="240"/>
      <c r="PV169" s="240"/>
      <c r="PW169" s="240"/>
      <c r="PX169" s="240"/>
      <c r="PY169" s="240"/>
      <c r="PZ169" s="240"/>
      <c r="QA169" s="240"/>
      <c r="QB169" s="240"/>
      <c r="QC169" s="240"/>
      <c r="QD169" s="240"/>
      <c r="QE169" s="240"/>
      <c r="QF169" s="240"/>
      <c r="QG169" s="240"/>
      <c r="QH169" s="240"/>
      <c r="QI169" s="240"/>
      <c r="QJ169" s="240"/>
      <c r="QK169" s="240"/>
      <c r="QL169" s="240"/>
      <c r="QM169" s="240"/>
      <c r="QN169" s="240"/>
      <c r="QO169" s="240"/>
      <c r="QP169" s="240"/>
      <c r="QQ169" s="240"/>
      <c r="QR169" s="240"/>
      <c r="QS169" s="240"/>
      <c r="QT169" s="240"/>
      <c r="QU169" s="240"/>
      <c r="QV169" s="240"/>
      <c r="QW169" s="240"/>
      <c r="QX169" s="240"/>
      <c r="QY169" s="240"/>
      <c r="QZ169" s="240"/>
      <c r="RA169" s="240"/>
      <c r="RB169" s="240"/>
      <c r="RC169" s="240"/>
      <c r="RD169" s="240"/>
      <c r="RE169" s="240"/>
      <c r="RF169" s="240"/>
      <c r="RG169" s="240"/>
      <c r="RH169" s="240"/>
      <c r="RI169" s="240"/>
      <c r="RJ169" s="240"/>
      <c r="RK169" s="240"/>
      <c r="RL169" s="240"/>
      <c r="RM169" s="240"/>
      <c r="RN169" s="240"/>
      <c r="RO169" s="240"/>
      <c r="RP169" s="240"/>
      <c r="RQ169" s="240"/>
      <c r="RR169" s="240"/>
      <c r="RS169" s="240"/>
      <c r="RT169" s="240"/>
      <c r="RU169" s="240"/>
      <c r="RV169" s="240"/>
      <c r="RW169" s="240"/>
      <c r="RX169" s="240"/>
      <c r="RY169" s="240"/>
      <c r="RZ169" s="240"/>
      <c r="SA169" s="240"/>
      <c r="SB169" s="240"/>
      <c r="SC169" s="240"/>
      <c r="SD169" s="240"/>
      <c r="SE169" s="240"/>
      <c r="SF169" s="240"/>
      <c r="SG169" s="240"/>
      <c r="SH169" s="240"/>
      <c r="SI169" s="240"/>
      <c r="SJ169" s="240"/>
      <c r="SK169" s="240"/>
      <c r="SL169" s="240"/>
      <c r="SM169" s="240"/>
      <c r="SN169" s="240"/>
      <c r="SO169" s="240"/>
      <c r="SP169" s="240"/>
      <c r="SQ169" s="240"/>
      <c r="SR169" s="240"/>
      <c r="SS169" s="240"/>
      <c r="ST169" s="240"/>
      <c r="SU169" s="240"/>
      <c r="SV169" s="240"/>
      <c r="SW169" s="240"/>
      <c r="SX169" s="240"/>
      <c r="SY169" s="240"/>
      <c r="SZ169" s="240"/>
      <c r="TA169" s="240"/>
      <c r="TB169" s="240"/>
      <c r="TC169" s="240"/>
      <c r="TD169" s="240"/>
      <c r="TE169" s="240"/>
      <c r="TF169" s="240"/>
      <c r="TG169" s="240"/>
      <c r="TH169" s="240"/>
      <c r="TI169" s="240"/>
      <c r="TJ169" s="240"/>
      <c r="TK169" s="240"/>
      <c r="TL169" s="240"/>
      <c r="TM169" s="240"/>
      <c r="TN169" s="240"/>
      <c r="TO169" s="240"/>
      <c r="TP169" s="240"/>
      <c r="TQ169" s="240"/>
      <c r="TR169" s="240"/>
      <c r="TS169" s="240"/>
      <c r="TT169" s="240"/>
      <c r="TU169" s="240"/>
      <c r="TV169" s="240"/>
      <c r="TW169" s="240"/>
      <c r="TX169" s="240"/>
      <c r="TY169" s="240"/>
      <c r="TZ169" s="240"/>
      <c r="UA169" s="240"/>
      <c r="UB169" s="240"/>
      <c r="UC169" s="240"/>
      <c r="UD169" s="240"/>
      <c r="UE169" s="240"/>
      <c r="UF169" s="240"/>
      <c r="UG169" s="240"/>
      <c r="UH169" s="240"/>
      <c r="UI169" s="240"/>
      <c r="UJ169" s="240"/>
      <c r="UK169" s="240"/>
      <c r="UL169" s="240"/>
      <c r="UM169" s="240"/>
      <c r="UN169" s="240"/>
      <c r="UO169" s="240"/>
      <c r="UP169" s="240"/>
      <c r="UQ169" s="240"/>
      <c r="UR169" s="240"/>
      <c r="US169" s="240"/>
      <c r="UT169" s="240"/>
      <c r="UU169" s="240"/>
      <c r="UV169" s="240"/>
      <c r="UW169" s="240"/>
      <c r="UX169" s="240"/>
      <c r="UY169" s="240"/>
      <c r="UZ169" s="240"/>
      <c r="VA169" s="240"/>
      <c r="VB169" s="240"/>
      <c r="VC169" s="240"/>
      <c r="VD169" s="240"/>
      <c r="VE169" s="240"/>
      <c r="VF169" s="240"/>
      <c r="VG169" s="240"/>
      <c r="VH169" s="240"/>
      <c r="VI169" s="240"/>
      <c r="VJ169" s="240"/>
      <c r="VK169" s="240"/>
      <c r="VL169" s="240"/>
      <c r="VM169" s="240"/>
      <c r="VN169" s="240"/>
      <c r="VO169" s="240"/>
      <c r="VP169" s="240"/>
      <c r="VQ169" s="240"/>
      <c r="VR169" s="240"/>
      <c r="VS169" s="240"/>
      <c r="VT169" s="240"/>
      <c r="VU169" s="240"/>
      <c r="VV169" s="240"/>
      <c r="VW169" s="240"/>
      <c r="VX169" s="240"/>
      <c r="VY169" s="240"/>
      <c r="VZ169" s="240"/>
      <c r="WA169" s="240"/>
      <c r="WB169" s="240"/>
      <c r="WC169" s="240"/>
      <c r="WD169" s="240"/>
      <c r="WE169" s="240"/>
      <c r="WF169" s="240"/>
      <c r="WG169" s="240"/>
      <c r="WH169" s="240"/>
      <c r="WI169" s="240"/>
      <c r="WJ169" s="240"/>
      <c r="WK169" s="240"/>
      <c r="WL169" s="240"/>
      <c r="WM169" s="240"/>
      <c r="WN169" s="240"/>
      <c r="WO169" s="240"/>
      <c r="WP169" s="240"/>
      <c r="WQ169" s="240"/>
      <c r="WR169" s="240"/>
      <c r="WS169" s="240"/>
      <c r="WT169" s="240"/>
      <c r="WU169" s="240"/>
      <c r="WV169" s="240"/>
      <c r="WW169" s="240"/>
      <c r="WX169" s="240"/>
      <c r="WY169" s="240"/>
      <c r="WZ169" s="240"/>
      <c r="XA169" s="240"/>
      <c r="XB169" s="240"/>
      <c r="XC169" s="240"/>
      <c r="XD169" s="240"/>
      <c r="XE169" s="240"/>
      <c r="XF169" s="240"/>
      <c r="XG169" s="240"/>
      <c r="XH169" s="240"/>
      <c r="XI169" s="240"/>
      <c r="XJ169" s="240"/>
      <c r="XK169" s="240"/>
      <c r="XL169" s="240"/>
      <c r="XM169" s="240"/>
      <c r="XN169" s="240"/>
      <c r="XO169" s="240"/>
      <c r="XP169" s="240"/>
      <c r="XQ169" s="240"/>
      <c r="XR169" s="240"/>
      <c r="XS169" s="240"/>
      <c r="XT169" s="240"/>
      <c r="XU169" s="240"/>
      <c r="XV169" s="240"/>
      <c r="XW169" s="240"/>
      <c r="XX169" s="240"/>
      <c r="XY169" s="240"/>
      <c r="XZ169" s="240"/>
      <c r="YA169" s="240"/>
      <c r="YB169" s="240"/>
      <c r="YC169" s="240"/>
      <c r="YD169" s="240"/>
      <c r="YE169" s="240"/>
      <c r="YF169" s="240"/>
      <c r="YG169" s="240"/>
      <c r="YH169" s="240"/>
      <c r="YI169" s="240"/>
      <c r="YJ169" s="240"/>
      <c r="YK169" s="240"/>
      <c r="YL169" s="240"/>
      <c r="YM169" s="240"/>
      <c r="YN169" s="240"/>
      <c r="YO169" s="240"/>
      <c r="YP169" s="240"/>
      <c r="YQ169" s="240"/>
      <c r="YR169" s="240"/>
      <c r="YS169" s="240"/>
      <c r="YT169" s="240"/>
      <c r="YU169" s="240"/>
      <c r="YV169" s="240"/>
      <c r="YW169" s="240"/>
      <c r="YX169" s="240"/>
      <c r="YY169" s="240"/>
      <c r="YZ169" s="240"/>
      <c r="ZA169" s="240"/>
      <c r="ZB169" s="240"/>
      <c r="ZC169" s="240"/>
      <c r="ZD169" s="240"/>
      <c r="ZE169" s="240"/>
      <c r="ZF169" s="240"/>
      <c r="ZG169" s="240"/>
      <c r="ZH169" s="240"/>
      <c r="ZI169" s="240"/>
      <c r="ZJ169" s="240"/>
      <c r="ZK169" s="240"/>
      <c r="ZL169" s="240"/>
      <c r="ZM169" s="240"/>
      <c r="ZN169" s="240"/>
      <c r="ZO169" s="240"/>
      <c r="ZP169" s="240"/>
      <c r="ZQ169" s="240"/>
      <c r="ZR169" s="240"/>
      <c r="ZS169" s="240"/>
      <c r="ZT169" s="240"/>
      <c r="ZU169" s="240"/>
      <c r="ZV169" s="240"/>
      <c r="ZW169" s="240"/>
      <c r="ZX169" s="240"/>
      <c r="ZY169" s="240"/>
      <c r="ZZ169" s="240"/>
      <c r="AAA169" s="240"/>
      <c r="AAB169" s="240"/>
      <c r="AAC169" s="240"/>
      <c r="AAD169" s="240"/>
      <c r="AAE169" s="240"/>
      <c r="AAF169" s="240"/>
      <c r="AAG169" s="240"/>
      <c r="AAH169" s="240"/>
      <c r="AAI169" s="240"/>
      <c r="AAJ169" s="240"/>
      <c r="AAK169" s="240"/>
      <c r="AAL169" s="240"/>
      <c r="AAM169" s="240"/>
      <c r="AAN169" s="240"/>
      <c r="AAO169" s="240"/>
      <c r="AAP169" s="240"/>
      <c r="AAQ169" s="240"/>
      <c r="AAR169" s="240"/>
      <c r="AAS169" s="240"/>
      <c r="AAT169" s="240"/>
      <c r="AAU169" s="240"/>
      <c r="AAV169" s="240"/>
      <c r="AAW169" s="240"/>
      <c r="AAX169" s="240"/>
      <c r="AAY169" s="240"/>
      <c r="AAZ169" s="240"/>
      <c r="ABA169" s="240"/>
      <c r="ABB169" s="240"/>
      <c r="ABC169" s="240"/>
      <c r="ABD169" s="240"/>
      <c r="ABE169" s="240"/>
      <c r="ABF169" s="240"/>
      <c r="ABG169" s="240"/>
      <c r="ABH169" s="240"/>
      <c r="ABI169" s="240"/>
      <c r="ABJ169" s="240"/>
      <c r="ABK169" s="240"/>
      <c r="ABL169" s="240"/>
      <c r="ABM169" s="240"/>
      <c r="ABN169" s="240"/>
      <c r="ABO169" s="240"/>
      <c r="ABP169" s="240"/>
      <c r="ABQ169" s="240"/>
      <c r="ABR169" s="240"/>
      <c r="ABS169" s="240"/>
      <c r="ABT169" s="240"/>
      <c r="ABU169" s="240"/>
      <c r="ABV169" s="240"/>
      <c r="ABW169" s="240"/>
      <c r="ABX169" s="240"/>
      <c r="ABY169" s="240"/>
      <c r="ABZ169" s="240"/>
      <c r="ACA169" s="240"/>
      <c r="ACB169" s="240"/>
      <c r="ACC169" s="240"/>
      <c r="ACD169" s="240"/>
      <c r="ACE169" s="240"/>
      <c r="ACF169" s="240"/>
      <c r="ACG169" s="240"/>
      <c r="ACH169" s="240"/>
      <c r="ACI169" s="240"/>
      <c r="ACJ169" s="240"/>
      <c r="ACK169" s="240"/>
      <c r="ACL169" s="240"/>
      <c r="ACM169" s="240"/>
      <c r="ACN169" s="240"/>
      <c r="ACO169" s="240"/>
      <c r="ACP169" s="240"/>
      <c r="ACQ169" s="240"/>
      <c r="ACR169" s="240"/>
      <c r="ACS169" s="240"/>
      <c r="ACT169" s="240"/>
      <c r="ACU169" s="240"/>
      <c r="ACV169" s="240"/>
      <c r="ACW169" s="240"/>
      <c r="ACX169" s="240"/>
      <c r="ACY169" s="240"/>
      <c r="ACZ169" s="240"/>
      <c r="ADA169" s="240"/>
      <c r="ADB169" s="240"/>
      <c r="ADC169" s="240"/>
      <c r="ADD169" s="240"/>
      <c r="ADE169" s="240"/>
      <c r="ADF169" s="240"/>
      <c r="ADG169" s="240"/>
      <c r="ADH169" s="240"/>
      <c r="ADI169" s="240"/>
      <c r="ADJ169" s="240"/>
      <c r="ADK169" s="240"/>
      <c r="ADL169" s="240"/>
      <c r="ADM169" s="240"/>
      <c r="ADN169" s="240"/>
      <c r="ADO169" s="240"/>
      <c r="ADP169" s="240"/>
      <c r="ADQ169" s="240"/>
      <c r="ADR169" s="240"/>
      <c r="ADS169" s="240"/>
      <c r="ADT169" s="240"/>
      <c r="ADU169" s="240"/>
      <c r="ADV169" s="240"/>
      <c r="ADW169" s="240"/>
      <c r="ADX169" s="240"/>
      <c r="ADY169" s="240"/>
      <c r="ADZ169" s="240"/>
      <c r="AEA169" s="240"/>
      <c r="AEB169" s="240"/>
      <c r="AEC169" s="240"/>
      <c r="AED169" s="240"/>
      <c r="AEE169" s="240"/>
      <c r="AEF169" s="240"/>
      <c r="AEG169" s="240"/>
      <c r="AEH169" s="240"/>
      <c r="AEI169" s="240"/>
      <c r="AEJ169" s="240"/>
      <c r="AEK169" s="240"/>
      <c r="AEL169" s="240"/>
      <c r="AEM169" s="240"/>
      <c r="AEN169" s="240"/>
      <c r="AEO169" s="240"/>
      <c r="AEP169" s="240"/>
      <c r="AEQ169" s="240"/>
      <c r="AER169" s="240"/>
      <c r="AES169" s="240"/>
      <c r="AET169" s="240"/>
      <c r="AEU169" s="240"/>
      <c r="AEV169" s="240"/>
      <c r="AEW169" s="240"/>
      <c r="AEX169" s="240"/>
      <c r="AEY169" s="240"/>
      <c r="AEZ169" s="240"/>
      <c r="AFA169" s="240"/>
      <c r="AFB169" s="240"/>
      <c r="AFC169" s="240"/>
      <c r="AFD169" s="240"/>
      <c r="AFE169" s="240"/>
      <c r="AFF169" s="240"/>
      <c r="AFG169" s="240"/>
      <c r="AFH169" s="240"/>
      <c r="AFI169" s="240"/>
      <c r="AFJ169" s="240"/>
      <c r="AFK169" s="240"/>
      <c r="AFL169" s="240"/>
      <c r="AFM169" s="240"/>
      <c r="AFN169" s="240"/>
      <c r="AFO169" s="240"/>
      <c r="AFP169" s="240"/>
      <c r="AFQ169" s="240"/>
      <c r="AFR169" s="240"/>
      <c r="AFS169" s="240"/>
      <c r="AFT169" s="240"/>
      <c r="AFU169" s="240"/>
      <c r="AFV169" s="240"/>
      <c r="AFW169" s="240"/>
      <c r="AFX169" s="240"/>
      <c r="AFY169" s="240"/>
      <c r="AFZ169" s="240"/>
      <c r="AGA169" s="240"/>
      <c r="AGB169" s="240"/>
      <c r="AGC169" s="240"/>
      <c r="AGD169" s="240"/>
      <c r="AGE169" s="240"/>
      <c r="AGF169" s="240"/>
      <c r="AGG169" s="240"/>
      <c r="AGH169" s="240"/>
      <c r="AGI169" s="240"/>
      <c r="AGJ169" s="240"/>
      <c r="AGK169" s="240"/>
      <c r="AGL169" s="240"/>
      <c r="AGM169" s="240"/>
      <c r="AGN169" s="240"/>
      <c r="AGO169" s="240"/>
      <c r="AGP169" s="240"/>
      <c r="AGQ169" s="240"/>
      <c r="AGR169" s="240"/>
      <c r="AGS169" s="240"/>
      <c r="AGT169" s="240"/>
      <c r="AGU169" s="240"/>
      <c r="AGV169" s="240"/>
      <c r="AGW169" s="240"/>
      <c r="AGX169" s="240"/>
      <c r="AGY169" s="240"/>
      <c r="AGZ169" s="240"/>
      <c r="AHA169" s="240"/>
      <c r="AHB169" s="240"/>
      <c r="AHC169" s="240"/>
      <c r="AHD169" s="240"/>
      <c r="AHE169" s="240"/>
      <c r="AHF169" s="240"/>
      <c r="AHG169" s="240"/>
      <c r="AHH169" s="240"/>
      <c r="AHI169" s="240"/>
      <c r="AHJ169" s="240"/>
      <c r="AHK169" s="240"/>
      <c r="AHL169" s="240"/>
      <c r="AHM169" s="240"/>
      <c r="AHN169" s="240"/>
      <c r="AHO169" s="240"/>
      <c r="AHP169" s="240"/>
      <c r="AHQ169" s="240"/>
      <c r="AHR169" s="240"/>
      <c r="AHS169" s="240"/>
      <c r="AHT169" s="240"/>
      <c r="AHU169" s="240"/>
      <c r="AHV169" s="240"/>
      <c r="AHW169" s="240"/>
      <c r="AHX169" s="240"/>
      <c r="AHY169" s="240"/>
      <c r="AHZ169" s="240"/>
      <c r="AIA169" s="240"/>
      <c r="AIB169" s="240"/>
      <c r="AIC169" s="240"/>
      <c r="AID169" s="240"/>
      <c r="AIE169" s="240"/>
      <c r="AIF169" s="240"/>
      <c r="AIG169" s="240"/>
      <c r="AIH169" s="240"/>
      <c r="AII169" s="240"/>
      <c r="AIJ169" s="240"/>
      <c r="AIK169" s="240"/>
      <c r="AIL169" s="240"/>
      <c r="AIM169" s="240"/>
      <c r="AIN169" s="240"/>
      <c r="AIO169" s="240"/>
      <c r="AIP169" s="240"/>
      <c r="AIQ169" s="240"/>
      <c r="AIR169" s="240"/>
      <c r="AIS169" s="240"/>
      <c r="AIT169" s="240"/>
      <c r="AIU169" s="240"/>
      <c r="AIV169" s="240"/>
      <c r="AIW169" s="240"/>
      <c r="AIX169" s="240"/>
      <c r="AIY169" s="240"/>
      <c r="AIZ169" s="240"/>
      <c r="AJA169" s="240"/>
      <c r="AJB169" s="240"/>
      <c r="AJC169" s="240"/>
      <c r="AJD169" s="240"/>
      <c r="AJE169" s="240"/>
      <c r="AJF169" s="240"/>
      <c r="AJG169" s="240"/>
      <c r="AJH169" s="240"/>
      <c r="AJI169" s="240"/>
      <c r="AJJ169" s="240"/>
      <c r="AJK169" s="240"/>
      <c r="AJL169" s="240"/>
      <c r="AJM169" s="240"/>
      <c r="AJN169" s="240"/>
      <c r="AJO169" s="240"/>
      <c r="AJP169" s="240"/>
      <c r="AJQ169" s="240"/>
      <c r="AJR169" s="240"/>
      <c r="AJS169" s="240"/>
      <c r="AJT169" s="240"/>
      <c r="AJU169" s="240"/>
      <c r="AJV169" s="240"/>
      <c r="AJW169" s="240"/>
      <c r="AJX169" s="240"/>
      <c r="AJY169" s="240"/>
      <c r="AJZ169" s="240"/>
      <c r="AKA169" s="240"/>
      <c r="AKB169" s="240"/>
      <c r="AKC169" s="240"/>
      <c r="AKD169" s="240"/>
      <c r="AKE169" s="240"/>
      <c r="AKF169" s="240"/>
      <c r="AKG169" s="240"/>
      <c r="AKH169" s="240"/>
      <c r="AKI169" s="240"/>
      <c r="AKJ169" s="240"/>
      <c r="AKK169" s="240"/>
      <c r="AKL169" s="240"/>
      <c r="AKM169" s="240"/>
      <c r="AKN169" s="240"/>
      <c r="AKO169" s="240"/>
      <c r="AKP169" s="240"/>
      <c r="AKQ169" s="240"/>
      <c r="AKR169" s="240"/>
      <c r="AKS169" s="240"/>
      <c r="AKT169" s="240"/>
      <c r="AKU169" s="240"/>
      <c r="AKV169" s="240"/>
      <c r="AKW169" s="240"/>
      <c r="AKX169" s="240"/>
      <c r="AKY169" s="240"/>
      <c r="AKZ169" s="240"/>
      <c r="ALA169" s="240"/>
      <c r="ALB169" s="240"/>
      <c r="ALC169" s="240"/>
      <c r="ALD169" s="240"/>
      <c r="ALE169" s="240"/>
      <c r="ALF169" s="240"/>
      <c r="ALG169" s="240"/>
      <c r="ALH169" s="240"/>
      <c r="ALI169" s="240"/>
      <c r="ALJ169" s="240"/>
      <c r="ALK169" s="240"/>
      <c r="ALL169" s="240"/>
      <c r="ALM169" s="240"/>
      <c r="ALN169" s="240"/>
      <c r="ALO169" s="240"/>
      <c r="ALP169" s="240"/>
      <c r="ALQ169" s="240"/>
      <c r="ALR169" s="240"/>
      <c r="ALS169" s="240"/>
      <c r="ALT169" s="240"/>
      <c r="ALU169" s="240"/>
      <c r="ALV169" s="240"/>
      <c r="ALW169" s="240"/>
      <c r="ALX169" s="240"/>
      <c r="ALY169" s="240"/>
      <c r="ALZ169" s="240"/>
      <c r="AMA169" s="240"/>
      <c r="AMB169" s="240"/>
      <c r="AMC169" s="240"/>
      <c r="AMD169" s="240"/>
      <c r="AME169" s="240"/>
      <c r="AMF169" s="240"/>
      <c r="AMG169" s="240"/>
      <c r="AMH169" s="240"/>
    </row>
    <row r="170" spans="1:1022" ht="13.5" customHeight="1" thickTop="1" thickBot="1">
      <c r="A170" s="240"/>
      <c r="B170" s="241"/>
      <c r="C170" s="148"/>
      <c r="D170" s="148"/>
      <c r="E170" s="147" t="s">
        <v>114</v>
      </c>
      <c r="F170" s="243" t="s">
        <v>20</v>
      </c>
      <c r="G170" s="245" t="s">
        <v>6</v>
      </c>
      <c r="H170" s="245" t="s">
        <v>6</v>
      </c>
      <c r="I170" s="243" t="s">
        <v>207</v>
      </c>
      <c r="J170" s="246"/>
      <c r="K170" s="253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40"/>
      <c r="BE170" s="240"/>
      <c r="BF170" s="240"/>
      <c r="BG170" s="240"/>
      <c r="BH170" s="240"/>
      <c r="BI170" s="240"/>
      <c r="BJ170" s="240"/>
      <c r="BK170" s="240"/>
      <c r="BL170" s="240"/>
      <c r="BM170" s="240"/>
      <c r="BN170" s="240"/>
      <c r="BO170" s="240"/>
      <c r="BP170" s="240"/>
      <c r="BQ170" s="240"/>
      <c r="BR170" s="240"/>
      <c r="BS170" s="240"/>
      <c r="BT170" s="240"/>
      <c r="BU170" s="240"/>
      <c r="BV170" s="240"/>
      <c r="BW170" s="240"/>
      <c r="BX170" s="240"/>
      <c r="BY170" s="240"/>
      <c r="BZ170" s="240"/>
      <c r="CA170" s="240"/>
      <c r="CB170" s="240"/>
      <c r="CC170" s="240"/>
      <c r="CD170" s="240"/>
      <c r="CE170" s="240"/>
      <c r="CF170" s="240"/>
      <c r="CG170" s="240"/>
      <c r="CH170" s="240"/>
      <c r="CI170" s="240"/>
      <c r="CJ170" s="240"/>
      <c r="CK170" s="240"/>
      <c r="CL170" s="240"/>
      <c r="CM170" s="240"/>
      <c r="CN170" s="240"/>
      <c r="CO170" s="240"/>
      <c r="CP170" s="240"/>
      <c r="CQ170" s="240"/>
      <c r="CR170" s="240"/>
      <c r="CS170" s="240"/>
      <c r="CT170" s="240"/>
      <c r="CU170" s="240"/>
      <c r="CV170" s="240"/>
      <c r="CW170" s="240"/>
      <c r="CX170" s="240"/>
      <c r="CY170" s="240"/>
      <c r="CZ170" s="240"/>
      <c r="DA170" s="240"/>
      <c r="DB170" s="240"/>
      <c r="DC170" s="240"/>
      <c r="DD170" s="240"/>
      <c r="DE170" s="240"/>
      <c r="DF170" s="240"/>
      <c r="DG170" s="240"/>
      <c r="DH170" s="240"/>
      <c r="DI170" s="240"/>
      <c r="DJ170" s="240"/>
      <c r="DK170" s="240"/>
      <c r="DL170" s="240"/>
      <c r="DM170" s="240"/>
      <c r="DN170" s="240"/>
      <c r="DO170" s="240"/>
      <c r="DP170" s="240"/>
      <c r="DQ170" s="240"/>
      <c r="DR170" s="240"/>
      <c r="DS170" s="240"/>
      <c r="DT170" s="240"/>
      <c r="DU170" s="240"/>
      <c r="DV170" s="240"/>
      <c r="DW170" s="240"/>
      <c r="DX170" s="240"/>
      <c r="DY170" s="240"/>
      <c r="DZ170" s="240"/>
      <c r="EA170" s="240"/>
      <c r="EB170" s="240"/>
      <c r="EC170" s="240"/>
      <c r="ED170" s="240"/>
      <c r="EE170" s="240"/>
      <c r="EF170" s="240"/>
      <c r="EG170" s="240"/>
      <c r="EH170" s="240"/>
      <c r="EI170" s="240"/>
      <c r="EJ170" s="240"/>
      <c r="EK170" s="240"/>
      <c r="EL170" s="240"/>
      <c r="EM170" s="240"/>
      <c r="EN170" s="240"/>
      <c r="EO170" s="240"/>
      <c r="EP170" s="240"/>
      <c r="EQ170" s="240"/>
      <c r="ER170" s="240"/>
      <c r="ES170" s="240"/>
      <c r="ET170" s="240"/>
      <c r="EU170" s="240"/>
      <c r="EV170" s="240"/>
      <c r="EW170" s="240"/>
      <c r="EX170" s="240"/>
      <c r="EY170" s="240"/>
      <c r="EZ170" s="240"/>
      <c r="FA170" s="240"/>
      <c r="FB170" s="240"/>
      <c r="FC170" s="240"/>
      <c r="FD170" s="240"/>
      <c r="FE170" s="240"/>
      <c r="FF170" s="240"/>
      <c r="FG170" s="240"/>
      <c r="FH170" s="240"/>
      <c r="FI170" s="240"/>
      <c r="FJ170" s="240"/>
      <c r="FK170" s="240"/>
      <c r="FL170" s="240"/>
      <c r="FM170" s="240"/>
      <c r="FN170" s="240"/>
      <c r="FO170" s="240"/>
      <c r="FP170" s="240"/>
      <c r="FQ170" s="240"/>
      <c r="FR170" s="240"/>
      <c r="FS170" s="240"/>
      <c r="FT170" s="240"/>
      <c r="FU170" s="240"/>
      <c r="FV170" s="240"/>
      <c r="FW170" s="240"/>
      <c r="FX170" s="240"/>
      <c r="FY170" s="240"/>
      <c r="FZ170" s="240"/>
      <c r="GA170" s="240"/>
      <c r="GB170" s="240"/>
      <c r="GC170" s="240"/>
      <c r="GD170" s="240"/>
      <c r="GE170" s="240"/>
      <c r="GF170" s="240"/>
      <c r="GG170" s="240"/>
      <c r="GH170" s="240"/>
      <c r="GI170" s="240"/>
      <c r="GJ170" s="240"/>
      <c r="GK170" s="240"/>
      <c r="GL170" s="240"/>
      <c r="GM170" s="240"/>
      <c r="GN170" s="240"/>
      <c r="GO170" s="240"/>
      <c r="GP170" s="240"/>
      <c r="GQ170" s="240"/>
      <c r="GR170" s="240"/>
      <c r="GS170" s="240"/>
      <c r="GT170" s="240"/>
      <c r="GU170" s="240"/>
      <c r="GV170" s="240"/>
      <c r="GW170" s="240"/>
      <c r="GX170" s="240"/>
      <c r="GY170" s="240"/>
      <c r="GZ170" s="240"/>
      <c r="HA170" s="240"/>
      <c r="HB170" s="240"/>
      <c r="HC170" s="240"/>
      <c r="HD170" s="240"/>
      <c r="HE170" s="240"/>
      <c r="HF170" s="240"/>
      <c r="HG170" s="240"/>
      <c r="HH170" s="240"/>
      <c r="HI170" s="240"/>
      <c r="HJ170" s="240"/>
      <c r="HK170" s="240"/>
      <c r="HL170" s="240"/>
      <c r="HM170" s="240"/>
      <c r="HN170" s="240"/>
      <c r="HO170" s="240"/>
      <c r="HP170" s="240"/>
      <c r="HQ170" s="240"/>
      <c r="HR170" s="240"/>
      <c r="HS170" s="240"/>
      <c r="HT170" s="240"/>
      <c r="HU170" s="240"/>
      <c r="HV170" s="240"/>
      <c r="HW170" s="240"/>
      <c r="HX170" s="240"/>
      <c r="HY170" s="240"/>
      <c r="HZ170" s="240"/>
      <c r="IA170" s="240"/>
      <c r="IB170" s="240"/>
      <c r="IC170" s="240"/>
      <c r="ID170" s="240"/>
      <c r="IE170" s="240"/>
      <c r="IF170" s="240"/>
      <c r="IG170" s="240"/>
      <c r="IH170" s="240"/>
      <c r="II170" s="240"/>
      <c r="IJ170" s="240"/>
      <c r="IK170" s="240"/>
      <c r="IL170" s="240"/>
      <c r="IM170" s="240"/>
      <c r="IN170" s="240"/>
      <c r="IO170" s="240"/>
      <c r="IP170" s="240"/>
      <c r="IQ170" s="240"/>
      <c r="IR170" s="240"/>
      <c r="IS170" s="240"/>
      <c r="IT170" s="240"/>
      <c r="IU170" s="240"/>
      <c r="IV170" s="240"/>
      <c r="IW170" s="240"/>
      <c r="IX170" s="240"/>
      <c r="IY170" s="240"/>
      <c r="IZ170" s="240"/>
      <c r="JA170" s="240"/>
      <c r="JB170" s="240"/>
      <c r="JC170" s="240"/>
      <c r="JD170" s="240"/>
      <c r="JE170" s="240"/>
      <c r="JF170" s="240"/>
      <c r="JG170" s="240"/>
      <c r="JH170" s="240"/>
      <c r="JI170" s="240"/>
      <c r="JJ170" s="240"/>
      <c r="JK170" s="240"/>
      <c r="JL170" s="240"/>
      <c r="JM170" s="240"/>
      <c r="JN170" s="240"/>
      <c r="JO170" s="240"/>
      <c r="JP170" s="240"/>
      <c r="JQ170" s="240"/>
      <c r="JR170" s="240"/>
      <c r="JS170" s="240"/>
      <c r="JT170" s="240"/>
      <c r="JU170" s="240"/>
      <c r="JV170" s="240"/>
      <c r="JW170" s="240"/>
      <c r="JX170" s="240"/>
      <c r="JY170" s="240"/>
      <c r="JZ170" s="240"/>
      <c r="KA170" s="240"/>
      <c r="KB170" s="240"/>
      <c r="KC170" s="240"/>
      <c r="KD170" s="240"/>
      <c r="KE170" s="240"/>
      <c r="KF170" s="240"/>
      <c r="KG170" s="240"/>
      <c r="KH170" s="240"/>
      <c r="KI170" s="240"/>
      <c r="KJ170" s="240"/>
      <c r="KK170" s="240"/>
      <c r="KL170" s="240"/>
      <c r="KM170" s="240"/>
      <c r="KN170" s="240"/>
      <c r="KO170" s="240"/>
      <c r="KP170" s="240"/>
      <c r="KQ170" s="240"/>
      <c r="KR170" s="240"/>
      <c r="KS170" s="240"/>
      <c r="KT170" s="240"/>
      <c r="KU170" s="240"/>
      <c r="KV170" s="240"/>
      <c r="KW170" s="240"/>
      <c r="KX170" s="240"/>
      <c r="KY170" s="240"/>
      <c r="KZ170" s="240"/>
      <c r="LA170" s="240"/>
      <c r="LB170" s="240"/>
      <c r="LC170" s="240"/>
      <c r="LD170" s="240"/>
      <c r="LE170" s="240"/>
      <c r="LF170" s="240"/>
      <c r="LG170" s="240"/>
      <c r="LH170" s="240"/>
      <c r="LI170" s="240"/>
      <c r="LJ170" s="240"/>
      <c r="LK170" s="240"/>
      <c r="LL170" s="240"/>
      <c r="LM170" s="240"/>
      <c r="LN170" s="240"/>
      <c r="LO170" s="240"/>
      <c r="LP170" s="240"/>
      <c r="LQ170" s="240"/>
      <c r="LR170" s="240"/>
      <c r="LS170" s="240"/>
      <c r="LT170" s="240"/>
      <c r="LU170" s="240"/>
      <c r="LV170" s="240"/>
      <c r="LW170" s="240"/>
      <c r="LX170" s="240"/>
      <c r="LY170" s="240"/>
      <c r="LZ170" s="240"/>
      <c r="MA170" s="240"/>
      <c r="MB170" s="240"/>
      <c r="MC170" s="240"/>
      <c r="MD170" s="240"/>
      <c r="ME170" s="240"/>
      <c r="MF170" s="240"/>
      <c r="MG170" s="240"/>
      <c r="MH170" s="240"/>
      <c r="MI170" s="240"/>
      <c r="MJ170" s="240"/>
      <c r="MK170" s="240"/>
      <c r="ML170" s="240"/>
      <c r="MM170" s="240"/>
      <c r="MN170" s="240"/>
      <c r="MO170" s="240"/>
      <c r="MP170" s="240"/>
      <c r="MQ170" s="240"/>
      <c r="MR170" s="240"/>
      <c r="MS170" s="240"/>
      <c r="MT170" s="240"/>
      <c r="MU170" s="240"/>
      <c r="MV170" s="240"/>
      <c r="MW170" s="240"/>
      <c r="MX170" s="240"/>
      <c r="MY170" s="240"/>
      <c r="MZ170" s="240"/>
      <c r="NA170" s="240"/>
      <c r="NB170" s="240"/>
      <c r="NC170" s="240"/>
      <c r="ND170" s="240"/>
      <c r="NE170" s="240"/>
      <c r="NF170" s="240"/>
      <c r="NG170" s="240"/>
      <c r="NH170" s="240"/>
      <c r="NI170" s="240"/>
      <c r="NJ170" s="240"/>
      <c r="NK170" s="240"/>
      <c r="NL170" s="240"/>
      <c r="NM170" s="240"/>
      <c r="NN170" s="240"/>
      <c r="NO170" s="240"/>
      <c r="NP170" s="240"/>
      <c r="NQ170" s="240"/>
      <c r="NR170" s="240"/>
      <c r="NS170" s="240"/>
      <c r="NT170" s="240"/>
      <c r="NU170" s="240"/>
      <c r="NV170" s="240"/>
      <c r="NW170" s="240"/>
      <c r="NX170" s="240"/>
      <c r="NY170" s="240"/>
      <c r="NZ170" s="240"/>
      <c r="OA170" s="240"/>
      <c r="OB170" s="240"/>
      <c r="OC170" s="240"/>
      <c r="OD170" s="240"/>
      <c r="OE170" s="240"/>
      <c r="OF170" s="240"/>
      <c r="OG170" s="240"/>
      <c r="OH170" s="240"/>
      <c r="OI170" s="240"/>
      <c r="OJ170" s="240"/>
      <c r="OK170" s="240"/>
      <c r="OL170" s="240"/>
      <c r="OM170" s="240"/>
      <c r="ON170" s="240"/>
      <c r="OO170" s="240"/>
      <c r="OP170" s="240"/>
      <c r="OQ170" s="240"/>
      <c r="OR170" s="240"/>
      <c r="OS170" s="240"/>
      <c r="OT170" s="240"/>
      <c r="OU170" s="240"/>
      <c r="OV170" s="240"/>
      <c r="OW170" s="240"/>
      <c r="OX170" s="240"/>
      <c r="OY170" s="240"/>
      <c r="OZ170" s="240"/>
      <c r="PA170" s="240"/>
      <c r="PB170" s="240"/>
      <c r="PC170" s="240"/>
      <c r="PD170" s="240"/>
      <c r="PE170" s="240"/>
      <c r="PF170" s="240"/>
      <c r="PG170" s="240"/>
      <c r="PH170" s="240"/>
      <c r="PI170" s="240"/>
      <c r="PJ170" s="240"/>
      <c r="PK170" s="240"/>
      <c r="PL170" s="240"/>
      <c r="PM170" s="240"/>
      <c r="PN170" s="240"/>
      <c r="PO170" s="240"/>
      <c r="PP170" s="240"/>
      <c r="PQ170" s="240"/>
      <c r="PR170" s="240"/>
      <c r="PS170" s="240"/>
      <c r="PT170" s="240"/>
      <c r="PU170" s="240"/>
      <c r="PV170" s="240"/>
      <c r="PW170" s="240"/>
      <c r="PX170" s="240"/>
      <c r="PY170" s="240"/>
      <c r="PZ170" s="240"/>
      <c r="QA170" s="240"/>
      <c r="QB170" s="240"/>
      <c r="QC170" s="240"/>
      <c r="QD170" s="240"/>
      <c r="QE170" s="240"/>
      <c r="QF170" s="240"/>
      <c r="QG170" s="240"/>
      <c r="QH170" s="240"/>
      <c r="QI170" s="240"/>
      <c r="QJ170" s="240"/>
      <c r="QK170" s="240"/>
      <c r="QL170" s="240"/>
      <c r="QM170" s="240"/>
      <c r="QN170" s="240"/>
      <c r="QO170" s="240"/>
      <c r="QP170" s="240"/>
      <c r="QQ170" s="240"/>
      <c r="QR170" s="240"/>
      <c r="QS170" s="240"/>
      <c r="QT170" s="240"/>
      <c r="QU170" s="240"/>
      <c r="QV170" s="240"/>
      <c r="QW170" s="240"/>
      <c r="QX170" s="240"/>
      <c r="QY170" s="240"/>
      <c r="QZ170" s="240"/>
      <c r="RA170" s="240"/>
      <c r="RB170" s="240"/>
      <c r="RC170" s="240"/>
      <c r="RD170" s="240"/>
      <c r="RE170" s="240"/>
      <c r="RF170" s="240"/>
      <c r="RG170" s="240"/>
      <c r="RH170" s="240"/>
      <c r="RI170" s="240"/>
      <c r="RJ170" s="240"/>
      <c r="RK170" s="240"/>
      <c r="RL170" s="240"/>
      <c r="RM170" s="240"/>
      <c r="RN170" s="240"/>
      <c r="RO170" s="240"/>
      <c r="RP170" s="240"/>
      <c r="RQ170" s="240"/>
      <c r="RR170" s="240"/>
      <c r="RS170" s="240"/>
      <c r="RT170" s="240"/>
      <c r="RU170" s="240"/>
      <c r="RV170" s="240"/>
      <c r="RW170" s="240"/>
      <c r="RX170" s="240"/>
      <c r="RY170" s="240"/>
      <c r="RZ170" s="240"/>
      <c r="SA170" s="240"/>
      <c r="SB170" s="240"/>
      <c r="SC170" s="240"/>
      <c r="SD170" s="240"/>
      <c r="SE170" s="240"/>
      <c r="SF170" s="240"/>
      <c r="SG170" s="240"/>
      <c r="SH170" s="240"/>
      <c r="SI170" s="240"/>
      <c r="SJ170" s="240"/>
      <c r="SK170" s="240"/>
      <c r="SL170" s="240"/>
      <c r="SM170" s="240"/>
      <c r="SN170" s="240"/>
      <c r="SO170" s="240"/>
      <c r="SP170" s="240"/>
      <c r="SQ170" s="240"/>
      <c r="SR170" s="240"/>
      <c r="SS170" s="240"/>
      <c r="ST170" s="240"/>
      <c r="SU170" s="240"/>
      <c r="SV170" s="240"/>
      <c r="SW170" s="240"/>
      <c r="SX170" s="240"/>
      <c r="SY170" s="240"/>
      <c r="SZ170" s="240"/>
      <c r="TA170" s="240"/>
      <c r="TB170" s="240"/>
      <c r="TC170" s="240"/>
      <c r="TD170" s="240"/>
      <c r="TE170" s="240"/>
      <c r="TF170" s="240"/>
      <c r="TG170" s="240"/>
      <c r="TH170" s="240"/>
      <c r="TI170" s="240"/>
      <c r="TJ170" s="240"/>
      <c r="TK170" s="240"/>
      <c r="TL170" s="240"/>
      <c r="TM170" s="240"/>
      <c r="TN170" s="240"/>
      <c r="TO170" s="240"/>
      <c r="TP170" s="240"/>
      <c r="TQ170" s="240"/>
      <c r="TR170" s="240"/>
      <c r="TS170" s="240"/>
      <c r="TT170" s="240"/>
      <c r="TU170" s="240"/>
      <c r="TV170" s="240"/>
      <c r="TW170" s="240"/>
      <c r="TX170" s="240"/>
      <c r="TY170" s="240"/>
      <c r="TZ170" s="240"/>
      <c r="UA170" s="240"/>
      <c r="UB170" s="240"/>
      <c r="UC170" s="240"/>
      <c r="UD170" s="240"/>
      <c r="UE170" s="240"/>
      <c r="UF170" s="240"/>
      <c r="UG170" s="240"/>
      <c r="UH170" s="240"/>
      <c r="UI170" s="240"/>
      <c r="UJ170" s="240"/>
      <c r="UK170" s="240"/>
      <c r="UL170" s="240"/>
      <c r="UM170" s="240"/>
      <c r="UN170" s="240"/>
      <c r="UO170" s="240"/>
      <c r="UP170" s="240"/>
      <c r="UQ170" s="240"/>
      <c r="UR170" s="240"/>
      <c r="US170" s="240"/>
      <c r="UT170" s="240"/>
      <c r="UU170" s="240"/>
      <c r="UV170" s="240"/>
      <c r="UW170" s="240"/>
      <c r="UX170" s="240"/>
      <c r="UY170" s="240"/>
      <c r="UZ170" s="240"/>
      <c r="VA170" s="240"/>
      <c r="VB170" s="240"/>
      <c r="VC170" s="240"/>
      <c r="VD170" s="240"/>
      <c r="VE170" s="240"/>
      <c r="VF170" s="240"/>
      <c r="VG170" s="240"/>
      <c r="VH170" s="240"/>
      <c r="VI170" s="240"/>
      <c r="VJ170" s="240"/>
      <c r="VK170" s="240"/>
      <c r="VL170" s="240"/>
      <c r="VM170" s="240"/>
      <c r="VN170" s="240"/>
      <c r="VO170" s="240"/>
      <c r="VP170" s="240"/>
      <c r="VQ170" s="240"/>
      <c r="VR170" s="240"/>
      <c r="VS170" s="240"/>
      <c r="VT170" s="240"/>
      <c r="VU170" s="240"/>
      <c r="VV170" s="240"/>
      <c r="VW170" s="240"/>
      <c r="VX170" s="240"/>
      <c r="VY170" s="240"/>
      <c r="VZ170" s="240"/>
      <c r="WA170" s="240"/>
      <c r="WB170" s="240"/>
      <c r="WC170" s="240"/>
      <c r="WD170" s="240"/>
      <c r="WE170" s="240"/>
      <c r="WF170" s="240"/>
      <c r="WG170" s="240"/>
      <c r="WH170" s="240"/>
      <c r="WI170" s="240"/>
      <c r="WJ170" s="240"/>
      <c r="WK170" s="240"/>
      <c r="WL170" s="240"/>
      <c r="WM170" s="240"/>
      <c r="WN170" s="240"/>
      <c r="WO170" s="240"/>
      <c r="WP170" s="240"/>
      <c r="WQ170" s="240"/>
      <c r="WR170" s="240"/>
      <c r="WS170" s="240"/>
      <c r="WT170" s="240"/>
      <c r="WU170" s="240"/>
      <c r="WV170" s="240"/>
      <c r="WW170" s="240"/>
      <c r="WX170" s="240"/>
      <c r="WY170" s="240"/>
      <c r="WZ170" s="240"/>
      <c r="XA170" s="240"/>
      <c r="XB170" s="240"/>
      <c r="XC170" s="240"/>
      <c r="XD170" s="240"/>
      <c r="XE170" s="240"/>
      <c r="XF170" s="240"/>
      <c r="XG170" s="240"/>
      <c r="XH170" s="240"/>
      <c r="XI170" s="240"/>
      <c r="XJ170" s="240"/>
      <c r="XK170" s="240"/>
      <c r="XL170" s="240"/>
      <c r="XM170" s="240"/>
      <c r="XN170" s="240"/>
      <c r="XO170" s="240"/>
      <c r="XP170" s="240"/>
      <c r="XQ170" s="240"/>
      <c r="XR170" s="240"/>
      <c r="XS170" s="240"/>
      <c r="XT170" s="240"/>
      <c r="XU170" s="240"/>
      <c r="XV170" s="240"/>
      <c r="XW170" s="240"/>
      <c r="XX170" s="240"/>
      <c r="XY170" s="240"/>
      <c r="XZ170" s="240"/>
      <c r="YA170" s="240"/>
      <c r="YB170" s="240"/>
      <c r="YC170" s="240"/>
      <c r="YD170" s="240"/>
      <c r="YE170" s="240"/>
      <c r="YF170" s="240"/>
      <c r="YG170" s="240"/>
      <c r="YH170" s="240"/>
      <c r="YI170" s="240"/>
      <c r="YJ170" s="240"/>
      <c r="YK170" s="240"/>
      <c r="YL170" s="240"/>
      <c r="YM170" s="240"/>
      <c r="YN170" s="240"/>
      <c r="YO170" s="240"/>
      <c r="YP170" s="240"/>
      <c r="YQ170" s="240"/>
      <c r="YR170" s="240"/>
      <c r="YS170" s="240"/>
      <c r="YT170" s="240"/>
      <c r="YU170" s="240"/>
      <c r="YV170" s="240"/>
      <c r="YW170" s="240"/>
      <c r="YX170" s="240"/>
      <c r="YY170" s="240"/>
      <c r="YZ170" s="240"/>
      <c r="ZA170" s="240"/>
      <c r="ZB170" s="240"/>
      <c r="ZC170" s="240"/>
      <c r="ZD170" s="240"/>
      <c r="ZE170" s="240"/>
      <c r="ZF170" s="240"/>
      <c r="ZG170" s="240"/>
      <c r="ZH170" s="240"/>
      <c r="ZI170" s="240"/>
      <c r="ZJ170" s="240"/>
      <c r="ZK170" s="240"/>
      <c r="ZL170" s="240"/>
      <c r="ZM170" s="240"/>
      <c r="ZN170" s="240"/>
      <c r="ZO170" s="240"/>
      <c r="ZP170" s="240"/>
      <c r="ZQ170" s="240"/>
      <c r="ZR170" s="240"/>
      <c r="ZS170" s="240"/>
      <c r="ZT170" s="240"/>
      <c r="ZU170" s="240"/>
      <c r="ZV170" s="240"/>
      <c r="ZW170" s="240"/>
      <c r="ZX170" s="240"/>
      <c r="ZY170" s="240"/>
      <c r="ZZ170" s="240"/>
      <c r="AAA170" s="240"/>
      <c r="AAB170" s="240"/>
      <c r="AAC170" s="240"/>
      <c r="AAD170" s="240"/>
      <c r="AAE170" s="240"/>
      <c r="AAF170" s="240"/>
      <c r="AAG170" s="240"/>
      <c r="AAH170" s="240"/>
      <c r="AAI170" s="240"/>
      <c r="AAJ170" s="240"/>
      <c r="AAK170" s="240"/>
      <c r="AAL170" s="240"/>
      <c r="AAM170" s="240"/>
      <c r="AAN170" s="240"/>
      <c r="AAO170" s="240"/>
      <c r="AAP170" s="240"/>
      <c r="AAQ170" s="240"/>
      <c r="AAR170" s="240"/>
      <c r="AAS170" s="240"/>
      <c r="AAT170" s="240"/>
      <c r="AAU170" s="240"/>
      <c r="AAV170" s="240"/>
      <c r="AAW170" s="240"/>
      <c r="AAX170" s="240"/>
      <c r="AAY170" s="240"/>
      <c r="AAZ170" s="240"/>
      <c r="ABA170" s="240"/>
      <c r="ABB170" s="240"/>
      <c r="ABC170" s="240"/>
      <c r="ABD170" s="240"/>
      <c r="ABE170" s="240"/>
      <c r="ABF170" s="240"/>
      <c r="ABG170" s="240"/>
      <c r="ABH170" s="240"/>
      <c r="ABI170" s="240"/>
      <c r="ABJ170" s="240"/>
      <c r="ABK170" s="240"/>
      <c r="ABL170" s="240"/>
      <c r="ABM170" s="240"/>
      <c r="ABN170" s="240"/>
      <c r="ABO170" s="240"/>
      <c r="ABP170" s="240"/>
      <c r="ABQ170" s="240"/>
      <c r="ABR170" s="240"/>
      <c r="ABS170" s="240"/>
      <c r="ABT170" s="240"/>
      <c r="ABU170" s="240"/>
      <c r="ABV170" s="240"/>
      <c r="ABW170" s="240"/>
      <c r="ABX170" s="240"/>
      <c r="ABY170" s="240"/>
      <c r="ABZ170" s="240"/>
      <c r="ACA170" s="240"/>
      <c r="ACB170" s="240"/>
      <c r="ACC170" s="240"/>
      <c r="ACD170" s="240"/>
      <c r="ACE170" s="240"/>
      <c r="ACF170" s="240"/>
      <c r="ACG170" s="240"/>
      <c r="ACH170" s="240"/>
      <c r="ACI170" s="240"/>
      <c r="ACJ170" s="240"/>
      <c r="ACK170" s="240"/>
      <c r="ACL170" s="240"/>
      <c r="ACM170" s="240"/>
      <c r="ACN170" s="240"/>
      <c r="ACO170" s="240"/>
      <c r="ACP170" s="240"/>
      <c r="ACQ170" s="240"/>
      <c r="ACR170" s="240"/>
      <c r="ACS170" s="240"/>
      <c r="ACT170" s="240"/>
      <c r="ACU170" s="240"/>
      <c r="ACV170" s="240"/>
      <c r="ACW170" s="240"/>
      <c r="ACX170" s="240"/>
      <c r="ACY170" s="240"/>
      <c r="ACZ170" s="240"/>
      <c r="ADA170" s="240"/>
      <c r="ADB170" s="240"/>
      <c r="ADC170" s="240"/>
      <c r="ADD170" s="240"/>
      <c r="ADE170" s="240"/>
      <c r="ADF170" s="240"/>
      <c r="ADG170" s="240"/>
      <c r="ADH170" s="240"/>
      <c r="ADI170" s="240"/>
      <c r="ADJ170" s="240"/>
      <c r="ADK170" s="240"/>
      <c r="ADL170" s="240"/>
      <c r="ADM170" s="240"/>
      <c r="ADN170" s="240"/>
      <c r="ADO170" s="240"/>
      <c r="ADP170" s="240"/>
      <c r="ADQ170" s="240"/>
      <c r="ADR170" s="240"/>
      <c r="ADS170" s="240"/>
      <c r="ADT170" s="240"/>
      <c r="ADU170" s="240"/>
      <c r="ADV170" s="240"/>
      <c r="ADW170" s="240"/>
      <c r="ADX170" s="240"/>
      <c r="ADY170" s="240"/>
      <c r="ADZ170" s="240"/>
      <c r="AEA170" s="240"/>
      <c r="AEB170" s="240"/>
      <c r="AEC170" s="240"/>
      <c r="AED170" s="240"/>
      <c r="AEE170" s="240"/>
      <c r="AEF170" s="240"/>
      <c r="AEG170" s="240"/>
      <c r="AEH170" s="240"/>
      <c r="AEI170" s="240"/>
      <c r="AEJ170" s="240"/>
      <c r="AEK170" s="240"/>
      <c r="AEL170" s="240"/>
      <c r="AEM170" s="240"/>
      <c r="AEN170" s="240"/>
      <c r="AEO170" s="240"/>
      <c r="AEP170" s="240"/>
      <c r="AEQ170" s="240"/>
      <c r="AER170" s="240"/>
      <c r="AES170" s="240"/>
      <c r="AET170" s="240"/>
      <c r="AEU170" s="240"/>
      <c r="AEV170" s="240"/>
      <c r="AEW170" s="240"/>
      <c r="AEX170" s="240"/>
      <c r="AEY170" s="240"/>
      <c r="AEZ170" s="240"/>
      <c r="AFA170" s="240"/>
      <c r="AFB170" s="240"/>
      <c r="AFC170" s="240"/>
      <c r="AFD170" s="240"/>
      <c r="AFE170" s="240"/>
      <c r="AFF170" s="240"/>
      <c r="AFG170" s="240"/>
      <c r="AFH170" s="240"/>
      <c r="AFI170" s="240"/>
      <c r="AFJ170" s="240"/>
      <c r="AFK170" s="240"/>
      <c r="AFL170" s="240"/>
      <c r="AFM170" s="240"/>
      <c r="AFN170" s="240"/>
      <c r="AFO170" s="240"/>
      <c r="AFP170" s="240"/>
      <c r="AFQ170" s="240"/>
      <c r="AFR170" s="240"/>
      <c r="AFS170" s="240"/>
      <c r="AFT170" s="240"/>
      <c r="AFU170" s="240"/>
      <c r="AFV170" s="240"/>
      <c r="AFW170" s="240"/>
      <c r="AFX170" s="240"/>
      <c r="AFY170" s="240"/>
      <c r="AFZ170" s="240"/>
      <c r="AGA170" s="240"/>
      <c r="AGB170" s="240"/>
      <c r="AGC170" s="240"/>
      <c r="AGD170" s="240"/>
      <c r="AGE170" s="240"/>
      <c r="AGF170" s="240"/>
      <c r="AGG170" s="240"/>
      <c r="AGH170" s="240"/>
      <c r="AGI170" s="240"/>
      <c r="AGJ170" s="240"/>
      <c r="AGK170" s="240"/>
      <c r="AGL170" s="240"/>
      <c r="AGM170" s="240"/>
      <c r="AGN170" s="240"/>
      <c r="AGO170" s="240"/>
      <c r="AGP170" s="240"/>
      <c r="AGQ170" s="240"/>
      <c r="AGR170" s="240"/>
      <c r="AGS170" s="240"/>
      <c r="AGT170" s="240"/>
      <c r="AGU170" s="240"/>
      <c r="AGV170" s="240"/>
      <c r="AGW170" s="240"/>
      <c r="AGX170" s="240"/>
      <c r="AGY170" s="240"/>
      <c r="AGZ170" s="240"/>
      <c r="AHA170" s="240"/>
      <c r="AHB170" s="240"/>
      <c r="AHC170" s="240"/>
      <c r="AHD170" s="240"/>
      <c r="AHE170" s="240"/>
      <c r="AHF170" s="240"/>
      <c r="AHG170" s="240"/>
      <c r="AHH170" s="240"/>
      <c r="AHI170" s="240"/>
      <c r="AHJ170" s="240"/>
      <c r="AHK170" s="240"/>
      <c r="AHL170" s="240"/>
      <c r="AHM170" s="240"/>
      <c r="AHN170" s="240"/>
      <c r="AHO170" s="240"/>
      <c r="AHP170" s="240"/>
      <c r="AHQ170" s="240"/>
      <c r="AHR170" s="240"/>
      <c r="AHS170" s="240"/>
      <c r="AHT170" s="240"/>
      <c r="AHU170" s="240"/>
      <c r="AHV170" s="240"/>
      <c r="AHW170" s="240"/>
      <c r="AHX170" s="240"/>
      <c r="AHY170" s="240"/>
      <c r="AHZ170" s="240"/>
      <c r="AIA170" s="240"/>
      <c r="AIB170" s="240"/>
      <c r="AIC170" s="240"/>
      <c r="AID170" s="240"/>
      <c r="AIE170" s="240"/>
      <c r="AIF170" s="240"/>
      <c r="AIG170" s="240"/>
      <c r="AIH170" s="240"/>
      <c r="AII170" s="240"/>
      <c r="AIJ170" s="240"/>
      <c r="AIK170" s="240"/>
      <c r="AIL170" s="240"/>
      <c r="AIM170" s="240"/>
      <c r="AIN170" s="240"/>
      <c r="AIO170" s="240"/>
      <c r="AIP170" s="240"/>
      <c r="AIQ170" s="240"/>
      <c r="AIR170" s="240"/>
      <c r="AIS170" s="240"/>
      <c r="AIT170" s="240"/>
      <c r="AIU170" s="240"/>
      <c r="AIV170" s="240"/>
      <c r="AIW170" s="240"/>
      <c r="AIX170" s="240"/>
      <c r="AIY170" s="240"/>
      <c r="AIZ170" s="240"/>
      <c r="AJA170" s="240"/>
      <c r="AJB170" s="240"/>
      <c r="AJC170" s="240"/>
      <c r="AJD170" s="240"/>
      <c r="AJE170" s="240"/>
      <c r="AJF170" s="240"/>
      <c r="AJG170" s="240"/>
      <c r="AJH170" s="240"/>
      <c r="AJI170" s="240"/>
      <c r="AJJ170" s="240"/>
      <c r="AJK170" s="240"/>
      <c r="AJL170" s="240"/>
      <c r="AJM170" s="240"/>
      <c r="AJN170" s="240"/>
      <c r="AJO170" s="240"/>
      <c r="AJP170" s="240"/>
      <c r="AJQ170" s="240"/>
      <c r="AJR170" s="240"/>
      <c r="AJS170" s="240"/>
      <c r="AJT170" s="240"/>
      <c r="AJU170" s="240"/>
      <c r="AJV170" s="240"/>
      <c r="AJW170" s="240"/>
      <c r="AJX170" s="240"/>
      <c r="AJY170" s="240"/>
      <c r="AJZ170" s="240"/>
      <c r="AKA170" s="240"/>
      <c r="AKB170" s="240"/>
      <c r="AKC170" s="240"/>
      <c r="AKD170" s="240"/>
      <c r="AKE170" s="240"/>
      <c r="AKF170" s="240"/>
      <c r="AKG170" s="240"/>
      <c r="AKH170" s="240"/>
      <c r="AKI170" s="240"/>
      <c r="AKJ170" s="240"/>
      <c r="AKK170" s="240"/>
      <c r="AKL170" s="240"/>
      <c r="AKM170" s="240"/>
      <c r="AKN170" s="240"/>
      <c r="AKO170" s="240"/>
      <c r="AKP170" s="240"/>
      <c r="AKQ170" s="240"/>
      <c r="AKR170" s="240"/>
      <c r="AKS170" s="240"/>
      <c r="AKT170" s="240"/>
      <c r="AKU170" s="240"/>
      <c r="AKV170" s="240"/>
      <c r="AKW170" s="240"/>
      <c r="AKX170" s="240"/>
      <c r="AKY170" s="240"/>
      <c r="AKZ170" s="240"/>
      <c r="ALA170" s="240"/>
      <c r="ALB170" s="240"/>
      <c r="ALC170" s="240"/>
      <c r="ALD170" s="240"/>
      <c r="ALE170" s="240"/>
      <c r="ALF170" s="240"/>
      <c r="ALG170" s="240"/>
      <c r="ALH170" s="240"/>
      <c r="ALI170" s="240"/>
      <c r="ALJ170" s="240"/>
      <c r="ALK170" s="240"/>
      <c r="ALL170" s="240"/>
      <c r="ALM170" s="240"/>
      <c r="ALN170" s="240"/>
      <c r="ALO170" s="240"/>
      <c r="ALP170" s="240"/>
      <c r="ALQ170" s="240"/>
      <c r="ALR170" s="240"/>
      <c r="ALS170" s="240"/>
      <c r="ALT170" s="240"/>
      <c r="ALU170" s="240"/>
      <c r="ALV170" s="240"/>
      <c r="ALW170" s="240"/>
      <c r="ALX170" s="240"/>
      <c r="ALY170" s="240"/>
      <c r="ALZ170" s="240"/>
      <c r="AMA170" s="240"/>
      <c r="AMB170" s="240"/>
      <c r="AMC170" s="240"/>
      <c r="AMD170" s="240"/>
      <c r="AME170" s="240"/>
      <c r="AMF170" s="240"/>
      <c r="AMG170" s="240"/>
      <c r="AMH170" s="240"/>
    </row>
    <row r="171" spans="1:1022" ht="13.5" customHeight="1" thickTop="1" thickBot="1">
      <c r="B171" s="141"/>
      <c r="C171" s="148"/>
      <c r="D171" s="148"/>
      <c r="E171" s="147" t="s">
        <v>113</v>
      </c>
      <c r="F171" s="243" t="s">
        <v>20</v>
      </c>
      <c r="G171" s="245" t="s">
        <v>6</v>
      </c>
      <c r="H171" s="245" t="s">
        <v>6</v>
      </c>
      <c r="I171" s="243" t="s">
        <v>207</v>
      </c>
      <c r="J171" s="246"/>
      <c r="K171" s="253"/>
    </row>
    <row r="172" spans="1:1022" ht="13.5" customHeight="1" thickTop="1" thickBot="1">
      <c r="B172" s="141"/>
      <c r="C172" s="148"/>
      <c r="D172" s="146"/>
      <c r="E172" s="147" t="s">
        <v>614</v>
      </c>
      <c r="F172" s="243" t="s">
        <v>20</v>
      </c>
      <c r="G172" s="245" t="s">
        <v>6</v>
      </c>
      <c r="H172" s="245" t="s">
        <v>6</v>
      </c>
      <c r="I172" s="243" t="s">
        <v>207</v>
      </c>
      <c r="J172" s="246"/>
      <c r="K172" s="253"/>
    </row>
    <row r="173" spans="1:1022" s="122" customFormat="1" ht="13.5" customHeight="1" thickTop="1" thickBot="1">
      <c r="B173" s="135" t="s">
        <v>112</v>
      </c>
      <c r="C173" s="136"/>
      <c r="D173" s="136"/>
      <c r="E173" s="136"/>
      <c r="F173" s="137"/>
      <c r="G173" s="137"/>
      <c r="H173" s="137"/>
      <c r="I173" s="136"/>
      <c r="J173" s="179"/>
      <c r="K173" s="179"/>
    </row>
    <row r="174" spans="1:1022" s="122" customFormat="1" ht="13.5" customHeight="1" thickTop="1" thickBot="1">
      <c r="B174" s="150"/>
      <c r="C174" s="142"/>
      <c r="D174" s="142"/>
      <c r="E174" s="142"/>
      <c r="F174" s="198"/>
      <c r="G174" s="198"/>
      <c r="H174" s="198"/>
      <c r="I174" s="198"/>
      <c r="J174" s="233"/>
      <c r="K174" s="233"/>
    </row>
    <row r="175" spans="1:1022" s="122" customFormat="1" ht="13.5" customHeight="1" thickTop="1" thickBot="1">
      <c r="B175" s="135" t="s">
        <v>109</v>
      </c>
      <c r="C175" s="136"/>
      <c r="D175" s="136"/>
      <c r="E175" s="136"/>
      <c r="F175" s="137"/>
      <c r="G175" s="137"/>
      <c r="H175" s="137"/>
      <c r="I175" s="136"/>
      <c r="J175" s="179"/>
      <c r="K175" s="179"/>
    </row>
    <row r="176" spans="1:1022" s="122" customFormat="1" ht="13.5" customHeight="1" thickTop="1" thickBot="1">
      <c r="B176" s="141"/>
      <c r="C176" s="142" t="s">
        <v>111</v>
      </c>
      <c r="D176" s="142"/>
      <c r="E176" s="142"/>
      <c r="F176" s="198" t="s">
        <v>20</v>
      </c>
      <c r="G176" s="198" t="s">
        <v>6</v>
      </c>
      <c r="H176" s="198" t="s">
        <v>20</v>
      </c>
      <c r="I176" s="198" t="s">
        <v>207</v>
      </c>
      <c r="J176" s="233"/>
      <c r="K176" s="233"/>
    </row>
    <row r="177" spans="2:11" s="122" customFormat="1" ht="13.5" customHeight="1" thickTop="1" thickBot="1">
      <c r="B177" s="141"/>
      <c r="C177" s="149" t="s">
        <v>110</v>
      </c>
      <c r="D177" s="142"/>
      <c r="E177" s="142"/>
      <c r="F177" s="198" t="s">
        <v>20</v>
      </c>
      <c r="G177" s="198" t="s">
        <v>6</v>
      </c>
      <c r="H177" s="198" t="s">
        <v>20</v>
      </c>
      <c r="I177" s="198" t="s">
        <v>207</v>
      </c>
      <c r="J177" s="233"/>
      <c r="K177" s="233"/>
    </row>
    <row r="178" spans="2:11" s="122" customFormat="1" ht="13.5" customHeight="1" thickTop="1" thickBot="1">
      <c r="B178" s="141"/>
      <c r="C178" s="142" t="s">
        <v>233</v>
      </c>
      <c r="D178" s="142"/>
      <c r="E178" s="142"/>
      <c r="F178" s="198" t="s">
        <v>20</v>
      </c>
      <c r="G178" s="198" t="s">
        <v>6</v>
      </c>
      <c r="H178" s="198" t="s">
        <v>20</v>
      </c>
      <c r="I178" s="198" t="s">
        <v>207</v>
      </c>
      <c r="J178" s="233"/>
      <c r="K178" s="233"/>
    </row>
    <row r="179" spans="2:11" s="122" customFormat="1" ht="13.5" customHeight="1" thickTop="1" thickBot="1">
      <c r="B179" s="141"/>
      <c r="C179" s="142" t="s">
        <v>109</v>
      </c>
      <c r="D179" s="142"/>
      <c r="E179" s="142"/>
      <c r="F179" s="198" t="s">
        <v>20</v>
      </c>
      <c r="G179" s="198" t="s">
        <v>6</v>
      </c>
      <c r="H179" s="198" t="s">
        <v>20</v>
      </c>
      <c r="I179" s="198" t="s">
        <v>207</v>
      </c>
      <c r="J179" s="233"/>
      <c r="K179" s="233"/>
    </row>
    <row r="180" spans="2:11" s="122" customFormat="1" ht="13.5" customHeight="1" thickTop="1" thickBot="1">
      <c r="B180" s="141"/>
      <c r="C180" s="142" t="s">
        <v>660</v>
      </c>
      <c r="D180" s="142"/>
      <c r="E180" s="142"/>
      <c r="F180" s="151" t="s">
        <v>20</v>
      </c>
      <c r="G180" s="198" t="s">
        <v>6</v>
      </c>
      <c r="H180" s="198" t="s">
        <v>20</v>
      </c>
      <c r="I180" s="198" t="s">
        <v>207</v>
      </c>
      <c r="J180" s="233"/>
      <c r="K180" s="233"/>
    </row>
    <row r="181" spans="2:11" s="122" customFormat="1" ht="13.5" customHeight="1" thickTop="1" thickBot="1">
      <c r="B181" s="141"/>
      <c r="C181" s="142" t="s">
        <v>108</v>
      </c>
      <c r="D181" s="142"/>
      <c r="E181" s="142"/>
      <c r="F181" s="198" t="s">
        <v>20</v>
      </c>
      <c r="G181" s="198" t="s">
        <v>6</v>
      </c>
      <c r="H181" s="198" t="s">
        <v>20</v>
      </c>
      <c r="I181" s="198" t="s">
        <v>207</v>
      </c>
      <c r="J181" s="233"/>
      <c r="K181" s="233"/>
    </row>
    <row r="182" spans="2:11" s="122" customFormat="1" ht="13.5" customHeight="1" thickTop="1" thickBot="1">
      <c r="B182" s="141"/>
      <c r="C182" s="145" t="s">
        <v>107</v>
      </c>
      <c r="D182" s="142"/>
      <c r="E182" s="147"/>
      <c r="F182" s="198" t="s">
        <v>20</v>
      </c>
      <c r="G182" s="198" t="s">
        <v>6</v>
      </c>
      <c r="H182" s="198" t="s">
        <v>20</v>
      </c>
      <c r="I182" s="198" t="s">
        <v>207</v>
      </c>
      <c r="J182" s="233"/>
      <c r="K182" s="233"/>
    </row>
    <row r="183" spans="2:11" s="122" customFormat="1" ht="13.5" customHeight="1" thickTop="1" thickBot="1">
      <c r="B183" s="141"/>
      <c r="C183" s="142" t="s">
        <v>106</v>
      </c>
      <c r="D183" s="142"/>
      <c r="E183" s="142"/>
      <c r="F183" s="198" t="s">
        <v>20</v>
      </c>
      <c r="G183" s="198" t="s">
        <v>6</v>
      </c>
      <c r="H183" s="198" t="s">
        <v>20</v>
      </c>
      <c r="I183" s="198" t="s">
        <v>207</v>
      </c>
      <c r="J183" s="233"/>
      <c r="K183" s="233"/>
    </row>
    <row r="184" spans="2:11" s="122" customFormat="1" ht="13.5" customHeight="1" thickTop="1" thickBot="1">
      <c r="B184" s="141"/>
      <c r="C184" s="142" t="s">
        <v>105</v>
      </c>
      <c r="D184" s="142"/>
      <c r="E184" s="142"/>
      <c r="F184" s="198" t="s">
        <v>20</v>
      </c>
      <c r="G184" s="198" t="s">
        <v>6</v>
      </c>
      <c r="H184" s="198" t="s">
        <v>20</v>
      </c>
      <c r="I184" s="198" t="s">
        <v>207</v>
      </c>
      <c r="J184" s="233"/>
      <c r="K184" s="233"/>
    </row>
    <row r="185" spans="2:11" s="240" customFormat="1" ht="13.5" customHeight="1" thickTop="1" thickBot="1">
      <c r="B185" s="241"/>
      <c r="C185" s="142" t="s">
        <v>664</v>
      </c>
      <c r="D185" s="142"/>
      <c r="E185" s="142"/>
      <c r="F185" s="245" t="s">
        <v>20</v>
      </c>
      <c r="G185" s="245" t="s">
        <v>665</v>
      </c>
      <c r="H185" s="245" t="s">
        <v>20</v>
      </c>
      <c r="I185" s="245" t="s">
        <v>207</v>
      </c>
      <c r="J185" s="248"/>
      <c r="K185" s="248"/>
    </row>
    <row r="186" spans="2:11" s="240" customFormat="1" ht="13.5" customHeight="1" thickTop="1" thickBot="1">
      <c r="B186" s="241"/>
      <c r="C186" s="142" t="s">
        <v>666</v>
      </c>
      <c r="D186" s="142"/>
      <c r="E186" s="142"/>
      <c r="F186" s="245" t="s">
        <v>20</v>
      </c>
      <c r="G186" s="245" t="s">
        <v>665</v>
      </c>
      <c r="H186" s="245" t="s">
        <v>20</v>
      </c>
      <c r="I186" s="245" t="s">
        <v>207</v>
      </c>
      <c r="J186" s="248"/>
      <c r="K186" s="248"/>
    </row>
    <row r="187" spans="2:11" s="240" customFormat="1" ht="13.5" customHeight="1" thickTop="1" thickBot="1">
      <c r="B187" s="241"/>
      <c r="C187" s="142" t="s">
        <v>667</v>
      </c>
      <c r="D187" s="142"/>
      <c r="E187" s="142"/>
      <c r="F187" s="245" t="s">
        <v>20</v>
      </c>
      <c r="G187" s="245" t="s">
        <v>665</v>
      </c>
      <c r="H187" s="245" t="s">
        <v>20</v>
      </c>
      <c r="I187" s="245" t="s">
        <v>207</v>
      </c>
      <c r="J187" s="248"/>
      <c r="K187" s="248"/>
    </row>
    <row r="188" spans="2:11" s="240" customFormat="1" ht="13.5" customHeight="1" thickTop="1" thickBot="1">
      <c r="B188" s="241"/>
      <c r="C188" s="142" t="s">
        <v>104</v>
      </c>
      <c r="D188" s="142"/>
      <c r="E188" s="142"/>
      <c r="F188" s="245" t="s">
        <v>20</v>
      </c>
      <c r="G188" s="245" t="s">
        <v>665</v>
      </c>
      <c r="H188" s="245" t="s">
        <v>20</v>
      </c>
      <c r="I188" s="245" t="s">
        <v>207</v>
      </c>
      <c r="J188" s="248"/>
      <c r="K188" s="248"/>
    </row>
    <row r="189" spans="2:11" s="240" customFormat="1" ht="13.5" customHeight="1" thickTop="1" thickBot="1">
      <c r="B189" s="241"/>
      <c r="C189" s="142" t="s">
        <v>668</v>
      </c>
      <c r="D189" s="142"/>
      <c r="E189" s="142"/>
      <c r="F189" s="245" t="s">
        <v>20</v>
      </c>
      <c r="G189" s="245" t="s">
        <v>665</v>
      </c>
      <c r="H189" s="245" t="s">
        <v>20</v>
      </c>
      <c r="I189" s="245" t="s">
        <v>207</v>
      </c>
      <c r="J189" s="248"/>
      <c r="K189" s="248"/>
    </row>
    <row r="190" spans="2:11" s="240" customFormat="1" ht="13.5" customHeight="1" thickTop="1" thickBot="1">
      <c r="B190" s="241"/>
      <c r="C190" s="142" t="s">
        <v>669</v>
      </c>
      <c r="D190" s="142"/>
      <c r="E190" s="142"/>
      <c r="F190" s="245" t="s">
        <v>20</v>
      </c>
      <c r="G190" s="245" t="s">
        <v>665</v>
      </c>
      <c r="H190" s="245" t="s">
        <v>20</v>
      </c>
      <c r="I190" s="245" t="s">
        <v>207</v>
      </c>
      <c r="J190" s="248"/>
      <c r="K190" s="248"/>
    </row>
    <row r="191" spans="2:11" s="240" customFormat="1" ht="13.5" customHeight="1" thickTop="1" thickBot="1">
      <c r="B191" s="241"/>
      <c r="C191" s="142" t="s">
        <v>670</v>
      </c>
      <c r="D191" s="142"/>
      <c r="E191" s="142"/>
      <c r="F191" s="245" t="s">
        <v>20</v>
      </c>
      <c r="G191" s="245" t="s">
        <v>665</v>
      </c>
      <c r="H191" s="245" t="s">
        <v>20</v>
      </c>
      <c r="I191" s="245" t="s">
        <v>207</v>
      </c>
      <c r="J191" s="248"/>
      <c r="K191" s="248"/>
    </row>
    <row r="192" spans="2:11" s="240" customFormat="1" ht="13.5" customHeight="1" thickTop="1" thickBot="1">
      <c r="B192" s="241"/>
      <c r="C192" s="142" t="s">
        <v>671</v>
      </c>
      <c r="D192" s="142"/>
      <c r="E192" s="142"/>
      <c r="F192" s="245" t="s">
        <v>20</v>
      </c>
      <c r="G192" s="245" t="s">
        <v>665</v>
      </c>
      <c r="H192" s="245" t="s">
        <v>20</v>
      </c>
      <c r="I192" s="245" t="s">
        <v>207</v>
      </c>
      <c r="J192" s="248"/>
      <c r="K192" s="248"/>
    </row>
    <row r="193" spans="2:11" s="122" customFormat="1" ht="13.5" customHeight="1" thickTop="1" thickBot="1">
      <c r="B193" s="141"/>
      <c r="C193" s="142" t="s">
        <v>103</v>
      </c>
      <c r="D193" s="142"/>
      <c r="E193" s="142"/>
      <c r="F193" s="198" t="s">
        <v>20</v>
      </c>
      <c r="G193" s="198" t="s">
        <v>6</v>
      </c>
      <c r="H193" s="198" t="s">
        <v>20</v>
      </c>
      <c r="I193" s="198" t="s">
        <v>207</v>
      </c>
      <c r="J193" s="233"/>
      <c r="K193" s="233"/>
    </row>
    <row r="194" spans="2:11" s="122" customFormat="1" ht="13.5" customHeight="1" thickTop="1" thickBot="1">
      <c r="B194" s="150"/>
      <c r="C194" s="142" t="s">
        <v>102</v>
      </c>
      <c r="D194" s="142"/>
      <c r="E194" s="142"/>
      <c r="F194" s="198" t="s">
        <v>20</v>
      </c>
      <c r="G194" s="198" t="s">
        <v>6</v>
      </c>
      <c r="H194" s="198" t="s">
        <v>20</v>
      </c>
      <c r="I194" s="198" t="s">
        <v>207</v>
      </c>
      <c r="J194" s="233"/>
      <c r="K194" s="233"/>
    </row>
    <row r="195" spans="2:11" s="240" customFormat="1" ht="13.5" customHeight="1" thickTop="1" thickBot="1">
      <c r="B195" s="135" t="s">
        <v>661</v>
      </c>
      <c r="C195" s="136"/>
      <c r="D195" s="136"/>
      <c r="E195" s="136"/>
      <c r="F195" s="137"/>
      <c r="G195" s="137"/>
      <c r="H195" s="137"/>
      <c r="I195" s="136"/>
      <c r="J195" s="179"/>
      <c r="K195" s="179"/>
    </row>
    <row r="196" spans="2:11" s="240" customFormat="1" ht="13.5" customHeight="1" thickTop="1" thickBot="1">
      <c r="B196" s="241"/>
      <c r="C196" s="142" t="s">
        <v>101</v>
      </c>
      <c r="D196" s="142"/>
      <c r="E196" s="142"/>
      <c r="F196" s="245" t="s">
        <v>20</v>
      </c>
      <c r="G196" s="245" t="s">
        <v>6</v>
      </c>
      <c r="H196" s="245" t="s">
        <v>20</v>
      </c>
      <c r="I196" s="245" t="s">
        <v>207</v>
      </c>
      <c r="J196" s="248"/>
      <c r="K196" s="248" t="s">
        <v>662</v>
      </c>
    </row>
    <row r="197" spans="2:11" s="240" customFormat="1" ht="13.5" customHeight="1" thickTop="1" thickBot="1">
      <c r="B197" s="150"/>
      <c r="C197" s="142" t="s">
        <v>663</v>
      </c>
      <c r="D197" s="142"/>
      <c r="E197" s="142"/>
      <c r="F197" s="245" t="s">
        <v>20</v>
      </c>
      <c r="G197" s="245" t="s">
        <v>6</v>
      </c>
      <c r="H197" s="245" t="s">
        <v>20</v>
      </c>
      <c r="I197" s="245" t="s">
        <v>207</v>
      </c>
      <c r="J197" s="248"/>
      <c r="K197" s="248" t="s">
        <v>662</v>
      </c>
    </row>
    <row r="198" spans="2:11" ht="13.5" thickTop="1"/>
  </sheetData>
  <mergeCells count="2">
    <mergeCell ref="F5:I5"/>
    <mergeCell ref="C55:C86"/>
  </mergeCells>
  <phoneticPr fontId="6"/>
  <dataValidations count="1">
    <dataValidation type="list" allowBlank="1" showInputMessage="1" showErrorMessage="1" sqref="F196:I197 F31:I32 F174:I174 F55:I91 F34:I53 F9:I29 F176:I194 F93:I172">
      <formula1>$F$1:$F$2</formula1>
    </dataValidation>
  </dataValidations>
  <pageMargins left="0.39370078740157483" right="0.19685039370078741" top="0.62992125984251968" bottom="0.43307086614173229" header="0.59055118110236227" footer="0.19685039370078741"/>
  <pageSetup paperSize="9" scale="53" firstPageNumber="0" fitToHeight="99" orientation="portrait" r:id="rId1"/>
  <headerFooter>
    <oddHeader>&amp;C&amp;A</oddHeader>
    <oddFooter>&amp;Cページ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N334"/>
  <sheetViews>
    <sheetView showGridLines="0" zoomScaleNormal="100" workbookViewId="0">
      <pane ySplit="9" topLeftCell="A10" activePane="bottomLeft" state="frozen"/>
      <selection pane="bottomLeft" activeCell="J5" sqref="J5"/>
    </sheetView>
  </sheetViews>
  <sheetFormatPr defaultColWidth="9.140625" defaultRowHeight="12.75"/>
  <cols>
    <col min="1" max="1" width="1.7109375" style="240" customWidth="1"/>
    <col min="2" max="2" width="9.140625" style="240"/>
    <col min="3" max="3" width="9.140625" style="240" customWidth="1"/>
    <col min="4" max="4" width="43.140625" style="240" bestFit="1" customWidth="1"/>
    <col min="5" max="5" width="10.28515625" style="240" customWidth="1"/>
    <col min="6" max="6" width="8.28515625" style="240" bestFit="1" customWidth="1"/>
    <col min="7" max="7" width="7.140625" style="240" bestFit="1" customWidth="1"/>
    <col min="8" max="8" width="8.28515625" style="240" bestFit="1" customWidth="1"/>
    <col min="9" max="9" width="7.7109375" style="240" customWidth="1"/>
    <col min="10" max="10" width="20.85546875" style="240" bestFit="1" customWidth="1"/>
    <col min="11" max="11" width="7.140625" style="240" bestFit="1" customWidth="1"/>
    <col min="12" max="12" width="13.5703125" style="240" bestFit="1" customWidth="1"/>
    <col min="13" max="13" width="7.7109375" style="240" bestFit="1" customWidth="1"/>
    <col min="14" max="14" width="19.7109375" style="240" bestFit="1" customWidth="1"/>
    <col min="15" max="15" width="9.140625" style="240" customWidth="1"/>
    <col min="16" max="17" width="9.140625" style="157" customWidth="1"/>
    <col min="18" max="18" width="46.5703125" style="157" bestFit="1" customWidth="1"/>
    <col min="19" max="1028" width="9.140625" style="240"/>
    <col min="1029" max="16384" width="9.140625" style="123"/>
  </cols>
  <sheetData>
    <row r="1" spans="2:18" ht="12" customHeight="1">
      <c r="B1" s="123"/>
      <c r="C1" s="123"/>
      <c r="D1" s="123"/>
      <c r="J1" s="237" t="s">
        <v>2984</v>
      </c>
      <c r="K1" s="237" t="s">
        <v>2983</v>
      </c>
      <c r="L1" s="237" t="s">
        <v>2982</v>
      </c>
      <c r="M1" s="237" t="s">
        <v>2981</v>
      </c>
      <c r="N1" s="125"/>
      <c r="O1" s="125"/>
      <c r="P1" s="123"/>
      <c r="Q1" s="124"/>
      <c r="R1" s="123"/>
    </row>
    <row r="2" spans="2:18" ht="12" customHeight="1">
      <c r="B2" s="123"/>
      <c r="C2" s="123"/>
      <c r="D2" s="123"/>
      <c r="E2" s="124"/>
      <c r="F2" s="124"/>
      <c r="G2" s="124"/>
      <c r="H2" s="124"/>
      <c r="I2" s="124"/>
      <c r="J2" s="125" t="s">
        <v>2980</v>
      </c>
      <c r="K2" s="125">
        <v>0</v>
      </c>
      <c r="L2" s="238" t="s">
        <v>2979</v>
      </c>
      <c r="M2" s="125" t="s">
        <v>2978</v>
      </c>
      <c r="N2" s="125"/>
      <c r="O2" s="125"/>
      <c r="P2" s="123"/>
      <c r="Q2" s="123"/>
      <c r="R2" s="123"/>
    </row>
    <row r="3" spans="2:18" s="240" customFormat="1" ht="12" customHeight="1">
      <c r="B3" s="123"/>
      <c r="C3" s="123"/>
      <c r="D3" s="123"/>
      <c r="E3" s="124"/>
      <c r="F3" s="124"/>
      <c r="G3" s="124"/>
      <c r="H3" s="124"/>
      <c r="I3" s="124"/>
      <c r="J3" s="125" t="s">
        <v>20</v>
      </c>
      <c r="K3" s="125">
        <v>1</v>
      </c>
      <c r="L3" s="124" t="s">
        <v>2977</v>
      </c>
      <c r="M3" s="125" t="s">
        <v>2976</v>
      </c>
      <c r="N3" s="124"/>
      <c r="O3" s="124"/>
      <c r="P3" s="123"/>
      <c r="Q3" s="123"/>
      <c r="R3" s="123"/>
    </row>
    <row r="4" spans="2:18" s="240" customFormat="1" ht="12" customHeight="1">
      <c r="B4" s="123"/>
      <c r="C4" s="123"/>
      <c r="D4" s="123"/>
      <c r="E4" s="124"/>
      <c r="F4" s="124"/>
      <c r="G4" s="124"/>
      <c r="H4" s="124"/>
      <c r="I4" s="124"/>
      <c r="J4" s="125"/>
      <c r="K4" s="125">
        <v>2</v>
      </c>
      <c r="L4" s="124" t="s">
        <v>2975</v>
      </c>
      <c r="M4" s="124"/>
      <c r="N4" s="124"/>
      <c r="O4" s="124"/>
      <c r="P4" s="123"/>
      <c r="Q4" s="123"/>
      <c r="R4" s="123"/>
    </row>
    <row r="5" spans="2:18" s="240" customFormat="1" ht="12" customHeight="1">
      <c r="B5" s="123"/>
      <c r="C5" s="123"/>
      <c r="D5" s="123"/>
      <c r="E5" s="124"/>
      <c r="F5" s="124"/>
      <c r="G5" s="124"/>
      <c r="H5" s="124"/>
      <c r="I5" s="124"/>
      <c r="J5" s="125"/>
      <c r="K5" s="125">
        <v>3</v>
      </c>
      <c r="L5" s="124"/>
      <c r="M5" s="124"/>
      <c r="N5" s="124"/>
      <c r="O5" s="124"/>
      <c r="P5" s="123"/>
      <c r="Q5" s="123"/>
      <c r="R5" s="123"/>
    </row>
    <row r="6" spans="2:18" s="240" customFormat="1" ht="12" customHeight="1" thickBot="1">
      <c r="B6" s="123" t="s">
        <v>2974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6"/>
    </row>
    <row r="7" spans="2:18" s="240" customFormat="1" ht="12" customHeight="1" thickBot="1">
      <c r="B7" s="123"/>
      <c r="C7" s="123"/>
      <c r="D7" s="123"/>
      <c r="E7" s="123"/>
      <c r="F7" s="399" t="s">
        <v>2985</v>
      </c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1"/>
      <c r="R7" s="126"/>
    </row>
    <row r="8" spans="2:18" s="240" customFormat="1" ht="13.5" customHeight="1" thickTop="1" thickBot="1">
      <c r="B8" s="127" t="s">
        <v>190</v>
      </c>
      <c r="C8" s="128"/>
      <c r="D8" s="128"/>
      <c r="E8" s="129"/>
      <c r="F8" s="393" t="s">
        <v>2973</v>
      </c>
      <c r="G8" s="393"/>
      <c r="H8" s="393"/>
      <c r="I8" s="393"/>
      <c r="J8" s="390" t="s">
        <v>2972</v>
      </c>
      <c r="K8" s="392"/>
      <c r="L8" s="392"/>
      <c r="M8" s="391"/>
      <c r="N8" s="390" t="s">
        <v>2971</v>
      </c>
      <c r="O8" s="208"/>
      <c r="P8" s="221"/>
      <c r="Q8" s="191"/>
      <c r="R8" s="126"/>
    </row>
    <row r="9" spans="2:18" s="240" customFormat="1" ht="42" customHeight="1" thickTop="1" thickBot="1">
      <c r="B9" s="130" t="s">
        <v>189</v>
      </c>
      <c r="C9" s="130" t="s">
        <v>188</v>
      </c>
      <c r="D9" s="130" t="s">
        <v>187</v>
      </c>
      <c r="E9" s="130" t="s">
        <v>2970</v>
      </c>
      <c r="F9" s="389" t="s">
        <v>2969</v>
      </c>
      <c r="G9" s="230" t="s">
        <v>2968</v>
      </c>
      <c r="H9" s="230" t="s">
        <v>2967</v>
      </c>
      <c r="I9" s="209" t="s">
        <v>2966</v>
      </c>
      <c r="J9" s="389" t="s">
        <v>2969</v>
      </c>
      <c r="K9" s="230" t="s">
        <v>2968</v>
      </c>
      <c r="L9" s="230" t="s">
        <v>2967</v>
      </c>
      <c r="M9" s="209" t="s">
        <v>2966</v>
      </c>
      <c r="N9" s="389" t="s">
        <v>2969</v>
      </c>
      <c r="O9" s="230" t="s">
        <v>2968</v>
      </c>
      <c r="P9" s="230" t="s">
        <v>2967</v>
      </c>
      <c r="Q9" s="209" t="s">
        <v>2966</v>
      </c>
      <c r="R9" s="134" t="s">
        <v>2965</v>
      </c>
    </row>
    <row r="10" spans="2:18" s="240" customFormat="1" ht="13.5" customHeight="1" thickTop="1" thickBot="1">
      <c r="B10" s="241" t="s">
        <v>2964</v>
      </c>
      <c r="C10" s="145" t="s">
        <v>166</v>
      </c>
      <c r="D10" s="369" t="s">
        <v>309</v>
      </c>
      <c r="E10" s="369" t="s">
        <v>2963</v>
      </c>
      <c r="F10" s="367"/>
      <c r="G10" s="367"/>
      <c r="H10" s="367"/>
      <c r="I10" s="365"/>
      <c r="J10" s="367"/>
      <c r="K10" s="367"/>
      <c r="L10" s="367"/>
      <c r="M10" s="365"/>
      <c r="N10" s="367"/>
      <c r="O10" s="367"/>
      <c r="P10" s="367"/>
      <c r="Q10" s="367"/>
      <c r="R10" s="210" t="s">
        <v>2962</v>
      </c>
    </row>
    <row r="11" spans="2:18" s="240" customFormat="1" ht="13.5" customHeight="1" thickTop="1" thickBot="1">
      <c r="B11" s="241"/>
      <c r="C11" s="148"/>
      <c r="D11" s="369" t="s">
        <v>310</v>
      </c>
      <c r="E11" s="369" t="s">
        <v>2961</v>
      </c>
      <c r="F11" s="367"/>
      <c r="G11" s="367"/>
      <c r="H11" s="367"/>
      <c r="I11" s="365"/>
      <c r="J11" s="367"/>
      <c r="K11" s="367"/>
      <c r="L11" s="367"/>
      <c r="M11" s="365"/>
      <c r="N11" s="367"/>
      <c r="O11" s="367"/>
      <c r="P11" s="367"/>
      <c r="Q11" s="367"/>
      <c r="R11" s="210" t="s">
        <v>2959</v>
      </c>
    </row>
    <row r="12" spans="2:18" s="240" customFormat="1" ht="13.5" customHeight="1" thickTop="1" thickBot="1">
      <c r="B12" s="241"/>
      <c r="C12" s="148"/>
      <c r="D12" s="369" t="s">
        <v>311</v>
      </c>
      <c r="E12" s="369" t="s">
        <v>2960</v>
      </c>
      <c r="F12" s="367"/>
      <c r="G12" s="367"/>
      <c r="H12" s="367"/>
      <c r="I12" s="365"/>
      <c r="J12" s="367"/>
      <c r="K12" s="367"/>
      <c r="L12" s="367"/>
      <c r="M12" s="365"/>
      <c r="N12" s="367"/>
      <c r="O12" s="367"/>
      <c r="P12" s="367"/>
      <c r="Q12" s="367"/>
      <c r="R12" s="210" t="s">
        <v>2959</v>
      </c>
    </row>
    <row r="13" spans="2:18" s="240" customFormat="1" ht="13.5" customHeight="1" thickTop="1" thickBot="1">
      <c r="B13" s="241"/>
      <c r="C13" s="148"/>
      <c r="D13" s="369" t="s">
        <v>312</v>
      </c>
      <c r="E13" s="369" t="s">
        <v>2958</v>
      </c>
      <c r="F13" s="367"/>
      <c r="G13" s="367"/>
      <c r="H13" s="367"/>
      <c r="I13" s="365"/>
      <c r="J13" s="367" t="s">
        <v>207</v>
      </c>
      <c r="K13" s="367"/>
      <c r="L13" s="367">
        <v>0</v>
      </c>
      <c r="M13" s="365" t="s">
        <v>623</v>
      </c>
      <c r="N13" s="367"/>
      <c r="O13" s="367"/>
      <c r="P13" s="367"/>
      <c r="Q13" s="367"/>
      <c r="R13" s="210" t="s">
        <v>2944</v>
      </c>
    </row>
    <row r="14" spans="2:18" s="240" customFormat="1" ht="13.5" customHeight="1" thickTop="1" thickBot="1">
      <c r="B14" s="241"/>
      <c r="C14" s="148"/>
      <c r="D14" s="369" t="s">
        <v>313</v>
      </c>
      <c r="E14" s="369" t="s">
        <v>2957</v>
      </c>
      <c r="F14" s="367"/>
      <c r="G14" s="367"/>
      <c r="H14" s="367"/>
      <c r="I14" s="365"/>
      <c r="J14" s="367" t="s">
        <v>207</v>
      </c>
      <c r="K14" s="367"/>
      <c r="L14" s="367">
        <v>0</v>
      </c>
      <c r="M14" s="365" t="s">
        <v>623</v>
      </c>
      <c r="N14" s="367"/>
      <c r="O14" s="367"/>
      <c r="P14" s="367"/>
      <c r="Q14" s="367"/>
      <c r="R14" s="210" t="s">
        <v>2944</v>
      </c>
    </row>
    <row r="15" spans="2:18" s="240" customFormat="1" ht="13.5" customHeight="1" thickTop="1" thickBot="1">
      <c r="B15" s="241"/>
      <c r="C15" s="148"/>
      <c r="D15" s="369" t="s">
        <v>314</v>
      </c>
      <c r="E15" s="369" t="s">
        <v>2956</v>
      </c>
      <c r="F15" s="367"/>
      <c r="G15" s="367"/>
      <c r="H15" s="367"/>
      <c r="I15" s="365"/>
      <c r="J15" s="367" t="s">
        <v>207</v>
      </c>
      <c r="K15" s="367"/>
      <c r="L15" s="367">
        <v>0</v>
      </c>
      <c r="M15" s="365" t="s">
        <v>623</v>
      </c>
      <c r="N15" s="367"/>
      <c r="O15" s="367"/>
      <c r="P15" s="367"/>
      <c r="Q15" s="367"/>
      <c r="R15" s="210" t="s">
        <v>2944</v>
      </c>
    </row>
    <row r="16" spans="2:18" s="240" customFormat="1" ht="13.5" customHeight="1" thickTop="1" thickBot="1">
      <c r="B16" s="241"/>
      <c r="C16" s="148"/>
      <c r="D16" s="369" t="s">
        <v>315</v>
      </c>
      <c r="E16" s="369" t="s">
        <v>2955</v>
      </c>
      <c r="F16" s="367"/>
      <c r="G16" s="367"/>
      <c r="H16" s="367"/>
      <c r="I16" s="365"/>
      <c r="J16" s="367" t="s">
        <v>207</v>
      </c>
      <c r="K16" s="367"/>
      <c r="L16" s="367">
        <v>0</v>
      </c>
      <c r="M16" s="365" t="s">
        <v>623</v>
      </c>
      <c r="N16" s="367"/>
      <c r="O16" s="367"/>
      <c r="P16" s="367"/>
      <c r="Q16" s="367"/>
      <c r="R16" s="210" t="s">
        <v>2944</v>
      </c>
    </row>
    <row r="17" spans="2:18" s="240" customFormat="1" ht="13.5" customHeight="1" thickTop="1" thickBot="1">
      <c r="B17" s="241"/>
      <c r="C17" s="148"/>
      <c r="D17" s="369" t="s">
        <v>316</v>
      </c>
      <c r="E17" s="369" t="s">
        <v>2954</v>
      </c>
      <c r="F17" s="367"/>
      <c r="G17" s="367"/>
      <c r="H17" s="367"/>
      <c r="I17" s="365"/>
      <c r="J17" s="367" t="s">
        <v>207</v>
      </c>
      <c r="K17" s="367"/>
      <c r="L17" s="367">
        <v>0</v>
      </c>
      <c r="M17" s="365" t="s">
        <v>623</v>
      </c>
      <c r="N17" s="367"/>
      <c r="O17" s="367"/>
      <c r="P17" s="367"/>
      <c r="Q17" s="367"/>
      <c r="R17" s="210" t="s">
        <v>2944</v>
      </c>
    </row>
    <row r="18" spans="2:18" s="240" customFormat="1" ht="13.5" customHeight="1" thickTop="1" thickBot="1">
      <c r="B18" s="241"/>
      <c r="C18" s="148"/>
      <c r="D18" s="369" t="s">
        <v>317</v>
      </c>
      <c r="E18" s="369" t="s">
        <v>2953</v>
      </c>
      <c r="F18" s="367"/>
      <c r="G18" s="367"/>
      <c r="H18" s="367"/>
      <c r="I18" s="365"/>
      <c r="J18" s="367" t="s">
        <v>207</v>
      </c>
      <c r="K18" s="367"/>
      <c r="L18" s="367">
        <v>0</v>
      </c>
      <c r="M18" s="365" t="s">
        <v>623</v>
      </c>
      <c r="N18" s="367"/>
      <c r="O18" s="367"/>
      <c r="P18" s="367"/>
      <c r="Q18" s="367"/>
      <c r="R18" s="210" t="s">
        <v>2944</v>
      </c>
    </row>
    <row r="19" spans="2:18" s="240" customFormat="1" ht="13.5" customHeight="1" thickTop="1" thickBot="1">
      <c r="B19" s="241"/>
      <c r="C19" s="148"/>
      <c r="D19" s="369" t="s">
        <v>318</v>
      </c>
      <c r="E19" s="369" t="s">
        <v>2952</v>
      </c>
      <c r="F19" s="367"/>
      <c r="G19" s="367"/>
      <c r="H19" s="367"/>
      <c r="I19" s="365"/>
      <c r="J19" s="367" t="s">
        <v>207</v>
      </c>
      <c r="K19" s="367"/>
      <c r="L19" s="367">
        <v>0</v>
      </c>
      <c r="M19" s="365" t="s">
        <v>623</v>
      </c>
      <c r="N19" s="367"/>
      <c r="O19" s="367"/>
      <c r="P19" s="367"/>
      <c r="Q19" s="367"/>
      <c r="R19" s="210" t="s">
        <v>2949</v>
      </c>
    </row>
    <row r="20" spans="2:18" s="240" customFormat="1" ht="13.5" customHeight="1" thickTop="1" thickBot="1">
      <c r="B20" s="241"/>
      <c r="C20" s="148"/>
      <c r="D20" s="369" t="s">
        <v>319</v>
      </c>
      <c r="E20" s="369" t="s">
        <v>2951</v>
      </c>
      <c r="F20" s="367"/>
      <c r="G20" s="367"/>
      <c r="H20" s="367"/>
      <c r="I20" s="365"/>
      <c r="J20" s="367" t="s">
        <v>207</v>
      </c>
      <c r="K20" s="367"/>
      <c r="L20" s="367">
        <v>0</v>
      </c>
      <c r="M20" s="365" t="s">
        <v>623</v>
      </c>
      <c r="N20" s="367"/>
      <c r="O20" s="367"/>
      <c r="P20" s="367"/>
      <c r="Q20" s="367"/>
      <c r="R20" s="210" t="s">
        <v>2949</v>
      </c>
    </row>
    <row r="21" spans="2:18" s="240" customFormat="1" ht="13.5" customHeight="1" thickTop="1" thickBot="1">
      <c r="B21" s="241"/>
      <c r="C21" s="148"/>
      <c r="D21" s="369" t="s">
        <v>320</v>
      </c>
      <c r="E21" s="369" t="s">
        <v>2950</v>
      </c>
      <c r="F21" s="367"/>
      <c r="G21" s="367"/>
      <c r="H21" s="367"/>
      <c r="I21" s="365"/>
      <c r="J21" s="367" t="s">
        <v>207</v>
      </c>
      <c r="K21" s="367"/>
      <c r="L21" s="367">
        <v>0</v>
      </c>
      <c r="M21" s="365" t="s">
        <v>623</v>
      </c>
      <c r="N21" s="367"/>
      <c r="O21" s="367"/>
      <c r="P21" s="367"/>
      <c r="Q21" s="367"/>
      <c r="R21" s="210" t="s">
        <v>2949</v>
      </c>
    </row>
    <row r="22" spans="2:18" s="240" customFormat="1" ht="13.5" customHeight="1" thickTop="1" thickBot="1">
      <c r="B22" s="241"/>
      <c r="C22" s="148"/>
      <c r="D22" s="369" t="s">
        <v>321</v>
      </c>
      <c r="E22" s="369" t="s">
        <v>2948</v>
      </c>
      <c r="F22" s="367"/>
      <c r="G22" s="367"/>
      <c r="H22" s="367"/>
      <c r="I22" s="365"/>
      <c r="J22" s="367" t="s">
        <v>207</v>
      </c>
      <c r="K22" s="367"/>
      <c r="L22" s="367">
        <v>0</v>
      </c>
      <c r="M22" s="365" t="s">
        <v>623</v>
      </c>
      <c r="N22" s="367"/>
      <c r="O22" s="367"/>
      <c r="P22" s="367"/>
      <c r="Q22" s="367"/>
      <c r="R22" s="210" t="s">
        <v>2944</v>
      </c>
    </row>
    <row r="23" spans="2:18" s="240" customFormat="1" ht="13.5" customHeight="1" thickTop="1" thickBot="1">
      <c r="B23" s="241"/>
      <c r="C23" s="148"/>
      <c r="D23" s="369" t="s">
        <v>322</v>
      </c>
      <c r="E23" s="369" t="s">
        <v>2947</v>
      </c>
      <c r="F23" s="367"/>
      <c r="G23" s="367"/>
      <c r="H23" s="367"/>
      <c r="I23" s="365"/>
      <c r="J23" s="367" t="s">
        <v>207</v>
      </c>
      <c r="K23" s="367"/>
      <c r="L23" s="367">
        <v>0</v>
      </c>
      <c r="M23" s="365" t="s">
        <v>623</v>
      </c>
      <c r="N23" s="367"/>
      <c r="O23" s="367"/>
      <c r="P23" s="367"/>
      <c r="Q23" s="367"/>
      <c r="R23" s="210" t="s">
        <v>2944</v>
      </c>
    </row>
    <row r="24" spans="2:18" s="240" customFormat="1" ht="13.5" customHeight="1" thickTop="1" thickBot="1">
      <c r="B24" s="241"/>
      <c r="C24" s="148"/>
      <c r="D24" s="369" t="s">
        <v>323</v>
      </c>
      <c r="E24" s="369" t="s">
        <v>2946</v>
      </c>
      <c r="F24" s="367"/>
      <c r="G24" s="367"/>
      <c r="H24" s="367"/>
      <c r="I24" s="365"/>
      <c r="J24" s="367" t="s">
        <v>207</v>
      </c>
      <c r="K24" s="367"/>
      <c r="L24" s="367">
        <v>0</v>
      </c>
      <c r="M24" s="365" t="s">
        <v>623</v>
      </c>
      <c r="N24" s="367"/>
      <c r="O24" s="367"/>
      <c r="P24" s="367"/>
      <c r="Q24" s="367"/>
      <c r="R24" s="210" t="s">
        <v>2944</v>
      </c>
    </row>
    <row r="25" spans="2:18" s="240" customFormat="1" ht="13.5" customHeight="1" thickTop="1" thickBot="1">
      <c r="B25" s="241"/>
      <c r="C25" s="148"/>
      <c r="D25" s="369" t="s">
        <v>324</v>
      </c>
      <c r="E25" s="369" t="s">
        <v>2945</v>
      </c>
      <c r="F25" s="367"/>
      <c r="G25" s="367"/>
      <c r="H25" s="367"/>
      <c r="I25" s="365"/>
      <c r="J25" s="367" t="s">
        <v>207</v>
      </c>
      <c r="K25" s="367"/>
      <c r="L25" s="367">
        <v>0</v>
      </c>
      <c r="M25" s="365" t="s">
        <v>623</v>
      </c>
      <c r="N25" s="367"/>
      <c r="O25" s="367"/>
      <c r="P25" s="367"/>
      <c r="Q25" s="367"/>
      <c r="R25" s="210" t="s">
        <v>2944</v>
      </c>
    </row>
    <row r="26" spans="2:18" s="240" customFormat="1" ht="13.5" customHeight="1" thickTop="1" thickBot="1">
      <c r="B26" s="241"/>
      <c r="C26" s="148"/>
      <c r="D26" s="370" t="s">
        <v>325</v>
      </c>
      <c r="E26" s="370" t="s">
        <v>2943</v>
      </c>
      <c r="F26" s="368"/>
      <c r="G26" s="368"/>
      <c r="H26" s="368"/>
      <c r="I26" s="366"/>
      <c r="J26" s="368" t="s">
        <v>20</v>
      </c>
      <c r="K26" s="368">
        <v>0</v>
      </c>
      <c r="L26" s="368">
        <v>0</v>
      </c>
      <c r="M26" s="366" t="s">
        <v>607</v>
      </c>
      <c r="N26" s="368"/>
      <c r="O26" s="368"/>
      <c r="P26" s="368"/>
      <c r="Q26" s="368"/>
      <c r="R26" s="211" t="s">
        <v>2931</v>
      </c>
    </row>
    <row r="27" spans="2:18" s="240" customFormat="1" ht="13.5" customHeight="1" thickTop="1" thickBot="1">
      <c r="B27" s="241"/>
      <c r="C27" s="148"/>
      <c r="D27" s="370" t="s">
        <v>326</v>
      </c>
      <c r="E27" s="370" t="s">
        <v>2942</v>
      </c>
      <c r="F27" s="368"/>
      <c r="G27" s="368"/>
      <c r="H27" s="368"/>
      <c r="I27" s="366"/>
      <c r="J27" s="368" t="s">
        <v>20</v>
      </c>
      <c r="K27" s="368">
        <v>0</v>
      </c>
      <c r="L27" s="368">
        <v>0</v>
      </c>
      <c r="M27" s="366" t="s">
        <v>607</v>
      </c>
      <c r="N27" s="368"/>
      <c r="O27" s="368"/>
      <c r="P27" s="368"/>
      <c r="Q27" s="368"/>
      <c r="R27" s="211" t="s">
        <v>2931</v>
      </c>
    </row>
    <row r="28" spans="2:18" s="240" customFormat="1" ht="13.5" customHeight="1" thickTop="1" thickBot="1">
      <c r="B28" s="241"/>
      <c r="C28" s="148"/>
      <c r="D28" s="370" t="s">
        <v>327</v>
      </c>
      <c r="E28" s="370" t="s">
        <v>2941</v>
      </c>
      <c r="F28" s="368"/>
      <c r="G28" s="368"/>
      <c r="H28" s="368"/>
      <c r="I28" s="366"/>
      <c r="J28" s="368" t="s">
        <v>20</v>
      </c>
      <c r="K28" s="368">
        <v>0</v>
      </c>
      <c r="L28" s="368">
        <v>0</v>
      </c>
      <c r="M28" s="366" t="s">
        <v>607</v>
      </c>
      <c r="N28" s="368"/>
      <c r="O28" s="368"/>
      <c r="P28" s="368"/>
      <c r="Q28" s="368"/>
      <c r="R28" s="211" t="s">
        <v>2931</v>
      </c>
    </row>
    <row r="29" spans="2:18" s="240" customFormat="1" ht="13.5" customHeight="1" thickTop="1" thickBot="1">
      <c r="B29" s="241"/>
      <c r="C29" s="148"/>
      <c r="D29" s="370" t="s">
        <v>328</v>
      </c>
      <c r="E29" s="370" t="s">
        <v>2940</v>
      </c>
      <c r="F29" s="368"/>
      <c r="G29" s="368"/>
      <c r="H29" s="368"/>
      <c r="I29" s="366"/>
      <c r="J29" s="368" t="s">
        <v>20</v>
      </c>
      <c r="K29" s="368">
        <v>0</v>
      </c>
      <c r="L29" s="368">
        <v>0</v>
      </c>
      <c r="M29" s="366" t="s">
        <v>607</v>
      </c>
      <c r="N29" s="368"/>
      <c r="O29" s="368"/>
      <c r="P29" s="368"/>
      <c r="Q29" s="368"/>
      <c r="R29" s="211" t="s">
        <v>2931</v>
      </c>
    </row>
    <row r="30" spans="2:18" s="240" customFormat="1" ht="13.5" customHeight="1" thickTop="1" thickBot="1">
      <c r="B30" s="241"/>
      <c r="C30" s="148"/>
      <c r="D30" s="370" t="s">
        <v>329</v>
      </c>
      <c r="E30" s="370" t="s">
        <v>2939</v>
      </c>
      <c r="F30" s="368"/>
      <c r="G30" s="368"/>
      <c r="H30" s="368"/>
      <c r="I30" s="366"/>
      <c r="J30" s="368" t="s">
        <v>20</v>
      </c>
      <c r="K30" s="368">
        <v>0</v>
      </c>
      <c r="L30" s="368">
        <v>0</v>
      </c>
      <c r="M30" s="366" t="s">
        <v>607</v>
      </c>
      <c r="N30" s="368"/>
      <c r="O30" s="368"/>
      <c r="P30" s="368"/>
      <c r="Q30" s="368"/>
      <c r="R30" s="211" t="s">
        <v>2931</v>
      </c>
    </row>
    <row r="31" spans="2:18" s="240" customFormat="1" ht="13.5" customHeight="1" thickTop="1" thickBot="1">
      <c r="B31" s="241"/>
      <c r="C31" s="148"/>
      <c r="D31" s="370" t="s">
        <v>330</v>
      </c>
      <c r="E31" s="370" t="s">
        <v>2938</v>
      </c>
      <c r="F31" s="368"/>
      <c r="G31" s="368"/>
      <c r="H31" s="368"/>
      <c r="I31" s="366"/>
      <c r="J31" s="368" t="s">
        <v>20</v>
      </c>
      <c r="K31" s="368">
        <v>0</v>
      </c>
      <c r="L31" s="368">
        <v>0</v>
      </c>
      <c r="M31" s="366" t="s">
        <v>607</v>
      </c>
      <c r="N31" s="368"/>
      <c r="O31" s="368"/>
      <c r="P31" s="368"/>
      <c r="Q31" s="368"/>
      <c r="R31" s="211" t="s">
        <v>2931</v>
      </c>
    </row>
    <row r="32" spans="2:18" s="240" customFormat="1" ht="13.5" customHeight="1" thickTop="1" thickBot="1">
      <c r="B32" s="241"/>
      <c r="C32" s="148"/>
      <c r="D32" s="370" t="s">
        <v>331</v>
      </c>
      <c r="E32" s="370" t="s">
        <v>2937</v>
      </c>
      <c r="F32" s="368"/>
      <c r="G32" s="368"/>
      <c r="H32" s="368"/>
      <c r="I32" s="366"/>
      <c r="J32" s="368" t="s">
        <v>20</v>
      </c>
      <c r="K32" s="368">
        <v>0</v>
      </c>
      <c r="L32" s="368">
        <v>0</v>
      </c>
      <c r="M32" s="366" t="s">
        <v>607</v>
      </c>
      <c r="N32" s="368"/>
      <c r="O32" s="368"/>
      <c r="P32" s="368"/>
      <c r="Q32" s="368"/>
      <c r="R32" s="211" t="s">
        <v>2931</v>
      </c>
    </row>
    <row r="33" spans="2:18" s="240" customFormat="1" ht="13.5" customHeight="1" thickTop="1" thickBot="1">
      <c r="B33" s="241"/>
      <c r="C33" s="148"/>
      <c r="D33" s="370" t="s">
        <v>332</v>
      </c>
      <c r="E33" s="370" t="s">
        <v>2936</v>
      </c>
      <c r="F33" s="368"/>
      <c r="G33" s="368"/>
      <c r="H33" s="368"/>
      <c r="I33" s="366"/>
      <c r="J33" s="368" t="s">
        <v>20</v>
      </c>
      <c r="K33" s="368">
        <v>0</v>
      </c>
      <c r="L33" s="368">
        <v>0</v>
      </c>
      <c r="M33" s="366" t="s">
        <v>607</v>
      </c>
      <c r="N33" s="368"/>
      <c r="O33" s="368"/>
      <c r="P33" s="368"/>
      <c r="Q33" s="368"/>
      <c r="R33" s="211" t="s">
        <v>2931</v>
      </c>
    </row>
    <row r="34" spans="2:18" s="240" customFormat="1" ht="13.5" customHeight="1" thickTop="1" thickBot="1">
      <c r="B34" s="241"/>
      <c r="C34" s="148"/>
      <c r="D34" s="370" t="s">
        <v>333</v>
      </c>
      <c r="E34" s="370" t="s">
        <v>2935</v>
      </c>
      <c r="F34" s="368"/>
      <c r="G34" s="368"/>
      <c r="H34" s="368"/>
      <c r="I34" s="366"/>
      <c r="J34" s="368" t="s">
        <v>20</v>
      </c>
      <c r="K34" s="368">
        <v>0</v>
      </c>
      <c r="L34" s="368">
        <v>0</v>
      </c>
      <c r="M34" s="366" t="s">
        <v>607</v>
      </c>
      <c r="N34" s="368"/>
      <c r="O34" s="368"/>
      <c r="P34" s="368"/>
      <c r="Q34" s="368"/>
      <c r="R34" s="211" t="s">
        <v>2931</v>
      </c>
    </row>
    <row r="35" spans="2:18" s="240" customFormat="1" ht="13.5" customHeight="1" thickTop="1" thickBot="1">
      <c r="B35" s="241"/>
      <c r="C35" s="148"/>
      <c r="D35" s="370" t="s">
        <v>334</v>
      </c>
      <c r="E35" s="370" t="s">
        <v>2934</v>
      </c>
      <c r="F35" s="368"/>
      <c r="G35" s="368"/>
      <c r="H35" s="368"/>
      <c r="I35" s="366"/>
      <c r="J35" s="368" t="s">
        <v>20</v>
      </c>
      <c r="K35" s="368">
        <v>0</v>
      </c>
      <c r="L35" s="368">
        <v>0</v>
      </c>
      <c r="M35" s="366" t="s">
        <v>607</v>
      </c>
      <c r="N35" s="368"/>
      <c r="O35" s="368"/>
      <c r="P35" s="368"/>
      <c r="Q35" s="368"/>
      <c r="R35" s="211" t="s">
        <v>2931</v>
      </c>
    </row>
    <row r="36" spans="2:18" s="240" customFormat="1" ht="13.5" customHeight="1" thickTop="1" thickBot="1">
      <c r="B36" s="241"/>
      <c r="C36" s="148"/>
      <c r="D36" s="370" t="s">
        <v>335</v>
      </c>
      <c r="E36" s="370" t="s">
        <v>2933</v>
      </c>
      <c r="F36" s="368"/>
      <c r="G36" s="368"/>
      <c r="H36" s="368"/>
      <c r="I36" s="366"/>
      <c r="J36" s="368" t="s">
        <v>20</v>
      </c>
      <c r="K36" s="368">
        <v>0</v>
      </c>
      <c r="L36" s="368">
        <v>0</v>
      </c>
      <c r="M36" s="366" t="s">
        <v>607</v>
      </c>
      <c r="N36" s="368"/>
      <c r="O36" s="368"/>
      <c r="P36" s="368"/>
      <c r="Q36" s="368"/>
      <c r="R36" s="211" t="s">
        <v>2931</v>
      </c>
    </row>
    <row r="37" spans="2:18" s="240" customFormat="1" ht="13.5" customHeight="1" thickTop="1" thickBot="1">
      <c r="B37" s="241"/>
      <c r="C37" s="148"/>
      <c r="D37" s="370" t="s">
        <v>336</v>
      </c>
      <c r="E37" s="370" t="s">
        <v>2932</v>
      </c>
      <c r="F37" s="368"/>
      <c r="G37" s="368"/>
      <c r="H37" s="368"/>
      <c r="I37" s="366"/>
      <c r="J37" s="368" t="s">
        <v>20</v>
      </c>
      <c r="K37" s="368">
        <v>0</v>
      </c>
      <c r="L37" s="368">
        <v>0</v>
      </c>
      <c r="M37" s="366" t="s">
        <v>607</v>
      </c>
      <c r="N37" s="368"/>
      <c r="O37" s="368"/>
      <c r="P37" s="368"/>
      <c r="Q37" s="368"/>
      <c r="R37" s="211" t="s">
        <v>2931</v>
      </c>
    </row>
    <row r="38" spans="2:18" s="240" customFormat="1" ht="13.5" customHeight="1" thickTop="1" thickBot="1">
      <c r="B38" s="241"/>
      <c r="C38" s="148"/>
      <c r="D38" s="370" t="s">
        <v>337</v>
      </c>
      <c r="E38" s="370" t="s">
        <v>2930</v>
      </c>
      <c r="F38" s="368"/>
      <c r="G38" s="368"/>
      <c r="H38" s="368"/>
      <c r="I38" s="366"/>
      <c r="J38" s="368" t="s">
        <v>20</v>
      </c>
      <c r="K38" s="368">
        <v>0</v>
      </c>
      <c r="L38" s="368">
        <v>0</v>
      </c>
      <c r="M38" s="366" t="s">
        <v>607</v>
      </c>
      <c r="N38" s="368"/>
      <c r="O38" s="368"/>
      <c r="P38" s="368"/>
      <c r="Q38" s="368"/>
      <c r="R38" s="211" t="s">
        <v>2926</v>
      </c>
    </row>
    <row r="39" spans="2:18" s="240" customFormat="1" ht="13.5" customHeight="1" thickTop="1" thickBot="1">
      <c r="B39" s="241"/>
      <c r="C39" s="148"/>
      <c r="D39" s="370" t="s">
        <v>338</v>
      </c>
      <c r="E39" s="370" t="s">
        <v>2929</v>
      </c>
      <c r="F39" s="368"/>
      <c r="G39" s="368"/>
      <c r="H39" s="368"/>
      <c r="I39" s="366"/>
      <c r="J39" s="368" t="s">
        <v>20</v>
      </c>
      <c r="K39" s="368">
        <v>0</v>
      </c>
      <c r="L39" s="368">
        <v>0</v>
      </c>
      <c r="M39" s="366" t="s">
        <v>607</v>
      </c>
      <c r="N39" s="368"/>
      <c r="O39" s="368"/>
      <c r="P39" s="368"/>
      <c r="Q39" s="368"/>
      <c r="R39" s="211" t="s">
        <v>2926</v>
      </c>
    </row>
    <row r="40" spans="2:18" s="240" customFormat="1" ht="13.5" customHeight="1" thickTop="1" thickBot="1">
      <c r="B40" s="241"/>
      <c r="C40" s="148"/>
      <c r="D40" s="370" t="s">
        <v>339</v>
      </c>
      <c r="E40" s="370" t="s">
        <v>2928</v>
      </c>
      <c r="F40" s="368"/>
      <c r="G40" s="368"/>
      <c r="H40" s="368"/>
      <c r="I40" s="366"/>
      <c r="J40" s="368" t="s">
        <v>20</v>
      </c>
      <c r="K40" s="368">
        <v>0</v>
      </c>
      <c r="L40" s="368">
        <v>0</v>
      </c>
      <c r="M40" s="366" t="s">
        <v>607</v>
      </c>
      <c r="N40" s="368"/>
      <c r="O40" s="368"/>
      <c r="P40" s="368"/>
      <c r="Q40" s="368"/>
      <c r="R40" s="211" t="s">
        <v>2926</v>
      </c>
    </row>
    <row r="41" spans="2:18" s="240" customFormat="1" ht="13.5" customHeight="1" thickTop="1" thickBot="1">
      <c r="B41" s="241"/>
      <c r="C41" s="148"/>
      <c r="D41" s="370" t="s">
        <v>340</v>
      </c>
      <c r="E41" s="370" t="s">
        <v>2927</v>
      </c>
      <c r="F41" s="368"/>
      <c r="G41" s="368"/>
      <c r="H41" s="368"/>
      <c r="I41" s="366"/>
      <c r="J41" s="368" t="s">
        <v>20</v>
      </c>
      <c r="K41" s="368">
        <v>0</v>
      </c>
      <c r="L41" s="368">
        <v>0</v>
      </c>
      <c r="M41" s="366" t="s">
        <v>607</v>
      </c>
      <c r="N41" s="368"/>
      <c r="O41" s="368"/>
      <c r="P41" s="368"/>
      <c r="Q41" s="368"/>
      <c r="R41" s="211" t="s">
        <v>2926</v>
      </c>
    </row>
    <row r="42" spans="2:18" s="240" customFormat="1" ht="13.5" customHeight="1" thickTop="1" thickBot="1">
      <c r="B42" s="241"/>
      <c r="C42" s="148"/>
      <c r="D42" s="212" t="s">
        <v>341</v>
      </c>
      <c r="E42" s="369" t="s">
        <v>2925</v>
      </c>
      <c r="F42" s="367"/>
      <c r="G42" s="367"/>
      <c r="H42" s="367"/>
      <c r="I42" s="365"/>
      <c r="J42" s="367" t="s">
        <v>20</v>
      </c>
      <c r="K42" s="367">
        <v>0</v>
      </c>
      <c r="L42" s="367">
        <v>15</v>
      </c>
      <c r="M42" s="365" t="s">
        <v>607</v>
      </c>
      <c r="N42" s="367"/>
      <c r="O42" s="367"/>
      <c r="P42" s="367"/>
      <c r="Q42" s="367"/>
      <c r="R42" s="213"/>
    </row>
    <row r="43" spans="2:18" s="240" customFormat="1" ht="13.5" customHeight="1" thickTop="1" thickBot="1">
      <c r="B43" s="241"/>
      <c r="C43" s="148"/>
      <c r="D43" s="212" t="s">
        <v>342</v>
      </c>
      <c r="E43" s="369" t="s">
        <v>2924</v>
      </c>
      <c r="F43" s="367"/>
      <c r="G43" s="367"/>
      <c r="H43" s="367"/>
      <c r="I43" s="365"/>
      <c r="J43" s="367" t="s">
        <v>20</v>
      </c>
      <c r="K43" s="367">
        <v>0</v>
      </c>
      <c r="L43" s="367">
        <v>15</v>
      </c>
      <c r="M43" s="365" t="s">
        <v>607</v>
      </c>
      <c r="N43" s="367"/>
      <c r="O43" s="367"/>
      <c r="P43" s="367"/>
      <c r="Q43" s="367"/>
      <c r="R43" s="213"/>
    </row>
    <row r="44" spans="2:18" s="240" customFormat="1" ht="13.5" customHeight="1" thickTop="1" thickBot="1">
      <c r="B44" s="241"/>
      <c r="C44" s="148"/>
      <c r="D44" s="212" t="s">
        <v>343</v>
      </c>
      <c r="E44" s="369" t="s">
        <v>2923</v>
      </c>
      <c r="F44" s="367"/>
      <c r="G44" s="367"/>
      <c r="H44" s="367"/>
      <c r="I44" s="365"/>
      <c r="J44" s="367" t="s">
        <v>20</v>
      </c>
      <c r="K44" s="367">
        <v>0</v>
      </c>
      <c r="L44" s="367">
        <v>15</v>
      </c>
      <c r="M44" s="365" t="s">
        <v>607</v>
      </c>
      <c r="N44" s="367"/>
      <c r="O44" s="367"/>
      <c r="P44" s="367"/>
      <c r="Q44" s="367"/>
      <c r="R44" s="210"/>
    </row>
    <row r="45" spans="2:18" s="240" customFormat="1" ht="13.5" customHeight="1" thickTop="1" thickBot="1">
      <c r="B45" s="241"/>
      <c r="C45" s="148"/>
      <c r="D45" s="212" t="s">
        <v>344</v>
      </c>
      <c r="E45" s="369" t="s">
        <v>2922</v>
      </c>
      <c r="F45" s="367"/>
      <c r="G45" s="367"/>
      <c r="H45" s="367"/>
      <c r="I45" s="365"/>
      <c r="J45" s="367" t="s">
        <v>20</v>
      </c>
      <c r="K45" s="367">
        <v>0</v>
      </c>
      <c r="L45" s="367">
        <v>15</v>
      </c>
      <c r="M45" s="365" t="s">
        <v>607</v>
      </c>
      <c r="N45" s="367"/>
      <c r="O45" s="367"/>
      <c r="P45" s="367"/>
      <c r="Q45" s="367"/>
      <c r="R45" s="210"/>
    </row>
    <row r="46" spans="2:18" s="240" customFormat="1" ht="13.5" customHeight="1" thickTop="1" thickBot="1">
      <c r="B46" s="241"/>
      <c r="C46" s="148"/>
      <c r="D46" s="216" t="s">
        <v>345</v>
      </c>
      <c r="E46" s="370" t="s">
        <v>2921</v>
      </c>
      <c r="F46" s="368"/>
      <c r="G46" s="368"/>
      <c r="H46" s="368"/>
      <c r="I46" s="366"/>
      <c r="J46" s="368" t="s">
        <v>20</v>
      </c>
      <c r="K46" s="368">
        <v>0</v>
      </c>
      <c r="L46" s="368">
        <v>15</v>
      </c>
      <c r="M46" s="366" t="s">
        <v>607</v>
      </c>
      <c r="N46" s="368"/>
      <c r="O46" s="368"/>
      <c r="P46" s="368"/>
      <c r="Q46" s="368"/>
      <c r="R46" s="217"/>
    </row>
    <row r="47" spans="2:18" s="240" customFormat="1" ht="13.5" customHeight="1" thickTop="1" thickBot="1">
      <c r="B47" s="241"/>
      <c r="C47" s="148"/>
      <c r="D47" s="216" t="s">
        <v>346</v>
      </c>
      <c r="E47" s="370" t="s">
        <v>2920</v>
      </c>
      <c r="F47" s="368"/>
      <c r="G47" s="368"/>
      <c r="H47" s="368"/>
      <c r="I47" s="366"/>
      <c r="J47" s="368" t="s">
        <v>20</v>
      </c>
      <c r="K47" s="368">
        <v>0</v>
      </c>
      <c r="L47" s="368">
        <v>15</v>
      </c>
      <c r="M47" s="366" t="s">
        <v>607</v>
      </c>
      <c r="N47" s="368"/>
      <c r="O47" s="368"/>
      <c r="P47" s="368"/>
      <c r="Q47" s="368"/>
      <c r="R47" s="211"/>
    </row>
    <row r="48" spans="2:18" s="240" customFormat="1" ht="13.5" customHeight="1" thickTop="1" thickBot="1">
      <c r="B48" s="241"/>
      <c r="C48" s="148"/>
      <c r="D48" s="218" t="s">
        <v>347</v>
      </c>
      <c r="E48" s="370" t="s">
        <v>2919</v>
      </c>
      <c r="F48" s="368"/>
      <c r="G48" s="368"/>
      <c r="H48" s="368"/>
      <c r="I48" s="366"/>
      <c r="J48" s="368" t="s">
        <v>20</v>
      </c>
      <c r="K48" s="368">
        <v>0</v>
      </c>
      <c r="L48" s="368">
        <v>15</v>
      </c>
      <c r="M48" s="366" t="s">
        <v>607</v>
      </c>
      <c r="N48" s="368"/>
      <c r="O48" s="368"/>
      <c r="P48" s="368"/>
      <c r="Q48" s="368"/>
      <c r="R48" s="217"/>
    </row>
    <row r="49" spans="2:18" s="240" customFormat="1" ht="13.5" customHeight="1" thickTop="1" thickBot="1">
      <c r="B49" s="241"/>
      <c r="C49" s="148"/>
      <c r="D49" s="218" t="s">
        <v>348</v>
      </c>
      <c r="E49" s="370" t="s">
        <v>2918</v>
      </c>
      <c r="F49" s="368"/>
      <c r="G49" s="368"/>
      <c r="H49" s="368"/>
      <c r="I49" s="366"/>
      <c r="J49" s="368" t="s">
        <v>20</v>
      </c>
      <c r="K49" s="368">
        <v>0</v>
      </c>
      <c r="L49" s="368">
        <v>15</v>
      </c>
      <c r="M49" s="366" t="s">
        <v>607</v>
      </c>
      <c r="N49" s="368"/>
      <c r="O49" s="368"/>
      <c r="P49" s="368"/>
      <c r="Q49" s="368"/>
      <c r="R49" s="217"/>
    </row>
    <row r="50" spans="2:18" s="240" customFormat="1" ht="13.5" customHeight="1" thickTop="1" thickBot="1">
      <c r="B50" s="241"/>
      <c r="C50" s="148"/>
      <c r="D50" s="214" t="s">
        <v>349</v>
      </c>
      <c r="E50" s="369" t="s">
        <v>2917</v>
      </c>
      <c r="F50" s="367"/>
      <c r="G50" s="367"/>
      <c r="H50" s="367"/>
      <c r="I50" s="365"/>
      <c r="J50" s="367" t="s">
        <v>20</v>
      </c>
      <c r="K50" s="367">
        <v>0</v>
      </c>
      <c r="L50" s="367">
        <v>15</v>
      </c>
      <c r="M50" s="365" t="s">
        <v>607</v>
      </c>
      <c r="N50" s="367"/>
      <c r="O50" s="367"/>
      <c r="P50" s="367"/>
      <c r="Q50" s="367"/>
      <c r="R50" s="210"/>
    </row>
    <row r="51" spans="2:18" s="240" customFormat="1" ht="13.5" customHeight="1" thickTop="1" thickBot="1">
      <c r="B51" s="241"/>
      <c r="C51" s="148"/>
      <c r="D51" s="214" t="s">
        <v>350</v>
      </c>
      <c r="E51" s="369" t="s">
        <v>2916</v>
      </c>
      <c r="F51" s="367"/>
      <c r="G51" s="367"/>
      <c r="H51" s="367"/>
      <c r="I51" s="365"/>
      <c r="J51" s="367" t="s">
        <v>20</v>
      </c>
      <c r="K51" s="367">
        <v>0</v>
      </c>
      <c r="L51" s="367">
        <v>15</v>
      </c>
      <c r="M51" s="365" t="s">
        <v>607</v>
      </c>
      <c r="N51" s="367"/>
      <c r="O51" s="367"/>
      <c r="P51" s="367"/>
      <c r="Q51" s="367"/>
      <c r="R51" s="210"/>
    </row>
    <row r="52" spans="2:18" s="240" customFormat="1" ht="13.5" customHeight="1" thickTop="1" thickBot="1">
      <c r="B52" s="241"/>
      <c r="C52" s="148"/>
      <c r="D52" s="214" t="s">
        <v>351</v>
      </c>
      <c r="E52" s="369" t="s">
        <v>2915</v>
      </c>
      <c r="F52" s="367"/>
      <c r="G52" s="367"/>
      <c r="H52" s="367"/>
      <c r="I52" s="365"/>
      <c r="J52" s="367" t="s">
        <v>20</v>
      </c>
      <c r="K52" s="367">
        <v>0</v>
      </c>
      <c r="L52" s="367">
        <v>15</v>
      </c>
      <c r="M52" s="365" t="s">
        <v>607</v>
      </c>
      <c r="N52" s="367"/>
      <c r="O52" s="367"/>
      <c r="P52" s="367"/>
      <c r="Q52" s="367"/>
      <c r="R52" s="210"/>
    </row>
    <row r="53" spans="2:18" s="240" customFormat="1" ht="13.5" customHeight="1" thickTop="1" thickBot="1">
      <c r="B53" s="241"/>
      <c r="C53" s="148"/>
      <c r="D53" s="214" t="s">
        <v>352</v>
      </c>
      <c r="E53" s="369" t="s">
        <v>2914</v>
      </c>
      <c r="F53" s="367"/>
      <c r="G53" s="367"/>
      <c r="H53" s="367"/>
      <c r="I53" s="365"/>
      <c r="J53" s="367" t="s">
        <v>20</v>
      </c>
      <c r="K53" s="367">
        <v>0</v>
      </c>
      <c r="L53" s="367">
        <v>15</v>
      </c>
      <c r="M53" s="365" t="s">
        <v>607</v>
      </c>
      <c r="N53" s="367"/>
      <c r="O53" s="367"/>
      <c r="P53" s="367"/>
      <c r="Q53" s="367"/>
      <c r="R53" s="210"/>
    </row>
    <row r="54" spans="2:18" s="240" customFormat="1" ht="13.5" customHeight="1" thickTop="1" thickBot="1">
      <c r="B54" s="241"/>
      <c r="C54" s="148"/>
      <c r="D54" s="218" t="s">
        <v>353</v>
      </c>
      <c r="E54" s="370" t="s">
        <v>2913</v>
      </c>
      <c r="F54" s="368"/>
      <c r="G54" s="368"/>
      <c r="H54" s="368"/>
      <c r="I54" s="366"/>
      <c r="J54" s="368" t="s">
        <v>20</v>
      </c>
      <c r="K54" s="368">
        <v>0</v>
      </c>
      <c r="L54" s="368">
        <v>15</v>
      </c>
      <c r="M54" s="366" t="s">
        <v>607</v>
      </c>
      <c r="N54" s="368"/>
      <c r="O54" s="368"/>
      <c r="P54" s="368"/>
      <c r="Q54" s="368"/>
      <c r="R54" s="211"/>
    </row>
    <row r="55" spans="2:18" s="240" customFormat="1" ht="13.5" customHeight="1" thickTop="1" thickBot="1">
      <c r="B55" s="241"/>
      <c r="C55" s="148"/>
      <c r="D55" s="218" t="s">
        <v>354</v>
      </c>
      <c r="E55" s="370" t="s">
        <v>263</v>
      </c>
      <c r="F55" s="368"/>
      <c r="G55" s="368"/>
      <c r="H55" s="368"/>
      <c r="I55" s="366"/>
      <c r="J55" s="368" t="s">
        <v>20</v>
      </c>
      <c r="K55" s="368">
        <v>0</v>
      </c>
      <c r="L55" s="368">
        <v>15</v>
      </c>
      <c r="M55" s="366" t="s">
        <v>607</v>
      </c>
      <c r="N55" s="368"/>
      <c r="O55" s="368"/>
      <c r="P55" s="368"/>
      <c r="Q55" s="368"/>
      <c r="R55" s="370"/>
    </row>
    <row r="56" spans="2:18" s="240" customFormat="1" ht="13.5" customHeight="1" thickTop="1" thickBot="1">
      <c r="B56" s="241"/>
      <c r="C56" s="148"/>
      <c r="D56" s="218" t="s">
        <v>355</v>
      </c>
      <c r="E56" s="370" t="s">
        <v>265</v>
      </c>
      <c r="F56" s="368"/>
      <c r="G56" s="368"/>
      <c r="H56" s="368"/>
      <c r="I56" s="366"/>
      <c r="J56" s="368" t="s">
        <v>20</v>
      </c>
      <c r="K56" s="368">
        <v>0</v>
      </c>
      <c r="L56" s="368">
        <v>15</v>
      </c>
      <c r="M56" s="366" t="s">
        <v>607</v>
      </c>
      <c r="N56" s="368"/>
      <c r="O56" s="368"/>
      <c r="P56" s="368"/>
      <c r="Q56" s="368"/>
      <c r="R56" s="370"/>
    </row>
    <row r="57" spans="2:18" s="240" customFormat="1" ht="13.5" customHeight="1" thickTop="1" thickBot="1">
      <c r="B57" s="241"/>
      <c r="C57" s="148"/>
      <c r="D57" s="218" t="s">
        <v>356</v>
      </c>
      <c r="E57" s="370" t="s">
        <v>267</v>
      </c>
      <c r="F57" s="368"/>
      <c r="G57" s="368"/>
      <c r="H57" s="368"/>
      <c r="I57" s="366"/>
      <c r="J57" s="368" t="s">
        <v>20</v>
      </c>
      <c r="K57" s="368">
        <v>0</v>
      </c>
      <c r="L57" s="368">
        <v>15</v>
      </c>
      <c r="M57" s="366" t="s">
        <v>607</v>
      </c>
      <c r="N57" s="368"/>
      <c r="O57" s="368"/>
      <c r="P57" s="368"/>
      <c r="Q57" s="368"/>
      <c r="R57" s="370"/>
    </row>
    <row r="58" spans="2:18" s="240" customFormat="1" ht="13.5" customHeight="1" thickTop="1" thickBot="1">
      <c r="B58" s="241"/>
      <c r="C58" s="148"/>
      <c r="D58" s="214" t="s">
        <v>357</v>
      </c>
      <c r="E58" s="369" t="s">
        <v>269</v>
      </c>
      <c r="F58" s="367"/>
      <c r="G58" s="367"/>
      <c r="H58" s="367"/>
      <c r="I58" s="365"/>
      <c r="J58" s="367" t="s">
        <v>20</v>
      </c>
      <c r="K58" s="367">
        <v>0</v>
      </c>
      <c r="L58" s="367">
        <v>15</v>
      </c>
      <c r="M58" s="365" t="s">
        <v>607</v>
      </c>
      <c r="N58" s="367"/>
      <c r="O58" s="367"/>
      <c r="P58" s="367"/>
      <c r="Q58" s="367"/>
      <c r="R58" s="369"/>
    </row>
    <row r="59" spans="2:18" s="240" customFormat="1" ht="13.5" customHeight="1" thickTop="1" thickBot="1">
      <c r="B59" s="241"/>
      <c r="C59" s="148"/>
      <c r="D59" s="214" t="s">
        <v>358</v>
      </c>
      <c r="E59" s="369" t="s">
        <v>271</v>
      </c>
      <c r="F59" s="367"/>
      <c r="G59" s="367"/>
      <c r="H59" s="367"/>
      <c r="I59" s="365"/>
      <c r="J59" s="367" t="s">
        <v>207</v>
      </c>
      <c r="K59" s="367">
        <v>0</v>
      </c>
      <c r="L59" s="367">
        <v>14</v>
      </c>
      <c r="M59" s="365" t="s">
        <v>607</v>
      </c>
      <c r="N59" s="367"/>
      <c r="O59" s="367"/>
      <c r="P59" s="367"/>
      <c r="Q59" s="367"/>
      <c r="R59" s="369"/>
    </row>
    <row r="60" spans="2:18" s="240" customFormat="1" ht="13.5" customHeight="1" thickTop="1" thickBot="1">
      <c r="B60" s="241"/>
      <c r="C60" s="148"/>
      <c r="D60" s="214" t="s">
        <v>359</v>
      </c>
      <c r="E60" s="369" t="s">
        <v>273</v>
      </c>
      <c r="F60" s="367"/>
      <c r="G60" s="367"/>
      <c r="H60" s="367"/>
      <c r="I60" s="365"/>
      <c r="J60" s="367" t="s">
        <v>207</v>
      </c>
      <c r="K60" s="367">
        <v>0</v>
      </c>
      <c r="L60" s="367">
        <v>14</v>
      </c>
      <c r="M60" s="365" t="s">
        <v>607</v>
      </c>
      <c r="N60" s="367"/>
      <c r="O60" s="367"/>
      <c r="P60" s="367"/>
      <c r="Q60" s="367"/>
      <c r="R60" s="369"/>
    </row>
    <row r="61" spans="2:18" s="240" customFormat="1" ht="13.5" customHeight="1" thickTop="1" thickBot="1">
      <c r="B61" s="241"/>
      <c r="C61" s="148"/>
      <c r="D61" s="214" t="s">
        <v>360</v>
      </c>
      <c r="E61" s="369" t="s">
        <v>275</v>
      </c>
      <c r="F61" s="367"/>
      <c r="G61" s="367"/>
      <c r="H61" s="367"/>
      <c r="I61" s="365"/>
      <c r="J61" s="367" t="s">
        <v>207</v>
      </c>
      <c r="K61" s="367">
        <v>0</v>
      </c>
      <c r="L61" s="367">
        <v>14</v>
      </c>
      <c r="M61" s="365" t="s">
        <v>607</v>
      </c>
      <c r="N61" s="367"/>
      <c r="O61" s="367"/>
      <c r="P61" s="367"/>
      <c r="Q61" s="367"/>
      <c r="R61" s="369"/>
    </row>
    <row r="62" spans="2:18" s="240" customFormat="1" ht="13.5" customHeight="1" thickTop="1" thickBot="1">
      <c r="B62" s="241"/>
      <c r="C62" s="148"/>
      <c r="D62" s="218" t="s">
        <v>361</v>
      </c>
      <c r="E62" s="370" t="s">
        <v>277</v>
      </c>
      <c r="F62" s="368"/>
      <c r="G62" s="368"/>
      <c r="H62" s="368"/>
      <c r="I62" s="366"/>
      <c r="J62" s="368" t="s">
        <v>207</v>
      </c>
      <c r="K62" s="368">
        <v>0</v>
      </c>
      <c r="L62" s="368">
        <v>14</v>
      </c>
      <c r="M62" s="366" t="s">
        <v>607</v>
      </c>
      <c r="N62" s="368"/>
      <c r="O62" s="368"/>
      <c r="P62" s="368"/>
      <c r="Q62" s="368"/>
      <c r="R62" s="370"/>
    </row>
    <row r="63" spans="2:18" s="240" customFormat="1" ht="13.5" customHeight="1" thickTop="1" thickBot="1">
      <c r="B63" s="241"/>
      <c r="C63" s="148"/>
      <c r="D63" s="218" t="s">
        <v>362</v>
      </c>
      <c r="E63" s="370" t="s">
        <v>279</v>
      </c>
      <c r="F63" s="368"/>
      <c r="G63" s="368"/>
      <c r="H63" s="368"/>
      <c r="I63" s="366"/>
      <c r="J63" s="368" t="s">
        <v>207</v>
      </c>
      <c r="K63" s="368">
        <v>0</v>
      </c>
      <c r="L63" s="368">
        <v>15</v>
      </c>
      <c r="M63" s="366" t="s">
        <v>607</v>
      </c>
      <c r="N63" s="368"/>
      <c r="O63" s="368"/>
      <c r="P63" s="368"/>
      <c r="Q63" s="368"/>
      <c r="R63" s="370"/>
    </row>
    <row r="64" spans="2:18" s="240" customFormat="1" ht="13.5" customHeight="1" thickTop="1" thickBot="1">
      <c r="B64" s="241"/>
      <c r="C64" s="148"/>
      <c r="D64" s="218" t="s">
        <v>363</v>
      </c>
      <c r="E64" s="370" t="s">
        <v>281</v>
      </c>
      <c r="F64" s="368"/>
      <c r="G64" s="368"/>
      <c r="H64" s="368"/>
      <c r="I64" s="366"/>
      <c r="J64" s="368"/>
      <c r="K64" s="368"/>
      <c r="L64" s="368"/>
      <c r="M64" s="366"/>
      <c r="N64" s="368"/>
      <c r="O64" s="368"/>
      <c r="P64" s="368"/>
      <c r="Q64" s="368"/>
      <c r="R64" s="370" t="s">
        <v>264</v>
      </c>
    </row>
    <row r="65" spans="2:18" s="240" customFormat="1" ht="13.5" customHeight="1" thickTop="1" thickBot="1">
      <c r="B65" s="241"/>
      <c r="C65" s="148"/>
      <c r="D65" s="218" t="s">
        <v>364</v>
      </c>
      <c r="E65" s="370" t="s">
        <v>282</v>
      </c>
      <c r="F65" s="368"/>
      <c r="G65" s="368"/>
      <c r="H65" s="368"/>
      <c r="I65" s="366"/>
      <c r="J65" s="368" t="s">
        <v>207</v>
      </c>
      <c r="K65" s="368">
        <v>0</v>
      </c>
      <c r="L65" s="368">
        <v>14</v>
      </c>
      <c r="M65" s="366" t="s">
        <v>607</v>
      </c>
      <c r="N65" s="368"/>
      <c r="O65" s="368"/>
      <c r="P65" s="368"/>
      <c r="Q65" s="368"/>
      <c r="R65" s="370" t="s">
        <v>266</v>
      </c>
    </row>
    <row r="66" spans="2:18" s="240" customFormat="1" ht="13.5" customHeight="1" thickTop="1" thickBot="1">
      <c r="B66" s="241"/>
      <c r="C66" s="148"/>
      <c r="D66" s="214" t="s">
        <v>365</v>
      </c>
      <c r="E66" s="369" t="s">
        <v>284</v>
      </c>
      <c r="F66" s="367"/>
      <c r="G66" s="367"/>
      <c r="H66" s="367"/>
      <c r="I66" s="365"/>
      <c r="J66" s="367" t="s">
        <v>207</v>
      </c>
      <c r="K66" s="367">
        <v>0</v>
      </c>
      <c r="L66" s="367">
        <v>14</v>
      </c>
      <c r="M66" s="365" t="s">
        <v>607</v>
      </c>
      <c r="N66" s="367"/>
      <c r="O66" s="367"/>
      <c r="P66" s="367"/>
      <c r="Q66" s="367"/>
      <c r="R66" s="369" t="s">
        <v>268</v>
      </c>
    </row>
    <row r="67" spans="2:18" s="240" customFormat="1" ht="13.5" customHeight="1" thickTop="1" thickBot="1">
      <c r="B67" s="241"/>
      <c r="C67" s="148"/>
      <c r="D67" s="214" t="s">
        <v>366</v>
      </c>
      <c r="E67" s="369" t="s">
        <v>286</v>
      </c>
      <c r="F67" s="367"/>
      <c r="G67" s="367"/>
      <c r="H67" s="367"/>
      <c r="I67" s="365"/>
      <c r="J67" s="367"/>
      <c r="K67" s="367"/>
      <c r="L67" s="367"/>
      <c r="M67" s="365"/>
      <c r="N67" s="367"/>
      <c r="O67" s="367"/>
      <c r="P67" s="367"/>
      <c r="Q67" s="367"/>
      <c r="R67" s="369" t="s">
        <v>270</v>
      </c>
    </row>
    <row r="68" spans="2:18" s="240" customFormat="1" ht="13.5" customHeight="1" thickTop="1" thickBot="1">
      <c r="B68" s="241"/>
      <c r="C68" s="148"/>
      <c r="D68" s="214" t="s">
        <v>367</v>
      </c>
      <c r="E68" s="369" t="s">
        <v>288</v>
      </c>
      <c r="F68" s="367"/>
      <c r="G68" s="367"/>
      <c r="H68" s="367"/>
      <c r="I68" s="365"/>
      <c r="J68" s="367"/>
      <c r="K68" s="367"/>
      <c r="L68" s="367"/>
      <c r="M68" s="365"/>
      <c r="N68" s="367"/>
      <c r="O68" s="367"/>
      <c r="P68" s="367"/>
      <c r="Q68" s="367"/>
      <c r="R68" s="369" t="s">
        <v>272</v>
      </c>
    </row>
    <row r="69" spans="2:18" s="240" customFormat="1" ht="13.5" customHeight="1" thickTop="1" thickBot="1">
      <c r="B69" s="241"/>
      <c r="C69" s="148"/>
      <c r="D69" s="214" t="s">
        <v>368</v>
      </c>
      <c r="E69" s="369" t="s">
        <v>290</v>
      </c>
      <c r="F69" s="367"/>
      <c r="G69" s="367"/>
      <c r="H69" s="367"/>
      <c r="I69" s="365"/>
      <c r="J69" s="367" t="s">
        <v>207</v>
      </c>
      <c r="K69" s="367">
        <v>0</v>
      </c>
      <c r="L69" s="367">
        <v>14</v>
      </c>
      <c r="M69" s="365" t="s">
        <v>607</v>
      </c>
      <c r="N69" s="367"/>
      <c r="O69" s="367"/>
      <c r="P69" s="367"/>
      <c r="Q69" s="367"/>
      <c r="R69" s="369" t="s">
        <v>274</v>
      </c>
    </row>
    <row r="70" spans="2:18" s="240" customFormat="1" ht="13.5" customHeight="1" thickTop="1" thickBot="1">
      <c r="B70" s="241"/>
      <c r="C70" s="148"/>
      <c r="D70" s="218" t="s">
        <v>369</v>
      </c>
      <c r="E70" s="370" t="s">
        <v>292</v>
      </c>
      <c r="F70" s="368"/>
      <c r="G70" s="368"/>
      <c r="H70" s="368"/>
      <c r="I70" s="366"/>
      <c r="J70" s="368"/>
      <c r="K70" s="368"/>
      <c r="L70" s="368"/>
      <c r="M70" s="366"/>
      <c r="N70" s="368"/>
      <c r="O70" s="368"/>
      <c r="P70" s="368"/>
      <c r="Q70" s="368"/>
      <c r="R70" s="370" t="s">
        <v>276</v>
      </c>
    </row>
    <row r="71" spans="2:18" s="240" customFormat="1" ht="13.5" customHeight="1" thickTop="1" thickBot="1">
      <c r="B71" s="241"/>
      <c r="C71" s="148"/>
      <c r="D71" s="218" t="s">
        <v>370</v>
      </c>
      <c r="E71" s="370" t="s">
        <v>2912</v>
      </c>
      <c r="F71" s="368"/>
      <c r="G71" s="368"/>
      <c r="H71" s="368"/>
      <c r="I71" s="366"/>
      <c r="J71" s="368" t="s">
        <v>207</v>
      </c>
      <c r="K71" s="368">
        <v>0</v>
      </c>
      <c r="L71" s="368">
        <v>14</v>
      </c>
      <c r="M71" s="366" t="s">
        <v>607</v>
      </c>
      <c r="N71" s="368"/>
      <c r="O71" s="368"/>
      <c r="P71" s="368"/>
      <c r="Q71" s="368"/>
      <c r="R71" s="371" t="s">
        <v>278</v>
      </c>
    </row>
    <row r="72" spans="2:18" s="240" customFormat="1" ht="13.5" customHeight="1" thickTop="1" thickBot="1">
      <c r="B72" s="241"/>
      <c r="C72" s="148"/>
      <c r="D72" s="218" t="s">
        <v>371</v>
      </c>
      <c r="E72" s="370" t="s">
        <v>2911</v>
      </c>
      <c r="F72" s="368"/>
      <c r="G72" s="368"/>
      <c r="H72" s="368"/>
      <c r="I72" s="366"/>
      <c r="J72" s="368" t="s">
        <v>207</v>
      </c>
      <c r="K72" s="368">
        <v>0</v>
      </c>
      <c r="L72" s="368">
        <v>14</v>
      </c>
      <c r="M72" s="366" t="s">
        <v>607</v>
      </c>
      <c r="N72" s="368"/>
      <c r="O72" s="368"/>
      <c r="P72" s="368"/>
      <c r="Q72" s="368"/>
      <c r="R72" s="371" t="s">
        <v>280</v>
      </c>
    </row>
    <row r="73" spans="2:18" s="240" customFormat="1" ht="13.5" customHeight="1" thickTop="1" thickBot="1">
      <c r="B73" s="241"/>
      <c r="C73" s="148"/>
      <c r="D73" s="218" t="s">
        <v>372</v>
      </c>
      <c r="E73" s="370" t="s">
        <v>2910</v>
      </c>
      <c r="F73" s="368"/>
      <c r="G73" s="368"/>
      <c r="H73" s="368"/>
      <c r="I73" s="366"/>
      <c r="J73" s="368"/>
      <c r="K73" s="368"/>
      <c r="L73" s="368"/>
      <c r="M73" s="366"/>
      <c r="N73" s="368"/>
      <c r="O73" s="368"/>
      <c r="P73" s="368"/>
      <c r="Q73" s="368"/>
      <c r="R73" s="371" t="s">
        <v>2909</v>
      </c>
    </row>
    <row r="74" spans="2:18" s="240" customFormat="1" ht="13.5" customHeight="1" thickTop="1" thickBot="1">
      <c r="B74" s="241"/>
      <c r="C74" s="148"/>
      <c r="D74" s="214" t="s">
        <v>373</v>
      </c>
      <c r="E74" s="369" t="s">
        <v>2908</v>
      </c>
      <c r="F74" s="367"/>
      <c r="G74" s="367"/>
      <c r="H74" s="367"/>
      <c r="I74" s="365"/>
      <c r="J74" s="367"/>
      <c r="K74" s="367"/>
      <c r="L74" s="367"/>
      <c r="M74" s="365"/>
      <c r="N74" s="367"/>
      <c r="O74" s="367"/>
      <c r="P74" s="367"/>
      <c r="Q74" s="367"/>
      <c r="R74" s="372" t="s">
        <v>283</v>
      </c>
    </row>
    <row r="75" spans="2:18" s="240" customFormat="1" ht="13.5" customHeight="1" thickTop="1" thickBot="1">
      <c r="B75" s="241"/>
      <c r="C75" s="148"/>
      <c r="D75" s="214" t="s">
        <v>374</v>
      </c>
      <c r="E75" s="369" t="s">
        <v>2907</v>
      </c>
      <c r="F75" s="367"/>
      <c r="G75" s="367"/>
      <c r="H75" s="367"/>
      <c r="I75" s="365"/>
      <c r="J75" s="367" t="s">
        <v>207</v>
      </c>
      <c r="K75" s="367">
        <v>0</v>
      </c>
      <c r="L75" s="367">
        <v>14</v>
      </c>
      <c r="M75" s="365" t="s">
        <v>607</v>
      </c>
      <c r="N75" s="367"/>
      <c r="O75" s="367"/>
      <c r="P75" s="367"/>
      <c r="Q75" s="367"/>
      <c r="R75" s="372" t="s">
        <v>285</v>
      </c>
    </row>
    <row r="76" spans="2:18" s="240" customFormat="1" ht="13.5" customHeight="1" thickTop="1" thickBot="1">
      <c r="B76" s="241"/>
      <c r="C76" s="148"/>
      <c r="D76" s="214" t="s">
        <v>375</v>
      </c>
      <c r="E76" s="369" t="s">
        <v>2906</v>
      </c>
      <c r="F76" s="367"/>
      <c r="G76" s="367"/>
      <c r="H76" s="367"/>
      <c r="I76" s="365"/>
      <c r="J76" s="367" t="s">
        <v>207</v>
      </c>
      <c r="K76" s="367">
        <v>0</v>
      </c>
      <c r="L76" s="367">
        <v>14</v>
      </c>
      <c r="M76" s="365" t="s">
        <v>607</v>
      </c>
      <c r="N76" s="367"/>
      <c r="O76" s="367"/>
      <c r="P76" s="367"/>
      <c r="Q76" s="367"/>
      <c r="R76" s="372" t="s">
        <v>287</v>
      </c>
    </row>
    <row r="77" spans="2:18" s="240" customFormat="1" ht="13.5" customHeight="1" thickTop="1" thickBot="1">
      <c r="B77" s="241"/>
      <c r="C77" s="148"/>
      <c r="D77" s="214" t="s">
        <v>376</v>
      </c>
      <c r="E77" s="369" t="s">
        <v>2905</v>
      </c>
      <c r="F77" s="367"/>
      <c r="G77" s="367"/>
      <c r="H77" s="367"/>
      <c r="I77" s="365"/>
      <c r="J77" s="367"/>
      <c r="K77" s="367"/>
      <c r="L77" s="367"/>
      <c r="M77" s="365"/>
      <c r="N77" s="367"/>
      <c r="O77" s="367"/>
      <c r="P77" s="367"/>
      <c r="Q77" s="367"/>
      <c r="R77" s="372" t="s">
        <v>289</v>
      </c>
    </row>
    <row r="78" spans="2:18" s="240" customFormat="1" ht="13.5" customHeight="1" thickTop="1" thickBot="1">
      <c r="B78" s="241"/>
      <c r="C78" s="148"/>
      <c r="D78" s="218" t="s">
        <v>377</v>
      </c>
      <c r="E78" s="370" t="s">
        <v>2904</v>
      </c>
      <c r="F78" s="368"/>
      <c r="G78" s="368"/>
      <c r="H78" s="368"/>
      <c r="I78" s="366"/>
      <c r="J78" s="368" t="s">
        <v>207</v>
      </c>
      <c r="K78" s="368">
        <v>0</v>
      </c>
      <c r="L78" s="368">
        <v>14</v>
      </c>
      <c r="M78" s="366" t="s">
        <v>607</v>
      </c>
      <c r="N78" s="368"/>
      <c r="O78" s="368"/>
      <c r="P78" s="368"/>
      <c r="Q78" s="368"/>
      <c r="R78" s="371" t="s">
        <v>291</v>
      </c>
    </row>
    <row r="79" spans="2:18" s="240" customFormat="1" ht="13.5" customHeight="1" thickTop="1" thickBot="1">
      <c r="B79" s="241"/>
      <c r="C79" s="148"/>
      <c r="D79" s="218" t="s">
        <v>378</v>
      </c>
      <c r="E79" s="370" t="s">
        <v>2903</v>
      </c>
      <c r="F79" s="368"/>
      <c r="G79" s="368"/>
      <c r="H79" s="368"/>
      <c r="I79" s="366"/>
      <c r="J79" s="368"/>
      <c r="K79" s="368"/>
      <c r="L79" s="368"/>
      <c r="M79" s="366"/>
      <c r="N79" s="368"/>
      <c r="O79" s="368"/>
      <c r="P79" s="368"/>
      <c r="Q79" s="368"/>
      <c r="R79" s="371" t="s">
        <v>293</v>
      </c>
    </row>
    <row r="80" spans="2:18" s="240" customFormat="1" ht="13.5" customHeight="1" thickTop="1" thickBot="1">
      <c r="B80" s="241"/>
      <c r="C80" s="148"/>
      <c r="D80" s="218" t="s">
        <v>379</v>
      </c>
      <c r="E80" s="370" t="s">
        <v>2902</v>
      </c>
      <c r="F80" s="368"/>
      <c r="G80" s="368"/>
      <c r="H80" s="368"/>
      <c r="I80" s="366"/>
      <c r="J80" s="368"/>
      <c r="K80" s="368"/>
      <c r="L80" s="368"/>
      <c r="M80" s="366"/>
      <c r="N80" s="368"/>
      <c r="O80" s="368"/>
      <c r="P80" s="368"/>
      <c r="Q80" s="368"/>
      <c r="R80" s="388" t="s">
        <v>2901</v>
      </c>
    </row>
    <row r="81" spans="2:18" s="240" customFormat="1" ht="13.5" customHeight="1" thickTop="1" thickBot="1">
      <c r="B81" s="241"/>
      <c r="C81" s="148"/>
      <c r="D81" s="218" t="s">
        <v>380</v>
      </c>
      <c r="E81" s="370" t="s">
        <v>2900</v>
      </c>
      <c r="F81" s="368"/>
      <c r="G81" s="368"/>
      <c r="H81" s="368"/>
      <c r="I81" s="366"/>
      <c r="J81" s="368" t="s">
        <v>207</v>
      </c>
      <c r="K81" s="368">
        <v>0</v>
      </c>
      <c r="L81" s="368">
        <v>14</v>
      </c>
      <c r="M81" s="366" t="s">
        <v>607</v>
      </c>
      <c r="N81" s="368"/>
      <c r="O81" s="368"/>
      <c r="P81" s="368"/>
      <c r="Q81" s="368"/>
      <c r="R81" s="388" t="s">
        <v>2899</v>
      </c>
    </row>
    <row r="82" spans="2:18" s="240" customFormat="1" ht="13.5" customHeight="1" thickTop="1" thickBot="1">
      <c r="B82" s="241"/>
      <c r="C82" s="148"/>
      <c r="D82" s="214" t="s">
        <v>381</v>
      </c>
      <c r="E82" s="369" t="s">
        <v>2898</v>
      </c>
      <c r="F82" s="367"/>
      <c r="G82" s="367"/>
      <c r="H82" s="367"/>
      <c r="I82" s="365"/>
      <c r="J82" s="367"/>
      <c r="K82" s="367"/>
      <c r="L82" s="367"/>
      <c r="M82" s="365"/>
      <c r="N82" s="367"/>
      <c r="O82" s="367"/>
      <c r="P82" s="367"/>
      <c r="Q82" s="367"/>
      <c r="R82" s="372" t="s">
        <v>2897</v>
      </c>
    </row>
    <row r="83" spans="2:18" s="240" customFormat="1" ht="13.5" customHeight="1" thickTop="1" thickBot="1">
      <c r="B83" s="241"/>
      <c r="C83" s="148"/>
      <c r="D83" s="214" t="s">
        <v>382</v>
      </c>
      <c r="E83" s="369" t="s">
        <v>2896</v>
      </c>
      <c r="F83" s="367"/>
      <c r="G83" s="367"/>
      <c r="H83" s="367"/>
      <c r="I83" s="365"/>
      <c r="J83" s="367" t="s">
        <v>207</v>
      </c>
      <c r="K83" s="367">
        <v>0</v>
      </c>
      <c r="L83" s="367">
        <v>14</v>
      </c>
      <c r="M83" s="365" t="s">
        <v>607</v>
      </c>
      <c r="N83" s="367"/>
      <c r="O83" s="367"/>
      <c r="P83" s="367"/>
      <c r="Q83" s="367"/>
      <c r="R83" s="372" t="s">
        <v>2895</v>
      </c>
    </row>
    <row r="84" spans="2:18" s="240" customFormat="1" ht="13.5" customHeight="1" thickTop="1" thickBot="1">
      <c r="B84" s="241"/>
      <c r="C84" s="148"/>
      <c r="D84" s="214" t="s">
        <v>383</v>
      </c>
      <c r="E84" s="369" t="s">
        <v>2894</v>
      </c>
      <c r="F84" s="367"/>
      <c r="G84" s="367"/>
      <c r="H84" s="367"/>
      <c r="I84" s="365"/>
      <c r="J84" s="367"/>
      <c r="K84" s="367"/>
      <c r="L84" s="367"/>
      <c r="M84" s="365"/>
      <c r="N84" s="367"/>
      <c r="O84" s="367"/>
      <c r="P84" s="367"/>
      <c r="Q84" s="367"/>
      <c r="R84" s="372" t="s">
        <v>2893</v>
      </c>
    </row>
    <row r="85" spans="2:18" s="240" customFormat="1" ht="13.5" customHeight="1" thickTop="1" thickBot="1">
      <c r="B85" s="241"/>
      <c r="C85" s="148"/>
      <c r="D85" s="214" t="s">
        <v>384</v>
      </c>
      <c r="E85" s="369" t="s">
        <v>2892</v>
      </c>
      <c r="F85" s="367"/>
      <c r="G85" s="367"/>
      <c r="H85" s="367"/>
      <c r="I85" s="365"/>
      <c r="J85" s="367" t="s">
        <v>207</v>
      </c>
      <c r="K85" s="367">
        <v>0</v>
      </c>
      <c r="L85" s="367">
        <v>14</v>
      </c>
      <c r="M85" s="365" t="s">
        <v>607</v>
      </c>
      <c r="N85" s="367"/>
      <c r="O85" s="367"/>
      <c r="P85" s="367"/>
      <c r="Q85" s="367"/>
      <c r="R85" s="372" t="s">
        <v>2891</v>
      </c>
    </row>
    <row r="86" spans="2:18" s="240" customFormat="1" ht="13.5" customHeight="1" thickTop="1" thickBot="1">
      <c r="B86" s="241"/>
      <c r="C86" s="148"/>
      <c r="D86" s="218" t="s">
        <v>385</v>
      </c>
      <c r="E86" s="370" t="s">
        <v>2890</v>
      </c>
      <c r="F86" s="368"/>
      <c r="G86" s="368"/>
      <c r="H86" s="368"/>
      <c r="I86" s="366"/>
      <c r="J86" s="368" t="s">
        <v>207</v>
      </c>
      <c r="K86" s="368">
        <v>0</v>
      </c>
      <c r="L86" s="368">
        <v>14</v>
      </c>
      <c r="M86" s="366" t="s">
        <v>607</v>
      </c>
      <c r="N86" s="368"/>
      <c r="O86" s="368"/>
      <c r="P86" s="368"/>
      <c r="Q86" s="368"/>
      <c r="R86" s="371" t="s">
        <v>2889</v>
      </c>
    </row>
    <row r="87" spans="2:18" s="240" customFormat="1" ht="13.5" customHeight="1" thickTop="1" thickBot="1">
      <c r="B87" s="241"/>
      <c r="C87" s="148"/>
      <c r="D87" s="218" t="s">
        <v>386</v>
      </c>
      <c r="E87" s="370" t="s">
        <v>2888</v>
      </c>
      <c r="F87" s="368"/>
      <c r="G87" s="368"/>
      <c r="H87" s="368"/>
      <c r="I87" s="366"/>
      <c r="J87" s="368"/>
      <c r="K87" s="368"/>
      <c r="L87" s="368"/>
      <c r="M87" s="366"/>
      <c r="N87" s="368"/>
      <c r="O87" s="368"/>
      <c r="P87" s="368"/>
      <c r="Q87" s="368"/>
      <c r="R87" s="371" t="s">
        <v>2887</v>
      </c>
    </row>
    <row r="88" spans="2:18" s="240" customFormat="1" ht="13.5" customHeight="1" thickTop="1" thickBot="1">
      <c r="B88" s="241"/>
      <c r="C88" s="148"/>
      <c r="D88" s="218" t="s">
        <v>387</v>
      </c>
      <c r="E88" s="370" t="s">
        <v>2886</v>
      </c>
      <c r="F88" s="368"/>
      <c r="G88" s="368"/>
      <c r="H88" s="368"/>
      <c r="I88" s="366"/>
      <c r="J88" s="368" t="s">
        <v>207</v>
      </c>
      <c r="K88" s="368">
        <v>0</v>
      </c>
      <c r="L88" s="368">
        <v>14</v>
      </c>
      <c r="M88" s="366" t="s">
        <v>607</v>
      </c>
      <c r="N88" s="368"/>
      <c r="O88" s="368"/>
      <c r="P88" s="368"/>
      <c r="Q88" s="368"/>
      <c r="R88" s="371" t="s">
        <v>2885</v>
      </c>
    </row>
    <row r="89" spans="2:18" s="240" customFormat="1" ht="13.5" customHeight="1" thickTop="1" thickBot="1">
      <c r="B89" s="241"/>
      <c r="C89" s="148"/>
      <c r="D89" s="218" t="s">
        <v>388</v>
      </c>
      <c r="E89" s="370" t="s">
        <v>2884</v>
      </c>
      <c r="F89" s="368"/>
      <c r="G89" s="368"/>
      <c r="H89" s="368"/>
      <c r="I89" s="366"/>
      <c r="J89" s="368"/>
      <c r="K89" s="368"/>
      <c r="L89" s="368"/>
      <c r="M89" s="366"/>
      <c r="N89" s="368"/>
      <c r="O89" s="368"/>
      <c r="P89" s="368"/>
      <c r="Q89" s="368"/>
      <c r="R89" s="371" t="s">
        <v>2883</v>
      </c>
    </row>
    <row r="90" spans="2:18" s="240" customFormat="1" ht="13.5" customHeight="1" thickTop="1" thickBot="1">
      <c r="B90" s="241"/>
      <c r="C90" s="148"/>
      <c r="D90" s="214" t="s">
        <v>389</v>
      </c>
      <c r="E90" s="369" t="s">
        <v>2882</v>
      </c>
      <c r="F90" s="367"/>
      <c r="G90" s="367"/>
      <c r="H90" s="367"/>
      <c r="I90" s="365"/>
      <c r="J90" s="367" t="s">
        <v>207</v>
      </c>
      <c r="K90" s="367">
        <v>0</v>
      </c>
      <c r="L90" s="367">
        <v>14</v>
      </c>
      <c r="M90" s="365" t="s">
        <v>607</v>
      </c>
      <c r="N90" s="367"/>
      <c r="O90" s="367"/>
      <c r="P90" s="367"/>
      <c r="Q90" s="367"/>
      <c r="R90" s="372" t="s">
        <v>2881</v>
      </c>
    </row>
    <row r="91" spans="2:18" s="240" customFormat="1" ht="13.5" customHeight="1" thickTop="1" thickBot="1">
      <c r="B91" s="241"/>
      <c r="C91" s="148"/>
      <c r="D91" s="214" t="s">
        <v>390</v>
      </c>
      <c r="E91" s="369" t="s">
        <v>2880</v>
      </c>
      <c r="F91" s="367"/>
      <c r="G91" s="367"/>
      <c r="H91" s="367"/>
      <c r="I91" s="365"/>
      <c r="J91" s="367"/>
      <c r="K91" s="367"/>
      <c r="L91" s="367"/>
      <c r="M91" s="365"/>
      <c r="N91" s="367"/>
      <c r="O91" s="367"/>
      <c r="P91" s="367"/>
      <c r="Q91" s="367"/>
      <c r="R91" s="372" t="s">
        <v>2879</v>
      </c>
    </row>
    <row r="92" spans="2:18" s="240" customFormat="1" ht="13.5" customHeight="1" thickTop="1" thickBot="1">
      <c r="B92" s="241"/>
      <c r="C92" s="148"/>
      <c r="D92" s="214" t="s">
        <v>391</v>
      </c>
      <c r="E92" s="369" t="s">
        <v>2878</v>
      </c>
      <c r="F92" s="367"/>
      <c r="G92" s="367"/>
      <c r="H92" s="367"/>
      <c r="I92" s="365"/>
      <c r="J92" s="367" t="s">
        <v>207</v>
      </c>
      <c r="K92" s="367">
        <v>0</v>
      </c>
      <c r="L92" s="367">
        <v>14</v>
      </c>
      <c r="M92" s="365" t="s">
        <v>607</v>
      </c>
      <c r="N92" s="367"/>
      <c r="O92" s="367"/>
      <c r="P92" s="367"/>
      <c r="Q92" s="367"/>
      <c r="R92" s="372" t="s">
        <v>2877</v>
      </c>
    </row>
    <row r="93" spans="2:18" s="240" customFormat="1" ht="13.5" customHeight="1" thickTop="1" thickBot="1">
      <c r="B93" s="241"/>
      <c r="C93" s="148"/>
      <c r="D93" s="214" t="s">
        <v>392</v>
      </c>
      <c r="E93" s="369" t="s">
        <v>2876</v>
      </c>
      <c r="F93" s="367"/>
      <c r="G93" s="367"/>
      <c r="H93" s="367"/>
      <c r="I93" s="365"/>
      <c r="J93" s="367" t="s">
        <v>207</v>
      </c>
      <c r="K93" s="367">
        <v>0</v>
      </c>
      <c r="L93" s="367">
        <v>14</v>
      </c>
      <c r="M93" s="365" t="s">
        <v>607</v>
      </c>
      <c r="N93" s="367"/>
      <c r="O93" s="367"/>
      <c r="P93" s="367"/>
      <c r="Q93" s="367"/>
      <c r="R93" s="372" t="s">
        <v>2875</v>
      </c>
    </row>
    <row r="94" spans="2:18" s="240" customFormat="1" ht="13.5" customHeight="1" thickTop="1" thickBot="1">
      <c r="B94" s="241"/>
      <c r="C94" s="148"/>
      <c r="D94" s="218" t="s">
        <v>393</v>
      </c>
      <c r="E94" s="370" t="s">
        <v>2874</v>
      </c>
      <c r="F94" s="368"/>
      <c r="G94" s="368"/>
      <c r="H94" s="368"/>
      <c r="I94" s="366"/>
      <c r="J94" s="368"/>
      <c r="K94" s="368"/>
      <c r="L94" s="368"/>
      <c r="M94" s="366"/>
      <c r="N94" s="368"/>
      <c r="O94" s="368"/>
      <c r="P94" s="368"/>
      <c r="Q94" s="368"/>
      <c r="R94" s="371" t="s">
        <v>2873</v>
      </c>
    </row>
    <row r="95" spans="2:18" s="240" customFormat="1" ht="13.5" customHeight="1" thickTop="1" thickBot="1">
      <c r="B95" s="241"/>
      <c r="C95" s="148"/>
      <c r="D95" s="218" t="s">
        <v>394</v>
      </c>
      <c r="E95" s="370" t="s">
        <v>2872</v>
      </c>
      <c r="F95" s="368"/>
      <c r="G95" s="368"/>
      <c r="H95" s="368"/>
      <c r="I95" s="366"/>
      <c r="J95" s="368"/>
      <c r="K95" s="368"/>
      <c r="L95" s="368"/>
      <c r="M95" s="366"/>
      <c r="N95" s="368"/>
      <c r="O95" s="368"/>
      <c r="P95" s="368"/>
      <c r="Q95" s="368"/>
      <c r="R95" s="371" t="s">
        <v>2871</v>
      </c>
    </row>
    <row r="96" spans="2:18" s="240" customFormat="1" ht="13.5" customHeight="1" thickTop="1" thickBot="1">
      <c r="B96" s="241"/>
      <c r="C96" s="148"/>
      <c r="D96" s="218" t="s">
        <v>395</v>
      </c>
      <c r="E96" s="370" t="s">
        <v>2870</v>
      </c>
      <c r="F96" s="368"/>
      <c r="G96" s="368"/>
      <c r="H96" s="368"/>
      <c r="I96" s="366"/>
      <c r="J96" s="368" t="s">
        <v>20</v>
      </c>
      <c r="K96" s="368">
        <v>0</v>
      </c>
      <c r="L96" s="368">
        <v>15</v>
      </c>
      <c r="M96" s="366" t="s">
        <v>607</v>
      </c>
      <c r="N96" s="368"/>
      <c r="O96" s="368"/>
      <c r="P96" s="368"/>
      <c r="Q96" s="368"/>
      <c r="R96" s="217"/>
    </row>
    <row r="97" spans="2:18" s="240" customFormat="1" ht="13.5" customHeight="1" thickTop="1" thickBot="1">
      <c r="B97" s="241"/>
      <c r="C97" s="148"/>
      <c r="D97" s="218" t="s">
        <v>396</v>
      </c>
      <c r="E97" s="370" t="s">
        <v>2869</v>
      </c>
      <c r="F97" s="368"/>
      <c r="G97" s="368"/>
      <c r="H97" s="368"/>
      <c r="I97" s="366"/>
      <c r="J97" s="368" t="s">
        <v>20</v>
      </c>
      <c r="K97" s="368">
        <v>0</v>
      </c>
      <c r="L97" s="368">
        <v>15</v>
      </c>
      <c r="M97" s="366" t="s">
        <v>607</v>
      </c>
      <c r="N97" s="368"/>
      <c r="O97" s="368"/>
      <c r="P97" s="368"/>
      <c r="Q97" s="368"/>
      <c r="R97" s="217"/>
    </row>
    <row r="98" spans="2:18" s="240" customFormat="1" ht="13.5" customHeight="1" thickTop="1" thickBot="1">
      <c r="B98" s="241"/>
      <c r="C98" s="148"/>
      <c r="D98" s="214" t="s">
        <v>397</v>
      </c>
      <c r="E98" s="369" t="s">
        <v>2868</v>
      </c>
      <c r="F98" s="367"/>
      <c r="G98" s="367"/>
      <c r="H98" s="367"/>
      <c r="I98" s="365"/>
      <c r="J98" s="367" t="s">
        <v>20</v>
      </c>
      <c r="K98" s="367">
        <v>0</v>
      </c>
      <c r="L98" s="367">
        <v>15</v>
      </c>
      <c r="M98" s="365" t="s">
        <v>607</v>
      </c>
      <c r="N98" s="367"/>
      <c r="O98" s="367"/>
      <c r="P98" s="367"/>
      <c r="Q98" s="367"/>
      <c r="R98" s="213"/>
    </row>
    <row r="99" spans="2:18" s="240" customFormat="1" ht="13.5" customHeight="1" thickTop="1" thickBot="1">
      <c r="B99" s="241"/>
      <c r="C99" s="148"/>
      <c r="D99" s="214" t="s">
        <v>398</v>
      </c>
      <c r="E99" s="369" t="s">
        <v>2867</v>
      </c>
      <c r="F99" s="367"/>
      <c r="G99" s="367"/>
      <c r="H99" s="367"/>
      <c r="I99" s="365"/>
      <c r="J99" s="367" t="s">
        <v>20</v>
      </c>
      <c r="K99" s="367">
        <v>0</v>
      </c>
      <c r="L99" s="367">
        <v>15</v>
      </c>
      <c r="M99" s="365" t="s">
        <v>607</v>
      </c>
      <c r="N99" s="367"/>
      <c r="O99" s="367"/>
      <c r="P99" s="367"/>
      <c r="Q99" s="367"/>
      <c r="R99" s="213"/>
    </row>
    <row r="100" spans="2:18" s="240" customFormat="1" ht="13.5" customHeight="1" thickTop="1" thickBot="1">
      <c r="B100" s="241"/>
      <c r="C100" s="148"/>
      <c r="D100" s="214" t="s">
        <v>399</v>
      </c>
      <c r="E100" s="369" t="s">
        <v>2866</v>
      </c>
      <c r="F100" s="367"/>
      <c r="G100" s="367"/>
      <c r="H100" s="367"/>
      <c r="I100" s="365"/>
      <c r="J100" s="367" t="s">
        <v>20</v>
      </c>
      <c r="K100" s="367">
        <v>0</v>
      </c>
      <c r="L100" s="367">
        <v>15</v>
      </c>
      <c r="M100" s="365" t="s">
        <v>607</v>
      </c>
      <c r="N100" s="367"/>
      <c r="O100" s="367"/>
      <c r="P100" s="367"/>
      <c r="Q100" s="367"/>
      <c r="R100" s="213"/>
    </row>
    <row r="101" spans="2:18" s="240" customFormat="1" ht="13.5" customHeight="1" thickTop="1" thickBot="1">
      <c r="B101" s="241"/>
      <c r="C101" s="148"/>
      <c r="D101" s="214" t="s">
        <v>400</v>
      </c>
      <c r="E101" s="369" t="s">
        <v>2865</v>
      </c>
      <c r="F101" s="367"/>
      <c r="G101" s="367"/>
      <c r="H101" s="367"/>
      <c r="I101" s="365"/>
      <c r="J101" s="367" t="s">
        <v>20</v>
      </c>
      <c r="K101" s="367">
        <v>0</v>
      </c>
      <c r="L101" s="367">
        <v>15</v>
      </c>
      <c r="M101" s="365" t="s">
        <v>607</v>
      </c>
      <c r="N101" s="367"/>
      <c r="O101" s="367"/>
      <c r="P101" s="367"/>
      <c r="Q101" s="367"/>
      <c r="R101" s="213"/>
    </row>
    <row r="102" spans="2:18" s="240" customFormat="1" ht="13.5" customHeight="1" thickTop="1" thickBot="1">
      <c r="B102" s="241"/>
      <c r="C102" s="148"/>
      <c r="D102" s="218" t="s">
        <v>401</v>
      </c>
      <c r="E102" s="370" t="s">
        <v>2864</v>
      </c>
      <c r="F102" s="368"/>
      <c r="G102" s="368"/>
      <c r="H102" s="368"/>
      <c r="I102" s="366"/>
      <c r="J102" s="368" t="s">
        <v>20</v>
      </c>
      <c r="K102" s="368">
        <v>0</v>
      </c>
      <c r="L102" s="368">
        <v>15</v>
      </c>
      <c r="M102" s="366" t="s">
        <v>607</v>
      </c>
      <c r="N102" s="368"/>
      <c r="O102" s="368"/>
      <c r="P102" s="368"/>
      <c r="Q102" s="368"/>
      <c r="R102" s="217"/>
    </row>
    <row r="103" spans="2:18" s="240" customFormat="1" ht="13.5" customHeight="1" thickTop="1" thickBot="1">
      <c r="B103" s="241"/>
      <c r="C103" s="148"/>
      <c r="D103" s="216" t="s">
        <v>402</v>
      </c>
      <c r="E103" s="370" t="s">
        <v>2863</v>
      </c>
      <c r="F103" s="368"/>
      <c r="G103" s="368"/>
      <c r="H103" s="368"/>
      <c r="I103" s="366"/>
      <c r="J103" s="368" t="s">
        <v>20</v>
      </c>
      <c r="K103" s="368">
        <v>0</v>
      </c>
      <c r="L103" s="368">
        <v>15</v>
      </c>
      <c r="M103" s="366" t="s">
        <v>607</v>
      </c>
      <c r="N103" s="368"/>
      <c r="O103" s="368"/>
      <c r="P103" s="368"/>
      <c r="Q103" s="368"/>
      <c r="R103" s="211"/>
    </row>
    <row r="104" spans="2:18" s="240" customFormat="1" ht="13.5" customHeight="1" thickTop="1" thickBot="1">
      <c r="B104" s="241"/>
      <c r="C104" s="148"/>
      <c r="D104" s="218" t="s">
        <v>403</v>
      </c>
      <c r="E104" s="370" t="s">
        <v>2862</v>
      </c>
      <c r="F104" s="368"/>
      <c r="G104" s="368"/>
      <c r="H104" s="368"/>
      <c r="I104" s="366"/>
      <c r="J104" s="368" t="s">
        <v>20</v>
      </c>
      <c r="K104" s="368">
        <v>0</v>
      </c>
      <c r="L104" s="368">
        <v>15</v>
      </c>
      <c r="M104" s="366" t="s">
        <v>607</v>
      </c>
      <c r="N104" s="368"/>
      <c r="O104" s="368"/>
      <c r="P104" s="368"/>
      <c r="Q104" s="368"/>
      <c r="R104" s="211"/>
    </row>
    <row r="105" spans="2:18" s="240" customFormat="1" ht="13.5" customHeight="1" thickTop="1" thickBot="1">
      <c r="B105" s="241"/>
      <c r="C105" s="148"/>
      <c r="D105" s="218" t="s">
        <v>404</v>
      </c>
      <c r="E105" s="370" t="s">
        <v>2861</v>
      </c>
      <c r="F105" s="368"/>
      <c r="G105" s="368"/>
      <c r="H105" s="368"/>
      <c r="I105" s="366"/>
      <c r="J105" s="368" t="s">
        <v>20</v>
      </c>
      <c r="K105" s="368">
        <v>0</v>
      </c>
      <c r="L105" s="368">
        <v>15</v>
      </c>
      <c r="M105" s="366" t="s">
        <v>607</v>
      </c>
      <c r="N105" s="368"/>
      <c r="O105" s="368"/>
      <c r="P105" s="368"/>
      <c r="Q105" s="368"/>
      <c r="R105" s="211"/>
    </row>
    <row r="106" spans="2:18" s="240" customFormat="1" ht="13.5" customHeight="1" thickTop="1" thickBot="1">
      <c r="B106" s="241"/>
      <c r="C106" s="148"/>
      <c r="D106" s="214" t="s">
        <v>405</v>
      </c>
      <c r="E106" s="369" t="s">
        <v>2860</v>
      </c>
      <c r="F106" s="367"/>
      <c r="G106" s="367"/>
      <c r="H106" s="367"/>
      <c r="I106" s="365"/>
      <c r="J106" s="367" t="s">
        <v>20</v>
      </c>
      <c r="K106" s="367">
        <v>0</v>
      </c>
      <c r="L106" s="367">
        <v>15</v>
      </c>
      <c r="M106" s="365" t="s">
        <v>607</v>
      </c>
      <c r="N106" s="367"/>
      <c r="O106" s="367"/>
      <c r="P106" s="367"/>
      <c r="Q106" s="367"/>
      <c r="R106" s="210"/>
    </row>
    <row r="107" spans="2:18" s="240" customFormat="1" ht="13.5" customHeight="1" thickTop="1" thickBot="1">
      <c r="B107" s="241"/>
      <c r="C107" s="148"/>
      <c r="D107" s="214" t="s">
        <v>406</v>
      </c>
      <c r="E107" s="369" t="s">
        <v>2859</v>
      </c>
      <c r="F107" s="367"/>
      <c r="G107" s="367"/>
      <c r="H107" s="367"/>
      <c r="I107" s="365"/>
      <c r="J107" s="367" t="s">
        <v>20</v>
      </c>
      <c r="K107" s="367">
        <v>0</v>
      </c>
      <c r="L107" s="367">
        <v>15</v>
      </c>
      <c r="M107" s="365" t="s">
        <v>607</v>
      </c>
      <c r="N107" s="367"/>
      <c r="O107" s="367"/>
      <c r="P107" s="367"/>
      <c r="Q107" s="367"/>
      <c r="R107" s="210"/>
    </row>
    <row r="108" spans="2:18" s="240" customFormat="1" ht="13.5" customHeight="1" thickTop="1" thickBot="1">
      <c r="B108" s="241"/>
      <c r="C108" s="148"/>
      <c r="D108" s="214" t="s">
        <v>407</v>
      </c>
      <c r="E108" s="369" t="s">
        <v>2858</v>
      </c>
      <c r="F108" s="367"/>
      <c r="G108" s="367"/>
      <c r="H108" s="367"/>
      <c r="I108" s="365"/>
      <c r="J108" s="367" t="s">
        <v>20</v>
      </c>
      <c r="K108" s="367">
        <v>0</v>
      </c>
      <c r="L108" s="367">
        <v>15</v>
      </c>
      <c r="M108" s="365" t="s">
        <v>607</v>
      </c>
      <c r="N108" s="367"/>
      <c r="O108" s="367"/>
      <c r="P108" s="367"/>
      <c r="Q108" s="367"/>
      <c r="R108" s="210"/>
    </row>
    <row r="109" spans="2:18" s="240" customFormat="1" ht="13.5" customHeight="1" thickTop="1" thickBot="1">
      <c r="B109" s="241"/>
      <c r="C109" s="148"/>
      <c r="D109" s="212" t="s">
        <v>408</v>
      </c>
      <c r="E109" s="369" t="s">
        <v>2857</v>
      </c>
      <c r="F109" s="367"/>
      <c r="G109" s="367"/>
      <c r="H109" s="367"/>
      <c r="I109" s="365"/>
      <c r="J109" s="367" t="s">
        <v>20</v>
      </c>
      <c r="K109" s="367">
        <v>0</v>
      </c>
      <c r="L109" s="367">
        <v>15</v>
      </c>
      <c r="M109" s="365" t="s">
        <v>607</v>
      </c>
      <c r="N109" s="367"/>
      <c r="O109" s="367"/>
      <c r="P109" s="367"/>
      <c r="Q109" s="367"/>
      <c r="R109" s="210"/>
    </row>
    <row r="110" spans="2:18" s="240" customFormat="1" ht="13.5" customHeight="1" thickTop="1" thickBot="1">
      <c r="B110" s="241"/>
      <c r="C110" s="148"/>
      <c r="D110" s="216" t="s">
        <v>409</v>
      </c>
      <c r="E110" s="370" t="s">
        <v>2856</v>
      </c>
      <c r="F110" s="368"/>
      <c r="G110" s="368"/>
      <c r="H110" s="368"/>
      <c r="I110" s="366"/>
      <c r="J110" s="368" t="s">
        <v>20</v>
      </c>
      <c r="K110" s="368">
        <v>0</v>
      </c>
      <c r="L110" s="368">
        <v>15</v>
      </c>
      <c r="M110" s="366" t="s">
        <v>607</v>
      </c>
      <c r="N110" s="368"/>
      <c r="O110" s="368"/>
      <c r="P110" s="368"/>
      <c r="Q110" s="368"/>
      <c r="R110" s="211"/>
    </row>
    <row r="111" spans="2:18" s="240" customFormat="1" ht="13.5" customHeight="1" thickTop="1" thickBot="1">
      <c r="B111" s="241"/>
      <c r="C111" s="148"/>
      <c r="D111" s="370" t="s">
        <v>410</v>
      </c>
      <c r="E111" s="370" t="s">
        <v>2855</v>
      </c>
      <c r="F111" s="368"/>
      <c r="G111" s="368"/>
      <c r="H111" s="368"/>
      <c r="I111" s="366"/>
      <c r="J111" s="368" t="s">
        <v>20</v>
      </c>
      <c r="K111" s="368">
        <v>0</v>
      </c>
      <c r="L111" s="368">
        <v>15</v>
      </c>
      <c r="M111" s="366" t="s">
        <v>607</v>
      </c>
      <c r="N111" s="368"/>
      <c r="O111" s="368"/>
      <c r="P111" s="368"/>
      <c r="Q111" s="368"/>
      <c r="R111" s="211"/>
    </row>
    <row r="112" spans="2:18" s="240" customFormat="1" ht="13.5" customHeight="1" thickTop="1" thickBot="1">
      <c r="B112" s="241"/>
      <c r="C112" s="148"/>
      <c r="D112" s="218" t="s">
        <v>411</v>
      </c>
      <c r="E112" s="370" t="s">
        <v>2854</v>
      </c>
      <c r="F112" s="368"/>
      <c r="G112" s="368"/>
      <c r="H112" s="368"/>
      <c r="I112" s="366"/>
      <c r="J112" s="368"/>
      <c r="K112" s="368"/>
      <c r="L112" s="368"/>
      <c r="M112" s="366"/>
      <c r="N112" s="368"/>
      <c r="O112" s="368"/>
      <c r="P112" s="368"/>
      <c r="Q112" s="368"/>
      <c r="R112" s="211"/>
    </row>
    <row r="113" spans="2:18" s="240" customFormat="1" ht="13.5" customHeight="1" thickTop="1" thickBot="1">
      <c r="B113" s="241"/>
      <c r="C113" s="148"/>
      <c r="D113" s="218" t="s">
        <v>412</v>
      </c>
      <c r="E113" s="370" t="s">
        <v>2853</v>
      </c>
      <c r="F113" s="368"/>
      <c r="G113" s="368"/>
      <c r="H113" s="368"/>
      <c r="I113" s="366"/>
      <c r="J113" s="368"/>
      <c r="K113" s="368"/>
      <c r="L113" s="368"/>
      <c r="M113" s="366"/>
      <c r="N113" s="368"/>
      <c r="O113" s="368"/>
      <c r="P113" s="368"/>
      <c r="Q113" s="368"/>
      <c r="R113" s="211"/>
    </row>
    <row r="114" spans="2:18" s="240" customFormat="1" ht="13.5" customHeight="1" thickTop="1" thickBot="1">
      <c r="B114" s="241"/>
      <c r="C114" s="148"/>
      <c r="D114" s="214" t="s">
        <v>413</v>
      </c>
      <c r="E114" s="369" t="s">
        <v>2852</v>
      </c>
      <c r="F114" s="367"/>
      <c r="G114" s="367"/>
      <c r="H114" s="367"/>
      <c r="I114" s="365"/>
      <c r="J114" s="367"/>
      <c r="K114" s="367"/>
      <c r="L114" s="367"/>
      <c r="M114" s="365"/>
      <c r="N114" s="367"/>
      <c r="O114" s="367"/>
      <c r="P114" s="367"/>
      <c r="Q114" s="367"/>
      <c r="R114" s="210"/>
    </row>
    <row r="115" spans="2:18" s="240" customFormat="1" ht="13.5" customHeight="1" thickTop="1" thickBot="1">
      <c r="B115" s="241"/>
      <c r="C115" s="148"/>
      <c r="D115" s="212" t="s">
        <v>414</v>
      </c>
      <c r="E115" s="369" t="s">
        <v>2851</v>
      </c>
      <c r="F115" s="367"/>
      <c r="G115" s="367"/>
      <c r="H115" s="367"/>
      <c r="I115" s="365"/>
      <c r="J115" s="367"/>
      <c r="K115" s="367"/>
      <c r="L115" s="367"/>
      <c r="M115" s="365"/>
      <c r="N115" s="367"/>
      <c r="O115" s="367"/>
      <c r="P115" s="367"/>
      <c r="Q115" s="367"/>
      <c r="R115" s="210"/>
    </row>
    <row r="116" spans="2:18" s="240" customFormat="1" ht="13.5" customHeight="1" thickTop="1" thickBot="1">
      <c r="B116" s="241"/>
      <c r="C116" s="148"/>
      <c r="D116" s="214" t="s">
        <v>415</v>
      </c>
      <c r="E116" s="369" t="s">
        <v>2850</v>
      </c>
      <c r="F116" s="367"/>
      <c r="G116" s="367"/>
      <c r="H116" s="367"/>
      <c r="I116" s="365"/>
      <c r="J116" s="367"/>
      <c r="K116" s="367"/>
      <c r="L116" s="367"/>
      <c r="M116" s="365"/>
      <c r="N116" s="367"/>
      <c r="O116" s="367"/>
      <c r="P116" s="367"/>
      <c r="Q116" s="367"/>
      <c r="R116" s="210"/>
    </row>
    <row r="117" spans="2:18" s="240" customFormat="1" ht="13.5" customHeight="1" thickTop="1" thickBot="1">
      <c r="B117" s="241"/>
      <c r="C117" s="148"/>
      <c r="D117" s="214" t="s">
        <v>416</v>
      </c>
      <c r="E117" s="369" t="s">
        <v>2849</v>
      </c>
      <c r="F117" s="367"/>
      <c r="G117" s="367"/>
      <c r="H117" s="367"/>
      <c r="I117" s="365"/>
      <c r="J117" s="367"/>
      <c r="K117" s="367"/>
      <c r="L117" s="367"/>
      <c r="M117" s="365"/>
      <c r="N117" s="367"/>
      <c r="O117" s="367"/>
      <c r="P117" s="367"/>
      <c r="Q117" s="367"/>
      <c r="R117" s="210"/>
    </row>
    <row r="118" spans="2:18" s="240" customFormat="1" ht="13.5" customHeight="1" thickTop="1" thickBot="1">
      <c r="B118" s="241"/>
      <c r="C118" s="148"/>
      <c r="D118" s="218" t="s">
        <v>417</v>
      </c>
      <c r="E118" s="370" t="s">
        <v>2848</v>
      </c>
      <c r="F118" s="368"/>
      <c r="G118" s="368"/>
      <c r="H118" s="368"/>
      <c r="I118" s="366"/>
      <c r="J118" s="368"/>
      <c r="K118" s="368"/>
      <c r="L118" s="368"/>
      <c r="M118" s="366"/>
      <c r="N118" s="368"/>
      <c r="O118" s="368"/>
      <c r="P118" s="368"/>
      <c r="Q118" s="368"/>
      <c r="R118" s="211"/>
    </row>
    <row r="119" spans="2:18" s="240" customFormat="1" ht="13.5" customHeight="1" thickTop="1" thickBot="1">
      <c r="B119" s="241"/>
      <c r="C119" s="148"/>
      <c r="D119" s="218" t="s">
        <v>418</v>
      </c>
      <c r="E119" s="370" t="s">
        <v>2847</v>
      </c>
      <c r="F119" s="368"/>
      <c r="G119" s="368"/>
      <c r="H119" s="368"/>
      <c r="I119" s="366"/>
      <c r="J119" s="368"/>
      <c r="K119" s="368"/>
      <c r="L119" s="368"/>
      <c r="M119" s="366"/>
      <c r="N119" s="368"/>
      <c r="O119" s="368"/>
      <c r="P119" s="368"/>
      <c r="Q119" s="368"/>
      <c r="R119" s="211"/>
    </row>
    <row r="120" spans="2:18" s="240" customFormat="1" ht="13.5" customHeight="1" thickTop="1" thickBot="1">
      <c r="B120" s="241"/>
      <c r="C120" s="148"/>
      <c r="D120" s="218" t="s">
        <v>419</v>
      </c>
      <c r="E120" s="370" t="s">
        <v>2846</v>
      </c>
      <c r="F120" s="368"/>
      <c r="G120" s="368"/>
      <c r="H120" s="368"/>
      <c r="I120" s="366"/>
      <c r="J120" s="368"/>
      <c r="K120" s="368"/>
      <c r="L120" s="368"/>
      <c r="M120" s="366"/>
      <c r="N120" s="368"/>
      <c r="O120" s="368"/>
      <c r="P120" s="368"/>
      <c r="Q120" s="368"/>
      <c r="R120" s="211"/>
    </row>
    <row r="121" spans="2:18" s="240" customFormat="1" ht="13.5" customHeight="1" thickTop="1" thickBot="1">
      <c r="B121" s="241"/>
      <c r="C121" s="148"/>
      <c r="D121" s="218" t="s">
        <v>420</v>
      </c>
      <c r="E121" s="370" t="s">
        <v>2845</v>
      </c>
      <c r="F121" s="368"/>
      <c r="G121" s="368"/>
      <c r="H121" s="368"/>
      <c r="I121" s="366"/>
      <c r="J121" s="368"/>
      <c r="K121" s="368"/>
      <c r="L121" s="368"/>
      <c r="M121" s="366"/>
      <c r="N121" s="368"/>
      <c r="O121" s="368"/>
      <c r="P121" s="368"/>
      <c r="Q121" s="368"/>
      <c r="R121" s="211"/>
    </row>
    <row r="122" spans="2:18" s="240" customFormat="1" ht="13.5" customHeight="1" thickTop="1" thickBot="1">
      <c r="B122" s="241"/>
      <c r="C122" s="148"/>
      <c r="D122" s="214" t="s">
        <v>421</v>
      </c>
      <c r="E122" s="369" t="s">
        <v>2844</v>
      </c>
      <c r="F122" s="367"/>
      <c r="G122" s="367"/>
      <c r="H122" s="367"/>
      <c r="I122" s="365"/>
      <c r="J122" s="367"/>
      <c r="K122" s="367"/>
      <c r="L122" s="367"/>
      <c r="M122" s="365"/>
      <c r="N122" s="367"/>
      <c r="O122" s="367"/>
      <c r="P122" s="367"/>
      <c r="Q122" s="367"/>
      <c r="R122" s="210"/>
    </row>
    <row r="123" spans="2:18" s="240" customFormat="1" ht="13.5" customHeight="1" thickTop="1" thickBot="1">
      <c r="B123" s="241"/>
      <c r="C123" s="148"/>
      <c r="D123" s="214" t="s">
        <v>422</v>
      </c>
      <c r="E123" s="369" t="s">
        <v>2843</v>
      </c>
      <c r="F123" s="367"/>
      <c r="G123" s="367"/>
      <c r="H123" s="367"/>
      <c r="I123" s="365"/>
      <c r="J123" s="367"/>
      <c r="K123" s="367"/>
      <c r="L123" s="367"/>
      <c r="M123" s="365"/>
      <c r="N123" s="367"/>
      <c r="O123" s="367"/>
      <c r="P123" s="367"/>
      <c r="Q123" s="367"/>
      <c r="R123" s="210"/>
    </row>
    <row r="124" spans="2:18" s="240" customFormat="1" ht="13.5" customHeight="1" thickTop="1" thickBot="1">
      <c r="B124" s="241"/>
      <c r="C124" s="148"/>
      <c r="D124" s="214" t="s">
        <v>423</v>
      </c>
      <c r="E124" s="369" t="s">
        <v>2842</v>
      </c>
      <c r="F124" s="367"/>
      <c r="G124" s="367"/>
      <c r="H124" s="367"/>
      <c r="I124" s="365"/>
      <c r="J124" s="367"/>
      <c r="K124" s="367"/>
      <c r="L124" s="367"/>
      <c r="M124" s="365"/>
      <c r="N124" s="367"/>
      <c r="O124" s="367"/>
      <c r="P124" s="367"/>
      <c r="Q124" s="367"/>
      <c r="R124" s="210"/>
    </row>
    <row r="125" spans="2:18" s="240" customFormat="1" ht="13.5" customHeight="1" thickTop="1" thickBot="1">
      <c r="B125" s="241"/>
      <c r="C125" s="148"/>
      <c r="D125" s="214" t="s">
        <v>424</v>
      </c>
      <c r="E125" s="369" t="s">
        <v>2841</v>
      </c>
      <c r="F125" s="367"/>
      <c r="G125" s="367"/>
      <c r="H125" s="367"/>
      <c r="I125" s="365"/>
      <c r="J125" s="367"/>
      <c r="K125" s="367"/>
      <c r="L125" s="367"/>
      <c r="M125" s="365"/>
      <c r="N125" s="367"/>
      <c r="O125" s="367"/>
      <c r="P125" s="367"/>
      <c r="Q125" s="367"/>
      <c r="R125" s="210"/>
    </row>
    <row r="126" spans="2:18" s="240" customFormat="1" ht="13.5" customHeight="1" thickTop="1" thickBot="1">
      <c r="B126" s="241"/>
      <c r="C126" s="148"/>
      <c r="D126" s="218" t="s">
        <v>425</v>
      </c>
      <c r="E126" s="370" t="s">
        <v>2840</v>
      </c>
      <c r="F126" s="368"/>
      <c r="G126" s="368"/>
      <c r="H126" s="368"/>
      <c r="I126" s="366"/>
      <c r="J126" s="368"/>
      <c r="K126" s="368"/>
      <c r="L126" s="368"/>
      <c r="M126" s="366"/>
      <c r="N126" s="368"/>
      <c r="O126" s="368"/>
      <c r="P126" s="368"/>
      <c r="Q126" s="368"/>
      <c r="R126" s="211"/>
    </row>
    <row r="127" spans="2:18" s="240" customFormat="1" ht="13.5" customHeight="1" thickTop="1" thickBot="1">
      <c r="B127" s="241"/>
      <c r="C127" s="148"/>
      <c r="D127" s="218" t="s">
        <v>426</v>
      </c>
      <c r="E127" s="370" t="s">
        <v>2839</v>
      </c>
      <c r="F127" s="368"/>
      <c r="G127" s="368"/>
      <c r="H127" s="368"/>
      <c r="I127" s="366"/>
      <c r="J127" s="368"/>
      <c r="K127" s="368"/>
      <c r="L127" s="368"/>
      <c r="M127" s="366"/>
      <c r="N127" s="368"/>
      <c r="O127" s="368"/>
      <c r="P127" s="368"/>
      <c r="Q127" s="368"/>
      <c r="R127" s="211"/>
    </row>
    <row r="128" spans="2:18" s="240" customFormat="1" ht="13.5" customHeight="1" thickTop="1" thickBot="1">
      <c r="B128" s="241"/>
      <c r="C128" s="148"/>
      <c r="D128" s="218" t="s">
        <v>427</v>
      </c>
      <c r="E128" s="370" t="s">
        <v>2838</v>
      </c>
      <c r="F128" s="368"/>
      <c r="G128" s="368"/>
      <c r="H128" s="368"/>
      <c r="I128" s="366"/>
      <c r="J128" s="368"/>
      <c r="K128" s="368"/>
      <c r="L128" s="368"/>
      <c r="M128" s="366"/>
      <c r="N128" s="368"/>
      <c r="O128" s="368"/>
      <c r="P128" s="368"/>
      <c r="Q128" s="368"/>
      <c r="R128" s="211"/>
    </row>
    <row r="129" spans="2:18" s="240" customFormat="1" ht="13.5" customHeight="1" thickTop="1" thickBot="1">
      <c r="B129" s="241"/>
      <c r="C129" s="148"/>
      <c r="D129" s="218" t="s">
        <v>428</v>
      </c>
      <c r="E129" s="370" t="s">
        <v>2837</v>
      </c>
      <c r="F129" s="368"/>
      <c r="G129" s="368"/>
      <c r="H129" s="368"/>
      <c r="I129" s="366"/>
      <c r="J129" s="368"/>
      <c r="K129" s="368"/>
      <c r="L129" s="368"/>
      <c r="M129" s="366"/>
      <c r="N129" s="368"/>
      <c r="O129" s="368"/>
      <c r="P129" s="368"/>
      <c r="Q129" s="368"/>
      <c r="R129" s="211"/>
    </row>
    <row r="130" spans="2:18" s="240" customFormat="1" ht="13.5" customHeight="1" thickTop="1" thickBot="1">
      <c r="B130" s="241"/>
      <c r="C130" s="148"/>
      <c r="D130" s="214" t="s">
        <v>429</v>
      </c>
      <c r="E130" s="369" t="s">
        <v>2836</v>
      </c>
      <c r="F130" s="367"/>
      <c r="G130" s="367"/>
      <c r="H130" s="367"/>
      <c r="I130" s="365"/>
      <c r="J130" s="367"/>
      <c r="K130" s="367"/>
      <c r="L130" s="367"/>
      <c r="M130" s="365"/>
      <c r="N130" s="367"/>
      <c r="O130" s="367"/>
      <c r="P130" s="367"/>
      <c r="Q130" s="367"/>
      <c r="R130" s="210"/>
    </row>
    <row r="131" spans="2:18" s="240" customFormat="1" ht="13.5" customHeight="1" thickTop="1" thickBot="1">
      <c r="B131" s="241"/>
      <c r="C131" s="148"/>
      <c r="D131" s="214" t="s">
        <v>430</v>
      </c>
      <c r="E131" s="369" t="s">
        <v>2835</v>
      </c>
      <c r="F131" s="367"/>
      <c r="G131" s="367"/>
      <c r="H131" s="367"/>
      <c r="I131" s="365"/>
      <c r="J131" s="367"/>
      <c r="K131" s="367"/>
      <c r="L131" s="367"/>
      <c r="M131" s="365"/>
      <c r="N131" s="367"/>
      <c r="O131" s="367"/>
      <c r="P131" s="367"/>
      <c r="Q131" s="367"/>
      <c r="R131" s="210"/>
    </row>
    <row r="132" spans="2:18" s="240" customFormat="1" ht="13.5" customHeight="1" thickTop="1" thickBot="1">
      <c r="B132" s="241"/>
      <c r="C132" s="148"/>
      <c r="D132" s="214" t="s">
        <v>431</v>
      </c>
      <c r="E132" s="369" t="s">
        <v>2834</v>
      </c>
      <c r="F132" s="367"/>
      <c r="G132" s="367"/>
      <c r="H132" s="367"/>
      <c r="I132" s="365"/>
      <c r="J132" s="367"/>
      <c r="K132" s="367"/>
      <c r="L132" s="367"/>
      <c r="M132" s="365"/>
      <c r="N132" s="367"/>
      <c r="O132" s="367"/>
      <c r="P132" s="367"/>
      <c r="Q132" s="367"/>
      <c r="R132" s="210"/>
    </row>
    <row r="133" spans="2:18" s="240" customFormat="1" ht="13.5" customHeight="1" thickTop="1" thickBot="1">
      <c r="B133" s="241"/>
      <c r="C133" s="148"/>
      <c r="D133" s="214" t="s">
        <v>432</v>
      </c>
      <c r="E133" s="369" t="s">
        <v>2833</v>
      </c>
      <c r="F133" s="367"/>
      <c r="G133" s="367"/>
      <c r="H133" s="367"/>
      <c r="I133" s="365"/>
      <c r="J133" s="367"/>
      <c r="K133" s="367"/>
      <c r="L133" s="367"/>
      <c r="M133" s="365"/>
      <c r="N133" s="367"/>
      <c r="O133" s="367"/>
      <c r="P133" s="367"/>
      <c r="Q133" s="367"/>
      <c r="R133" s="210"/>
    </row>
    <row r="134" spans="2:18" s="240" customFormat="1" ht="13.5" customHeight="1" thickTop="1" thickBot="1">
      <c r="B134" s="241"/>
      <c r="C134" s="148"/>
      <c r="D134" s="218" t="s">
        <v>433</v>
      </c>
      <c r="E134" s="370" t="s">
        <v>2832</v>
      </c>
      <c r="F134" s="368"/>
      <c r="G134" s="368"/>
      <c r="H134" s="368"/>
      <c r="I134" s="366"/>
      <c r="J134" s="368"/>
      <c r="K134" s="368"/>
      <c r="L134" s="368"/>
      <c r="M134" s="366"/>
      <c r="N134" s="368"/>
      <c r="O134" s="368"/>
      <c r="P134" s="368"/>
      <c r="Q134" s="368"/>
      <c r="R134" s="211"/>
    </row>
    <row r="135" spans="2:18" s="240" customFormat="1" ht="13.5" customHeight="1" thickTop="1" thickBot="1">
      <c r="B135" s="241"/>
      <c r="C135" s="148"/>
      <c r="D135" s="218" t="s">
        <v>434</v>
      </c>
      <c r="E135" s="370" t="s">
        <v>2831</v>
      </c>
      <c r="F135" s="368"/>
      <c r="G135" s="368"/>
      <c r="H135" s="368"/>
      <c r="I135" s="366"/>
      <c r="J135" s="368" t="s">
        <v>207</v>
      </c>
      <c r="K135" s="368">
        <v>1</v>
      </c>
      <c r="L135" s="368">
        <v>14</v>
      </c>
      <c r="M135" s="366" t="s">
        <v>607</v>
      </c>
      <c r="N135" s="368"/>
      <c r="O135" s="368"/>
      <c r="P135" s="368"/>
      <c r="Q135" s="368"/>
      <c r="R135" s="211"/>
    </row>
    <row r="136" spans="2:18" s="240" customFormat="1" ht="13.5" customHeight="1" thickTop="1" thickBot="1">
      <c r="B136" s="241"/>
      <c r="C136" s="148"/>
      <c r="D136" s="218" t="s">
        <v>435</v>
      </c>
      <c r="E136" s="370" t="s">
        <v>2830</v>
      </c>
      <c r="F136" s="368"/>
      <c r="G136" s="368"/>
      <c r="H136" s="368"/>
      <c r="I136" s="366"/>
      <c r="J136" s="368"/>
      <c r="K136" s="368"/>
      <c r="L136" s="368"/>
      <c r="M136" s="368"/>
      <c r="N136" s="368"/>
      <c r="O136" s="368"/>
      <c r="P136" s="368"/>
      <c r="Q136" s="368"/>
      <c r="R136" s="211"/>
    </row>
    <row r="137" spans="2:18" s="240" customFormat="1" ht="13.5" customHeight="1" thickTop="1" thickBot="1">
      <c r="B137" s="241"/>
      <c r="C137" s="148"/>
      <c r="D137" s="218" t="s">
        <v>436</v>
      </c>
      <c r="E137" s="370" t="s">
        <v>2829</v>
      </c>
      <c r="F137" s="368"/>
      <c r="G137" s="368"/>
      <c r="H137" s="368"/>
      <c r="I137" s="366"/>
      <c r="J137" s="368" t="s">
        <v>207</v>
      </c>
      <c r="K137" s="368">
        <v>1</v>
      </c>
      <c r="L137" s="368">
        <v>14</v>
      </c>
      <c r="M137" s="366" t="s">
        <v>607</v>
      </c>
      <c r="N137" s="368"/>
      <c r="O137" s="368"/>
      <c r="P137" s="368"/>
      <c r="Q137" s="368"/>
      <c r="R137" s="211"/>
    </row>
    <row r="138" spans="2:18" s="240" customFormat="1" ht="13.5" customHeight="1" thickTop="1" thickBot="1">
      <c r="B138" s="241"/>
      <c r="C138" s="148"/>
      <c r="D138" s="214" t="s">
        <v>437</v>
      </c>
      <c r="E138" s="369" t="s">
        <v>2828</v>
      </c>
      <c r="F138" s="367"/>
      <c r="G138" s="367"/>
      <c r="H138" s="367"/>
      <c r="I138" s="365"/>
      <c r="J138" s="367"/>
      <c r="K138" s="367"/>
      <c r="L138" s="367"/>
      <c r="M138" s="367"/>
      <c r="N138" s="367"/>
      <c r="O138" s="367"/>
      <c r="P138" s="367"/>
      <c r="Q138" s="367"/>
      <c r="R138" s="210"/>
    </row>
    <row r="139" spans="2:18" s="240" customFormat="1" ht="13.5" customHeight="1" thickTop="1" thickBot="1">
      <c r="B139" s="241"/>
      <c r="C139" s="148"/>
      <c r="D139" s="214" t="s">
        <v>438</v>
      </c>
      <c r="E139" s="369" t="s">
        <v>2827</v>
      </c>
      <c r="F139" s="367"/>
      <c r="G139" s="367"/>
      <c r="H139" s="367"/>
      <c r="I139" s="365"/>
      <c r="J139" s="367"/>
      <c r="K139" s="367"/>
      <c r="L139" s="367"/>
      <c r="M139" s="367"/>
      <c r="N139" s="367"/>
      <c r="O139" s="367"/>
      <c r="P139" s="367"/>
      <c r="Q139" s="367"/>
      <c r="R139" s="210"/>
    </row>
    <row r="140" spans="2:18" s="240" customFormat="1" ht="13.5" customHeight="1" thickTop="1" thickBot="1">
      <c r="B140" s="241"/>
      <c r="C140" s="148"/>
      <c r="D140" s="214" t="s">
        <v>439</v>
      </c>
      <c r="E140" s="369" t="s">
        <v>2826</v>
      </c>
      <c r="F140" s="367"/>
      <c r="G140" s="367"/>
      <c r="H140" s="367"/>
      <c r="I140" s="365"/>
      <c r="J140" s="367"/>
      <c r="K140" s="367"/>
      <c r="L140" s="367"/>
      <c r="M140" s="367"/>
      <c r="N140" s="367"/>
      <c r="O140" s="367"/>
      <c r="P140" s="367"/>
      <c r="Q140" s="367"/>
      <c r="R140" s="210"/>
    </row>
    <row r="141" spans="2:18" s="240" customFormat="1" ht="13.5" customHeight="1" thickTop="1" thickBot="1">
      <c r="B141" s="241"/>
      <c r="C141" s="148"/>
      <c r="D141" s="214" t="s">
        <v>440</v>
      </c>
      <c r="E141" s="369" t="s">
        <v>2825</v>
      </c>
      <c r="F141" s="367" t="s">
        <v>207</v>
      </c>
      <c r="G141" s="367">
        <v>0</v>
      </c>
      <c r="H141" s="367">
        <v>1</v>
      </c>
      <c r="I141" s="367" t="s">
        <v>607</v>
      </c>
      <c r="J141" s="367"/>
      <c r="K141" s="367"/>
      <c r="L141" s="367"/>
      <c r="M141" s="367"/>
      <c r="N141" s="367"/>
      <c r="O141" s="367"/>
      <c r="P141" s="367"/>
      <c r="Q141" s="367"/>
      <c r="R141" s="210" t="s">
        <v>2824</v>
      </c>
    </row>
    <row r="142" spans="2:18" s="240" customFormat="1" ht="13.5" customHeight="1" thickTop="1" thickBot="1">
      <c r="B142" s="241"/>
      <c r="C142" s="148"/>
      <c r="D142" s="218"/>
      <c r="E142" s="370" t="s">
        <v>2823</v>
      </c>
      <c r="F142" s="368"/>
      <c r="G142" s="368"/>
      <c r="H142" s="368"/>
      <c r="I142" s="366"/>
      <c r="J142" s="368"/>
      <c r="K142" s="368"/>
      <c r="L142" s="368"/>
      <c r="M142" s="368"/>
      <c r="N142" s="368"/>
      <c r="O142" s="368"/>
      <c r="P142" s="368"/>
      <c r="Q142" s="368"/>
      <c r="R142" s="211"/>
    </row>
    <row r="143" spans="2:18" s="240" customFormat="1" ht="13.5" customHeight="1" thickTop="1" thickBot="1">
      <c r="B143" s="241"/>
      <c r="C143" s="148"/>
      <c r="D143" s="218" t="s">
        <v>441</v>
      </c>
      <c r="E143" s="370" t="s">
        <v>2822</v>
      </c>
      <c r="F143" s="368"/>
      <c r="G143" s="368"/>
      <c r="H143" s="368"/>
      <c r="I143" s="366"/>
      <c r="J143" s="368" t="s">
        <v>207</v>
      </c>
      <c r="K143" s="368">
        <v>0</v>
      </c>
      <c r="L143" s="368">
        <v>14</v>
      </c>
      <c r="M143" s="366" t="s">
        <v>607</v>
      </c>
      <c r="N143" s="368"/>
      <c r="O143" s="368"/>
      <c r="P143" s="368"/>
      <c r="Q143" s="368"/>
      <c r="R143" s="211"/>
    </row>
    <row r="144" spans="2:18" s="240" customFormat="1" ht="13.5" customHeight="1" thickTop="1" thickBot="1">
      <c r="B144" s="241"/>
      <c r="C144" s="148"/>
      <c r="D144" s="218" t="s">
        <v>442</v>
      </c>
      <c r="E144" s="370" t="s">
        <v>2821</v>
      </c>
      <c r="F144" s="368"/>
      <c r="G144" s="368"/>
      <c r="H144" s="368"/>
      <c r="I144" s="366"/>
      <c r="J144" s="368" t="s">
        <v>207</v>
      </c>
      <c r="K144" s="368">
        <v>0</v>
      </c>
      <c r="L144" s="368">
        <v>14</v>
      </c>
      <c r="M144" s="366" t="s">
        <v>607</v>
      </c>
      <c r="N144" s="368"/>
      <c r="O144" s="368"/>
      <c r="P144" s="368"/>
      <c r="Q144" s="368"/>
      <c r="R144" s="211"/>
    </row>
    <row r="145" spans="2:18" s="240" customFormat="1" ht="13.5" customHeight="1" thickTop="1" thickBot="1">
      <c r="B145" s="241"/>
      <c r="C145" s="148"/>
      <c r="D145" s="218" t="s">
        <v>443</v>
      </c>
      <c r="E145" s="370" t="s">
        <v>2820</v>
      </c>
      <c r="F145" s="368"/>
      <c r="G145" s="368"/>
      <c r="H145" s="368"/>
      <c r="I145" s="366"/>
      <c r="J145" s="368"/>
      <c r="K145" s="368"/>
      <c r="L145" s="368"/>
      <c r="M145" s="368"/>
      <c r="N145" s="368"/>
      <c r="O145" s="368"/>
      <c r="P145" s="368"/>
      <c r="Q145" s="368"/>
      <c r="R145" s="211"/>
    </row>
    <row r="146" spans="2:18" s="240" customFormat="1" ht="13.5" customHeight="1" thickTop="1" thickBot="1">
      <c r="B146" s="241"/>
      <c r="C146" s="148"/>
      <c r="D146" s="214" t="s">
        <v>444</v>
      </c>
      <c r="E146" s="369" t="s">
        <v>2819</v>
      </c>
      <c r="F146" s="367"/>
      <c r="G146" s="367"/>
      <c r="H146" s="367"/>
      <c r="I146" s="365"/>
      <c r="J146" s="367" t="s">
        <v>20</v>
      </c>
      <c r="K146" s="367">
        <v>0</v>
      </c>
      <c r="L146" s="367">
        <v>15</v>
      </c>
      <c r="M146" s="365" t="s">
        <v>607</v>
      </c>
      <c r="N146" s="367"/>
      <c r="O146" s="367"/>
      <c r="P146" s="367"/>
      <c r="Q146" s="367"/>
      <c r="R146" s="210"/>
    </row>
    <row r="147" spans="2:18" s="240" customFormat="1" ht="13.5" customHeight="1" thickTop="1" thickBot="1">
      <c r="B147" s="241"/>
      <c r="C147" s="148"/>
      <c r="D147" s="214" t="s">
        <v>445</v>
      </c>
      <c r="E147" s="369" t="s">
        <v>2818</v>
      </c>
      <c r="F147" s="367"/>
      <c r="G147" s="367"/>
      <c r="H147" s="367"/>
      <c r="I147" s="365"/>
      <c r="J147" s="367" t="s">
        <v>20</v>
      </c>
      <c r="K147" s="367">
        <v>0</v>
      </c>
      <c r="L147" s="367">
        <v>15</v>
      </c>
      <c r="M147" s="365" t="s">
        <v>607</v>
      </c>
      <c r="N147" s="367"/>
      <c r="O147" s="367"/>
      <c r="P147" s="367"/>
      <c r="Q147" s="367"/>
      <c r="R147" s="210"/>
    </row>
    <row r="148" spans="2:18" s="240" customFormat="1" ht="13.5" customHeight="1" thickTop="1" thickBot="1">
      <c r="B148" s="241"/>
      <c r="C148" s="148"/>
      <c r="D148" s="214" t="s">
        <v>446</v>
      </c>
      <c r="E148" s="369" t="s">
        <v>2817</v>
      </c>
      <c r="F148" s="367"/>
      <c r="G148" s="367"/>
      <c r="H148" s="367"/>
      <c r="I148" s="365"/>
      <c r="J148" s="367" t="s">
        <v>20</v>
      </c>
      <c r="K148" s="367">
        <v>0</v>
      </c>
      <c r="L148" s="367">
        <v>15</v>
      </c>
      <c r="M148" s="365" t="s">
        <v>607</v>
      </c>
      <c r="N148" s="367"/>
      <c r="O148" s="367"/>
      <c r="P148" s="367"/>
      <c r="Q148" s="367"/>
      <c r="R148" s="210"/>
    </row>
    <row r="149" spans="2:18" s="240" customFormat="1" ht="13.5" customHeight="1" thickTop="1" thickBot="1">
      <c r="B149" s="241"/>
      <c r="C149" s="148"/>
      <c r="D149" s="214" t="s">
        <v>447</v>
      </c>
      <c r="E149" s="369" t="s">
        <v>2816</v>
      </c>
      <c r="F149" s="367"/>
      <c r="G149" s="367"/>
      <c r="H149" s="367"/>
      <c r="I149" s="365"/>
      <c r="J149" s="367" t="s">
        <v>20</v>
      </c>
      <c r="K149" s="367">
        <v>0</v>
      </c>
      <c r="L149" s="367">
        <v>15</v>
      </c>
      <c r="M149" s="365" t="s">
        <v>607</v>
      </c>
      <c r="N149" s="367"/>
      <c r="O149" s="367"/>
      <c r="P149" s="367"/>
      <c r="Q149" s="367"/>
      <c r="R149" s="210"/>
    </row>
    <row r="150" spans="2:18" s="240" customFormat="1" ht="13.5" customHeight="1" thickTop="1" thickBot="1">
      <c r="B150" s="241"/>
      <c r="C150" s="148"/>
      <c r="D150" s="218" t="s">
        <v>448</v>
      </c>
      <c r="E150" s="370" t="s">
        <v>2815</v>
      </c>
      <c r="F150" s="368"/>
      <c r="G150" s="368"/>
      <c r="H150" s="368"/>
      <c r="I150" s="366"/>
      <c r="J150" s="368" t="s">
        <v>20</v>
      </c>
      <c r="K150" s="368">
        <v>0</v>
      </c>
      <c r="L150" s="368">
        <v>15</v>
      </c>
      <c r="M150" s="366" t="s">
        <v>607</v>
      </c>
      <c r="N150" s="368"/>
      <c r="O150" s="368"/>
      <c r="P150" s="368"/>
      <c r="Q150" s="368"/>
      <c r="R150" s="211"/>
    </row>
    <row r="151" spans="2:18" s="240" customFormat="1" ht="13.5" customHeight="1" thickTop="1" thickBot="1">
      <c r="B151" s="241"/>
      <c r="C151" s="148"/>
      <c r="D151" s="218" t="s">
        <v>449</v>
      </c>
      <c r="E151" s="370" t="s">
        <v>2814</v>
      </c>
      <c r="F151" s="368"/>
      <c r="G151" s="368"/>
      <c r="H151" s="368"/>
      <c r="I151" s="366"/>
      <c r="J151" s="368" t="s">
        <v>20</v>
      </c>
      <c r="K151" s="368">
        <v>0</v>
      </c>
      <c r="L151" s="368">
        <v>15</v>
      </c>
      <c r="M151" s="366" t="s">
        <v>607</v>
      </c>
      <c r="N151" s="368"/>
      <c r="O151" s="368"/>
      <c r="P151" s="368"/>
      <c r="Q151" s="368"/>
      <c r="R151" s="211"/>
    </row>
    <row r="152" spans="2:18" s="240" customFormat="1" ht="13.5" customHeight="1" thickTop="1" thickBot="1">
      <c r="B152" s="241"/>
      <c r="C152" s="148"/>
      <c r="D152" s="218" t="s">
        <v>450</v>
      </c>
      <c r="E152" s="370" t="s">
        <v>2813</v>
      </c>
      <c r="F152" s="368"/>
      <c r="G152" s="368"/>
      <c r="H152" s="368"/>
      <c r="I152" s="366"/>
      <c r="J152" s="368"/>
      <c r="K152" s="368"/>
      <c r="L152" s="368"/>
      <c r="M152" s="368"/>
      <c r="N152" s="368"/>
      <c r="O152" s="368"/>
      <c r="P152" s="368"/>
      <c r="Q152" s="368"/>
      <c r="R152" s="211"/>
    </row>
    <row r="153" spans="2:18" s="240" customFormat="1" ht="13.5" customHeight="1" thickTop="1" thickBot="1">
      <c r="B153" s="241"/>
      <c r="C153" s="148"/>
      <c r="D153" s="218" t="s">
        <v>451</v>
      </c>
      <c r="E153" s="370" t="s">
        <v>2812</v>
      </c>
      <c r="F153" s="368"/>
      <c r="G153" s="368"/>
      <c r="H153" s="368"/>
      <c r="I153" s="366"/>
      <c r="J153" s="368"/>
      <c r="K153" s="368"/>
      <c r="L153" s="368"/>
      <c r="M153" s="368"/>
      <c r="N153" s="368"/>
      <c r="O153" s="368"/>
      <c r="P153" s="368"/>
      <c r="Q153" s="368"/>
      <c r="R153" s="211"/>
    </row>
    <row r="154" spans="2:18" s="240" customFormat="1" ht="13.5" customHeight="1" thickTop="1" thickBot="1">
      <c r="B154" s="241"/>
      <c r="C154" s="148"/>
      <c r="D154" s="214" t="s">
        <v>452</v>
      </c>
      <c r="E154" s="369" t="s">
        <v>2811</v>
      </c>
      <c r="F154" s="367"/>
      <c r="G154" s="367"/>
      <c r="H154" s="367"/>
      <c r="I154" s="365"/>
      <c r="J154" s="367"/>
      <c r="K154" s="367"/>
      <c r="L154" s="367"/>
      <c r="M154" s="367"/>
      <c r="N154" s="367"/>
      <c r="O154" s="367"/>
      <c r="P154" s="367"/>
      <c r="Q154" s="367"/>
      <c r="R154" s="210"/>
    </row>
    <row r="155" spans="2:18" s="240" customFormat="1" ht="13.5" customHeight="1" thickTop="1" thickBot="1">
      <c r="B155" s="241"/>
      <c r="C155" s="148"/>
      <c r="D155" s="214" t="s">
        <v>453</v>
      </c>
      <c r="E155" s="369" t="s">
        <v>2810</v>
      </c>
      <c r="F155" s="367"/>
      <c r="G155" s="367"/>
      <c r="H155" s="367"/>
      <c r="I155" s="365"/>
      <c r="J155" s="367"/>
      <c r="K155" s="367"/>
      <c r="L155" s="367"/>
      <c r="M155" s="367"/>
      <c r="N155" s="367"/>
      <c r="O155" s="367"/>
      <c r="P155" s="367"/>
      <c r="Q155" s="367"/>
      <c r="R155" s="210"/>
    </row>
    <row r="156" spans="2:18" s="240" customFormat="1" ht="13.5" customHeight="1" thickTop="1" thickBot="1">
      <c r="B156" s="241"/>
      <c r="C156" s="148"/>
      <c r="D156" s="214" t="s">
        <v>454</v>
      </c>
      <c r="E156" s="369" t="s">
        <v>2809</v>
      </c>
      <c r="F156" s="367"/>
      <c r="G156" s="367"/>
      <c r="H156" s="367"/>
      <c r="I156" s="365"/>
      <c r="J156" s="367"/>
      <c r="K156" s="367"/>
      <c r="L156" s="367"/>
      <c r="M156" s="367"/>
      <c r="N156" s="367"/>
      <c r="O156" s="367"/>
      <c r="P156" s="367"/>
      <c r="Q156" s="367"/>
      <c r="R156" s="210"/>
    </row>
    <row r="157" spans="2:18" s="240" customFormat="1" ht="13.5" customHeight="1" thickTop="1" thickBot="1">
      <c r="B157" s="241"/>
      <c r="C157" s="148"/>
      <c r="D157" s="214" t="s">
        <v>455</v>
      </c>
      <c r="E157" s="369" t="s">
        <v>2808</v>
      </c>
      <c r="F157" s="367"/>
      <c r="G157" s="367"/>
      <c r="H157" s="367"/>
      <c r="I157" s="365"/>
      <c r="J157" s="367"/>
      <c r="K157" s="367"/>
      <c r="L157" s="367"/>
      <c r="M157" s="367"/>
      <c r="N157" s="367"/>
      <c r="O157" s="367"/>
      <c r="P157" s="367"/>
      <c r="Q157" s="367"/>
      <c r="R157" s="210"/>
    </row>
    <row r="158" spans="2:18" s="240" customFormat="1" ht="13.5" customHeight="1" thickTop="1" thickBot="1">
      <c r="B158" s="241"/>
      <c r="C158" s="148"/>
      <c r="D158" s="218" t="s">
        <v>456</v>
      </c>
      <c r="E158" s="370" t="s">
        <v>2807</v>
      </c>
      <c r="F158" s="368"/>
      <c r="G158" s="368"/>
      <c r="H158" s="368"/>
      <c r="I158" s="366"/>
      <c r="J158" s="368"/>
      <c r="K158" s="368"/>
      <c r="L158" s="368"/>
      <c r="M158" s="368"/>
      <c r="N158" s="368"/>
      <c r="O158" s="368"/>
      <c r="P158" s="368"/>
      <c r="Q158" s="368"/>
      <c r="R158" s="211"/>
    </row>
    <row r="159" spans="2:18" s="240" customFormat="1" ht="13.5" customHeight="1" thickTop="1" thickBot="1">
      <c r="B159" s="241"/>
      <c r="C159" s="148"/>
      <c r="D159" s="218" t="s">
        <v>457</v>
      </c>
      <c r="E159" s="370" t="s">
        <v>2806</v>
      </c>
      <c r="F159" s="368"/>
      <c r="G159" s="368"/>
      <c r="H159" s="368"/>
      <c r="I159" s="366"/>
      <c r="J159" s="368"/>
      <c r="K159" s="368"/>
      <c r="L159" s="368"/>
      <c r="M159" s="368"/>
      <c r="N159" s="368"/>
      <c r="O159" s="368"/>
      <c r="P159" s="368"/>
      <c r="Q159" s="368"/>
      <c r="R159" s="211"/>
    </row>
    <row r="160" spans="2:18" s="240" customFormat="1" ht="13.5" customHeight="1" thickTop="1" thickBot="1">
      <c r="B160" s="241"/>
      <c r="C160" s="148"/>
      <c r="D160" s="218" t="s">
        <v>458</v>
      </c>
      <c r="E160" s="370" t="s">
        <v>2805</v>
      </c>
      <c r="F160" s="368"/>
      <c r="G160" s="368"/>
      <c r="H160" s="368"/>
      <c r="I160" s="366"/>
      <c r="J160" s="368" t="s">
        <v>207</v>
      </c>
      <c r="K160" s="368">
        <v>1</v>
      </c>
      <c r="L160" s="368">
        <v>14</v>
      </c>
      <c r="M160" s="368" t="s">
        <v>607</v>
      </c>
      <c r="N160" s="368"/>
      <c r="O160" s="368"/>
      <c r="P160" s="368"/>
      <c r="Q160" s="368"/>
      <c r="R160" s="211"/>
    </row>
    <row r="161" spans="2:18" s="240" customFormat="1" ht="13.5" customHeight="1" thickTop="1" thickBot="1">
      <c r="B161" s="241"/>
      <c r="C161" s="148"/>
      <c r="D161" s="218" t="s">
        <v>459</v>
      </c>
      <c r="E161" s="370" t="s">
        <v>2804</v>
      </c>
      <c r="F161" s="368"/>
      <c r="G161" s="368"/>
      <c r="H161" s="368"/>
      <c r="I161" s="366"/>
      <c r="J161" s="368" t="s">
        <v>207</v>
      </c>
      <c r="K161" s="368">
        <v>1</v>
      </c>
      <c r="L161" s="368">
        <v>14</v>
      </c>
      <c r="M161" s="368" t="s">
        <v>607</v>
      </c>
      <c r="N161" s="368"/>
      <c r="O161" s="368"/>
      <c r="P161" s="368"/>
      <c r="Q161" s="368"/>
      <c r="R161" s="211"/>
    </row>
    <row r="162" spans="2:18" s="240" customFormat="1" ht="13.5" customHeight="1" thickTop="1" thickBot="1">
      <c r="B162" s="241"/>
      <c r="C162" s="148"/>
      <c r="D162" s="214" t="s">
        <v>460</v>
      </c>
      <c r="E162" s="369" t="s">
        <v>2803</v>
      </c>
      <c r="F162" s="367"/>
      <c r="G162" s="367"/>
      <c r="H162" s="367"/>
      <c r="I162" s="365"/>
      <c r="J162" s="367" t="s">
        <v>207</v>
      </c>
      <c r="K162" s="367">
        <v>1</v>
      </c>
      <c r="L162" s="367">
        <v>14</v>
      </c>
      <c r="M162" s="367" t="s">
        <v>607</v>
      </c>
      <c r="N162" s="367"/>
      <c r="O162" s="367"/>
      <c r="P162" s="367"/>
      <c r="Q162" s="367"/>
      <c r="R162" s="210"/>
    </row>
    <row r="163" spans="2:18" s="240" customFormat="1" ht="13.5" customHeight="1" thickTop="1" thickBot="1">
      <c r="B163" s="241"/>
      <c r="C163" s="148"/>
      <c r="D163" s="214" t="s">
        <v>461</v>
      </c>
      <c r="E163" s="369" t="s">
        <v>2802</v>
      </c>
      <c r="F163" s="367"/>
      <c r="G163" s="367"/>
      <c r="H163" s="367"/>
      <c r="I163" s="365"/>
      <c r="J163" s="367" t="s">
        <v>207</v>
      </c>
      <c r="K163" s="367">
        <v>1</v>
      </c>
      <c r="L163" s="367">
        <v>14</v>
      </c>
      <c r="M163" s="367" t="s">
        <v>607</v>
      </c>
      <c r="N163" s="367"/>
      <c r="O163" s="367"/>
      <c r="P163" s="367"/>
      <c r="Q163" s="367"/>
      <c r="R163" s="210"/>
    </row>
    <row r="164" spans="2:18" s="240" customFormat="1" ht="13.5" customHeight="1" thickTop="1" thickBot="1">
      <c r="B164" s="241"/>
      <c r="C164" s="148"/>
      <c r="D164" s="214" t="s">
        <v>462</v>
      </c>
      <c r="E164" s="369" t="s">
        <v>2801</v>
      </c>
      <c r="F164" s="367"/>
      <c r="G164" s="367"/>
      <c r="H164" s="367"/>
      <c r="I164" s="365"/>
      <c r="J164" s="367" t="s">
        <v>207</v>
      </c>
      <c r="K164" s="367">
        <v>1</v>
      </c>
      <c r="L164" s="367">
        <v>14</v>
      </c>
      <c r="M164" s="367" t="s">
        <v>607</v>
      </c>
      <c r="N164" s="367"/>
      <c r="O164" s="367"/>
      <c r="P164" s="367"/>
      <c r="Q164" s="367"/>
      <c r="R164" s="210"/>
    </row>
    <row r="165" spans="2:18" s="240" customFormat="1" ht="13.5" customHeight="1" thickTop="1" thickBot="1">
      <c r="B165" s="241"/>
      <c r="C165" s="148"/>
      <c r="D165" s="214" t="s">
        <v>463</v>
      </c>
      <c r="E165" s="369" t="s">
        <v>2800</v>
      </c>
      <c r="F165" s="367"/>
      <c r="G165" s="367"/>
      <c r="H165" s="367"/>
      <c r="I165" s="365"/>
      <c r="J165" s="367" t="s">
        <v>207</v>
      </c>
      <c r="K165" s="367">
        <v>1</v>
      </c>
      <c r="L165" s="367">
        <v>14</v>
      </c>
      <c r="M165" s="367" t="s">
        <v>607</v>
      </c>
      <c r="N165" s="367"/>
      <c r="O165" s="367"/>
      <c r="P165" s="367"/>
      <c r="Q165" s="367"/>
      <c r="R165" s="210"/>
    </row>
    <row r="166" spans="2:18" s="240" customFormat="1" ht="13.5" customHeight="1" thickTop="1" thickBot="1">
      <c r="B166" s="241"/>
      <c r="C166" s="148"/>
      <c r="D166" s="218" t="s">
        <v>464</v>
      </c>
      <c r="E166" s="370" t="s">
        <v>2799</v>
      </c>
      <c r="F166" s="368"/>
      <c r="G166" s="368"/>
      <c r="H166" s="368"/>
      <c r="I166" s="366"/>
      <c r="J166" s="368" t="s">
        <v>207</v>
      </c>
      <c r="K166" s="368">
        <v>1</v>
      </c>
      <c r="L166" s="368">
        <v>8</v>
      </c>
      <c r="M166" s="368" t="s">
        <v>607</v>
      </c>
      <c r="N166" s="368"/>
      <c r="O166" s="368"/>
      <c r="P166" s="368"/>
      <c r="Q166" s="368"/>
      <c r="R166" s="211"/>
    </row>
    <row r="167" spans="2:18" s="240" customFormat="1" ht="13.5" customHeight="1" thickTop="1" thickBot="1">
      <c r="B167" s="241"/>
      <c r="C167" s="148"/>
      <c r="D167" s="218" t="s">
        <v>465</v>
      </c>
      <c r="E167" s="370" t="s">
        <v>2798</v>
      </c>
      <c r="F167" s="368"/>
      <c r="G167" s="368"/>
      <c r="H167" s="368"/>
      <c r="I167" s="366"/>
      <c r="J167" s="368" t="s">
        <v>207</v>
      </c>
      <c r="K167" s="368">
        <v>1</v>
      </c>
      <c r="L167" s="368">
        <v>8</v>
      </c>
      <c r="M167" s="368" t="s">
        <v>607</v>
      </c>
      <c r="N167" s="368"/>
      <c r="O167" s="368"/>
      <c r="P167" s="368"/>
      <c r="Q167" s="368"/>
      <c r="R167" s="211"/>
    </row>
    <row r="168" spans="2:18" s="240" customFormat="1" ht="13.5" customHeight="1" thickTop="1" thickBot="1">
      <c r="B168" s="241"/>
      <c r="C168" s="148"/>
      <c r="D168" s="218" t="s">
        <v>466</v>
      </c>
      <c r="E168" s="370" t="s">
        <v>2797</v>
      </c>
      <c r="F168" s="368"/>
      <c r="G168" s="368"/>
      <c r="H168" s="368"/>
      <c r="I168" s="366"/>
      <c r="J168" s="368" t="s">
        <v>207</v>
      </c>
      <c r="K168" s="368">
        <v>1</v>
      </c>
      <c r="L168" s="368">
        <v>8</v>
      </c>
      <c r="M168" s="368" t="s">
        <v>607</v>
      </c>
      <c r="N168" s="368"/>
      <c r="O168" s="368"/>
      <c r="P168" s="368"/>
      <c r="Q168" s="368"/>
      <c r="R168" s="211"/>
    </row>
    <row r="169" spans="2:18" s="240" customFormat="1" ht="13.5" customHeight="1" thickTop="1" thickBot="1">
      <c r="B169" s="241"/>
      <c r="C169" s="148"/>
      <c r="D169" s="218" t="s">
        <v>467</v>
      </c>
      <c r="E169" s="370" t="s">
        <v>2796</v>
      </c>
      <c r="F169" s="368"/>
      <c r="G169" s="368"/>
      <c r="H169" s="368"/>
      <c r="I169" s="366"/>
      <c r="J169" s="368" t="s">
        <v>207</v>
      </c>
      <c r="K169" s="368">
        <v>1</v>
      </c>
      <c r="L169" s="368">
        <v>8</v>
      </c>
      <c r="M169" s="368" t="s">
        <v>607</v>
      </c>
      <c r="N169" s="368"/>
      <c r="O169" s="368"/>
      <c r="P169" s="368"/>
      <c r="Q169" s="368"/>
      <c r="R169" s="211"/>
    </row>
    <row r="170" spans="2:18" s="240" customFormat="1" ht="13.5" customHeight="1" thickTop="1" thickBot="1">
      <c r="B170" s="241"/>
      <c r="C170" s="148"/>
      <c r="D170" s="214" t="s">
        <v>468</v>
      </c>
      <c r="E170" s="369" t="s">
        <v>2795</v>
      </c>
      <c r="F170" s="367"/>
      <c r="G170" s="367"/>
      <c r="H170" s="367"/>
      <c r="I170" s="365"/>
      <c r="J170" s="367" t="s">
        <v>207</v>
      </c>
      <c r="K170" s="367">
        <v>1</v>
      </c>
      <c r="L170" s="367">
        <v>8</v>
      </c>
      <c r="M170" s="367" t="s">
        <v>607</v>
      </c>
      <c r="N170" s="367"/>
      <c r="O170" s="367"/>
      <c r="P170" s="367"/>
      <c r="Q170" s="367"/>
      <c r="R170" s="210"/>
    </row>
    <row r="171" spans="2:18" s="240" customFormat="1" ht="13.5" customHeight="1" thickTop="1" thickBot="1">
      <c r="B171" s="241"/>
      <c r="C171" s="148"/>
      <c r="D171" s="214" t="s">
        <v>469</v>
      </c>
      <c r="E171" s="369" t="s">
        <v>2794</v>
      </c>
      <c r="F171" s="367"/>
      <c r="G171" s="367"/>
      <c r="H171" s="367"/>
      <c r="I171" s="365"/>
      <c r="J171" s="367" t="s">
        <v>207</v>
      </c>
      <c r="K171" s="367">
        <v>1</v>
      </c>
      <c r="L171" s="367">
        <v>8</v>
      </c>
      <c r="M171" s="367" t="s">
        <v>607</v>
      </c>
      <c r="N171" s="367"/>
      <c r="O171" s="367"/>
      <c r="P171" s="367"/>
      <c r="Q171" s="367"/>
      <c r="R171" s="210"/>
    </row>
    <row r="172" spans="2:18" s="240" customFormat="1" ht="13.5" customHeight="1" thickTop="1" thickBot="1">
      <c r="B172" s="241"/>
      <c r="C172" s="148"/>
      <c r="D172" s="214" t="s">
        <v>470</v>
      </c>
      <c r="E172" s="369" t="s">
        <v>2793</v>
      </c>
      <c r="F172" s="367"/>
      <c r="G172" s="367"/>
      <c r="H172" s="367"/>
      <c r="I172" s="365"/>
      <c r="J172" s="367" t="s">
        <v>207</v>
      </c>
      <c r="K172" s="367">
        <v>1</v>
      </c>
      <c r="L172" s="367">
        <v>8</v>
      </c>
      <c r="M172" s="367" t="s">
        <v>607</v>
      </c>
      <c r="N172" s="367"/>
      <c r="O172" s="367"/>
      <c r="P172" s="367"/>
      <c r="Q172" s="367"/>
      <c r="R172" s="210"/>
    </row>
    <row r="173" spans="2:18" s="240" customFormat="1" ht="13.5" customHeight="1" thickTop="1" thickBot="1">
      <c r="B173" s="241"/>
      <c r="C173" s="148"/>
      <c r="D173" s="214" t="s">
        <v>471</v>
      </c>
      <c r="E173" s="369" t="s">
        <v>2792</v>
      </c>
      <c r="F173" s="367"/>
      <c r="G173" s="367"/>
      <c r="H173" s="367"/>
      <c r="I173" s="365"/>
      <c r="J173" s="367" t="s">
        <v>207</v>
      </c>
      <c r="K173" s="367">
        <v>1</v>
      </c>
      <c r="L173" s="367">
        <v>8</v>
      </c>
      <c r="M173" s="367" t="s">
        <v>607</v>
      </c>
      <c r="N173" s="367"/>
      <c r="O173" s="367"/>
      <c r="P173" s="367"/>
      <c r="Q173" s="367"/>
      <c r="R173" s="210"/>
    </row>
    <row r="174" spans="2:18" s="240" customFormat="1" ht="13.5" customHeight="1" thickTop="1" thickBot="1">
      <c r="B174" s="241"/>
      <c r="C174" s="148"/>
      <c r="D174" s="218" t="s">
        <v>472</v>
      </c>
      <c r="E174" s="370" t="s">
        <v>2791</v>
      </c>
      <c r="F174" s="368"/>
      <c r="G174" s="368"/>
      <c r="H174" s="368"/>
      <c r="I174" s="366"/>
      <c r="J174" s="368" t="s">
        <v>207</v>
      </c>
      <c r="K174" s="368">
        <v>1</v>
      </c>
      <c r="L174" s="368">
        <v>5</v>
      </c>
      <c r="M174" s="368" t="s">
        <v>607</v>
      </c>
      <c r="N174" s="368"/>
      <c r="O174" s="368"/>
      <c r="P174" s="368"/>
      <c r="Q174" s="368"/>
      <c r="R174" s="211"/>
    </row>
    <row r="175" spans="2:18" s="240" customFormat="1" ht="13.5" customHeight="1" thickTop="1" thickBot="1">
      <c r="B175" s="241"/>
      <c r="C175" s="148"/>
      <c r="D175" s="218" t="s">
        <v>473</v>
      </c>
      <c r="E175" s="370" t="s">
        <v>2790</v>
      </c>
      <c r="F175" s="368"/>
      <c r="G175" s="368"/>
      <c r="H175" s="368"/>
      <c r="I175" s="366"/>
      <c r="J175" s="368" t="s">
        <v>207</v>
      </c>
      <c r="K175" s="368">
        <v>1</v>
      </c>
      <c r="L175" s="368">
        <v>5</v>
      </c>
      <c r="M175" s="368" t="s">
        <v>607</v>
      </c>
      <c r="N175" s="368"/>
      <c r="O175" s="368"/>
      <c r="P175" s="368"/>
      <c r="Q175" s="368"/>
      <c r="R175" s="211"/>
    </row>
    <row r="176" spans="2:18" s="240" customFormat="1" ht="13.5" customHeight="1" thickTop="1" thickBot="1">
      <c r="B176" s="241"/>
      <c r="C176" s="148"/>
      <c r="D176" s="218" t="s">
        <v>474</v>
      </c>
      <c r="E176" s="370" t="s">
        <v>2789</v>
      </c>
      <c r="F176" s="368"/>
      <c r="G176" s="368"/>
      <c r="H176" s="368"/>
      <c r="I176" s="366"/>
      <c r="J176" s="368" t="s">
        <v>207</v>
      </c>
      <c r="K176" s="368">
        <v>1</v>
      </c>
      <c r="L176" s="368">
        <v>5</v>
      </c>
      <c r="M176" s="368" t="s">
        <v>607</v>
      </c>
      <c r="N176" s="368"/>
      <c r="O176" s="368"/>
      <c r="P176" s="368"/>
      <c r="Q176" s="368"/>
      <c r="R176" s="211"/>
    </row>
    <row r="177" spans="2:18" s="240" customFormat="1" ht="13.5" customHeight="1" thickTop="1" thickBot="1">
      <c r="B177" s="241"/>
      <c r="C177" s="148"/>
      <c r="D177" s="218" t="s">
        <v>475</v>
      </c>
      <c r="E177" s="370" t="s">
        <v>2788</v>
      </c>
      <c r="F177" s="368"/>
      <c r="G177" s="368"/>
      <c r="H177" s="368"/>
      <c r="I177" s="366"/>
      <c r="J177" s="368" t="s">
        <v>207</v>
      </c>
      <c r="K177" s="368">
        <v>1</v>
      </c>
      <c r="L177" s="368">
        <v>5</v>
      </c>
      <c r="M177" s="368" t="s">
        <v>607</v>
      </c>
      <c r="N177" s="368"/>
      <c r="O177" s="368"/>
      <c r="P177" s="368"/>
      <c r="Q177" s="368"/>
      <c r="R177" s="211"/>
    </row>
    <row r="178" spans="2:18" s="240" customFormat="1" ht="13.5" customHeight="1" thickTop="1" thickBot="1">
      <c r="B178" s="241"/>
      <c r="C178" s="148"/>
      <c r="D178" s="214" t="s">
        <v>476</v>
      </c>
      <c r="E178" s="369" t="s">
        <v>2787</v>
      </c>
      <c r="F178" s="367"/>
      <c r="G178" s="367"/>
      <c r="H178" s="367"/>
      <c r="I178" s="365"/>
      <c r="J178" s="367" t="s">
        <v>207</v>
      </c>
      <c r="K178" s="367">
        <v>1</v>
      </c>
      <c r="L178" s="367">
        <v>5</v>
      </c>
      <c r="M178" s="367" t="s">
        <v>607</v>
      </c>
      <c r="N178" s="367"/>
      <c r="O178" s="367"/>
      <c r="P178" s="367"/>
      <c r="Q178" s="367"/>
      <c r="R178" s="210"/>
    </row>
    <row r="179" spans="2:18" s="240" customFormat="1" ht="13.5" customHeight="1" thickTop="1" thickBot="1">
      <c r="B179" s="241"/>
      <c r="C179" s="148"/>
      <c r="D179" s="214" t="s">
        <v>477</v>
      </c>
      <c r="E179" s="369" t="s">
        <v>2786</v>
      </c>
      <c r="F179" s="367"/>
      <c r="G179" s="367"/>
      <c r="H179" s="367"/>
      <c r="I179" s="365"/>
      <c r="J179" s="367" t="s">
        <v>207</v>
      </c>
      <c r="K179" s="367">
        <v>0</v>
      </c>
      <c r="L179" s="367">
        <v>14</v>
      </c>
      <c r="M179" s="367" t="s">
        <v>607</v>
      </c>
      <c r="N179" s="367"/>
      <c r="O179" s="367"/>
      <c r="P179" s="367"/>
      <c r="Q179" s="367"/>
      <c r="R179" s="210"/>
    </row>
    <row r="180" spans="2:18" s="240" customFormat="1" ht="13.5" customHeight="1" thickTop="1" thickBot="1">
      <c r="B180" s="241"/>
      <c r="C180" s="148"/>
      <c r="D180" s="214" t="s">
        <v>478</v>
      </c>
      <c r="E180" s="369" t="s">
        <v>2785</v>
      </c>
      <c r="F180" s="367"/>
      <c r="G180" s="367"/>
      <c r="H180" s="367"/>
      <c r="I180" s="365"/>
      <c r="J180" s="367" t="s">
        <v>207</v>
      </c>
      <c r="K180" s="367">
        <v>0</v>
      </c>
      <c r="L180" s="367">
        <v>14</v>
      </c>
      <c r="M180" s="367" t="s">
        <v>607</v>
      </c>
      <c r="N180" s="367"/>
      <c r="O180" s="367"/>
      <c r="P180" s="367"/>
      <c r="Q180" s="367"/>
      <c r="R180" s="210"/>
    </row>
    <row r="181" spans="2:18" s="240" customFormat="1" ht="13.5" customHeight="1" thickTop="1" thickBot="1">
      <c r="B181" s="241"/>
      <c r="C181" s="148"/>
      <c r="D181" s="214" t="s">
        <v>479</v>
      </c>
      <c r="E181" s="369" t="s">
        <v>2784</v>
      </c>
      <c r="F181" s="367"/>
      <c r="G181" s="367"/>
      <c r="H181" s="367"/>
      <c r="I181" s="365"/>
      <c r="J181" s="367" t="s">
        <v>207</v>
      </c>
      <c r="K181" s="367">
        <v>0</v>
      </c>
      <c r="L181" s="367">
        <v>14</v>
      </c>
      <c r="M181" s="367" t="s">
        <v>607</v>
      </c>
      <c r="N181" s="367"/>
      <c r="O181" s="367"/>
      <c r="P181" s="367"/>
      <c r="Q181" s="367"/>
      <c r="R181" s="210"/>
    </row>
    <row r="182" spans="2:18" s="240" customFormat="1" ht="13.5" customHeight="1" thickTop="1" thickBot="1">
      <c r="B182" s="241"/>
      <c r="C182" s="148"/>
      <c r="D182" s="218" t="s">
        <v>480</v>
      </c>
      <c r="E182" s="370" t="s">
        <v>2783</v>
      </c>
      <c r="F182" s="368"/>
      <c r="G182" s="368"/>
      <c r="H182" s="368"/>
      <c r="I182" s="366"/>
      <c r="J182" s="368"/>
      <c r="K182" s="368"/>
      <c r="L182" s="368"/>
      <c r="M182" s="368"/>
      <c r="N182" s="368"/>
      <c r="O182" s="368"/>
      <c r="P182" s="368"/>
      <c r="Q182" s="368"/>
      <c r="R182" s="211"/>
    </row>
    <row r="183" spans="2:18" s="240" customFormat="1" ht="13.5" customHeight="1" thickTop="1" thickBot="1">
      <c r="B183" s="241"/>
      <c r="C183" s="148"/>
      <c r="D183" s="218" t="s">
        <v>481</v>
      </c>
      <c r="E183" s="370" t="s">
        <v>2782</v>
      </c>
      <c r="F183" s="368"/>
      <c r="G183" s="368"/>
      <c r="H183" s="368"/>
      <c r="I183" s="366"/>
      <c r="J183" s="368"/>
      <c r="K183" s="368"/>
      <c r="L183" s="368"/>
      <c r="M183" s="368"/>
      <c r="N183" s="368"/>
      <c r="O183" s="368"/>
      <c r="P183" s="368"/>
      <c r="Q183" s="368"/>
      <c r="R183" s="211"/>
    </row>
    <row r="184" spans="2:18" s="240" customFormat="1" ht="13.5" customHeight="1" thickTop="1" thickBot="1">
      <c r="B184" s="241"/>
      <c r="C184" s="148"/>
      <c r="D184" s="218" t="s">
        <v>482</v>
      </c>
      <c r="E184" s="370" t="s">
        <v>2781</v>
      </c>
      <c r="F184" s="368"/>
      <c r="G184" s="368"/>
      <c r="H184" s="368"/>
      <c r="I184" s="366"/>
      <c r="J184" s="368" t="s">
        <v>207</v>
      </c>
      <c r="K184" s="368">
        <v>0</v>
      </c>
      <c r="L184" s="368">
        <v>14</v>
      </c>
      <c r="M184" s="368" t="s">
        <v>607</v>
      </c>
      <c r="N184" s="368"/>
      <c r="O184" s="368"/>
      <c r="P184" s="368"/>
      <c r="Q184" s="368"/>
      <c r="R184" s="211"/>
    </row>
    <row r="185" spans="2:18" s="240" customFormat="1" ht="13.5" customHeight="1" thickTop="1" thickBot="1">
      <c r="B185" s="241"/>
      <c r="C185" s="148"/>
      <c r="D185" s="218" t="s">
        <v>483</v>
      </c>
      <c r="E185" s="370" t="s">
        <v>2780</v>
      </c>
      <c r="F185" s="368"/>
      <c r="G185" s="368"/>
      <c r="H185" s="368"/>
      <c r="I185" s="366"/>
      <c r="J185" s="368"/>
      <c r="K185" s="368"/>
      <c r="L185" s="368"/>
      <c r="M185" s="368"/>
      <c r="N185" s="368"/>
      <c r="O185" s="368"/>
      <c r="P185" s="368"/>
      <c r="Q185" s="368"/>
      <c r="R185" s="211"/>
    </row>
    <row r="186" spans="2:18" s="240" customFormat="1" ht="13.5" customHeight="1" thickTop="1" thickBot="1">
      <c r="B186" s="241"/>
      <c r="C186" s="148"/>
      <c r="D186" s="212" t="s">
        <v>484</v>
      </c>
      <c r="E186" s="369" t="s">
        <v>2779</v>
      </c>
      <c r="F186" s="367"/>
      <c r="G186" s="367"/>
      <c r="H186" s="367"/>
      <c r="I186" s="365"/>
      <c r="J186" s="367"/>
      <c r="K186" s="367"/>
      <c r="L186" s="367"/>
      <c r="M186" s="367"/>
      <c r="N186" s="367"/>
      <c r="O186" s="367"/>
      <c r="P186" s="367"/>
      <c r="Q186" s="367"/>
      <c r="R186" s="210"/>
    </row>
    <row r="187" spans="2:18" s="240" customFormat="1" ht="13.5" customHeight="1" thickTop="1" thickBot="1">
      <c r="B187" s="241"/>
      <c r="C187" s="148"/>
      <c r="D187" s="214" t="s">
        <v>485</v>
      </c>
      <c r="E187" s="369" t="s">
        <v>2778</v>
      </c>
      <c r="F187" s="367"/>
      <c r="G187" s="367"/>
      <c r="H187" s="367"/>
      <c r="I187" s="365"/>
      <c r="J187" s="367"/>
      <c r="K187" s="367"/>
      <c r="L187" s="367"/>
      <c r="M187" s="367"/>
      <c r="N187" s="367"/>
      <c r="O187" s="367"/>
      <c r="P187" s="367"/>
      <c r="Q187" s="367"/>
      <c r="R187" s="210"/>
    </row>
    <row r="188" spans="2:18" s="240" customFormat="1" ht="13.5" customHeight="1" thickTop="1" thickBot="1">
      <c r="B188" s="241"/>
      <c r="C188" s="148"/>
      <c r="D188" s="214" t="s">
        <v>486</v>
      </c>
      <c r="E188" s="369" t="s">
        <v>2777</v>
      </c>
      <c r="F188" s="367"/>
      <c r="G188" s="367"/>
      <c r="H188" s="367"/>
      <c r="I188" s="365"/>
      <c r="J188" s="367"/>
      <c r="K188" s="367"/>
      <c r="L188" s="367"/>
      <c r="M188" s="367"/>
      <c r="N188" s="367"/>
      <c r="O188" s="367"/>
      <c r="P188" s="367"/>
      <c r="Q188" s="367"/>
      <c r="R188" s="210"/>
    </row>
    <row r="189" spans="2:18" s="240" customFormat="1" ht="13.5" customHeight="1" thickTop="1" thickBot="1">
      <c r="B189" s="241"/>
      <c r="C189" s="148"/>
      <c r="D189" s="214" t="s">
        <v>487</v>
      </c>
      <c r="E189" s="369" t="s">
        <v>2776</v>
      </c>
      <c r="F189" s="367"/>
      <c r="G189" s="367"/>
      <c r="H189" s="367"/>
      <c r="I189" s="365"/>
      <c r="J189" s="367"/>
      <c r="K189" s="367"/>
      <c r="L189" s="367"/>
      <c r="M189" s="367"/>
      <c r="N189" s="367"/>
      <c r="O189" s="367"/>
      <c r="P189" s="367"/>
      <c r="Q189" s="367"/>
      <c r="R189" s="210"/>
    </row>
    <row r="190" spans="2:18" s="240" customFormat="1" ht="13.5" customHeight="1" thickTop="1" thickBot="1">
      <c r="B190" s="241"/>
      <c r="C190" s="148"/>
      <c r="D190" s="219" t="s">
        <v>488</v>
      </c>
      <c r="E190" s="370" t="s">
        <v>2775</v>
      </c>
      <c r="F190" s="368"/>
      <c r="G190" s="368"/>
      <c r="H190" s="368"/>
      <c r="I190" s="366"/>
      <c r="J190" s="368"/>
      <c r="K190" s="368"/>
      <c r="L190" s="368"/>
      <c r="M190" s="368"/>
      <c r="N190" s="368"/>
      <c r="O190" s="368"/>
      <c r="P190" s="368"/>
      <c r="Q190" s="368"/>
      <c r="R190" s="211"/>
    </row>
    <row r="191" spans="2:18" s="240" customFormat="1" ht="13.5" customHeight="1" thickTop="1" thickBot="1">
      <c r="B191" s="241"/>
      <c r="C191" s="148"/>
      <c r="D191" s="216" t="s">
        <v>489</v>
      </c>
      <c r="E191" s="370" t="s">
        <v>2774</v>
      </c>
      <c r="F191" s="368"/>
      <c r="G191" s="368"/>
      <c r="H191" s="368"/>
      <c r="I191" s="366"/>
      <c r="J191" s="368"/>
      <c r="K191" s="368"/>
      <c r="L191" s="368"/>
      <c r="M191" s="368"/>
      <c r="N191" s="368"/>
      <c r="O191" s="368"/>
      <c r="P191" s="368"/>
      <c r="Q191" s="368"/>
      <c r="R191" s="211"/>
    </row>
    <row r="192" spans="2:18" s="240" customFormat="1" ht="13.5" customHeight="1" thickTop="1" thickBot="1">
      <c r="B192" s="241"/>
      <c r="C192" s="148"/>
      <c r="D192" s="218" t="s">
        <v>490</v>
      </c>
      <c r="E192" s="370" t="s">
        <v>2773</v>
      </c>
      <c r="F192" s="368"/>
      <c r="G192" s="368"/>
      <c r="H192" s="368"/>
      <c r="I192" s="366"/>
      <c r="J192" s="368" t="s">
        <v>207</v>
      </c>
      <c r="K192" s="368">
        <v>0</v>
      </c>
      <c r="L192" s="368">
        <v>14</v>
      </c>
      <c r="M192" s="368" t="s">
        <v>607</v>
      </c>
      <c r="N192" s="368"/>
      <c r="O192" s="368"/>
      <c r="P192" s="368"/>
      <c r="Q192" s="368"/>
      <c r="R192" s="211"/>
    </row>
    <row r="193" spans="2:18" s="240" customFormat="1" ht="13.5" customHeight="1" thickTop="1" thickBot="1">
      <c r="B193" s="241"/>
      <c r="C193" s="148"/>
      <c r="D193" s="218" t="s">
        <v>491</v>
      </c>
      <c r="E193" s="370" t="s">
        <v>2772</v>
      </c>
      <c r="F193" s="368"/>
      <c r="G193" s="368"/>
      <c r="H193" s="368"/>
      <c r="I193" s="366"/>
      <c r="J193" s="368"/>
      <c r="K193" s="368"/>
      <c r="L193" s="368"/>
      <c r="M193" s="368"/>
      <c r="N193" s="368"/>
      <c r="O193" s="368"/>
      <c r="P193" s="368"/>
      <c r="Q193" s="368"/>
      <c r="R193" s="211"/>
    </row>
    <row r="194" spans="2:18" s="240" customFormat="1" ht="13.5" customHeight="1" thickTop="1" thickBot="1">
      <c r="B194" s="241"/>
      <c r="C194" s="148"/>
      <c r="D194" s="214" t="s">
        <v>492</v>
      </c>
      <c r="E194" s="369" t="s">
        <v>2771</v>
      </c>
      <c r="F194" s="367"/>
      <c r="G194" s="367"/>
      <c r="H194" s="367"/>
      <c r="I194" s="365"/>
      <c r="J194" s="367"/>
      <c r="K194" s="367"/>
      <c r="L194" s="367"/>
      <c r="M194" s="367"/>
      <c r="N194" s="367"/>
      <c r="O194" s="367"/>
      <c r="P194" s="367"/>
      <c r="Q194" s="367"/>
      <c r="R194" s="210"/>
    </row>
    <row r="195" spans="2:18" s="240" customFormat="1" ht="13.5" customHeight="1" thickTop="1" thickBot="1">
      <c r="B195" s="241"/>
      <c r="C195" s="148"/>
      <c r="D195" s="214" t="s">
        <v>493</v>
      </c>
      <c r="E195" s="369" t="s">
        <v>2770</v>
      </c>
      <c r="F195" s="367"/>
      <c r="G195" s="367"/>
      <c r="H195" s="367"/>
      <c r="I195" s="365"/>
      <c r="J195" s="367"/>
      <c r="K195" s="367"/>
      <c r="L195" s="367"/>
      <c r="M195" s="367"/>
      <c r="N195" s="367"/>
      <c r="O195" s="367"/>
      <c r="P195" s="367"/>
      <c r="Q195" s="367"/>
      <c r="R195" s="210"/>
    </row>
    <row r="196" spans="2:18" s="240" customFormat="1" ht="13.5" customHeight="1" thickTop="1" thickBot="1">
      <c r="B196" s="241"/>
      <c r="C196" s="148"/>
      <c r="D196" s="214" t="s">
        <v>494</v>
      </c>
      <c r="E196" s="369" t="s">
        <v>2769</v>
      </c>
      <c r="F196" s="367"/>
      <c r="G196" s="367"/>
      <c r="H196" s="367"/>
      <c r="I196" s="365"/>
      <c r="J196" s="367"/>
      <c r="K196" s="367"/>
      <c r="L196" s="367"/>
      <c r="M196" s="367"/>
      <c r="N196" s="367"/>
      <c r="O196" s="367"/>
      <c r="P196" s="367"/>
      <c r="Q196" s="367"/>
      <c r="R196" s="210"/>
    </row>
    <row r="197" spans="2:18" s="240" customFormat="1" ht="13.5" customHeight="1" thickTop="1" thickBot="1">
      <c r="B197" s="241"/>
      <c r="C197" s="148"/>
      <c r="D197" s="214" t="s">
        <v>495</v>
      </c>
      <c r="E197" s="369" t="s">
        <v>2768</v>
      </c>
      <c r="F197" s="367"/>
      <c r="G197" s="367"/>
      <c r="H197" s="367"/>
      <c r="I197" s="365"/>
      <c r="J197" s="367"/>
      <c r="K197" s="367"/>
      <c r="L197" s="367"/>
      <c r="M197" s="367"/>
      <c r="N197" s="367"/>
      <c r="O197" s="367"/>
      <c r="P197" s="367"/>
      <c r="Q197" s="367"/>
      <c r="R197" s="210"/>
    </row>
    <row r="198" spans="2:18" s="240" customFormat="1" ht="13.5" customHeight="1" thickTop="1" thickBot="1">
      <c r="B198" s="241"/>
      <c r="C198" s="148"/>
      <c r="D198" s="218" t="s">
        <v>496</v>
      </c>
      <c r="E198" s="370" t="s">
        <v>2767</v>
      </c>
      <c r="F198" s="368"/>
      <c r="G198" s="368"/>
      <c r="H198" s="368"/>
      <c r="I198" s="366"/>
      <c r="J198" s="368" t="s">
        <v>207</v>
      </c>
      <c r="K198" s="368">
        <v>0</v>
      </c>
      <c r="L198" s="368">
        <v>14</v>
      </c>
      <c r="M198" s="368" t="s">
        <v>607</v>
      </c>
      <c r="N198" s="368"/>
      <c r="O198" s="368"/>
      <c r="P198" s="368"/>
      <c r="Q198" s="368"/>
      <c r="R198" s="211"/>
    </row>
    <row r="199" spans="2:18" s="240" customFormat="1" ht="13.5" customHeight="1" thickTop="1" thickBot="1">
      <c r="B199" s="241"/>
      <c r="C199" s="148"/>
      <c r="D199" s="218" t="s">
        <v>497</v>
      </c>
      <c r="E199" s="370" t="s">
        <v>2766</v>
      </c>
      <c r="F199" s="368"/>
      <c r="G199" s="368"/>
      <c r="H199" s="368"/>
      <c r="I199" s="366"/>
      <c r="J199" s="368" t="s">
        <v>207</v>
      </c>
      <c r="K199" s="368">
        <v>0</v>
      </c>
      <c r="L199" s="368">
        <v>14</v>
      </c>
      <c r="M199" s="368" t="s">
        <v>607</v>
      </c>
      <c r="N199" s="368"/>
      <c r="O199" s="368"/>
      <c r="P199" s="368"/>
      <c r="Q199" s="368"/>
      <c r="R199" s="211"/>
    </row>
    <row r="200" spans="2:18" s="240" customFormat="1" ht="13.5" customHeight="1" thickTop="1" thickBot="1">
      <c r="B200" s="241"/>
      <c r="C200" s="148"/>
      <c r="D200" s="218" t="s">
        <v>498</v>
      </c>
      <c r="E200" s="370" t="s">
        <v>2765</v>
      </c>
      <c r="F200" s="368"/>
      <c r="G200" s="368"/>
      <c r="H200" s="368"/>
      <c r="I200" s="366"/>
      <c r="J200" s="368" t="s">
        <v>207</v>
      </c>
      <c r="K200" s="368">
        <v>0</v>
      </c>
      <c r="L200" s="368">
        <v>14</v>
      </c>
      <c r="M200" s="368" t="s">
        <v>607</v>
      </c>
      <c r="N200" s="368"/>
      <c r="O200" s="368"/>
      <c r="P200" s="368"/>
      <c r="Q200" s="368"/>
      <c r="R200" s="211"/>
    </row>
    <row r="201" spans="2:18" s="240" customFormat="1" ht="13.5" customHeight="1" thickTop="1" thickBot="1">
      <c r="B201" s="241"/>
      <c r="C201" s="148"/>
      <c r="D201" s="218" t="s">
        <v>499</v>
      </c>
      <c r="E201" s="370" t="s">
        <v>2764</v>
      </c>
      <c r="F201" s="368"/>
      <c r="G201" s="368"/>
      <c r="H201" s="368"/>
      <c r="I201" s="366"/>
      <c r="J201" s="368" t="s">
        <v>20</v>
      </c>
      <c r="K201" s="368">
        <v>1</v>
      </c>
      <c r="L201" s="368">
        <v>8</v>
      </c>
      <c r="M201" s="368" t="s">
        <v>607</v>
      </c>
      <c r="N201" s="368" t="s">
        <v>207</v>
      </c>
      <c r="O201" s="368">
        <v>1</v>
      </c>
      <c r="P201" s="368">
        <v>8</v>
      </c>
      <c r="Q201" s="368" t="s">
        <v>607</v>
      </c>
      <c r="R201" s="211"/>
    </row>
    <row r="202" spans="2:18" s="240" customFormat="1" ht="13.5" customHeight="1" thickTop="1" thickBot="1">
      <c r="B202" s="241"/>
      <c r="C202" s="148"/>
      <c r="D202" s="214" t="s">
        <v>500</v>
      </c>
      <c r="E202" s="369" t="s">
        <v>2763</v>
      </c>
      <c r="F202" s="367"/>
      <c r="G202" s="367"/>
      <c r="H202" s="367"/>
      <c r="I202" s="365"/>
      <c r="J202" s="367" t="s">
        <v>20</v>
      </c>
      <c r="K202" s="367">
        <v>1</v>
      </c>
      <c r="L202" s="367">
        <v>8</v>
      </c>
      <c r="M202" s="367" t="s">
        <v>607</v>
      </c>
      <c r="N202" s="367" t="s">
        <v>207</v>
      </c>
      <c r="O202" s="367">
        <v>1</v>
      </c>
      <c r="P202" s="367">
        <v>8</v>
      </c>
      <c r="Q202" s="367" t="s">
        <v>607</v>
      </c>
      <c r="R202" s="210"/>
    </row>
    <row r="203" spans="2:18" s="240" customFormat="1" ht="13.5" customHeight="1" thickTop="1" thickBot="1">
      <c r="B203" s="241"/>
      <c r="C203" s="148"/>
      <c r="D203" s="214" t="s">
        <v>501</v>
      </c>
      <c r="E203" s="369" t="s">
        <v>2762</v>
      </c>
      <c r="F203" s="367"/>
      <c r="G203" s="367"/>
      <c r="H203" s="367"/>
      <c r="I203" s="365"/>
      <c r="J203" s="367" t="s">
        <v>20</v>
      </c>
      <c r="K203" s="367">
        <v>1</v>
      </c>
      <c r="L203" s="367">
        <v>14</v>
      </c>
      <c r="M203" s="367" t="s">
        <v>607</v>
      </c>
      <c r="N203" s="367" t="s">
        <v>207</v>
      </c>
      <c r="O203" s="367">
        <v>1</v>
      </c>
      <c r="P203" s="367">
        <v>14</v>
      </c>
      <c r="Q203" s="367" t="s">
        <v>607</v>
      </c>
      <c r="R203" s="210"/>
    </row>
    <row r="204" spans="2:18" s="240" customFormat="1" ht="13.5" customHeight="1" thickTop="1" thickBot="1">
      <c r="B204" s="241"/>
      <c r="C204" s="148"/>
      <c r="D204" s="214" t="s">
        <v>502</v>
      </c>
      <c r="E204" s="369" t="s">
        <v>2761</v>
      </c>
      <c r="F204" s="367"/>
      <c r="G204" s="367"/>
      <c r="H204" s="367"/>
      <c r="I204" s="365"/>
      <c r="J204" s="367" t="s">
        <v>20</v>
      </c>
      <c r="K204" s="367">
        <v>1</v>
      </c>
      <c r="L204" s="367">
        <v>8</v>
      </c>
      <c r="M204" s="367" t="s">
        <v>607</v>
      </c>
      <c r="N204" s="367" t="s">
        <v>207</v>
      </c>
      <c r="O204" s="367">
        <v>1</v>
      </c>
      <c r="P204" s="367">
        <v>8</v>
      </c>
      <c r="Q204" s="367" t="s">
        <v>607</v>
      </c>
      <c r="R204" s="210"/>
    </row>
    <row r="205" spans="2:18" s="240" customFormat="1" ht="13.5" customHeight="1" thickTop="1" thickBot="1">
      <c r="B205" s="241"/>
      <c r="C205" s="148"/>
      <c r="D205" s="214" t="s">
        <v>503</v>
      </c>
      <c r="E205" s="369" t="s">
        <v>2760</v>
      </c>
      <c r="F205" s="367"/>
      <c r="G205" s="367"/>
      <c r="H205" s="367"/>
      <c r="I205" s="365"/>
      <c r="J205" s="367" t="s">
        <v>20</v>
      </c>
      <c r="K205" s="367">
        <v>1</v>
      </c>
      <c r="L205" s="367">
        <v>8</v>
      </c>
      <c r="M205" s="367" t="s">
        <v>607</v>
      </c>
      <c r="N205" s="367" t="s">
        <v>207</v>
      </c>
      <c r="O205" s="367">
        <v>1</v>
      </c>
      <c r="P205" s="367">
        <v>8</v>
      </c>
      <c r="Q205" s="367" t="s">
        <v>607</v>
      </c>
      <c r="R205" s="210"/>
    </row>
    <row r="206" spans="2:18" s="240" customFormat="1" ht="13.5" customHeight="1" thickTop="1" thickBot="1">
      <c r="B206" s="241"/>
      <c r="C206" s="148"/>
      <c r="D206" s="218" t="s">
        <v>504</v>
      </c>
      <c r="E206" s="370" t="s">
        <v>2759</v>
      </c>
      <c r="F206" s="368"/>
      <c r="G206" s="368"/>
      <c r="H206" s="368"/>
      <c r="I206" s="366"/>
      <c r="J206" s="368" t="s">
        <v>20</v>
      </c>
      <c r="K206" s="368">
        <v>1</v>
      </c>
      <c r="L206" s="368">
        <v>14</v>
      </c>
      <c r="M206" s="368" t="s">
        <v>607</v>
      </c>
      <c r="N206" s="368" t="s">
        <v>207</v>
      </c>
      <c r="O206" s="368">
        <v>1</v>
      </c>
      <c r="P206" s="368">
        <v>14</v>
      </c>
      <c r="Q206" s="368" t="s">
        <v>607</v>
      </c>
      <c r="R206" s="211"/>
    </row>
    <row r="207" spans="2:18" s="240" customFormat="1" ht="13.5" customHeight="1" thickTop="1" thickBot="1">
      <c r="B207" s="241"/>
      <c r="C207" s="148"/>
      <c r="D207" s="218" t="s">
        <v>505</v>
      </c>
      <c r="E207" s="370" t="s">
        <v>2758</v>
      </c>
      <c r="F207" s="368"/>
      <c r="G207" s="368"/>
      <c r="H207" s="368"/>
      <c r="I207" s="366"/>
      <c r="J207" s="368" t="s">
        <v>207</v>
      </c>
      <c r="K207" s="368">
        <v>0</v>
      </c>
      <c r="L207" s="368">
        <v>15</v>
      </c>
      <c r="M207" s="368" t="s">
        <v>607</v>
      </c>
      <c r="N207" s="368"/>
      <c r="O207" s="368"/>
      <c r="P207" s="368"/>
      <c r="Q207" s="368"/>
      <c r="R207" s="211"/>
    </row>
    <row r="208" spans="2:18" s="240" customFormat="1" ht="13.5" customHeight="1" thickTop="1" thickBot="1">
      <c r="B208" s="241"/>
      <c r="C208" s="148"/>
      <c r="D208" s="218" t="s">
        <v>506</v>
      </c>
      <c r="E208" s="370" t="s">
        <v>2757</v>
      </c>
      <c r="F208" s="368"/>
      <c r="G208" s="368"/>
      <c r="H208" s="368"/>
      <c r="I208" s="366"/>
      <c r="J208" s="368" t="s">
        <v>207</v>
      </c>
      <c r="K208" s="368">
        <v>0</v>
      </c>
      <c r="L208" s="368">
        <v>15</v>
      </c>
      <c r="M208" s="368" t="s">
        <v>607</v>
      </c>
      <c r="N208" s="368"/>
      <c r="O208" s="368"/>
      <c r="P208" s="368"/>
      <c r="Q208" s="368"/>
      <c r="R208" s="211"/>
    </row>
    <row r="209" spans="2:18" s="240" customFormat="1" ht="13.5" customHeight="1" thickTop="1" thickBot="1">
      <c r="B209" s="241"/>
      <c r="C209" s="148"/>
      <c r="D209" s="218" t="s">
        <v>507</v>
      </c>
      <c r="E209" s="370" t="s">
        <v>2756</v>
      </c>
      <c r="F209" s="368"/>
      <c r="G209" s="368"/>
      <c r="H209" s="368"/>
      <c r="I209" s="366"/>
      <c r="J209" s="368" t="s">
        <v>207</v>
      </c>
      <c r="K209" s="368">
        <v>0</v>
      </c>
      <c r="L209" s="368">
        <v>15</v>
      </c>
      <c r="M209" s="368" t="s">
        <v>607</v>
      </c>
      <c r="N209" s="368"/>
      <c r="O209" s="368"/>
      <c r="P209" s="368"/>
      <c r="Q209" s="368"/>
      <c r="R209" s="211"/>
    </row>
    <row r="210" spans="2:18" s="240" customFormat="1" ht="13.5" customHeight="1" thickTop="1" thickBot="1">
      <c r="B210" s="241"/>
      <c r="C210" s="148"/>
      <c r="D210" s="214" t="s">
        <v>508</v>
      </c>
      <c r="E210" s="369" t="s">
        <v>2755</v>
      </c>
      <c r="F210" s="367"/>
      <c r="G210" s="367"/>
      <c r="H210" s="367"/>
      <c r="I210" s="365"/>
      <c r="J210" s="367" t="s">
        <v>207</v>
      </c>
      <c r="K210" s="367">
        <v>0</v>
      </c>
      <c r="L210" s="367">
        <v>15</v>
      </c>
      <c r="M210" s="367" t="s">
        <v>607</v>
      </c>
      <c r="N210" s="367"/>
      <c r="O210" s="367"/>
      <c r="P210" s="367"/>
      <c r="Q210" s="367"/>
      <c r="R210" s="210"/>
    </row>
    <row r="211" spans="2:18" s="240" customFormat="1" ht="13.5" customHeight="1" thickTop="1" thickBot="1">
      <c r="B211" s="241"/>
      <c r="C211" s="148"/>
      <c r="D211" s="214" t="s">
        <v>509</v>
      </c>
      <c r="E211" s="369" t="s">
        <v>2754</v>
      </c>
      <c r="F211" s="367"/>
      <c r="G211" s="367"/>
      <c r="H211" s="367"/>
      <c r="I211" s="365"/>
      <c r="J211" s="367" t="s">
        <v>207</v>
      </c>
      <c r="K211" s="367">
        <v>0</v>
      </c>
      <c r="L211" s="367">
        <v>15</v>
      </c>
      <c r="M211" s="367" t="s">
        <v>607</v>
      </c>
      <c r="N211" s="367"/>
      <c r="O211" s="367"/>
      <c r="P211" s="367"/>
      <c r="Q211" s="367"/>
      <c r="R211" s="210"/>
    </row>
    <row r="212" spans="2:18" s="240" customFormat="1" ht="13.5" customHeight="1" thickTop="1" thickBot="1">
      <c r="B212" s="241"/>
      <c r="C212" s="148"/>
      <c r="D212" s="214" t="s">
        <v>510</v>
      </c>
      <c r="E212" s="369" t="s">
        <v>2753</v>
      </c>
      <c r="F212" s="367"/>
      <c r="G212" s="367"/>
      <c r="H212" s="367"/>
      <c r="I212" s="365"/>
      <c r="J212" s="367" t="s">
        <v>207</v>
      </c>
      <c r="K212" s="367">
        <v>0</v>
      </c>
      <c r="L212" s="367">
        <v>15</v>
      </c>
      <c r="M212" s="367" t="s">
        <v>607</v>
      </c>
      <c r="N212" s="367"/>
      <c r="O212" s="367"/>
      <c r="P212" s="367"/>
      <c r="Q212" s="367"/>
      <c r="R212" s="210"/>
    </row>
    <row r="213" spans="2:18" s="240" customFormat="1" ht="13.5" customHeight="1" thickTop="1" thickBot="1">
      <c r="B213" s="241"/>
      <c r="C213" s="148"/>
      <c r="D213" s="214" t="s">
        <v>511</v>
      </c>
      <c r="E213" s="369" t="s">
        <v>2752</v>
      </c>
      <c r="F213" s="367"/>
      <c r="G213" s="367"/>
      <c r="H213" s="367"/>
      <c r="I213" s="365"/>
      <c r="J213" s="367" t="s">
        <v>207</v>
      </c>
      <c r="K213" s="367">
        <v>0</v>
      </c>
      <c r="L213" s="367">
        <v>2</v>
      </c>
      <c r="M213" s="367" t="s">
        <v>607</v>
      </c>
      <c r="N213" s="367"/>
      <c r="O213" s="367"/>
      <c r="P213" s="367"/>
      <c r="Q213" s="367"/>
      <c r="R213" s="210"/>
    </row>
    <row r="214" spans="2:18" s="240" customFormat="1" ht="13.5" customHeight="1" thickTop="1" thickBot="1">
      <c r="B214" s="241"/>
      <c r="C214" s="148"/>
      <c r="D214" s="218" t="s">
        <v>512</v>
      </c>
      <c r="E214" s="370" t="s">
        <v>2751</v>
      </c>
      <c r="F214" s="368"/>
      <c r="G214" s="368"/>
      <c r="H214" s="368"/>
      <c r="I214" s="366"/>
      <c r="J214" s="368" t="s">
        <v>207</v>
      </c>
      <c r="K214" s="368">
        <v>0</v>
      </c>
      <c r="L214" s="368">
        <v>2</v>
      </c>
      <c r="M214" s="368" t="s">
        <v>607</v>
      </c>
      <c r="N214" s="368"/>
      <c r="O214" s="368"/>
      <c r="P214" s="368"/>
      <c r="Q214" s="368"/>
      <c r="R214" s="211"/>
    </row>
    <row r="215" spans="2:18" s="240" customFormat="1" ht="13.5" customHeight="1" thickTop="1" thickBot="1">
      <c r="B215" s="241"/>
      <c r="C215" s="148"/>
      <c r="D215" s="218" t="s">
        <v>513</v>
      </c>
      <c r="E215" s="370" t="s">
        <v>2750</v>
      </c>
      <c r="F215" s="368"/>
      <c r="G215" s="368"/>
      <c r="H215" s="368"/>
      <c r="I215" s="366"/>
      <c r="J215" s="368" t="s">
        <v>207</v>
      </c>
      <c r="K215" s="368">
        <v>0</v>
      </c>
      <c r="L215" s="368">
        <v>2</v>
      </c>
      <c r="M215" s="368" t="s">
        <v>607</v>
      </c>
      <c r="N215" s="368"/>
      <c r="O215" s="368"/>
      <c r="P215" s="368"/>
      <c r="Q215" s="368"/>
      <c r="R215" s="211"/>
    </row>
    <row r="216" spans="2:18" s="240" customFormat="1" ht="13.5" customHeight="1" thickTop="1" thickBot="1">
      <c r="B216" s="241"/>
      <c r="C216" s="148"/>
      <c r="D216" s="218" t="s">
        <v>514</v>
      </c>
      <c r="E216" s="370" t="s">
        <v>2749</v>
      </c>
      <c r="F216" s="368"/>
      <c r="G216" s="368"/>
      <c r="H216" s="368"/>
      <c r="I216" s="366"/>
      <c r="J216" s="368" t="s">
        <v>207</v>
      </c>
      <c r="K216" s="368">
        <v>0</v>
      </c>
      <c r="L216" s="368">
        <v>2</v>
      </c>
      <c r="M216" s="368" t="s">
        <v>607</v>
      </c>
      <c r="N216" s="368"/>
      <c r="O216" s="368"/>
      <c r="P216" s="368"/>
      <c r="Q216" s="368"/>
      <c r="R216" s="211"/>
    </row>
    <row r="217" spans="2:18" s="240" customFormat="1" ht="13.5" customHeight="1" thickTop="1" thickBot="1">
      <c r="B217" s="241"/>
      <c r="C217" s="148"/>
      <c r="D217" s="218" t="s">
        <v>515</v>
      </c>
      <c r="E217" s="370" t="s">
        <v>2748</v>
      </c>
      <c r="F217" s="368"/>
      <c r="G217" s="368"/>
      <c r="H217" s="368"/>
      <c r="I217" s="366"/>
      <c r="J217" s="368" t="s">
        <v>207</v>
      </c>
      <c r="K217" s="368">
        <v>0</v>
      </c>
      <c r="L217" s="368">
        <v>2</v>
      </c>
      <c r="M217" s="368" t="s">
        <v>607</v>
      </c>
      <c r="N217" s="368"/>
      <c r="O217" s="368"/>
      <c r="P217" s="368"/>
      <c r="Q217" s="368"/>
      <c r="R217" s="211"/>
    </row>
    <row r="218" spans="2:18" s="240" customFormat="1" ht="13.5" customHeight="1" thickTop="1" thickBot="1">
      <c r="B218" s="241"/>
      <c r="C218" s="148"/>
      <c r="D218" s="214" t="s">
        <v>516</v>
      </c>
      <c r="E218" s="369" t="s">
        <v>2747</v>
      </c>
      <c r="F218" s="367"/>
      <c r="G218" s="367"/>
      <c r="H218" s="367"/>
      <c r="I218" s="365"/>
      <c r="J218" s="367" t="s">
        <v>207</v>
      </c>
      <c r="K218" s="367">
        <v>0</v>
      </c>
      <c r="L218" s="367">
        <v>2</v>
      </c>
      <c r="M218" s="367" t="s">
        <v>607</v>
      </c>
      <c r="N218" s="367"/>
      <c r="O218" s="367"/>
      <c r="P218" s="367"/>
      <c r="Q218" s="367"/>
      <c r="R218" s="210"/>
    </row>
    <row r="219" spans="2:18" s="240" customFormat="1" ht="13.5" customHeight="1" thickTop="1" thickBot="1">
      <c r="B219" s="241"/>
      <c r="C219" s="148"/>
      <c r="D219" s="214" t="s">
        <v>517</v>
      </c>
      <c r="E219" s="369" t="s">
        <v>2746</v>
      </c>
      <c r="F219" s="367"/>
      <c r="G219" s="367"/>
      <c r="H219" s="367"/>
      <c r="I219" s="365"/>
      <c r="J219" s="367" t="s">
        <v>207</v>
      </c>
      <c r="K219" s="367">
        <v>0</v>
      </c>
      <c r="L219" s="367">
        <v>2</v>
      </c>
      <c r="M219" s="367" t="s">
        <v>607</v>
      </c>
      <c r="N219" s="367"/>
      <c r="O219" s="367"/>
      <c r="P219" s="367"/>
      <c r="Q219" s="367"/>
      <c r="R219" s="210"/>
    </row>
    <row r="220" spans="2:18" s="240" customFormat="1" ht="13.5" customHeight="1" thickTop="1" thickBot="1">
      <c r="B220" s="241"/>
      <c r="C220" s="148"/>
      <c r="D220" s="214" t="s">
        <v>518</v>
      </c>
      <c r="E220" s="369" t="s">
        <v>2745</v>
      </c>
      <c r="F220" s="367"/>
      <c r="G220" s="367"/>
      <c r="H220" s="367"/>
      <c r="I220" s="365"/>
      <c r="J220" s="367" t="s">
        <v>207</v>
      </c>
      <c r="K220" s="367">
        <v>0</v>
      </c>
      <c r="L220" s="367">
        <v>5</v>
      </c>
      <c r="M220" s="367" t="s">
        <v>607</v>
      </c>
      <c r="N220" s="367"/>
      <c r="O220" s="367"/>
      <c r="P220" s="367"/>
      <c r="Q220" s="367"/>
      <c r="R220" s="210"/>
    </row>
    <row r="221" spans="2:18" s="240" customFormat="1" ht="13.5" customHeight="1" thickTop="1" thickBot="1">
      <c r="B221" s="241"/>
      <c r="C221" s="148"/>
      <c r="D221" s="214" t="s">
        <v>519</v>
      </c>
      <c r="E221" s="369" t="s">
        <v>2744</v>
      </c>
      <c r="F221" s="367"/>
      <c r="G221" s="367"/>
      <c r="H221" s="367"/>
      <c r="I221" s="365"/>
      <c r="J221" s="367" t="s">
        <v>207</v>
      </c>
      <c r="K221" s="367">
        <v>0</v>
      </c>
      <c r="L221" s="367">
        <v>5</v>
      </c>
      <c r="M221" s="367" t="s">
        <v>607</v>
      </c>
      <c r="N221" s="367"/>
      <c r="O221" s="367"/>
      <c r="P221" s="367"/>
      <c r="Q221" s="367"/>
      <c r="R221" s="210"/>
    </row>
    <row r="222" spans="2:18" s="240" customFormat="1" ht="13.5" customHeight="1" thickTop="1" thickBot="1">
      <c r="B222" s="241"/>
      <c r="C222" s="148"/>
      <c r="D222" s="218" t="s">
        <v>520</v>
      </c>
      <c r="E222" s="370" t="s">
        <v>2743</v>
      </c>
      <c r="F222" s="368"/>
      <c r="G222" s="368"/>
      <c r="H222" s="368"/>
      <c r="I222" s="366"/>
      <c r="J222" s="368" t="s">
        <v>207</v>
      </c>
      <c r="K222" s="368">
        <v>0</v>
      </c>
      <c r="L222" s="368">
        <v>5</v>
      </c>
      <c r="M222" s="368" t="s">
        <v>607</v>
      </c>
      <c r="N222" s="368"/>
      <c r="O222" s="368"/>
      <c r="P222" s="368"/>
      <c r="Q222" s="368"/>
      <c r="R222" s="211"/>
    </row>
    <row r="223" spans="2:18" s="240" customFormat="1" ht="13.5" customHeight="1" thickTop="1" thickBot="1">
      <c r="B223" s="241"/>
      <c r="C223" s="148"/>
      <c r="D223" s="218" t="s">
        <v>521</v>
      </c>
      <c r="E223" s="370" t="s">
        <v>2742</v>
      </c>
      <c r="F223" s="368"/>
      <c r="G223" s="368"/>
      <c r="H223" s="368"/>
      <c r="I223" s="366"/>
      <c r="J223" s="368" t="s">
        <v>207</v>
      </c>
      <c r="K223" s="368">
        <v>0</v>
      </c>
      <c r="L223" s="368">
        <v>5</v>
      </c>
      <c r="M223" s="368" t="s">
        <v>607</v>
      </c>
      <c r="N223" s="368"/>
      <c r="O223" s="368"/>
      <c r="P223" s="368"/>
      <c r="Q223" s="368"/>
      <c r="R223" s="211"/>
    </row>
    <row r="224" spans="2:18" s="240" customFormat="1" ht="13.5" customHeight="1" thickTop="1" thickBot="1">
      <c r="B224" s="241"/>
      <c r="C224" s="148"/>
      <c r="D224" s="219" t="s">
        <v>522</v>
      </c>
      <c r="E224" s="370" t="s">
        <v>2741</v>
      </c>
      <c r="F224" s="368"/>
      <c r="G224" s="368"/>
      <c r="H224" s="368"/>
      <c r="I224" s="366"/>
      <c r="J224" s="368" t="s">
        <v>207</v>
      </c>
      <c r="K224" s="368">
        <v>0</v>
      </c>
      <c r="L224" s="368">
        <v>5</v>
      </c>
      <c r="M224" s="368" t="s">
        <v>607</v>
      </c>
      <c r="N224" s="368"/>
      <c r="O224" s="368"/>
      <c r="P224" s="368"/>
      <c r="Q224" s="368"/>
      <c r="R224" s="211"/>
    </row>
    <row r="225" spans="2:18" s="240" customFormat="1" ht="13.5" customHeight="1" thickTop="1" thickBot="1">
      <c r="B225" s="241"/>
      <c r="C225" s="148"/>
      <c r="D225" s="219" t="s">
        <v>523</v>
      </c>
      <c r="E225" s="370" t="s">
        <v>2740</v>
      </c>
      <c r="F225" s="368"/>
      <c r="G225" s="368"/>
      <c r="H225" s="368"/>
      <c r="I225" s="366"/>
      <c r="J225" s="368" t="s">
        <v>207</v>
      </c>
      <c r="K225" s="368">
        <v>0</v>
      </c>
      <c r="L225" s="368">
        <v>5</v>
      </c>
      <c r="M225" s="368" t="s">
        <v>607</v>
      </c>
      <c r="N225" s="368"/>
      <c r="O225" s="368"/>
      <c r="P225" s="368"/>
      <c r="Q225" s="368"/>
      <c r="R225" s="211"/>
    </row>
    <row r="226" spans="2:18" s="240" customFormat="1" ht="13.5" customHeight="1" thickTop="1" thickBot="1">
      <c r="B226" s="241"/>
      <c r="C226" s="148"/>
      <c r="D226" s="215" t="s">
        <v>524</v>
      </c>
      <c r="E226" s="369" t="s">
        <v>2739</v>
      </c>
      <c r="F226" s="367"/>
      <c r="G226" s="367"/>
      <c r="H226" s="367"/>
      <c r="I226" s="365"/>
      <c r="J226" s="367" t="s">
        <v>207</v>
      </c>
      <c r="K226" s="367">
        <v>0</v>
      </c>
      <c r="L226" s="367">
        <v>5</v>
      </c>
      <c r="M226" s="367" t="s">
        <v>607</v>
      </c>
      <c r="N226" s="367"/>
      <c r="O226" s="367"/>
      <c r="P226" s="367"/>
      <c r="Q226" s="367"/>
      <c r="R226" s="210"/>
    </row>
    <row r="227" spans="2:18" s="240" customFormat="1" ht="13.5" customHeight="1" thickTop="1" thickBot="1">
      <c r="B227" s="241"/>
      <c r="C227" s="148"/>
      <c r="D227" s="215" t="s">
        <v>525</v>
      </c>
      <c r="E227" s="369" t="s">
        <v>2738</v>
      </c>
      <c r="F227" s="367"/>
      <c r="G227" s="367"/>
      <c r="H227" s="367"/>
      <c r="I227" s="365"/>
      <c r="J227" s="367" t="s">
        <v>207</v>
      </c>
      <c r="K227" s="367">
        <v>0</v>
      </c>
      <c r="L227" s="367">
        <v>5</v>
      </c>
      <c r="M227" s="367" t="s">
        <v>607</v>
      </c>
      <c r="N227" s="367"/>
      <c r="O227" s="367"/>
      <c r="P227" s="367"/>
      <c r="Q227" s="367"/>
      <c r="R227" s="210"/>
    </row>
    <row r="228" spans="2:18" s="240" customFormat="1" ht="13.5" customHeight="1" thickTop="1" thickBot="1">
      <c r="B228" s="241"/>
      <c r="C228" s="148"/>
      <c r="D228" s="215" t="s">
        <v>526</v>
      </c>
      <c r="E228" s="369" t="s">
        <v>2737</v>
      </c>
      <c r="F228" s="367"/>
      <c r="G228" s="367"/>
      <c r="H228" s="367"/>
      <c r="I228" s="365"/>
      <c r="J228" s="367" t="s">
        <v>207</v>
      </c>
      <c r="K228" s="367">
        <v>0</v>
      </c>
      <c r="L228" s="367">
        <v>5</v>
      </c>
      <c r="M228" s="367" t="s">
        <v>607</v>
      </c>
      <c r="N228" s="367"/>
      <c r="O228" s="367"/>
      <c r="P228" s="367"/>
      <c r="Q228" s="367"/>
      <c r="R228" s="210"/>
    </row>
    <row r="229" spans="2:18" s="240" customFormat="1" ht="13.5" customHeight="1" thickTop="1" thickBot="1">
      <c r="B229" s="241"/>
      <c r="C229" s="148"/>
      <c r="D229" s="215" t="s">
        <v>527</v>
      </c>
      <c r="E229" s="369" t="s">
        <v>2736</v>
      </c>
      <c r="F229" s="367"/>
      <c r="G229" s="367"/>
      <c r="H229" s="367"/>
      <c r="I229" s="365"/>
      <c r="J229" s="367" t="s">
        <v>207</v>
      </c>
      <c r="K229" s="367">
        <v>0</v>
      </c>
      <c r="L229" s="367">
        <v>5</v>
      </c>
      <c r="M229" s="367" t="s">
        <v>607</v>
      </c>
      <c r="N229" s="367"/>
      <c r="O229" s="367"/>
      <c r="P229" s="367"/>
      <c r="Q229" s="367"/>
      <c r="R229" s="210"/>
    </row>
    <row r="230" spans="2:18" s="240" customFormat="1" ht="13.5" customHeight="1" thickTop="1" thickBot="1">
      <c r="B230" s="241"/>
      <c r="C230" s="148"/>
      <c r="D230" s="219" t="s">
        <v>528</v>
      </c>
      <c r="E230" s="370" t="s">
        <v>2735</v>
      </c>
      <c r="F230" s="368"/>
      <c r="G230" s="368"/>
      <c r="H230" s="368"/>
      <c r="I230" s="366"/>
      <c r="J230" s="368" t="s">
        <v>207</v>
      </c>
      <c r="K230" s="368">
        <v>0</v>
      </c>
      <c r="L230" s="368">
        <v>5</v>
      </c>
      <c r="M230" s="368" t="s">
        <v>607</v>
      </c>
      <c r="N230" s="368"/>
      <c r="O230" s="368"/>
      <c r="P230" s="368"/>
      <c r="Q230" s="368"/>
      <c r="R230" s="211"/>
    </row>
    <row r="231" spans="2:18" s="240" customFormat="1" ht="13.5" customHeight="1" thickTop="1" thickBot="1">
      <c r="B231" s="241"/>
      <c r="C231" s="148"/>
      <c r="D231" s="219" t="s">
        <v>529</v>
      </c>
      <c r="E231" s="370" t="s">
        <v>2734</v>
      </c>
      <c r="F231" s="368"/>
      <c r="G231" s="368"/>
      <c r="H231" s="368"/>
      <c r="I231" s="366"/>
      <c r="J231" s="368" t="s">
        <v>207</v>
      </c>
      <c r="K231" s="368">
        <v>0</v>
      </c>
      <c r="L231" s="368">
        <v>5</v>
      </c>
      <c r="M231" s="368" t="s">
        <v>607</v>
      </c>
      <c r="N231" s="368"/>
      <c r="O231" s="368"/>
      <c r="P231" s="368"/>
      <c r="Q231" s="368"/>
      <c r="R231" s="211"/>
    </row>
    <row r="232" spans="2:18" s="240" customFormat="1" ht="13.5" customHeight="1" thickTop="1" thickBot="1">
      <c r="B232" s="241"/>
      <c r="C232" s="148"/>
      <c r="D232" s="219" t="s">
        <v>530</v>
      </c>
      <c r="E232" s="370" t="s">
        <v>2733</v>
      </c>
      <c r="F232" s="368"/>
      <c r="G232" s="368"/>
      <c r="H232" s="368"/>
      <c r="I232" s="366"/>
      <c r="J232" s="368" t="s">
        <v>207</v>
      </c>
      <c r="K232" s="368">
        <v>0</v>
      </c>
      <c r="L232" s="368">
        <v>5</v>
      </c>
      <c r="M232" s="368" t="s">
        <v>607</v>
      </c>
      <c r="N232" s="368"/>
      <c r="O232" s="368"/>
      <c r="P232" s="368"/>
      <c r="Q232" s="368"/>
      <c r="R232" s="211"/>
    </row>
    <row r="233" spans="2:18" s="240" customFormat="1" ht="13.5" customHeight="1" thickTop="1" thickBot="1">
      <c r="B233" s="241"/>
      <c r="C233" s="148"/>
      <c r="D233" s="220" t="s">
        <v>531</v>
      </c>
      <c r="E233" s="370" t="s">
        <v>2732</v>
      </c>
      <c r="F233" s="368"/>
      <c r="G233" s="368"/>
      <c r="H233" s="368"/>
      <c r="I233" s="366"/>
      <c r="J233" s="368" t="s">
        <v>207</v>
      </c>
      <c r="K233" s="368">
        <v>0</v>
      </c>
      <c r="L233" s="368">
        <v>5</v>
      </c>
      <c r="M233" s="368" t="s">
        <v>607</v>
      </c>
      <c r="N233" s="368"/>
      <c r="O233" s="368"/>
      <c r="P233" s="368"/>
      <c r="Q233" s="368"/>
      <c r="R233" s="211"/>
    </row>
    <row r="234" spans="2:18" s="240" customFormat="1" ht="13.5" customHeight="1" thickTop="1" thickBot="1">
      <c r="B234" s="241"/>
      <c r="C234" s="148"/>
      <c r="D234" s="215" t="s">
        <v>532</v>
      </c>
      <c r="E234" s="369" t="s">
        <v>2731</v>
      </c>
      <c r="F234" s="367"/>
      <c r="G234" s="367"/>
      <c r="H234" s="367"/>
      <c r="I234" s="365"/>
      <c r="J234" s="367" t="s">
        <v>207</v>
      </c>
      <c r="K234" s="367">
        <v>0</v>
      </c>
      <c r="L234" s="367">
        <v>5</v>
      </c>
      <c r="M234" s="367" t="s">
        <v>607</v>
      </c>
      <c r="N234" s="367"/>
      <c r="O234" s="367"/>
      <c r="P234" s="367"/>
      <c r="Q234" s="367"/>
      <c r="R234" s="210"/>
    </row>
    <row r="235" spans="2:18" s="240" customFormat="1" ht="13.5" customHeight="1" thickTop="1" thickBot="1">
      <c r="B235" s="241"/>
      <c r="D235" s="215" t="s">
        <v>533</v>
      </c>
      <c r="E235" s="369" t="s">
        <v>2730</v>
      </c>
      <c r="F235" s="367"/>
      <c r="G235" s="367"/>
      <c r="H235" s="367"/>
      <c r="I235" s="365"/>
      <c r="J235" s="367" t="s">
        <v>207</v>
      </c>
      <c r="K235" s="367">
        <v>0</v>
      </c>
      <c r="L235" s="367">
        <v>5</v>
      </c>
      <c r="M235" s="367" t="s">
        <v>607</v>
      </c>
      <c r="N235" s="367"/>
      <c r="O235" s="367"/>
      <c r="P235" s="367"/>
      <c r="Q235" s="367"/>
      <c r="R235" s="210"/>
    </row>
    <row r="236" spans="2:18" s="240" customFormat="1" ht="13.5" customHeight="1" thickTop="1" thickBot="1">
      <c r="B236" s="241"/>
      <c r="D236" s="215" t="s">
        <v>534</v>
      </c>
      <c r="E236" s="369" t="s">
        <v>2729</v>
      </c>
      <c r="F236" s="367"/>
      <c r="G236" s="367"/>
      <c r="H236" s="367"/>
      <c r="I236" s="365"/>
      <c r="J236" s="367" t="s">
        <v>207</v>
      </c>
      <c r="K236" s="367">
        <v>0</v>
      </c>
      <c r="L236" s="367">
        <v>5</v>
      </c>
      <c r="M236" s="367" t="s">
        <v>607</v>
      </c>
      <c r="N236" s="367"/>
      <c r="O236" s="367"/>
      <c r="P236" s="367"/>
      <c r="Q236" s="367"/>
      <c r="R236" s="210"/>
    </row>
    <row r="237" spans="2:18" s="240" customFormat="1" ht="13.5" customHeight="1" thickTop="1" thickBot="1">
      <c r="B237" s="241"/>
      <c r="D237" s="215" t="s">
        <v>535</v>
      </c>
      <c r="E237" s="369" t="s">
        <v>2728</v>
      </c>
      <c r="F237" s="367"/>
      <c r="G237" s="367"/>
      <c r="H237" s="367"/>
      <c r="I237" s="365"/>
      <c r="J237" s="367" t="s">
        <v>207</v>
      </c>
      <c r="K237" s="367">
        <v>0</v>
      </c>
      <c r="L237" s="367">
        <v>5</v>
      </c>
      <c r="M237" s="367" t="s">
        <v>607</v>
      </c>
      <c r="N237" s="367"/>
      <c r="O237" s="367"/>
      <c r="P237" s="367"/>
      <c r="Q237" s="367"/>
      <c r="R237" s="210"/>
    </row>
    <row r="238" spans="2:18" s="240" customFormat="1" ht="13.5" customHeight="1" thickTop="1" thickBot="1">
      <c r="B238" s="241"/>
      <c r="D238" s="219" t="s">
        <v>536</v>
      </c>
      <c r="E238" s="370" t="s">
        <v>2727</v>
      </c>
      <c r="F238" s="368"/>
      <c r="G238" s="368"/>
      <c r="H238" s="368"/>
      <c r="I238" s="366"/>
      <c r="J238" s="368" t="s">
        <v>207</v>
      </c>
      <c r="K238" s="368">
        <v>0</v>
      </c>
      <c r="L238" s="368">
        <v>5</v>
      </c>
      <c r="M238" s="368" t="s">
        <v>607</v>
      </c>
      <c r="N238" s="368"/>
      <c r="O238" s="368"/>
      <c r="P238" s="368"/>
      <c r="Q238" s="368"/>
      <c r="R238" s="211"/>
    </row>
    <row r="239" spans="2:18" s="240" customFormat="1" ht="13.5" customHeight="1" thickTop="1" thickBot="1">
      <c r="B239" s="241"/>
      <c r="D239" s="219" t="s">
        <v>537</v>
      </c>
      <c r="E239" s="370" t="s">
        <v>2726</v>
      </c>
      <c r="F239" s="368"/>
      <c r="G239" s="368"/>
      <c r="H239" s="368"/>
      <c r="I239" s="366"/>
      <c r="J239" s="368" t="s">
        <v>207</v>
      </c>
      <c r="K239" s="368">
        <v>0</v>
      </c>
      <c r="L239" s="368">
        <v>5</v>
      </c>
      <c r="M239" s="368" t="s">
        <v>607</v>
      </c>
      <c r="N239" s="368"/>
      <c r="O239" s="368"/>
      <c r="P239" s="368"/>
      <c r="Q239" s="368"/>
      <c r="R239" s="211"/>
    </row>
    <row r="240" spans="2:18" s="240" customFormat="1" ht="13.5" customHeight="1" thickTop="1" thickBot="1">
      <c r="B240" s="241"/>
      <c r="D240" s="219" t="s">
        <v>538</v>
      </c>
      <c r="E240" s="370" t="s">
        <v>2725</v>
      </c>
      <c r="F240" s="368"/>
      <c r="G240" s="368"/>
      <c r="H240" s="368"/>
      <c r="I240" s="366"/>
      <c r="J240" s="368" t="s">
        <v>207</v>
      </c>
      <c r="K240" s="368">
        <v>0</v>
      </c>
      <c r="L240" s="368">
        <v>5</v>
      </c>
      <c r="M240" s="368" t="s">
        <v>607</v>
      </c>
      <c r="N240" s="368"/>
      <c r="O240" s="368"/>
      <c r="P240" s="368"/>
      <c r="Q240" s="368"/>
      <c r="R240" s="211"/>
    </row>
    <row r="241" spans="2:18" s="240" customFormat="1" ht="13.5" customHeight="1" thickTop="1" thickBot="1">
      <c r="B241" s="241"/>
      <c r="C241" s="148"/>
      <c r="D241" s="220" t="s">
        <v>539</v>
      </c>
      <c r="E241" s="370" t="s">
        <v>2724</v>
      </c>
      <c r="F241" s="368"/>
      <c r="G241" s="368"/>
      <c r="H241" s="368"/>
      <c r="I241" s="366"/>
      <c r="J241" s="368" t="s">
        <v>207</v>
      </c>
      <c r="K241" s="368">
        <v>0</v>
      </c>
      <c r="L241" s="368">
        <v>5</v>
      </c>
      <c r="M241" s="368" t="s">
        <v>607</v>
      </c>
      <c r="N241" s="368"/>
      <c r="O241" s="368"/>
      <c r="P241" s="368"/>
      <c r="Q241" s="368"/>
      <c r="R241" s="211"/>
    </row>
    <row r="242" spans="2:18" s="240" customFormat="1" ht="13.5" customHeight="1" thickTop="1" thickBot="1">
      <c r="B242" s="241"/>
      <c r="C242" s="148"/>
      <c r="D242" s="215" t="s">
        <v>540</v>
      </c>
      <c r="E242" s="369" t="s">
        <v>2723</v>
      </c>
      <c r="F242" s="367"/>
      <c r="G242" s="367"/>
      <c r="H242" s="367"/>
      <c r="I242" s="365"/>
      <c r="J242" s="367" t="s">
        <v>207</v>
      </c>
      <c r="K242" s="367">
        <v>0</v>
      </c>
      <c r="L242" s="367">
        <v>5</v>
      </c>
      <c r="M242" s="367" t="s">
        <v>607</v>
      </c>
      <c r="N242" s="367"/>
      <c r="O242" s="367"/>
      <c r="P242" s="367"/>
      <c r="Q242" s="367"/>
      <c r="R242" s="210"/>
    </row>
    <row r="243" spans="2:18" s="240" customFormat="1" ht="13.5" customHeight="1" thickTop="1" thickBot="1">
      <c r="B243" s="241"/>
      <c r="D243" s="215" t="s">
        <v>541</v>
      </c>
      <c r="E243" s="369" t="s">
        <v>2722</v>
      </c>
      <c r="F243" s="367"/>
      <c r="G243" s="367"/>
      <c r="H243" s="367"/>
      <c r="I243" s="365"/>
      <c r="J243" s="367" t="s">
        <v>207</v>
      </c>
      <c r="K243" s="367">
        <v>0</v>
      </c>
      <c r="L243" s="367">
        <v>14</v>
      </c>
      <c r="M243" s="367" t="s">
        <v>607</v>
      </c>
      <c r="N243" s="367"/>
      <c r="O243" s="367"/>
      <c r="P243" s="367"/>
      <c r="Q243" s="367"/>
      <c r="R243" s="210"/>
    </row>
    <row r="244" spans="2:18" s="240" customFormat="1" ht="13.5" customHeight="1" thickTop="1" thickBot="1">
      <c r="B244" s="241"/>
      <c r="D244" s="215" t="s">
        <v>542</v>
      </c>
      <c r="E244" s="369" t="s">
        <v>2721</v>
      </c>
      <c r="F244" s="367"/>
      <c r="G244" s="367"/>
      <c r="H244" s="367"/>
      <c r="I244" s="365"/>
      <c r="J244" s="367" t="s">
        <v>207</v>
      </c>
      <c r="K244" s="367">
        <v>0</v>
      </c>
      <c r="L244" s="367">
        <v>14</v>
      </c>
      <c r="M244" s="367" t="s">
        <v>607</v>
      </c>
      <c r="N244" s="367"/>
      <c r="O244" s="367"/>
      <c r="P244" s="367"/>
      <c r="Q244" s="367"/>
      <c r="R244" s="210"/>
    </row>
    <row r="245" spans="2:18" s="240" customFormat="1" ht="13.5" customHeight="1" thickTop="1" thickBot="1">
      <c r="B245" s="241"/>
      <c r="D245" s="215" t="s">
        <v>543</v>
      </c>
      <c r="E245" s="369" t="s">
        <v>2720</v>
      </c>
      <c r="F245" s="367"/>
      <c r="G245" s="367"/>
      <c r="H245" s="367"/>
      <c r="I245" s="365"/>
      <c r="J245" s="367" t="s">
        <v>207</v>
      </c>
      <c r="K245" s="367">
        <v>0</v>
      </c>
      <c r="L245" s="367">
        <v>14</v>
      </c>
      <c r="M245" s="367" t="s">
        <v>607</v>
      </c>
      <c r="N245" s="367"/>
      <c r="O245" s="367"/>
      <c r="P245" s="367"/>
      <c r="Q245" s="367"/>
      <c r="R245" s="210"/>
    </row>
    <row r="246" spans="2:18" s="240" customFormat="1" ht="13.5" customHeight="1" thickTop="1" thickBot="1">
      <c r="B246" s="241"/>
      <c r="D246" s="219" t="s">
        <v>544</v>
      </c>
      <c r="E246" s="370" t="s">
        <v>2719</v>
      </c>
      <c r="F246" s="368"/>
      <c r="G246" s="368"/>
      <c r="H246" s="368"/>
      <c r="I246" s="366"/>
      <c r="J246" s="368" t="s">
        <v>207</v>
      </c>
      <c r="K246" s="368">
        <v>0</v>
      </c>
      <c r="L246" s="368">
        <v>14</v>
      </c>
      <c r="M246" s="368" t="s">
        <v>607</v>
      </c>
      <c r="N246" s="368"/>
      <c r="O246" s="368"/>
      <c r="P246" s="368"/>
      <c r="Q246" s="368"/>
      <c r="R246" s="211"/>
    </row>
    <row r="247" spans="2:18" s="240" customFormat="1" ht="13.5" customHeight="1" thickTop="1" thickBot="1">
      <c r="B247" s="241"/>
      <c r="D247" s="219" t="s">
        <v>545</v>
      </c>
      <c r="E247" s="370" t="s">
        <v>2718</v>
      </c>
      <c r="F247" s="368"/>
      <c r="G247" s="368"/>
      <c r="H247" s="368"/>
      <c r="I247" s="366"/>
      <c r="J247" s="368" t="s">
        <v>207</v>
      </c>
      <c r="K247" s="368">
        <v>0</v>
      </c>
      <c r="L247" s="368">
        <v>14</v>
      </c>
      <c r="M247" s="368" t="s">
        <v>607</v>
      </c>
      <c r="N247" s="368"/>
      <c r="O247" s="368"/>
      <c r="P247" s="368"/>
      <c r="Q247" s="368"/>
      <c r="R247" s="211"/>
    </row>
    <row r="248" spans="2:18" s="240" customFormat="1" ht="13.5" customHeight="1" thickTop="1" thickBot="1">
      <c r="B248" s="241"/>
      <c r="D248" s="219" t="s">
        <v>546</v>
      </c>
      <c r="E248" s="370" t="s">
        <v>2717</v>
      </c>
      <c r="F248" s="368"/>
      <c r="G248" s="368"/>
      <c r="H248" s="368"/>
      <c r="I248" s="366"/>
      <c r="J248" s="368" t="s">
        <v>207</v>
      </c>
      <c r="K248" s="368">
        <v>0</v>
      </c>
      <c r="L248" s="368">
        <v>14</v>
      </c>
      <c r="M248" s="368" t="s">
        <v>607</v>
      </c>
      <c r="N248" s="368"/>
      <c r="O248" s="368"/>
      <c r="P248" s="368"/>
      <c r="Q248" s="368"/>
      <c r="R248" s="211"/>
    </row>
    <row r="249" spans="2:18" s="240" customFormat="1" ht="13.5" customHeight="1" thickTop="1" thickBot="1">
      <c r="B249" s="241"/>
      <c r="C249" s="148"/>
      <c r="D249" s="220" t="s">
        <v>547</v>
      </c>
      <c r="E249" s="370" t="s">
        <v>2716</v>
      </c>
      <c r="F249" s="368"/>
      <c r="G249" s="368"/>
      <c r="H249" s="368"/>
      <c r="I249" s="366"/>
      <c r="J249" s="368" t="s">
        <v>207</v>
      </c>
      <c r="K249" s="368">
        <v>0</v>
      </c>
      <c r="L249" s="368">
        <v>14</v>
      </c>
      <c r="M249" s="368" t="s">
        <v>607</v>
      </c>
      <c r="N249" s="368"/>
      <c r="O249" s="368"/>
      <c r="P249" s="368"/>
      <c r="Q249" s="368"/>
      <c r="R249" s="211"/>
    </row>
    <row r="250" spans="2:18" s="240" customFormat="1" ht="13.5" customHeight="1" thickTop="1" thickBot="1">
      <c r="B250" s="241"/>
      <c r="C250" s="148"/>
      <c r="D250" s="215" t="s">
        <v>548</v>
      </c>
      <c r="E250" s="369" t="s">
        <v>2715</v>
      </c>
      <c r="F250" s="367"/>
      <c r="G250" s="367"/>
      <c r="H250" s="367"/>
      <c r="I250" s="365"/>
      <c r="J250" s="367" t="s">
        <v>207</v>
      </c>
      <c r="K250" s="367">
        <v>0</v>
      </c>
      <c r="L250" s="367">
        <v>14</v>
      </c>
      <c r="M250" s="367" t="s">
        <v>607</v>
      </c>
      <c r="N250" s="367"/>
      <c r="O250" s="367"/>
      <c r="P250" s="367"/>
      <c r="Q250" s="367"/>
      <c r="R250" s="210"/>
    </row>
    <row r="251" spans="2:18" s="240" customFormat="1" ht="13.5" customHeight="1" thickTop="1" thickBot="1">
      <c r="B251" s="241"/>
      <c r="D251" s="215" t="s">
        <v>549</v>
      </c>
      <c r="E251" s="369" t="s">
        <v>2714</v>
      </c>
      <c r="F251" s="367"/>
      <c r="G251" s="367"/>
      <c r="H251" s="367"/>
      <c r="I251" s="365"/>
      <c r="J251" s="367" t="s">
        <v>207</v>
      </c>
      <c r="K251" s="367">
        <v>0</v>
      </c>
      <c r="L251" s="367">
        <v>14</v>
      </c>
      <c r="M251" s="367" t="s">
        <v>607</v>
      </c>
      <c r="N251" s="367"/>
      <c r="O251" s="367"/>
      <c r="P251" s="367"/>
      <c r="Q251" s="367"/>
      <c r="R251" s="210"/>
    </row>
    <row r="252" spans="2:18" s="240" customFormat="1" ht="13.5" customHeight="1" thickTop="1" thickBot="1">
      <c r="B252" s="241"/>
      <c r="D252" s="215" t="s">
        <v>550</v>
      </c>
      <c r="E252" s="369" t="s">
        <v>2713</v>
      </c>
      <c r="F252" s="367"/>
      <c r="G252" s="367"/>
      <c r="H252" s="367"/>
      <c r="I252" s="365"/>
      <c r="J252" s="367" t="s">
        <v>207</v>
      </c>
      <c r="K252" s="367">
        <v>0</v>
      </c>
      <c r="L252" s="367">
        <v>14</v>
      </c>
      <c r="M252" s="367" t="s">
        <v>607</v>
      </c>
      <c r="N252" s="367"/>
      <c r="O252" s="367"/>
      <c r="P252" s="367"/>
      <c r="Q252" s="367"/>
      <c r="R252" s="210"/>
    </row>
    <row r="253" spans="2:18" s="240" customFormat="1" ht="13.5" customHeight="1" thickTop="1" thickBot="1">
      <c r="B253" s="241"/>
      <c r="D253" s="215" t="s">
        <v>551</v>
      </c>
      <c r="E253" s="369" t="s">
        <v>2712</v>
      </c>
      <c r="F253" s="367"/>
      <c r="G253" s="367"/>
      <c r="H253" s="367"/>
      <c r="I253" s="365"/>
      <c r="J253" s="367" t="s">
        <v>207</v>
      </c>
      <c r="K253" s="367">
        <v>0</v>
      </c>
      <c r="L253" s="367">
        <v>14</v>
      </c>
      <c r="M253" s="367" t="s">
        <v>607</v>
      </c>
      <c r="N253" s="367"/>
      <c r="O253" s="367"/>
      <c r="P253" s="367"/>
      <c r="Q253" s="367"/>
      <c r="R253" s="210"/>
    </row>
    <row r="254" spans="2:18" s="240" customFormat="1" ht="13.5" customHeight="1" thickTop="1" thickBot="1">
      <c r="B254" s="241"/>
      <c r="D254" s="219" t="s">
        <v>552</v>
      </c>
      <c r="E254" s="370" t="s">
        <v>2711</v>
      </c>
      <c r="F254" s="368"/>
      <c r="G254" s="368"/>
      <c r="H254" s="368"/>
      <c r="I254" s="366"/>
      <c r="J254" s="368" t="s">
        <v>207</v>
      </c>
      <c r="K254" s="368">
        <v>0</v>
      </c>
      <c r="L254" s="368">
        <v>14</v>
      </c>
      <c r="M254" s="368" t="s">
        <v>607</v>
      </c>
      <c r="N254" s="368"/>
      <c r="O254" s="368"/>
      <c r="P254" s="368"/>
      <c r="Q254" s="368"/>
      <c r="R254" s="211"/>
    </row>
    <row r="255" spans="2:18" s="240" customFormat="1" ht="13.5" customHeight="1" thickTop="1" thickBot="1">
      <c r="B255" s="241"/>
      <c r="D255" s="219" t="s">
        <v>553</v>
      </c>
      <c r="E255" s="370" t="s">
        <v>2710</v>
      </c>
      <c r="F255" s="368"/>
      <c r="G255" s="368"/>
      <c r="H255" s="368"/>
      <c r="I255" s="366"/>
      <c r="J255" s="368"/>
      <c r="K255" s="368"/>
      <c r="L255" s="368"/>
      <c r="M255" s="368"/>
      <c r="N255" s="368"/>
      <c r="O255" s="368"/>
      <c r="P255" s="368"/>
      <c r="Q255" s="368"/>
      <c r="R255" s="211"/>
    </row>
    <row r="256" spans="2:18" s="240" customFormat="1" ht="13.5" customHeight="1" thickTop="1" thickBot="1">
      <c r="B256" s="241"/>
      <c r="D256" s="219" t="s">
        <v>554</v>
      </c>
      <c r="E256" s="370" t="s">
        <v>2709</v>
      </c>
      <c r="F256" s="368"/>
      <c r="G256" s="368"/>
      <c r="H256" s="368"/>
      <c r="I256" s="366"/>
      <c r="J256" s="368" t="s">
        <v>207</v>
      </c>
      <c r="K256" s="368">
        <v>0</v>
      </c>
      <c r="L256" s="368">
        <v>14</v>
      </c>
      <c r="M256" s="368" t="s">
        <v>607</v>
      </c>
      <c r="N256" s="368"/>
      <c r="O256" s="368"/>
      <c r="P256" s="368"/>
      <c r="Q256" s="368"/>
      <c r="R256" s="211"/>
    </row>
    <row r="257" spans="2:18" s="240" customFormat="1" ht="13.5" customHeight="1" thickTop="1" thickBot="1">
      <c r="B257" s="241"/>
      <c r="C257" s="148"/>
      <c r="D257" s="220" t="s">
        <v>555</v>
      </c>
      <c r="E257" s="370" t="s">
        <v>2708</v>
      </c>
      <c r="F257" s="368"/>
      <c r="G257" s="368"/>
      <c r="H257" s="368"/>
      <c r="I257" s="366"/>
      <c r="J257" s="368" t="s">
        <v>207</v>
      </c>
      <c r="K257" s="368">
        <v>0</v>
      </c>
      <c r="L257" s="368">
        <v>14</v>
      </c>
      <c r="M257" s="368" t="s">
        <v>607</v>
      </c>
      <c r="N257" s="368"/>
      <c r="O257" s="368"/>
      <c r="P257" s="368"/>
      <c r="Q257" s="368"/>
      <c r="R257" s="211"/>
    </row>
    <row r="258" spans="2:18" s="240" customFormat="1" ht="13.5" customHeight="1" thickTop="1" thickBot="1">
      <c r="B258" s="241"/>
      <c r="C258" s="148"/>
      <c r="D258" s="215" t="s">
        <v>556</v>
      </c>
      <c r="E258" s="369" t="s">
        <v>2707</v>
      </c>
      <c r="F258" s="367"/>
      <c r="G258" s="367"/>
      <c r="H258" s="367"/>
      <c r="I258" s="365"/>
      <c r="J258" s="367" t="s">
        <v>207</v>
      </c>
      <c r="K258" s="367">
        <v>0</v>
      </c>
      <c r="L258" s="367">
        <v>14</v>
      </c>
      <c r="M258" s="367" t="s">
        <v>607</v>
      </c>
      <c r="N258" s="367"/>
      <c r="O258" s="367"/>
      <c r="P258" s="367"/>
      <c r="Q258" s="367"/>
      <c r="R258" s="210"/>
    </row>
    <row r="259" spans="2:18" s="240" customFormat="1" ht="13.5" customHeight="1" thickTop="1" thickBot="1">
      <c r="B259" s="241"/>
      <c r="D259" s="215" t="s">
        <v>557</v>
      </c>
      <c r="E259" s="369" t="s">
        <v>2706</v>
      </c>
      <c r="F259" s="367"/>
      <c r="G259" s="367"/>
      <c r="H259" s="367"/>
      <c r="I259" s="365"/>
      <c r="J259" s="367" t="s">
        <v>207</v>
      </c>
      <c r="K259" s="367">
        <v>0</v>
      </c>
      <c r="L259" s="367">
        <v>14</v>
      </c>
      <c r="M259" s="367" t="s">
        <v>607</v>
      </c>
      <c r="N259" s="367"/>
      <c r="O259" s="367"/>
      <c r="P259" s="367"/>
      <c r="Q259" s="367"/>
      <c r="R259" s="210"/>
    </row>
    <row r="260" spans="2:18" s="240" customFormat="1" ht="13.5" customHeight="1" thickTop="1" thickBot="1">
      <c r="B260" s="241"/>
      <c r="D260" s="215" t="s">
        <v>107</v>
      </c>
      <c r="E260" s="369" t="s">
        <v>2705</v>
      </c>
      <c r="F260" s="367"/>
      <c r="G260" s="367"/>
      <c r="H260" s="367"/>
      <c r="I260" s="365"/>
      <c r="J260" s="367" t="s">
        <v>207</v>
      </c>
      <c r="K260" s="367">
        <v>0</v>
      </c>
      <c r="L260" s="367">
        <v>14</v>
      </c>
      <c r="M260" s="367" t="s">
        <v>607</v>
      </c>
      <c r="N260" s="367"/>
      <c r="O260" s="367"/>
      <c r="P260" s="367"/>
      <c r="Q260" s="367"/>
      <c r="R260" s="210"/>
    </row>
    <row r="261" spans="2:18" s="240" customFormat="1" ht="13.5" customHeight="1" thickTop="1" thickBot="1">
      <c r="B261" s="241"/>
      <c r="D261" s="215" t="s">
        <v>558</v>
      </c>
      <c r="E261" s="369" t="s">
        <v>2704</v>
      </c>
      <c r="F261" s="367"/>
      <c r="G261" s="367"/>
      <c r="H261" s="367"/>
      <c r="I261" s="365"/>
      <c r="J261" s="367" t="s">
        <v>207</v>
      </c>
      <c r="K261" s="367">
        <v>0</v>
      </c>
      <c r="L261" s="367">
        <v>14</v>
      </c>
      <c r="M261" s="367" t="s">
        <v>607</v>
      </c>
      <c r="N261" s="367"/>
      <c r="O261" s="367"/>
      <c r="P261" s="367"/>
      <c r="Q261" s="367"/>
      <c r="R261" s="210"/>
    </row>
    <row r="262" spans="2:18" s="240" customFormat="1" ht="13.5" customHeight="1" thickTop="1" thickBot="1">
      <c r="B262" s="241"/>
      <c r="D262" s="219" t="s">
        <v>559</v>
      </c>
      <c r="E262" s="370" t="s">
        <v>2703</v>
      </c>
      <c r="F262" s="368"/>
      <c r="G262" s="368"/>
      <c r="H262" s="368"/>
      <c r="I262" s="366"/>
      <c r="J262" s="368" t="s">
        <v>207</v>
      </c>
      <c r="K262" s="368">
        <v>0</v>
      </c>
      <c r="L262" s="368">
        <v>14</v>
      </c>
      <c r="M262" s="368" t="s">
        <v>607</v>
      </c>
      <c r="N262" s="368"/>
      <c r="O262" s="368"/>
      <c r="P262" s="368"/>
      <c r="Q262" s="368"/>
      <c r="R262" s="211"/>
    </row>
    <row r="263" spans="2:18" s="240" customFormat="1" ht="13.5" customHeight="1" thickTop="1" thickBot="1">
      <c r="B263" s="241"/>
      <c r="D263" s="219" t="s">
        <v>560</v>
      </c>
      <c r="E263" s="370" t="s">
        <v>2702</v>
      </c>
      <c r="F263" s="368"/>
      <c r="G263" s="368"/>
      <c r="H263" s="368"/>
      <c r="I263" s="366"/>
      <c r="J263" s="368" t="s">
        <v>207</v>
      </c>
      <c r="K263" s="368">
        <v>0</v>
      </c>
      <c r="L263" s="368">
        <v>10</v>
      </c>
      <c r="M263" s="368" t="s">
        <v>607</v>
      </c>
      <c r="N263" s="368" t="s">
        <v>207</v>
      </c>
      <c r="O263" s="368">
        <v>0</v>
      </c>
      <c r="P263" s="368">
        <v>10</v>
      </c>
      <c r="Q263" s="368" t="s">
        <v>607</v>
      </c>
      <c r="R263" s="211"/>
    </row>
    <row r="264" spans="2:18" s="240" customFormat="1" ht="13.5" customHeight="1" thickTop="1" thickBot="1">
      <c r="B264" s="241"/>
      <c r="D264" s="219" t="s">
        <v>561</v>
      </c>
      <c r="E264" s="370" t="s">
        <v>2701</v>
      </c>
      <c r="F264" s="368"/>
      <c r="G264" s="368"/>
      <c r="H264" s="368"/>
      <c r="I264" s="366"/>
      <c r="J264" s="368" t="s">
        <v>207</v>
      </c>
      <c r="K264" s="368">
        <v>0</v>
      </c>
      <c r="L264" s="368">
        <v>14</v>
      </c>
      <c r="M264" s="368" t="s">
        <v>607</v>
      </c>
      <c r="N264" s="368" t="s">
        <v>207</v>
      </c>
      <c r="O264" s="368">
        <v>0</v>
      </c>
      <c r="P264" s="368">
        <v>14</v>
      </c>
      <c r="Q264" s="368" t="s">
        <v>607</v>
      </c>
      <c r="R264" s="211"/>
    </row>
    <row r="265" spans="2:18" s="240" customFormat="1" ht="13.5" customHeight="1" thickTop="1" thickBot="1">
      <c r="B265" s="241"/>
      <c r="C265" s="148"/>
      <c r="D265" s="220" t="s">
        <v>562</v>
      </c>
      <c r="E265" s="370" t="s">
        <v>2700</v>
      </c>
      <c r="F265" s="368"/>
      <c r="G265" s="368"/>
      <c r="H265" s="368"/>
      <c r="I265" s="366"/>
      <c r="J265" s="368" t="s">
        <v>207</v>
      </c>
      <c r="K265" s="368">
        <v>0</v>
      </c>
      <c r="L265" s="368">
        <v>14</v>
      </c>
      <c r="M265" s="368" t="s">
        <v>607</v>
      </c>
      <c r="N265" s="368" t="s">
        <v>207</v>
      </c>
      <c r="O265" s="368">
        <v>0</v>
      </c>
      <c r="P265" s="368">
        <v>14</v>
      </c>
      <c r="Q265" s="368" t="s">
        <v>607</v>
      </c>
      <c r="R265" s="211"/>
    </row>
    <row r="266" spans="2:18" s="240" customFormat="1" ht="13.5" customHeight="1" thickTop="1" thickBot="1">
      <c r="B266" s="241"/>
      <c r="C266" s="148"/>
      <c r="D266" s="215" t="s">
        <v>563</v>
      </c>
      <c r="E266" s="369" t="s">
        <v>2699</v>
      </c>
      <c r="F266" s="367"/>
      <c r="G266" s="367"/>
      <c r="H266" s="367"/>
      <c r="I266" s="365"/>
      <c r="J266" s="367" t="s">
        <v>207</v>
      </c>
      <c r="K266" s="367">
        <v>0</v>
      </c>
      <c r="L266" s="367">
        <v>14</v>
      </c>
      <c r="M266" s="367" t="s">
        <v>607</v>
      </c>
      <c r="N266" s="367" t="s">
        <v>207</v>
      </c>
      <c r="O266" s="367">
        <v>0</v>
      </c>
      <c r="P266" s="367">
        <v>14</v>
      </c>
      <c r="Q266" s="367" t="s">
        <v>607</v>
      </c>
      <c r="R266" s="210"/>
    </row>
    <row r="267" spans="2:18" s="240" customFormat="1" ht="13.5" customHeight="1" thickTop="1" thickBot="1">
      <c r="B267" s="241"/>
      <c r="D267" s="215" t="s">
        <v>564</v>
      </c>
      <c r="E267" s="369" t="s">
        <v>2698</v>
      </c>
      <c r="F267" s="367"/>
      <c r="G267" s="367"/>
      <c r="H267" s="367"/>
      <c r="I267" s="365"/>
      <c r="J267" s="367" t="s">
        <v>207</v>
      </c>
      <c r="K267" s="367">
        <v>0</v>
      </c>
      <c r="L267" s="367">
        <v>14</v>
      </c>
      <c r="M267" s="367" t="s">
        <v>607</v>
      </c>
      <c r="N267" s="367" t="s">
        <v>207</v>
      </c>
      <c r="O267" s="367">
        <v>0</v>
      </c>
      <c r="P267" s="367">
        <v>14</v>
      </c>
      <c r="Q267" s="367" t="s">
        <v>607</v>
      </c>
      <c r="R267" s="210"/>
    </row>
    <row r="268" spans="2:18" s="240" customFormat="1" ht="13.5" customHeight="1" thickTop="1" thickBot="1">
      <c r="B268" s="241"/>
      <c r="D268" s="215" t="s">
        <v>565</v>
      </c>
      <c r="E268" s="369" t="s">
        <v>2697</v>
      </c>
      <c r="F268" s="367"/>
      <c r="G268" s="367"/>
      <c r="H268" s="367"/>
      <c r="I268" s="365"/>
      <c r="J268" s="367" t="s">
        <v>207</v>
      </c>
      <c r="K268" s="367">
        <v>0</v>
      </c>
      <c r="L268" s="367">
        <v>14</v>
      </c>
      <c r="M268" s="367" t="s">
        <v>607</v>
      </c>
      <c r="N268" s="367"/>
      <c r="O268" s="367"/>
      <c r="P268" s="367"/>
      <c r="Q268" s="367"/>
      <c r="R268" s="210"/>
    </row>
    <row r="269" spans="2:18" s="240" customFormat="1" ht="13.5" customHeight="1" thickTop="1" thickBot="1">
      <c r="B269" s="241"/>
      <c r="D269" s="215" t="s">
        <v>566</v>
      </c>
      <c r="E269" s="369" t="s">
        <v>2696</v>
      </c>
      <c r="F269" s="367"/>
      <c r="G269" s="367"/>
      <c r="H269" s="367"/>
      <c r="I269" s="365"/>
      <c r="J269" s="367" t="s">
        <v>207</v>
      </c>
      <c r="K269" s="367">
        <v>0</v>
      </c>
      <c r="L269" s="367">
        <v>14</v>
      </c>
      <c r="M269" s="367" t="s">
        <v>607</v>
      </c>
      <c r="N269" s="367" t="s">
        <v>207</v>
      </c>
      <c r="O269" s="367">
        <v>0</v>
      </c>
      <c r="P269" s="367">
        <v>14</v>
      </c>
      <c r="Q269" s="367" t="s">
        <v>607</v>
      </c>
      <c r="R269" s="210"/>
    </row>
    <row r="270" spans="2:18" s="240" customFormat="1" ht="13.5" customHeight="1" thickTop="1" thickBot="1">
      <c r="B270" s="241"/>
      <c r="D270" s="219" t="s">
        <v>567</v>
      </c>
      <c r="E270" s="370" t="s">
        <v>2695</v>
      </c>
      <c r="F270" s="368"/>
      <c r="G270" s="368"/>
      <c r="H270" s="368"/>
      <c r="I270" s="366"/>
      <c r="J270" s="368" t="s">
        <v>207</v>
      </c>
      <c r="K270" s="368">
        <v>0</v>
      </c>
      <c r="L270" s="368">
        <v>14</v>
      </c>
      <c r="M270" s="368" t="s">
        <v>607</v>
      </c>
      <c r="N270" s="368" t="s">
        <v>207</v>
      </c>
      <c r="O270" s="368">
        <v>0</v>
      </c>
      <c r="P270" s="368">
        <v>14</v>
      </c>
      <c r="Q270" s="368" t="s">
        <v>607</v>
      </c>
      <c r="R270" s="211"/>
    </row>
    <row r="271" spans="2:18" s="240" customFormat="1" ht="13.5" customHeight="1" thickTop="1" thickBot="1">
      <c r="B271" s="241"/>
      <c r="D271" s="219" t="s">
        <v>568</v>
      </c>
      <c r="E271" s="370" t="s">
        <v>2694</v>
      </c>
      <c r="F271" s="368"/>
      <c r="G271" s="368"/>
      <c r="H271" s="368"/>
      <c r="I271" s="366"/>
      <c r="J271" s="368" t="s">
        <v>207</v>
      </c>
      <c r="K271" s="368">
        <v>0</v>
      </c>
      <c r="L271" s="368">
        <v>14</v>
      </c>
      <c r="M271" s="368" t="s">
        <v>607</v>
      </c>
      <c r="N271" s="368"/>
      <c r="O271" s="368"/>
      <c r="P271" s="368"/>
      <c r="Q271" s="368"/>
      <c r="R271" s="211"/>
    </row>
    <row r="272" spans="2:18" s="240" customFormat="1" ht="13.5" customHeight="1" thickTop="1" thickBot="1">
      <c r="B272" s="241"/>
      <c r="D272" s="219" t="s">
        <v>569</v>
      </c>
      <c r="E272" s="370" t="s">
        <v>2693</v>
      </c>
      <c r="F272" s="368"/>
      <c r="G272" s="368"/>
      <c r="H272" s="368"/>
      <c r="I272" s="366"/>
      <c r="J272" s="368" t="s">
        <v>207</v>
      </c>
      <c r="K272" s="368">
        <v>0</v>
      </c>
      <c r="L272" s="368">
        <v>14</v>
      </c>
      <c r="M272" s="368" t="s">
        <v>607</v>
      </c>
      <c r="N272" s="368"/>
      <c r="O272" s="368"/>
      <c r="P272" s="368"/>
      <c r="Q272" s="368"/>
      <c r="R272" s="211"/>
    </row>
    <row r="273" spans="2:18" s="240" customFormat="1" ht="13.5" customHeight="1" thickTop="1" thickBot="1">
      <c r="B273" s="241"/>
      <c r="C273" s="148"/>
      <c r="D273" s="220" t="s">
        <v>570</v>
      </c>
      <c r="E273" s="370" t="s">
        <v>2692</v>
      </c>
      <c r="F273" s="368"/>
      <c r="G273" s="368"/>
      <c r="H273" s="368"/>
      <c r="I273" s="366"/>
      <c r="J273" s="368" t="s">
        <v>207</v>
      </c>
      <c r="K273" s="368">
        <v>1</v>
      </c>
      <c r="L273" s="368">
        <v>14</v>
      </c>
      <c r="M273" s="368" t="s">
        <v>607</v>
      </c>
      <c r="N273" s="368"/>
      <c r="O273" s="368"/>
      <c r="P273" s="368"/>
      <c r="Q273" s="368"/>
      <c r="R273" s="211"/>
    </row>
    <row r="274" spans="2:18" s="240" customFormat="1" ht="13.5" customHeight="1" thickTop="1" thickBot="1">
      <c r="B274" s="241"/>
      <c r="C274" s="148"/>
      <c r="D274" s="215" t="s">
        <v>571</v>
      </c>
      <c r="E274" s="369" t="s">
        <v>2691</v>
      </c>
      <c r="F274" s="367"/>
      <c r="G274" s="367"/>
      <c r="H274" s="367"/>
      <c r="I274" s="365"/>
      <c r="J274" s="367" t="s">
        <v>207</v>
      </c>
      <c r="K274" s="367">
        <v>1</v>
      </c>
      <c r="L274" s="367">
        <v>14</v>
      </c>
      <c r="M274" s="367" t="s">
        <v>607</v>
      </c>
      <c r="N274" s="367"/>
      <c r="O274" s="367"/>
      <c r="P274" s="367"/>
      <c r="Q274" s="367"/>
      <c r="R274" s="210"/>
    </row>
    <row r="275" spans="2:18" s="240" customFormat="1" ht="13.5" customHeight="1" thickTop="1" thickBot="1">
      <c r="B275" s="241"/>
      <c r="D275" s="215" t="s">
        <v>572</v>
      </c>
      <c r="E275" s="369" t="s">
        <v>2690</v>
      </c>
      <c r="F275" s="367"/>
      <c r="G275" s="367"/>
      <c r="H275" s="367"/>
      <c r="I275" s="365"/>
      <c r="J275" s="367" t="s">
        <v>207</v>
      </c>
      <c r="K275" s="367">
        <v>1</v>
      </c>
      <c r="L275" s="367">
        <v>14</v>
      </c>
      <c r="M275" s="367" t="s">
        <v>607</v>
      </c>
      <c r="N275" s="367"/>
      <c r="O275" s="367"/>
      <c r="P275" s="367"/>
      <c r="Q275" s="367"/>
      <c r="R275" s="210"/>
    </row>
    <row r="276" spans="2:18" s="240" customFormat="1" ht="13.5" customHeight="1" thickTop="1" thickBot="1">
      <c r="B276" s="241"/>
      <c r="D276" s="215" t="s">
        <v>573</v>
      </c>
      <c r="E276" s="369" t="s">
        <v>2689</v>
      </c>
      <c r="F276" s="367"/>
      <c r="G276" s="367"/>
      <c r="H276" s="367"/>
      <c r="I276" s="365"/>
      <c r="J276" s="367" t="s">
        <v>207</v>
      </c>
      <c r="K276" s="367">
        <v>1</v>
      </c>
      <c r="L276" s="367">
        <v>14</v>
      </c>
      <c r="M276" s="367" t="s">
        <v>607</v>
      </c>
      <c r="N276" s="367"/>
      <c r="O276" s="367"/>
      <c r="P276" s="367"/>
      <c r="Q276" s="367"/>
      <c r="R276" s="210"/>
    </row>
    <row r="277" spans="2:18" s="240" customFormat="1" ht="13.5" customHeight="1" thickTop="1" thickBot="1">
      <c r="B277" s="241"/>
      <c r="D277" s="215" t="s">
        <v>574</v>
      </c>
      <c r="E277" s="369" t="s">
        <v>2688</v>
      </c>
      <c r="F277" s="367"/>
      <c r="G277" s="367"/>
      <c r="H277" s="367"/>
      <c r="I277" s="365"/>
      <c r="J277" s="367" t="s">
        <v>207</v>
      </c>
      <c r="K277" s="367">
        <v>1</v>
      </c>
      <c r="L277" s="367">
        <v>14</v>
      </c>
      <c r="M277" s="367" t="s">
        <v>607</v>
      </c>
      <c r="N277" s="367"/>
      <c r="O277" s="367"/>
      <c r="P277" s="367"/>
      <c r="Q277" s="367"/>
      <c r="R277" s="210"/>
    </row>
    <row r="278" spans="2:18" s="240" customFormat="1" ht="13.5" customHeight="1" thickTop="1" thickBot="1">
      <c r="B278" s="241"/>
      <c r="D278" s="219" t="s">
        <v>575</v>
      </c>
      <c r="E278" s="370" t="s">
        <v>2687</v>
      </c>
      <c r="F278" s="368"/>
      <c r="G278" s="368"/>
      <c r="H278" s="368"/>
      <c r="I278" s="366"/>
      <c r="J278" s="368" t="s">
        <v>207</v>
      </c>
      <c r="K278" s="368">
        <v>1</v>
      </c>
      <c r="L278" s="368">
        <v>14</v>
      </c>
      <c r="M278" s="368" t="s">
        <v>607</v>
      </c>
      <c r="N278" s="368"/>
      <c r="O278" s="368"/>
      <c r="P278" s="368"/>
      <c r="Q278" s="368"/>
      <c r="R278" s="211"/>
    </row>
    <row r="279" spans="2:18" s="240" customFormat="1" ht="13.5" customHeight="1" thickTop="1" thickBot="1">
      <c r="B279" s="241"/>
      <c r="D279" s="219" t="s">
        <v>576</v>
      </c>
      <c r="E279" s="370" t="s">
        <v>2686</v>
      </c>
      <c r="F279" s="368"/>
      <c r="G279" s="368"/>
      <c r="H279" s="368"/>
      <c r="I279" s="366"/>
      <c r="J279" s="368" t="s">
        <v>207</v>
      </c>
      <c r="K279" s="368">
        <v>0</v>
      </c>
      <c r="L279" s="368">
        <v>14</v>
      </c>
      <c r="M279" s="368" t="s">
        <v>607</v>
      </c>
      <c r="N279" s="368"/>
      <c r="O279" s="368"/>
      <c r="P279" s="368"/>
      <c r="Q279" s="368"/>
      <c r="R279" s="211"/>
    </row>
    <row r="280" spans="2:18" s="240" customFormat="1" ht="13.5" customHeight="1" thickTop="1" thickBot="1">
      <c r="B280" s="241"/>
      <c r="D280" s="219" t="s">
        <v>577</v>
      </c>
      <c r="E280" s="370" t="s">
        <v>2685</v>
      </c>
      <c r="F280" s="368"/>
      <c r="G280" s="368"/>
      <c r="H280" s="368"/>
      <c r="I280" s="366"/>
      <c r="J280" s="368"/>
      <c r="K280" s="368"/>
      <c r="L280" s="368"/>
      <c r="M280" s="368"/>
      <c r="N280" s="368"/>
      <c r="O280" s="368"/>
      <c r="P280" s="368"/>
      <c r="Q280" s="368"/>
      <c r="R280" s="211"/>
    </row>
    <row r="281" spans="2:18" s="240" customFormat="1" ht="13.5" customHeight="1" thickTop="1" thickBot="1">
      <c r="B281" s="241"/>
      <c r="C281" s="148"/>
      <c r="D281" s="220" t="s">
        <v>578</v>
      </c>
      <c r="E281" s="370" t="s">
        <v>2684</v>
      </c>
      <c r="F281" s="368"/>
      <c r="G281" s="368"/>
      <c r="H281" s="368"/>
      <c r="I281" s="366"/>
      <c r="J281" s="368"/>
      <c r="K281" s="368"/>
      <c r="L281" s="368"/>
      <c r="M281" s="368"/>
      <c r="N281" s="368"/>
      <c r="O281" s="368"/>
      <c r="P281" s="368"/>
      <c r="Q281" s="368"/>
      <c r="R281" s="211"/>
    </row>
    <row r="282" spans="2:18" s="240" customFormat="1" ht="13.5" customHeight="1" thickTop="1" thickBot="1">
      <c r="B282" s="241"/>
      <c r="C282" s="148"/>
      <c r="D282" s="215" t="s">
        <v>579</v>
      </c>
      <c r="E282" s="369" t="s">
        <v>2683</v>
      </c>
      <c r="F282" s="367"/>
      <c r="G282" s="367"/>
      <c r="H282" s="367"/>
      <c r="I282" s="365"/>
      <c r="J282" s="367"/>
      <c r="K282" s="367"/>
      <c r="L282" s="367"/>
      <c r="M282" s="367"/>
      <c r="N282" s="367"/>
      <c r="O282" s="367"/>
      <c r="P282" s="367"/>
      <c r="Q282" s="367"/>
      <c r="R282" s="210"/>
    </row>
    <row r="283" spans="2:18" s="240" customFormat="1" ht="13.5" customHeight="1" thickTop="1" thickBot="1">
      <c r="B283" s="241"/>
      <c r="D283" s="215" t="s">
        <v>580</v>
      </c>
      <c r="E283" s="369" t="s">
        <v>2682</v>
      </c>
      <c r="F283" s="367"/>
      <c r="G283" s="367"/>
      <c r="H283" s="367"/>
      <c r="I283" s="365"/>
      <c r="J283" s="367"/>
      <c r="K283" s="367"/>
      <c r="L283" s="367"/>
      <c r="M283" s="367"/>
      <c r="N283" s="367"/>
      <c r="O283" s="367"/>
      <c r="P283" s="367"/>
      <c r="Q283" s="367"/>
      <c r="R283" s="210"/>
    </row>
    <row r="284" spans="2:18" s="240" customFormat="1" ht="13.5" customHeight="1" thickTop="1" thickBot="1">
      <c r="B284" s="241"/>
      <c r="D284" s="215" t="s">
        <v>581</v>
      </c>
      <c r="E284" s="369" t="s">
        <v>2681</v>
      </c>
      <c r="F284" s="367"/>
      <c r="G284" s="367"/>
      <c r="H284" s="367"/>
      <c r="I284" s="365"/>
      <c r="J284" s="367" t="s">
        <v>207</v>
      </c>
      <c r="K284" s="367">
        <v>0</v>
      </c>
      <c r="L284" s="367">
        <v>14</v>
      </c>
      <c r="M284" s="367" t="s">
        <v>607</v>
      </c>
      <c r="N284" s="367"/>
      <c r="O284" s="367"/>
      <c r="P284" s="367"/>
      <c r="Q284" s="367"/>
      <c r="R284" s="210"/>
    </row>
    <row r="285" spans="2:18" s="240" customFormat="1" ht="13.5" customHeight="1" thickTop="1" thickBot="1">
      <c r="B285" s="241"/>
      <c r="D285" s="215" t="s">
        <v>582</v>
      </c>
      <c r="E285" s="369" t="s">
        <v>2680</v>
      </c>
      <c r="F285" s="367"/>
      <c r="G285" s="367"/>
      <c r="H285" s="367"/>
      <c r="I285" s="365"/>
      <c r="J285" s="367" t="s">
        <v>207</v>
      </c>
      <c r="K285" s="367">
        <v>0</v>
      </c>
      <c r="L285" s="367">
        <v>15</v>
      </c>
      <c r="M285" s="367" t="s">
        <v>607</v>
      </c>
      <c r="N285" s="367"/>
      <c r="O285" s="367"/>
      <c r="P285" s="367"/>
      <c r="Q285" s="367"/>
      <c r="R285" s="210"/>
    </row>
    <row r="286" spans="2:18" s="240" customFormat="1" ht="13.5" customHeight="1" thickTop="1" thickBot="1">
      <c r="B286" s="241"/>
      <c r="D286" s="219" t="s">
        <v>583</v>
      </c>
      <c r="E286" s="370" t="s">
        <v>2679</v>
      </c>
      <c r="F286" s="368"/>
      <c r="G286" s="368"/>
      <c r="H286" s="368"/>
      <c r="I286" s="366"/>
      <c r="J286" s="368" t="s">
        <v>207</v>
      </c>
      <c r="K286" s="368">
        <v>0</v>
      </c>
      <c r="L286" s="368">
        <v>15</v>
      </c>
      <c r="M286" s="368" t="s">
        <v>607</v>
      </c>
      <c r="N286" s="368"/>
      <c r="O286" s="368"/>
      <c r="P286" s="368"/>
      <c r="Q286" s="368"/>
      <c r="R286" s="211"/>
    </row>
    <row r="287" spans="2:18" s="240" customFormat="1" ht="13.5" customHeight="1" thickTop="1" thickBot="1">
      <c r="B287" s="241"/>
      <c r="D287" s="219" t="s">
        <v>584</v>
      </c>
      <c r="E287" s="370" t="s">
        <v>2678</v>
      </c>
      <c r="F287" s="368"/>
      <c r="G287" s="368"/>
      <c r="H287" s="368"/>
      <c r="I287" s="366"/>
      <c r="J287" s="368" t="s">
        <v>207</v>
      </c>
      <c r="K287" s="368">
        <v>0</v>
      </c>
      <c r="L287" s="368">
        <v>15</v>
      </c>
      <c r="M287" s="368" t="s">
        <v>623</v>
      </c>
      <c r="N287" s="368"/>
      <c r="O287" s="368"/>
      <c r="P287" s="368"/>
      <c r="Q287" s="368"/>
      <c r="R287" s="211"/>
    </row>
    <row r="288" spans="2:18" s="240" customFormat="1" ht="13.5" customHeight="1" thickTop="1" thickBot="1">
      <c r="B288" s="241"/>
      <c r="D288" s="219" t="s">
        <v>585</v>
      </c>
      <c r="E288" s="370" t="s">
        <v>2677</v>
      </c>
      <c r="F288" s="368"/>
      <c r="G288" s="368"/>
      <c r="H288" s="368"/>
      <c r="I288" s="366"/>
      <c r="J288" s="368" t="s">
        <v>207</v>
      </c>
      <c r="K288" s="368">
        <v>0</v>
      </c>
      <c r="L288" s="368">
        <v>15</v>
      </c>
      <c r="M288" s="368" t="s">
        <v>607</v>
      </c>
      <c r="N288" s="368"/>
      <c r="O288" s="368"/>
      <c r="P288" s="368"/>
      <c r="Q288" s="368"/>
      <c r="R288" s="211"/>
    </row>
    <row r="289" spans="2:18" s="240" customFormat="1" ht="13.5" customHeight="1" thickTop="1" thickBot="1">
      <c r="B289" s="241"/>
      <c r="C289" s="148"/>
      <c r="D289" s="220" t="s">
        <v>586</v>
      </c>
      <c r="E289" s="370" t="s">
        <v>2676</v>
      </c>
      <c r="F289" s="368"/>
      <c r="G289" s="368"/>
      <c r="H289" s="368"/>
      <c r="I289" s="366"/>
      <c r="J289" s="368" t="s">
        <v>207</v>
      </c>
      <c r="K289" s="368">
        <v>0</v>
      </c>
      <c r="L289" s="368">
        <v>15</v>
      </c>
      <c r="M289" s="368" t="s">
        <v>607</v>
      </c>
      <c r="N289" s="368"/>
      <c r="O289" s="368"/>
      <c r="P289" s="368"/>
      <c r="Q289" s="368"/>
      <c r="R289" s="211"/>
    </row>
    <row r="290" spans="2:18" s="240" customFormat="1" ht="13.5" customHeight="1" thickTop="1" thickBot="1">
      <c r="B290" s="241"/>
      <c r="C290" s="148"/>
      <c r="D290" s="215" t="s">
        <v>587</v>
      </c>
      <c r="E290" s="369" t="s">
        <v>2675</v>
      </c>
      <c r="F290" s="367"/>
      <c r="G290" s="367"/>
      <c r="H290" s="367"/>
      <c r="I290" s="365"/>
      <c r="J290" s="367" t="s">
        <v>207</v>
      </c>
      <c r="K290" s="367">
        <v>0</v>
      </c>
      <c r="L290" s="367">
        <v>15</v>
      </c>
      <c r="M290" s="367" t="s">
        <v>607</v>
      </c>
      <c r="N290" s="367"/>
      <c r="O290" s="367"/>
      <c r="P290" s="367"/>
      <c r="Q290" s="367"/>
      <c r="R290" s="210"/>
    </row>
    <row r="291" spans="2:18" s="240" customFormat="1" ht="13.5" customHeight="1" thickTop="1" thickBot="1">
      <c r="B291" s="241"/>
      <c r="D291" s="215" t="s">
        <v>588</v>
      </c>
      <c r="E291" s="369" t="s">
        <v>2674</v>
      </c>
      <c r="F291" s="367"/>
      <c r="G291" s="367"/>
      <c r="H291" s="367"/>
      <c r="I291" s="365"/>
      <c r="J291" s="367" t="s">
        <v>207</v>
      </c>
      <c r="K291" s="367">
        <v>0</v>
      </c>
      <c r="L291" s="367">
        <v>15</v>
      </c>
      <c r="M291" s="367" t="s">
        <v>607</v>
      </c>
      <c r="N291" s="367"/>
      <c r="O291" s="367"/>
      <c r="P291" s="367"/>
      <c r="Q291" s="367"/>
      <c r="R291" s="210"/>
    </row>
    <row r="292" spans="2:18" s="240" customFormat="1" ht="13.5" customHeight="1" thickTop="1" thickBot="1">
      <c r="B292" s="241"/>
      <c r="D292" s="215" t="s">
        <v>589</v>
      </c>
      <c r="E292" s="369" t="s">
        <v>2673</v>
      </c>
      <c r="F292" s="367"/>
      <c r="G292" s="367"/>
      <c r="H292" s="367"/>
      <c r="I292" s="365"/>
      <c r="J292" s="367" t="s">
        <v>207</v>
      </c>
      <c r="K292" s="367">
        <v>0</v>
      </c>
      <c r="L292" s="367">
        <v>15</v>
      </c>
      <c r="M292" s="367" t="s">
        <v>623</v>
      </c>
      <c r="N292" s="367"/>
      <c r="O292" s="367"/>
      <c r="P292" s="367"/>
      <c r="Q292" s="367"/>
      <c r="R292" s="210"/>
    </row>
    <row r="293" spans="2:18" s="240" customFormat="1" ht="13.5" customHeight="1" thickTop="1" thickBot="1">
      <c r="B293" s="241"/>
      <c r="D293" s="215" t="s">
        <v>590</v>
      </c>
      <c r="E293" s="369" t="s">
        <v>2672</v>
      </c>
      <c r="F293" s="367"/>
      <c r="G293" s="367"/>
      <c r="H293" s="367"/>
      <c r="I293" s="365"/>
      <c r="J293" s="367" t="s">
        <v>207</v>
      </c>
      <c r="K293" s="367">
        <v>0</v>
      </c>
      <c r="L293" s="367">
        <v>15</v>
      </c>
      <c r="M293" s="367" t="s">
        <v>607</v>
      </c>
      <c r="N293" s="367"/>
      <c r="O293" s="367"/>
      <c r="P293" s="367"/>
      <c r="Q293" s="367"/>
      <c r="R293" s="210"/>
    </row>
    <row r="294" spans="2:18" s="240" customFormat="1" ht="13.5" customHeight="1" thickTop="1" thickBot="1">
      <c r="B294" s="241"/>
      <c r="D294" s="219" t="s">
        <v>591</v>
      </c>
      <c r="E294" s="370" t="s">
        <v>2671</v>
      </c>
      <c r="F294" s="368"/>
      <c r="G294" s="368"/>
      <c r="H294" s="368"/>
      <c r="I294" s="366"/>
      <c r="J294" s="368" t="s">
        <v>207</v>
      </c>
      <c r="K294" s="368">
        <v>0</v>
      </c>
      <c r="L294" s="368">
        <v>15</v>
      </c>
      <c r="M294" s="368" t="s">
        <v>607</v>
      </c>
      <c r="N294" s="368"/>
      <c r="O294" s="368"/>
      <c r="P294" s="368"/>
      <c r="Q294" s="368"/>
      <c r="R294" s="211"/>
    </row>
    <row r="295" spans="2:18" s="240" customFormat="1" ht="13.5" customHeight="1" thickTop="1" thickBot="1">
      <c r="B295" s="241"/>
      <c r="D295" s="219" t="s">
        <v>592</v>
      </c>
      <c r="E295" s="370" t="s">
        <v>2670</v>
      </c>
      <c r="F295" s="368"/>
      <c r="G295" s="368"/>
      <c r="H295" s="368"/>
      <c r="I295" s="366"/>
      <c r="J295" s="368" t="s">
        <v>207</v>
      </c>
      <c r="K295" s="368">
        <v>0</v>
      </c>
      <c r="L295" s="368">
        <v>14</v>
      </c>
      <c r="M295" s="368" t="s">
        <v>607</v>
      </c>
      <c r="N295" s="368"/>
      <c r="O295" s="368"/>
      <c r="P295" s="368"/>
      <c r="Q295" s="368"/>
      <c r="R295" s="211"/>
    </row>
    <row r="296" spans="2:18" s="240" customFormat="1" ht="13.5" customHeight="1" thickTop="1" thickBot="1">
      <c r="B296" s="241"/>
      <c r="D296" s="219" t="s">
        <v>593</v>
      </c>
      <c r="E296" s="370" t="s">
        <v>2669</v>
      </c>
      <c r="F296" s="368"/>
      <c r="G296" s="368"/>
      <c r="H296" s="368"/>
      <c r="I296" s="366"/>
      <c r="J296" s="368" t="s">
        <v>207</v>
      </c>
      <c r="K296" s="368">
        <v>0</v>
      </c>
      <c r="L296" s="368">
        <v>14</v>
      </c>
      <c r="M296" s="368" t="s">
        <v>607</v>
      </c>
      <c r="N296" s="368"/>
      <c r="O296" s="368"/>
      <c r="P296" s="368"/>
      <c r="Q296" s="368"/>
      <c r="R296" s="211"/>
    </row>
    <row r="297" spans="2:18" s="240" customFormat="1" ht="13.5" customHeight="1" thickTop="1" thickBot="1">
      <c r="B297" s="241"/>
      <c r="C297" s="148"/>
      <c r="D297" s="220" t="s">
        <v>594</v>
      </c>
      <c r="E297" s="370" t="s">
        <v>2668</v>
      </c>
      <c r="F297" s="368"/>
      <c r="G297" s="368"/>
      <c r="H297" s="368"/>
      <c r="I297" s="366"/>
      <c r="J297" s="368" t="s">
        <v>207</v>
      </c>
      <c r="K297" s="368">
        <v>0</v>
      </c>
      <c r="L297" s="368">
        <v>14</v>
      </c>
      <c r="M297" s="368" t="s">
        <v>607</v>
      </c>
      <c r="N297" s="368"/>
      <c r="O297" s="368"/>
      <c r="P297" s="368"/>
      <c r="Q297" s="368"/>
      <c r="R297" s="211"/>
    </row>
    <row r="298" spans="2:18" s="240" customFormat="1" ht="13.5" customHeight="1" thickTop="1" thickBot="1">
      <c r="B298" s="241"/>
      <c r="C298" s="148"/>
      <c r="D298" s="215" t="s">
        <v>595</v>
      </c>
      <c r="E298" s="369" t="s">
        <v>2667</v>
      </c>
      <c r="F298" s="367"/>
      <c r="G298" s="367"/>
      <c r="H298" s="367"/>
      <c r="I298" s="365"/>
      <c r="J298" s="367" t="s">
        <v>207</v>
      </c>
      <c r="K298" s="367">
        <v>0</v>
      </c>
      <c r="L298" s="367">
        <v>14</v>
      </c>
      <c r="M298" s="367" t="s">
        <v>607</v>
      </c>
      <c r="N298" s="367"/>
      <c r="O298" s="367"/>
      <c r="P298" s="367"/>
      <c r="Q298" s="367"/>
      <c r="R298" s="210"/>
    </row>
    <row r="299" spans="2:18" s="240" customFormat="1" ht="13.5" customHeight="1" thickTop="1" thickBot="1">
      <c r="B299" s="241"/>
      <c r="D299" s="215" t="s">
        <v>596</v>
      </c>
      <c r="E299" s="369" t="s">
        <v>2666</v>
      </c>
      <c r="F299" s="367"/>
      <c r="G299" s="367"/>
      <c r="H299" s="367"/>
      <c r="I299" s="365"/>
      <c r="J299" s="367"/>
      <c r="K299" s="367"/>
      <c r="L299" s="367"/>
      <c r="M299" s="367"/>
      <c r="N299" s="367"/>
      <c r="O299" s="367"/>
      <c r="P299" s="367"/>
      <c r="Q299" s="367"/>
      <c r="R299" s="210"/>
    </row>
    <row r="300" spans="2:18" s="240" customFormat="1" ht="13.5" customHeight="1" thickTop="1" thickBot="1">
      <c r="B300" s="241"/>
      <c r="D300" s="215" t="s">
        <v>597</v>
      </c>
      <c r="E300" s="369" t="s">
        <v>2665</v>
      </c>
      <c r="F300" s="367"/>
      <c r="G300" s="367"/>
      <c r="H300" s="367"/>
      <c r="I300" s="365"/>
      <c r="J300" s="367"/>
      <c r="K300" s="367"/>
      <c r="L300" s="367"/>
      <c r="M300" s="367"/>
      <c r="N300" s="367"/>
      <c r="O300" s="367"/>
      <c r="P300" s="367"/>
      <c r="Q300" s="367"/>
      <c r="R300" s="210"/>
    </row>
    <row r="301" spans="2:18" s="240" customFormat="1" ht="13.5" customHeight="1" thickTop="1" thickBot="1">
      <c r="B301" s="241"/>
      <c r="D301" s="215" t="s">
        <v>598</v>
      </c>
      <c r="E301" s="369" t="s">
        <v>2664</v>
      </c>
      <c r="F301" s="367"/>
      <c r="G301" s="367"/>
      <c r="H301" s="367"/>
      <c r="I301" s="365"/>
      <c r="J301" s="367"/>
      <c r="K301" s="367"/>
      <c r="L301" s="367"/>
      <c r="M301" s="367"/>
      <c r="N301" s="367"/>
      <c r="O301" s="367"/>
      <c r="P301" s="367"/>
      <c r="Q301" s="367"/>
      <c r="R301" s="210"/>
    </row>
    <row r="302" spans="2:18" s="240" customFormat="1" ht="13.5" customHeight="1" thickTop="1" thickBot="1">
      <c r="B302" s="241"/>
      <c r="D302" s="219" t="s">
        <v>599</v>
      </c>
      <c r="E302" s="370" t="s">
        <v>2663</v>
      </c>
      <c r="F302" s="368"/>
      <c r="G302" s="368"/>
      <c r="H302" s="368"/>
      <c r="I302" s="366"/>
      <c r="J302" s="368"/>
      <c r="K302" s="368"/>
      <c r="L302" s="368"/>
      <c r="M302" s="368"/>
      <c r="N302" s="368"/>
      <c r="O302" s="368"/>
      <c r="P302" s="368"/>
      <c r="Q302" s="368"/>
      <c r="R302" s="211"/>
    </row>
    <row r="303" spans="2:18" s="240" customFormat="1" ht="13.5" customHeight="1" thickTop="1" thickBot="1">
      <c r="B303" s="241"/>
      <c r="D303" s="219" t="s">
        <v>600</v>
      </c>
      <c r="E303" s="370" t="s">
        <v>2662</v>
      </c>
      <c r="F303" s="368"/>
      <c r="G303" s="368"/>
      <c r="H303" s="368"/>
      <c r="I303" s="366"/>
      <c r="J303" s="368"/>
      <c r="K303" s="368"/>
      <c r="L303" s="368"/>
      <c r="M303" s="368"/>
      <c r="N303" s="368"/>
      <c r="O303" s="368"/>
      <c r="P303" s="368"/>
      <c r="Q303" s="368"/>
      <c r="R303" s="211"/>
    </row>
    <row r="304" spans="2:18" s="240" customFormat="1" ht="13.5" customHeight="1" thickTop="1" thickBot="1">
      <c r="B304" s="241"/>
      <c r="D304" s="219" t="s">
        <v>601</v>
      </c>
      <c r="E304" s="370" t="s">
        <v>2661</v>
      </c>
      <c r="F304" s="368"/>
      <c r="G304" s="368"/>
      <c r="H304" s="368"/>
      <c r="I304" s="366"/>
      <c r="J304" s="368"/>
      <c r="K304" s="368"/>
      <c r="L304" s="368"/>
      <c r="M304" s="368"/>
      <c r="N304" s="368"/>
      <c r="O304" s="368"/>
      <c r="P304" s="368"/>
      <c r="Q304" s="368"/>
      <c r="R304" s="211"/>
    </row>
    <row r="305" spans="2:18" s="240" customFormat="1" ht="13.5" customHeight="1" thickTop="1" thickBot="1">
      <c r="B305" s="241"/>
      <c r="C305" s="148"/>
      <c r="D305" s="220" t="s">
        <v>602</v>
      </c>
      <c r="E305" s="370" t="s">
        <v>2660</v>
      </c>
      <c r="F305" s="368"/>
      <c r="G305" s="368"/>
      <c r="H305" s="368"/>
      <c r="I305" s="366"/>
      <c r="J305" s="368"/>
      <c r="K305" s="368"/>
      <c r="L305" s="368"/>
      <c r="M305" s="368"/>
      <c r="N305" s="368"/>
      <c r="O305" s="368"/>
      <c r="P305" s="368"/>
      <c r="Q305" s="368"/>
      <c r="R305" s="211"/>
    </row>
    <row r="306" spans="2:18" s="240" customFormat="1" ht="13.5" customHeight="1" thickTop="1" thickBot="1">
      <c r="B306" s="241"/>
      <c r="C306" s="148"/>
      <c r="D306" s="215" t="s">
        <v>603</v>
      </c>
      <c r="E306" s="369" t="s">
        <v>2659</v>
      </c>
      <c r="F306" s="367"/>
      <c r="G306" s="367"/>
      <c r="H306" s="367"/>
      <c r="I306" s="365"/>
      <c r="J306" s="367"/>
      <c r="K306" s="367"/>
      <c r="L306" s="367"/>
      <c r="M306" s="367"/>
      <c r="N306" s="367"/>
      <c r="O306" s="367"/>
      <c r="P306" s="367"/>
      <c r="Q306" s="367"/>
      <c r="R306" s="210"/>
    </row>
    <row r="307" spans="2:18" s="240" customFormat="1" ht="13.5" customHeight="1" thickTop="1" thickBot="1">
      <c r="B307" s="241"/>
      <c r="D307" s="215" t="s">
        <v>2658</v>
      </c>
      <c r="E307" s="369" t="s">
        <v>2657</v>
      </c>
      <c r="F307" s="367"/>
      <c r="G307" s="367"/>
      <c r="H307" s="367"/>
      <c r="I307" s="365"/>
      <c r="J307" s="367"/>
      <c r="K307" s="367"/>
      <c r="L307" s="367"/>
      <c r="M307" s="367"/>
      <c r="N307" s="367"/>
      <c r="O307" s="367"/>
      <c r="P307" s="367"/>
      <c r="Q307" s="367"/>
      <c r="R307" s="210"/>
    </row>
    <row r="308" spans="2:18" s="240" customFormat="1" ht="13.5" customHeight="1" thickTop="1" thickBot="1">
      <c r="B308" s="241"/>
      <c r="D308" s="215" t="s">
        <v>2656</v>
      </c>
      <c r="E308" s="369" t="s">
        <v>2655</v>
      </c>
      <c r="F308" s="367"/>
      <c r="G308" s="367"/>
      <c r="H308" s="367"/>
      <c r="I308" s="365"/>
      <c r="J308" s="367"/>
      <c r="K308" s="367"/>
      <c r="L308" s="367"/>
      <c r="M308" s="367"/>
      <c r="N308" s="367"/>
      <c r="O308" s="367"/>
      <c r="P308" s="367"/>
      <c r="Q308" s="367"/>
      <c r="R308" s="210"/>
    </row>
    <row r="309" spans="2:18" s="240" customFormat="1" ht="13.5" customHeight="1" thickTop="1" thickBot="1">
      <c r="B309" s="241"/>
      <c r="D309" s="215" t="s">
        <v>2654</v>
      </c>
      <c r="E309" s="369" t="s">
        <v>2653</v>
      </c>
      <c r="F309" s="367"/>
      <c r="G309" s="367"/>
      <c r="H309" s="367"/>
      <c r="I309" s="365"/>
      <c r="J309" s="367"/>
      <c r="K309" s="367"/>
      <c r="L309" s="367"/>
      <c r="M309" s="367"/>
      <c r="N309" s="367"/>
      <c r="O309" s="367"/>
      <c r="P309" s="367"/>
      <c r="Q309" s="367"/>
      <c r="R309" s="210"/>
    </row>
    <row r="310" spans="2:18" s="240" customFormat="1" ht="13.5" customHeight="1" thickTop="1" thickBot="1">
      <c r="B310" s="241"/>
      <c r="D310" s="219" t="s">
        <v>2652</v>
      </c>
      <c r="E310" s="370" t="s">
        <v>2651</v>
      </c>
      <c r="F310" s="368"/>
      <c r="G310" s="368"/>
      <c r="H310" s="368"/>
      <c r="I310" s="366"/>
      <c r="J310" s="368" t="s">
        <v>207</v>
      </c>
      <c r="K310" s="368">
        <v>0</v>
      </c>
      <c r="L310" s="368">
        <v>14</v>
      </c>
      <c r="M310" s="368" t="s">
        <v>607</v>
      </c>
      <c r="N310" s="368" t="s">
        <v>207</v>
      </c>
      <c r="O310" s="368">
        <v>0</v>
      </c>
      <c r="P310" s="368">
        <v>14</v>
      </c>
      <c r="Q310" s="368" t="s">
        <v>607</v>
      </c>
      <c r="R310" s="211"/>
    </row>
    <row r="311" spans="2:18" s="240" customFormat="1" ht="13.5" customHeight="1" thickTop="1" thickBot="1">
      <c r="B311" s="241"/>
      <c r="D311" s="219" t="s">
        <v>2650</v>
      </c>
      <c r="E311" s="370" t="s">
        <v>2649</v>
      </c>
      <c r="F311" s="368"/>
      <c r="G311" s="368"/>
      <c r="H311" s="368"/>
      <c r="I311" s="366"/>
      <c r="J311" s="368" t="s">
        <v>207</v>
      </c>
      <c r="K311" s="368">
        <v>0</v>
      </c>
      <c r="L311" s="368">
        <v>14</v>
      </c>
      <c r="M311" s="368" t="s">
        <v>607</v>
      </c>
      <c r="N311" s="368" t="s">
        <v>207</v>
      </c>
      <c r="O311" s="368">
        <v>0</v>
      </c>
      <c r="P311" s="368">
        <v>14</v>
      </c>
      <c r="Q311" s="368" t="s">
        <v>607</v>
      </c>
      <c r="R311" s="211"/>
    </row>
    <row r="312" spans="2:18" s="240" customFormat="1" ht="13.5" customHeight="1" thickTop="1" thickBot="1">
      <c r="B312" s="241"/>
      <c r="D312" s="219" t="s">
        <v>2648</v>
      </c>
      <c r="E312" s="370" t="s">
        <v>2647</v>
      </c>
      <c r="F312" s="368"/>
      <c r="G312" s="368"/>
      <c r="H312" s="368"/>
      <c r="I312" s="366"/>
      <c r="J312" s="368" t="s">
        <v>207</v>
      </c>
      <c r="K312" s="368">
        <v>0</v>
      </c>
      <c r="L312" s="368">
        <v>14</v>
      </c>
      <c r="M312" s="368" t="s">
        <v>607</v>
      </c>
      <c r="N312" s="368"/>
      <c r="O312" s="368"/>
      <c r="P312" s="368"/>
      <c r="Q312" s="368"/>
      <c r="R312" s="211"/>
    </row>
    <row r="313" spans="2:18" s="240" customFormat="1" ht="13.5" customHeight="1" thickTop="1" thickBot="1">
      <c r="B313" s="241"/>
      <c r="C313" s="148"/>
      <c r="D313" s="220" t="s">
        <v>2646</v>
      </c>
      <c r="E313" s="370" t="s">
        <v>2645</v>
      </c>
      <c r="F313" s="368"/>
      <c r="G313" s="368"/>
      <c r="H313" s="368"/>
      <c r="I313" s="366"/>
      <c r="J313" s="368" t="s">
        <v>207</v>
      </c>
      <c r="K313" s="368">
        <v>0</v>
      </c>
      <c r="L313" s="368">
        <v>14</v>
      </c>
      <c r="M313" s="368" t="s">
        <v>607</v>
      </c>
      <c r="N313" s="368" t="s">
        <v>207</v>
      </c>
      <c r="O313" s="368">
        <v>0</v>
      </c>
      <c r="P313" s="368">
        <v>14</v>
      </c>
      <c r="Q313" s="368" t="s">
        <v>607</v>
      </c>
      <c r="R313" s="211"/>
    </row>
    <row r="314" spans="2:18" s="240" customFormat="1" ht="13.5" customHeight="1" thickTop="1" thickBot="1">
      <c r="B314" s="241"/>
      <c r="C314" s="148"/>
      <c r="D314" s="215" t="s">
        <v>2644</v>
      </c>
      <c r="E314" s="369" t="s">
        <v>2643</v>
      </c>
      <c r="F314" s="367"/>
      <c r="G314" s="367"/>
      <c r="H314" s="367"/>
      <c r="I314" s="365"/>
      <c r="J314" s="367" t="s">
        <v>207</v>
      </c>
      <c r="K314" s="367">
        <v>0</v>
      </c>
      <c r="L314" s="367">
        <v>14</v>
      </c>
      <c r="M314" s="367" t="s">
        <v>607</v>
      </c>
      <c r="N314" s="367"/>
      <c r="O314" s="367"/>
      <c r="P314" s="367"/>
      <c r="Q314" s="367"/>
      <c r="R314" s="210"/>
    </row>
    <row r="315" spans="2:18" s="240" customFormat="1" ht="13.5" customHeight="1" thickTop="1" thickBot="1">
      <c r="B315" s="241"/>
      <c r="D315" s="215" t="s">
        <v>2642</v>
      </c>
      <c r="E315" s="369" t="s">
        <v>2641</v>
      </c>
      <c r="F315" s="367"/>
      <c r="G315" s="367"/>
      <c r="H315" s="367"/>
      <c r="I315" s="365"/>
      <c r="J315" s="367"/>
      <c r="K315" s="367"/>
      <c r="L315" s="367"/>
      <c r="M315" s="367"/>
      <c r="N315" s="367"/>
      <c r="O315" s="367"/>
      <c r="P315" s="367"/>
      <c r="Q315" s="367"/>
      <c r="R315" s="210"/>
    </row>
    <row r="316" spans="2:18" s="240" customFormat="1" ht="13.5" customHeight="1" thickTop="1" thickBot="1">
      <c r="B316" s="241"/>
      <c r="D316" s="215" t="s">
        <v>2640</v>
      </c>
      <c r="E316" s="369" t="s">
        <v>2639</v>
      </c>
      <c r="F316" s="367"/>
      <c r="G316" s="367"/>
      <c r="H316" s="367"/>
      <c r="I316" s="365"/>
      <c r="J316" s="367"/>
      <c r="K316" s="367"/>
      <c r="L316" s="367"/>
      <c r="M316" s="367"/>
      <c r="N316" s="367"/>
      <c r="O316" s="367"/>
      <c r="P316" s="367"/>
      <c r="Q316" s="367"/>
      <c r="R316" s="210"/>
    </row>
    <row r="317" spans="2:18" s="240" customFormat="1" ht="13.5" customHeight="1" thickTop="1" thickBot="1">
      <c r="B317" s="241"/>
      <c r="D317" s="215" t="s">
        <v>2638</v>
      </c>
      <c r="E317" s="369" t="s">
        <v>2637</v>
      </c>
      <c r="F317" s="367"/>
      <c r="G317" s="367"/>
      <c r="H317" s="367"/>
      <c r="I317" s="365"/>
      <c r="J317" s="367"/>
      <c r="K317" s="367"/>
      <c r="L317" s="367"/>
      <c r="M317" s="367"/>
      <c r="N317" s="367"/>
      <c r="O317" s="367"/>
      <c r="P317" s="367"/>
      <c r="Q317" s="367"/>
      <c r="R317" s="210"/>
    </row>
    <row r="318" spans="2:18" s="240" customFormat="1" ht="13.5" customHeight="1" thickTop="1" thickBot="1">
      <c r="B318" s="241"/>
      <c r="D318" s="219" t="s">
        <v>2636</v>
      </c>
      <c r="E318" s="370" t="s">
        <v>2635</v>
      </c>
      <c r="F318" s="368"/>
      <c r="G318" s="368"/>
      <c r="H318" s="368"/>
      <c r="I318" s="366"/>
      <c r="J318" s="368" t="s">
        <v>207</v>
      </c>
      <c r="K318" s="368">
        <v>0</v>
      </c>
      <c r="L318" s="368">
        <v>14</v>
      </c>
      <c r="M318" s="368" t="s">
        <v>607</v>
      </c>
      <c r="N318" s="368" t="s">
        <v>207</v>
      </c>
      <c r="O318" s="368">
        <v>0</v>
      </c>
      <c r="P318" s="368">
        <v>14</v>
      </c>
      <c r="Q318" s="368" t="s">
        <v>607</v>
      </c>
      <c r="R318" s="211"/>
    </row>
    <row r="319" spans="2:18" s="240" customFormat="1" ht="13.5" customHeight="1" thickTop="1" thickBot="1">
      <c r="B319" s="241"/>
      <c r="D319" s="219" t="s">
        <v>2634</v>
      </c>
      <c r="E319" s="370" t="s">
        <v>2633</v>
      </c>
      <c r="F319" s="368"/>
      <c r="G319" s="368"/>
      <c r="H319" s="368"/>
      <c r="I319" s="366"/>
      <c r="J319" s="368"/>
      <c r="K319" s="368"/>
      <c r="L319" s="368"/>
      <c r="M319" s="368"/>
      <c r="N319" s="368"/>
      <c r="O319" s="368"/>
      <c r="P319" s="368"/>
      <c r="Q319" s="368"/>
      <c r="R319" s="211"/>
    </row>
    <row r="320" spans="2:18" s="240" customFormat="1" ht="13.5" customHeight="1" thickTop="1" thickBot="1">
      <c r="B320" s="241"/>
      <c r="D320" s="219" t="s">
        <v>604</v>
      </c>
      <c r="E320" s="370" t="s">
        <v>2632</v>
      </c>
      <c r="F320" s="368"/>
      <c r="G320" s="368"/>
      <c r="H320" s="368"/>
      <c r="I320" s="366"/>
      <c r="J320" s="368"/>
      <c r="K320" s="368"/>
      <c r="L320" s="368"/>
      <c r="M320" s="368"/>
      <c r="N320" s="368"/>
      <c r="O320" s="368"/>
      <c r="P320" s="368"/>
      <c r="Q320" s="368"/>
      <c r="R320" s="211"/>
    </row>
    <row r="321" spans="2:18" s="240" customFormat="1" ht="13.5" customHeight="1" thickTop="1" thickBot="1">
      <c r="B321" s="241"/>
      <c r="C321" s="148"/>
      <c r="D321" s="220" t="s">
        <v>605</v>
      </c>
      <c r="E321" s="370" t="s">
        <v>2631</v>
      </c>
      <c r="F321" s="368"/>
      <c r="G321" s="368"/>
      <c r="H321" s="368"/>
      <c r="I321" s="366"/>
      <c r="J321" s="368" t="s">
        <v>207</v>
      </c>
      <c r="K321" s="368">
        <v>1</v>
      </c>
      <c r="L321" s="368">
        <v>14</v>
      </c>
      <c r="M321" s="368" t="s">
        <v>607</v>
      </c>
      <c r="N321" s="368"/>
      <c r="O321" s="368"/>
      <c r="P321" s="368"/>
      <c r="Q321" s="368"/>
      <c r="R321" s="211"/>
    </row>
    <row r="322" spans="2:18" s="240" customFormat="1" ht="13.5" customHeight="1" thickTop="1" thickBot="1">
      <c r="B322" s="241"/>
      <c r="C322" s="148"/>
      <c r="D322" s="215" t="s">
        <v>606</v>
      </c>
      <c r="E322" s="369" t="s">
        <v>2630</v>
      </c>
      <c r="F322" s="367"/>
      <c r="G322" s="367"/>
      <c r="H322" s="367"/>
      <c r="I322" s="365"/>
      <c r="J322" s="367" t="s">
        <v>207</v>
      </c>
      <c r="K322" s="367">
        <v>1</v>
      </c>
      <c r="L322" s="367">
        <v>14</v>
      </c>
      <c r="M322" s="367" t="s">
        <v>607</v>
      </c>
      <c r="N322" s="367"/>
      <c r="O322" s="367"/>
      <c r="P322" s="367"/>
      <c r="Q322" s="367"/>
      <c r="R322" s="210"/>
    </row>
    <row r="323" spans="2:18" s="240" customFormat="1" ht="13.5" customHeight="1" thickTop="1" thickBot="1">
      <c r="B323" s="241"/>
      <c r="D323" s="215" t="s">
        <v>2629</v>
      </c>
      <c r="E323" s="369" t="s">
        <v>2628</v>
      </c>
      <c r="F323" s="367"/>
      <c r="G323" s="367"/>
      <c r="H323" s="367"/>
      <c r="I323" s="365"/>
      <c r="J323" s="367" t="s">
        <v>207</v>
      </c>
      <c r="K323" s="367">
        <v>0</v>
      </c>
      <c r="L323" s="367">
        <v>14</v>
      </c>
      <c r="M323" s="367" t="s">
        <v>607</v>
      </c>
      <c r="N323" s="367"/>
      <c r="O323" s="367"/>
      <c r="P323" s="367"/>
      <c r="Q323" s="367"/>
      <c r="R323" s="210"/>
    </row>
    <row r="324" spans="2:18" s="240" customFormat="1" ht="13.5" customHeight="1" thickTop="1" thickBot="1">
      <c r="B324" s="241"/>
      <c r="D324" s="215"/>
      <c r="E324" s="369" t="s">
        <v>2627</v>
      </c>
      <c r="F324" s="367"/>
      <c r="G324" s="367"/>
      <c r="H324" s="367"/>
      <c r="I324" s="365"/>
      <c r="J324" s="367" t="s">
        <v>207</v>
      </c>
      <c r="K324" s="367">
        <v>1</v>
      </c>
      <c r="L324" s="367">
        <v>14</v>
      </c>
      <c r="M324" s="367" t="s">
        <v>607</v>
      </c>
      <c r="N324" s="367"/>
      <c r="O324" s="367"/>
      <c r="P324" s="367"/>
      <c r="Q324" s="367"/>
      <c r="R324" s="210" t="s">
        <v>2625</v>
      </c>
    </row>
    <row r="325" spans="2:18" s="240" customFormat="1" ht="13.5" customHeight="1" thickTop="1" thickBot="1">
      <c r="B325" s="241"/>
      <c r="D325" s="215"/>
      <c r="E325" s="369" t="s">
        <v>2626</v>
      </c>
      <c r="F325" s="367"/>
      <c r="G325" s="367"/>
      <c r="H325" s="367"/>
      <c r="I325" s="365"/>
      <c r="J325" s="367" t="s">
        <v>207</v>
      </c>
      <c r="K325" s="367">
        <v>0</v>
      </c>
      <c r="L325" s="367">
        <v>15</v>
      </c>
      <c r="M325" s="367" t="s">
        <v>607</v>
      </c>
      <c r="N325" s="367"/>
      <c r="O325" s="367"/>
      <c r="P325" s="367"/>
      <c r="Q325" s="367"/>
      <c r="R325" s="210" t="s">
        <v>2625</v>
      </c>
    </row>
    <row r="326" spans="2:18" s="240" customFormat="1" ht="13.5" customHeight="1" thickTop="1" thickBot="1">
      <c r="B326" s="241"/>
      <c r="D326" s="219"/>
      <c r="E326" s="370" t="s">
        <v>2624</v>
      </c>
      <c r="F326" s="368"/>
      <c r="G326" s="368"/>
      <c r="H326" s="368"/>
      <c r="I326" s="366"/>
      <c r="J326" s="368"/>
      <c r="K326" s="368"/>
      <c r="L326" s="368"/>
      <c r="M326" s="368"/>
      <c r="N326" s="368"/>
      <c r="O326" s="368"/>
      <c r="P326" s="368"/>
      <c r="Q326" s="368"/>
      <c r="R326" s="211"/>
    </row>
    <row r="327" spans="2:18" s="240" customFormat="1" ht="13.5" customHeight="1" thickTop="1" thickBot="1">
      <c r="B327" s="241"/>
      <c r="D327" s="219"/>
      <c r="E327" s="370" t="s">
        <v>2623</v>
      </c>
      <c r="F327" s="368"/>
      <c r="G327" s="368"/>
      <c r="H327" s="368"/>
      <c r="I327" s="366"/>
      <c r="J327" s="368"/>
      <c r="K327" s="368"/>
      <c r="L327" s="368"/>
      <c r="M327" s="368"/>
      <c r="N327" s="368"/>
      <c r="O327" s="368"/>
      <c r="P327" s="368"/>
      <c r="Q327" s="368"/>
      <c r="R327" s="211"/>
    </row>
    <row r="328" spans="2:18" s="240" customFormat="1" ht="13.5" customHeight="1" thickTop="1" thickBot="1">
      <c r="B328" s="241"/>
      <c r="D328" s="219"/>
      <c r="E328" s="370" t="s">
        <v>2622</v>
      </c>
      <c r="F328" s="368"/>
      <c r="G328" s="368"/>
      <c r="H328" s="368"/>
      <c r="I328" s="366"/>
      <c r="J328" s="368"/>
      <c r="K328" s="368"/>
      <c r="L328" s="368"/>
      <c r="M328" s="368"/>
      <c r="N328" s="368"/>
      <c r="O328" s="368"/>
      <c r="P328" s="368"/>
      <c r="Q328" s="368"/>
      <c r="R328" s="211"/>
    </row>
    <row r="329" spans="2:18" s="240" customFormat="1" ht="13.5" customHeight="1" thickTop="1" thickBot="1">
      <c r="B329" s="241"/>
      <c r="C329" s="148"/>
      <c r="D329" s="220"/>
      <c r="E329" s="370" t="s">
        <v>2621</v>
      </c>
      <c r="F329" s="368"/>
      <c r="G329" s="368"/>
      <c r="H329" s="368"/>
      <c r="I329" s="366"/>
      <c r="J329" s="368"/>
      <c r="K329" s="368"/>
      <c r="L329" s="368"/>
      <c r="M329" s="368"/>
      <c r="N329" s="368"/>
      <c r="O329" s="368"/>
      <c r="P329" s="368"/>
      <c r="Q329" s="368"/>
      <c r="R329" s="211"/>
    </row>
    <row r="330" spans="2:18" s="240" customFormat="1" ht="13.5" customHeight="1" thickTop="1" thickBot="1">
      <c r="B330" s="241"/>
      <c r="C330" s="148"/>
      <c r="D330" s="215" t="s">
        <v>6</v>
      </c>
      <c r="E330" s="369"/>
      <c r="F330" s="367"/>
      <c r="G330" s="367"/>
      <c r="H330" s="367"/>
      <c r="I330" s="365"/>
      <c r="J330" s="367"/>
      <c r="K330" s="367"/>
      <c r="L330" s="367"/>
      <c r="M330" s="367"/>
      <c r="N330" s="367"/>
      <c r="O330" s="367"/>
      <c r="P330" s="367"/>
      <c r="Q330" s="367"/>
      <c r="R330" s="210"/>
    </row>
    <row r="331" spans="2:18" s="240" customFormat="1" ht="13.5" customHeight="1" thickTop="1" thickBot="1">
      <c r="B331" s="241"/>
      <c r="D331" s="215" t="s">
        <v>6</v>
      </c>
      <c r="E331" s="369"/>
      <c r="F331" s="367"/>
      <c r="G331" s="367"/>
      <c r="H331" s="367"/>
      <c r="I331" s="365"/>
      <c r="J331" s="367"/>
      <c r="K331" s="367"/>
      <c r="L331" s="367"/>
      <c r="M331" s="367"/>
      <c r="N331" s="367"/>
      <c r="O331" s="367"/>
      <c r="P331" s="367"/>
      <c r="Q331" s="367"/>
      <c r="R331" s="210"/>
    </row>
    <row r="332" spans="2:18" s="240" customFormat="1" ht="13.5" customHeight="1" thickTop="1" thickBot="1">
      <c r="B332" s="241"/>
      <c r="D332" s="215" t="s">
        <v>6</v>
      </c>
      <c r="E332" s="369"/>
      <c r="F332" s="367"/>
      <c r="G332" s="367"/>
      <c r="H332" s="367"/>
      <c r="I332" s="365"/>
      <c r="J332" s="367"/>
      <c r="K332" s="367"/>
      <c r="L332" s="367"/>
      <c r="M332" s="367"/>
      <c r="N332" s="367"/>
      <c r="O332" s="367"/>
      <c r="P332" s="367"/>
      <c r="Q332" s="367"/>
      <c r="R332" s="210"/>
    </row>
    <row r="333" spans="2:18" s="240" customFormat="1" ht="13.5" customHeight="1" thickTop="1" thickBot="1">
      <c r="B333" s="150"/>
      <c r="C333" s="231"/>
      <c r="D333" s="232" t="s">
        <v>6</v>
      </c>
      <c r="E333" s="369"/>
      <c r="F333" s="367"/>
      <c r="G333" s="367"/>
      <c r="H333" s="367"/>
      <c r="I333" s="365"/>
      <c r="J333" s="367"/>
      <c r="K333" s="367"/>
      <c r="L333" s="367"/>
      <c r="M333" s="367"/>
      <c r="N333" s="367"/>
      <c r="O333" s="367"/>
      <c r="P333" s="367"/>
      <c r="Q333" s="367"/>
      <c r="R333" s="210"/>
    </row>
    <row r="334" spans="2:18" ht="13.5" thickTop="1"/>
  </sheetData>
  <mergeCells count="1">
    <mergeCell ref="F7:Q7"/>
  </mergeCells>
  <phoneticPr fontId="6"/>
  <dataValidations count="3">
    <dataValidation type="list" allowBlank="1" showInputMessage="1" showErrorMessage="1" sqref="Q10:Q333 M10:M333 I10:I333">
      <formula1>$M$2:$M$3</formula1>
    </dataValidation>
    <dataValidation type="list" allowBlank="1" showInputMessage="1" showErrorMessage="1" sqref="O10:O333 K10:K333 G10:G333">
      <formula1>$K$2:$K$5</formula1>
    </dataValidation>
    <dataValidation type="list" allowBlank="1" showInputMessage="1" showErrorMessage="1" sqref="F10:F333 J10:J333 N10:N333">
      <formula1>$J$2:$J$3</formula1>
    </dataValidation>
  </dataValidations>
  <pageMargins left="0.39370078740157483" right="0.19685039370078741" top="0.62992125984251968" bottom="0.43307086614173229" header="0.59055118110236227" footer="0.19685039370078741"/>
  <pageSetup paperSize="9" scale="53" firstPageNumber="0" fitToHeight="99" orientation="portrait" r:id="rId1"/>
  <headerFooter>
    <oddHeader>&amp;C&amp;A</oddHeader>
    <oddFooter>&amp;Cページ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FD351"/>
  <sheetViews>
    <sheetView showGridLines="0" zoomScale="85" zoomScaleNormal="85" workbookViewId="0">
      <pane ySplit="8" topLeftCell="A9" activePane="bottomLeft" state="frozen"/>
      <selection activeCell="N328" sqref="N328"/>
      <selection pane="bottomLeft" activeCell="J29" sqref="J29"/>
    </sheetView>
  </sheetViews>
  <sheetFormatPr defaultColWidth="9.140625" defaultRowHeight="14.25"/>
  <cols>
    <col min="1" max="1" width="6.85546875" style="331" customWidth="1"/>
    <col min="2" max="2" width="9.140625" style="329"/>
    <col min="3" max="3" width="6.140625" style="330" customWidth="1"/>
    <col min="4" max="4" width="16.85546875" style="329" bestFit="1" customWidth="1"/>
    <col min="5" max="5" width="62.28515625" style="329" customWidth="1"/>
    <col min="6" max="7" width="9.140625" style="329" customWidth="1"/>
    <col min="8" max="11" width="9.140625" style="329"/>
    <col min="12" max="12" width="25.5703125" style="329" customWidth="1"/>
    <col min="13" max="1021" width="9.140625" style="331"/>
    <col min="1022" max="1025" width="9.140625" style="332"/>
    <col min="1026" max="16384" width="9.140625" style="333"/>
  </cols>
  <sheetData>
    <row r="1" spans="2:1025" ht="12.75" customHeight="1"/>
    <row r="2" spans="2:1025" ht="30" customHeight="1">
      <c r="B2" s="32" t="s">
        <v>1660</v>
      </c>
      <c r="F2" s="333"/>
      <c r="G2" s="333"/>
      <c r="H2" s="333"/>
      <c r="I2" s="333"/>
      <c r="J2" s="333"/>
      <c r="K2" s="333"/>
      <c r="L2" s="333"/>
    </row>
    <row r="3" spans="2:1025" ht="13.5" customHeight="1">
      <c r="B3" s="32"/>
      <c r="F3" s="334" t="s">
        <v>1661</v>
      </c>
      <c r="G3" s="335" t="s">
        <v>1662</v>
      </c>
      <c r="H3" s="334" t="s">
        <v>1663</v>
      </c>
      <c r="J3" s="329" t="s">
        <v>1664</v>
      </c>
    </row>
    <row r="4" spans="2:1025" ht="13.5" customHeight="1">
      <c r="B4" s="32"/>
      <c r="G4" s="335" t="s">
        <v>1665</v>
      </c>
      <c r="H4" s="334" t="s">
        <v>1666</v>
      </c>
    </row>
    <row r="5" spans="2:1025">
      <c r="G5" s="335" t="s">
        <v>1667</v>
      </c>
      <c r="H5" s="334" t="s">
        <v>1668</v>
      </c>
    </row>
    <row r="6" spans="2:1025" ht="15" thickBot="1">
      <c r="G6" s="335" t="s">
        <v>1669</v>
      </c>
      <c r="H6" s="334" t="s">
        <v>1670</v>
      </c>
    </row>
    <row r="7" spans="2:1025" ht="14.1" customHeight="1" thickTop="1" thickBot="1">
      <c r="B7" s="336"/>
      <c r="C7" s="337"/>
      <c r="D7" s="336"/>
      <c r="E7" s="336"/>
      <c r="F7" s="338" t="s">
        <v>1671</v>
      </c>
      <c r="G7" s="339"/>
      <c r="H7" s="339"/>
      <c r="I7" s="340"/>
      <c r="J7" s="338" t="s">
        <v>1672</v>
      </c>
      <c r="K7" s="340"/>
      <c r="L7" s="336"/>
    </row>
    <row r="8" spans="2:1025" ht="48.75" customHeight="1" thickTop="1" thickBot="1">
      <c r="B8" s="341" t="s">
        <v>191</v>
      </c>
      <c r="C8" s="342" t="s">
        <v>192</v>
      </c>
      <c r="D8" s="341"/>
      <c r="E8" s="341" t="s">
        <v>193</v>
      </c>
      <c r="F8" s="343" t="s">
        <v>1673</v>
      </c>
      <c r="G8" s="394" t="s">
        <v>2986</v>
      </c>
      <c r="H8" s="343" t="s">
        <v>1675</v>
      </c>
      <c r="I8" s="343" t="s">
        <v>1676</v>
      </c>
      <c r="J8" s="343" t="s">
        <v>1675</v>
      </c>
      <c r="K8" s="343" t="s">
        <v>1676</v>
      </c>
      <c r="L8" s="341" t="s">
        <v>186</v>
      </c>
    </row>
    <row r="9" spans="2:1025" ht="15.75" customHeight="1" thickTop="1" thickBot="1">
      <c r="B9" s="344" t="s">
        <v>1677</v>
      </c>
      <c r="C9" s="345"/>
      <c r="D9" s="346"/>
      <c r="E9" s="346"/>
      <c r="F9" s="347"/>
      <c r="G9" s="347"/>
      <c r="H9" s="347"/>
      <c r="I9" s="347"/>
      <c r="J9" s="347"/>
      <c r="K9" s="347"/>
      <c r="L9" s="348"/>
    </row>
    <row r="10" spans="2:1025" s="331" customFormat="1" ht="15.75" customHeight="1" thickTop="1" thickBot="1">
      <c r="B10" s="349"/>
      <c r="C10" s="350" t="s">
        <v>1679</v>
      </c>
      <c r="D10" s="166" t="s">
        <v>1680</v>
      </c>
      <c r="E10" s="166" t="s">
        <v>1680</v>
      </c>
      <c r="F10" s="351"/>
      <c r="G10" s="351" t="s">
        <v>1681</v>
      </c>
      <c r="H10" s="351"/>
      <c r="I10" s="351"/>
      <c r="J10" s="351"/>
      <c r="K10" s="351"/>
      <c r="L10" s="351"/>
      <c r="AMH10" s="332"/>
      <c r="AMI10" s="332"/>
      <c r="AMJ10" s="332"/>
      <c r="AMK10" s="332"/>
    </row>
    <row r="11" spans="2:1025" s="331" customFormat="1" ht="15.75" customHeight="1" thickTop="1" thickBot="1">
      <c r="B11" s="349"/>
      <c r="C11" s="350" t="s">
        <v>1682</v>
      </c>
      <c r="D11" s="352" t="s">
        <v>1683</v>
      </c>
      <c r="E11" s="352" t="s">
        <v>1684</v>
      </c>
      <c r="F11" s="351"/>
      <c r="G11" s="351" t="s">
        <v>1745</v>
      </c>
      <c r="H11" s="351"/>
      <c r="I11" s="351"/>
      <c r="J11" s="351"/>
      <c r="K11" s="351"/>
      <c r="L11" s="351"/>
      <c r="AMH11" s="332"/>
      <c r="AMI11" s="332"/>
      <c r="AMJ11" s="332"/>
      <c r="AMK11" s="332"/>
    </row>
    <row r="12" spans="2:1025" s="331" customFormat="1" ht="15.75" customHeight="1" thickTop="1" thickBot="1">
      <c r="B12" s="349"/>
      <c r="C12" s="350" t="s">
        <v>1686</v>
      </c>
      <c r="D12" s="166" t="s">
        <v>1680</v>
      </c>
      <c r="E12" s="166" t="s">
        <v>1680</v>
      </c>
      <c r="F12" s="351"/>
      <c r="G12" s="351" t="s">
        <v>1681</v>
      </c>
      <c r="H12" s="351"/>
      <c r="I12" s="351"/>
      <c r="J12" s="351"/>
      <c r="K12" s="351"/>
      <c r="L12" s="351"/>
      <c r="AMH12" s="332"/>
      <c r="AMI12" s="332"/>
      <c r="AMJ12" s="332"/>
      <c r="AMK12" s="332"/>
    </row>
    <row r="13" spans="2:1025" s="331" customFormat="1" ht="15.75" customHeight="1" thickTop="1" thickBot="1">
      <c r="B13" s="349"/>
      <c r="C13" s="350" t="s">
        <v>1687</v>
      </c>
      <c r="D13" s="352" t="s">
        <v>1688</v>
      </c>
      <c r="E13" s="352" t="s">
        <v>1689</v>
      </c>
      <c r="F13" s="351"/>
      <c r="G13" s="351" t="s">
        <v>1685</v>
      </c>
      <c r="H13" s="351"/>
      <c r="I13" s="351"/>
      <c r="J13" s="351"/>
      <c r="K13" s="351"/>
      <c r="L13" s="351"/>
      <c r="AMH13" s="332"/>
      <c r="AMI13" s="332"/>
      <c r="AMJ13" s="332"/>
      <c r="AMK13" s="332"/>
    </row>
    <row r="14" spans="2:1025" s="331" customFormat="1" ht="15.75" customHeight="1" thickTop="1" thickBot="1">
      <c r="B14" s="349"/>
      <c r="C14" s="350" t="s">
        <v>1690</v>
      </c>
      <c r="D14" s="352" t="s">
        <v>1691</v>
      </c>
      <c r="E14" s="352" t="s">
        <v>1692</v>
      </c>
      <c r="F14" s="351"/>
      <c r="G14" s="351" t="s">
        <v>1685</v>
      </c>
      <c r="H14" s="351"/>
      <c r="I14" s="351"/>
      <c r="J14" s="351"/>
      <c r="K14" s="351" t="s">
        <v>194</v>
      </c>
      <c r="L14" s="351"/>
      <c r="AMH14" s="332"/>
      <c r="AMI14" s="332"/>
      <c r="AMJ14" s="332"/>
      <c r="AMK14" s="332"/>
    </row>
    <row r="15" spans="2:1025" s="331" customFormat="1" ht="15.75" customHeight="1" thickTop="1" thickBot="1">
      <c r="B15" s="349"/>
      <c r="C15" s="350" t="s">
        <v>1693</v>
      </c>
      <c r="D15" s="352" t="s">
        <v>1694</v>
      </c>
      <c r="E15" s="352" t="s">
        <v>1695</v>
      </c>
      <c r="F15" s="351"/>
      <c r="G15" s="351" t="s">
        <v>1685</v>
      </c>
      <c r="H15" s="351"/>
      <c r="I15" s="351"/>
      <c r="J15" s="351"/>
      <c r="K15" s="351" t="s">
        <v>194</v>
      </c>
      <c r="L15" s="351"/>
      <c r="AMH15" s="332"/>
      <c r="AMI15" s="332"/>
      <c r="AMJ15" s="332"/>
      <c r="AMK15" s="332"/>
    </row>
    <row r="16" spans="2:1025" s="331" customFormat="1" ht="15.75" customHeight="1" thickTop="1" thickBot="1">
      <c r="B16" s="349"/>
      <c r="C16" s="350" t="s">
        <v>1696</v>
      </c>
      <c r="D16" s="352" t="s">
        <v>1697</v>
      </c>
      <c r="E16" s="352" t="s">
        <v>1698</v>
      </c>
      <c r="F16" s="351"/>
      <c r="G16" s="351" t="s">
        <v>1685</v>
      </c>
      <c r="H16" s="351"/>
      <c r="I16" s="351"/>
      <c r="J16" s="351"/>
      <c r="K16" s="351" t="s">
        <v>194</v>
      </c>
      <c r="L16" s="351"/>
      <c r="AMH16" s="332"/>
      <c r="AMI16" s="332"/>
      <c r="AMJ16" s="332"/>
      <c r="AMK16" s="332"/>
    </row>
    <row r="17" spans="2:1025" s="331" customFormat="1" ht="15.75" thickTop="1" thickBot="1">
      <c r="B17" s="349"/>
      <c r="C17" s="350" t="s">
        <v>1699</v>
      </c>
      <c r="D17" s="352" t="s">
        <v>1700</v>
      </c>
      <c r="E17" s="353" t="s">
        <v>1701</v>
      </c>
      <c r="F17" s="351"/>
      <c r="G17" s="351" t="s">
        <v>1685</v>
      </c>
      <c r="H17" s="351"/>
      <c r="I17" s="351"/>
      <c r="J17" s="351"/>
      <c r="K17" s="351" t="s">
        <v>194</v>
      </c>
      <c r="L17" s="351"/>
      <c r="AMH17" s="332"/>
      <c r="AMI17" s="332"/>
      <c r="AMJ17" s="332"/>
      <c r="AMK17" s="332"/>
    </row>
    <row r="18" spans="2:1025" s="331" customFormat="1" ht="15.75" customHeight="1" thickTop="1" thickBot="1">
      <c r="B18" s="349"/>
      <c r="C18" s="350" t="s">
        <v>1702</v>
      </c>
      <c r="D18" s="352" t="s">
        <v>1703</v>
      </c>
      <c r="E18" s="353" t="s">
        <v>1704</v>
      </c>
      <c r="F18" s="351"/>
      <c r="G18" s="351" t="s">
        <v>1685</v>
      </c>
      <c r="H18" s="351"/>
      <c r="I18" s="351"/>
      <c r="J18" s="351"/>
      <c r="K18" s="351" t="s">
        <v>194</v>
      </c>
      <c r="L18" s="351"/>
      <c r="AMH18" s="332"/>
      <c r="AMI18" s="332"/>
      <c r="AMJ18" s="332"/>
      <c r="AMK18" s="332"/>
    </row>
    <row r="19" spans="2:1025" s="331" customFormat="1" ht="15.75" customHeight="1" thickTop="1" thickBot="1">
      <c r="B19" s="349"/>
      <c r="C19" s="350" t="s">
        <v>1705</v>
      </c>
      <c r="D19" s="352" t="s">
        <v>1706</v>
      </c>
      <c r="E19" s="352" t="s">
        <v>1707</v>
      </c>
      <c r="F19" s="351"/>
      <c r="G19" s="351" t="s">
        <v>1745</v>
      </c>
      <c r="H19" s="351"/>
      <c r="I19" s="351"/>
      <c r="J19" s="351"/>
      <c r="K19" s="351"/>
      <c r="L19" s="351"/>
      <c r="AMH19" s="332"/>
      <c r="AMI19" s="332"/>
      <c r="AMJ19" s="332"/>
      <c r="AMK19" s="332"/>
    </row>
    <row r="20" spans="2:1025" s="331" customFormat="1" ht="15.75" customHeight="1" thickTop="1" thickBot="1">
      <c r="B20" s="349"/>
      <c r="C20" s="350" t="s">
        <v>1708</v>
      </c>
      <c r="D20" s="352" t="s">
        <v>1709</v>
      </c>
      <c r="E20" s="352" t="s">
        <v>1710</v>
      </c>
      <c r="F20" s="351"/>
      <c r="G20" s="351" t="s">
        <v>1745</v>
      </c>
      <c r="H20" s="351"/>
      <c r="I20" s="351"/>
      <c r="J20" s="351"/>
      <c r="K20" s="351"/>
      <c r="L20" s="351"/>
      <c r="AMH20" s="332"/>
      <c r="AMI20" s="332"/>
      <c r="AMJ20" s="332"/>
      <c r="AMK20" s="332"/>
    </row>
    <row r="21" spans="2:1025" s="331" customFormat="1" ht="15.75" customHeight="1" thickTop="1" thickBot="1">
      <c r="B21" s="349"/>
      <c r="C21" s="350" t="s">
        <v>1711</v>
      </c>
      <c r="D21" s="352" t="s">
        <v>1712</v>
      </c>
      <c r="E21" s="352" t="s">
        <v>1713</v>
      </c>
      <c r="F21" s="351"/>
      <c r="G21" s="351" t="s">
        <v>1745</v>
      </c>
      <c r="H21" s="351"/>
      <c r="I21" s="351"/>
      <c r="J21" s="351"/>
      <c r="K21" s="351"/>
      <c r="L21" s="351"/>
      <c r="AMH21" s="332"/>
      <c r="AMI21" s="332"/>
      <c r="AMJ21" s="332"/>
      <c r="AMK21" s="332"/>
    </row>
    <row r="22" spans="2:1025" s="331" customFormat="1" ht="15.75" customHeight="1" thickTop="1" thickBot="1">
      <c r="B22" s="349"/>
      <c r="C22" s="350" t="s">
        <v>1714</v>
      </c>
      <c r="D22" s="352" t="s">
        <v>1715</v>
      </c>
      <c r="E22" s="352" t="s">
        <v>1716</v>
      </c>
      <c r="F22" s="351"/>
      <c r="G22" s="351" t="s">
        <v>1745</v>
      </c>
      <c r="H22" s="351"/>
      <c r="I22" s="351"/>
      <c r="J22" s="351"/>
      <c r="K22" s="351"/>
      <c r="L22" s="351"/>
      <c r="AMH22" s="332"/>
      <c r="AMI22" s="332"/>
      <c r="AMJ22" s="332"/>
      <c r="AMK22" s="332"/>
    </row>
    <row r="23" spans="2:1025" s="331" customFormat="1" ht="15.75" customHeight="1" thickTop="1" thickBot="1">
      <c r="B23" s="349"/>
      <c r="C23" s="350" t="s">
        <v>1717</v>
      </c>
      <c r="D23" s="352" t="s">
        <v>1718</v>
      </c>
      <c r="E23" s="352" t="s">
        <v>1719</v>
      </c>
      <c r="F23" s="351"/>
      <c r="G23" s="351" t="s">
        <v>1745</v>
      </c>
      <c r="H23" s="351"/>
      <c r="I23" s="351"/>
      <c r="J23" s="351"/>
      <c r="K23" s="351"/>
      <c r="L23" s="351"/>
      <c r="AMH23" s="332"/>
      <c r="AMI23" s="332"/>
      <c r="AMJ23" s="332"/>
      <c r="AMK23" s="332"/>
    </row>
    <row r="24" spans="2:1025" s="331" customFormat="1" ht="15.75" customHeight="1" thickTop="1" thickBot="1">
      <c r="B24" s="349"/>
      <c r="C24" s="350" t="s">
        <v>1720</v>
      </c>
      <c r="D24" s="352" t="s">
        <v>1721</v>
      </c>
      <c r="E24" s="352" t="s">
        <v>1722</v>
      </c>
      <c r="F24" s="351"/>
      <c r="G24" s="351" t="s">
        <v>1745</v>
      </c>
      <c r="H24" s="351"/>
      <c r="I24" s="351"/>
      <c r="J24" s="351"/>
      <c r="K24" s="351"/>
      <c r="L24" s="351"/>
      <c r="AMH24" s="332"/>
      <c r="AMI24" s="332"/>
      <c r="AMJ24" s="332"/>
      <c r="AMK24" s="332"/>
    </row>
    <row r="25" spans="2:1025" s="331" customFormat="1" ht="15.75" customHeight="1" thickTop="1" thickBot="1">
      <c r="B25" s="354"/>
      <c r="C25" s="350" t="s">
        <v>1724</v>
      </c>
      <c r="D25" s="352" t="s">
        <v>1725</v>
      </c>
      <c r="E25" s="352" t="s">
        <v>1726</v>
      </c>
      <c r="F25" s="351"/>
      <c r="G25" s="351" t="s">
        <v>1745</v>
      </c>
      <c r="H25" s="351"/>
      <c r="I25" s="351"/>
      <c r="J25" s="351"/>
      <c r="K25" s="351"/>
      <c r="L25" s="351"/>
      <c r="AMH25" s="332"/>
      <c r="AMI25" s="332"/>
      <c r="AMJ25" s="332"/>
      <c r="AMK25" s="332"/>
    </row>
    <row r="26" spans="2:1025" s="331" customFormat="1" ht="15.75" customHeight="1" thickTop="1" thickBot="1">
      <c r="B26" s="344" t="s">
        <v>1727</v>
      </c>
      <c r="C26" s="345"/>
      <c r="D26" s="346"/>
      <c r="E26" s="346"/>
      <c r="F26" s="347"/>
      <c r="G26" s="347"/>
      <c r="H26" s="347"/>
      <c r="I26" s="347"/>
      <c r="J26" s="347"/>
      <c r="K26" s="347"/>
      <c r="L26" s="348"/>
      <c r="AMH26" s="332"/>
      <c r="AMI26" s="332"/>
      <c r="AMJ26" s="332"/>
      <c r="AMK26" s="332"/>
    </row>
    <row r="27" spans="2:1025" s="331" customFormat="1" ht="15.75" customHeight="1" thickTop="1" thickBot="1">
      <c r="B27" s="349"/>
      <c r="C27" s="350" t="s">
        <v>1679</v>
      </c>
      <c r="D27" s="352" t="s">
        <v>1728</v>
      </c>
      <c r="E27" s="352" t="s">
        <v>1729</v>
      </c>
      <c r="F27" s="351"/>
      <c r="G27" s="351" t="s">
        <v>1745</v>
      </c>
      <c r="H27" s="351"/>
      <c r="I27" s="351"/>
      <c r="J27" s="351"/>
      <c r="K27" s="351"/>
      <c r="L27" s="351"/>
      <c r="AMH27" s="332"/>
      <c r="AMI27" s="332"/>
      <c r="AMJ27" s="332"/>
      <c r="AMK27" s="332"/>
    </row>
    <row r="28" spans="2:1025" s="331" customFormat="1" ht="15.75" customHeight="1" thickTop="1" thickBot="1">
      <c r="B28" s="349"/>
      <c r="C28" s="350" t="s">
        <v>1682</v>
      </c>
      <c r="D28" s="352" t="s">
        <v>1730</v>
      </c>
      <c r="E28" s="352" t="s">
        <v>1731</v>
      </c>
      <c r="F28" s="351"/>
      <c r="G28" s="351" t="s">
        <v>1745</v>
      </c>
      <c r="H28" s="351"/>
      <c r="I28" s="351"/>
      <c r="J28" s="351"/>
      <c r="K28" s="351"/>
      <c r="L28" s="351"/>
      <c r="AMH28" s="332"/>
      <c r="AMI28" s="332"/>
      <c r="AMJ28" s="332"/>
      <c r="AMK28" s="332"/>
    </row>
    <row r="29" spans="2:1025" s="331" customFormat="1" ht="15.75" customHeight="1" thickTop="1" thickBot="1">
      <c r="B29" s="349"/>
      <c r="C29" s="350" t="s">
        <v>1686</v>
      </c>
      <c r="D29" s="352" t="s">
        <v>1732</v>
      </c>
      <c r="E29" s="352" t="s">
        <v>1731</v>
      </c>
      <c r="F29" s="351"/>
      <c r="G29" s="351" t="s">
        <v>1745</v>
      </c>
      <c r="H29" s="351"/>
      <c r="I29" s="351"/>
      <c r="J29" s="351"/>
      <c r="K29" s="351"/>
      <c r="L29" s="351"/>
      <c r="AMH29" s="332"/>
      <c r="AMI29" s="332"/>
      <c r="AMJ29" s="332"/>
      <c r="AMK29" s="332"/>
    </row>
    <row r="30" spans="2:1025" s="331" customFormat="1" ht="15.75" customHeight="1" thickTop="1" thickBot="1">
      <c r="B30" s="349"/>
      <c r="C30" s="350" t="s">
        <v>1687</v>
      </c>
      <c r="D30" s="352" t="s">
        <v>1733</v>
      </c>
      <c r="E30" s="352" t="s">
        <v>1734</v>
      </c>
      <c r="F30" s="351"/>
      <c r="G30" s="351" t="s">
        <v>1745</v>
      </c>
      <c r="H30" s="351"/>
      <c r="I30" s="351"/>
      <c r="J30" s="351"/>
      <c r="K30" s="351"/>
      <c r="L30" s="351"/>
      <c r="AMH30" s="332"/>
      <c r="AMI30" s="332"/>
      <c r="AMJ30" s="332"/>
      <c r="AMK30" s="332"/>
    </row>
    <row r="31" spans="2:1025" s="331" customFormat="1" ht="15.75" customHeight="1" thickTop="1" thickBot="1">
      <c r="B31" s="349"/>
      <c r="C31" s="350" t="s">
        <v>1690</v>
      </c>
      <c r="D31" s="352" t="s">
        <v>1735</v>
      </c>
      <c r="E31" s="352" t="s">
        <v>1734</v>
      </c>
      <c r="F31" s="351"/>
      <c r="G31" s="351" t="s">
        <v>1745</v>
      </c>
      <c r="H31" s="351"/>
      <c r="I31" s="351"/>
      <c r="J31" s="351"/>
      <c r="K31" s="351"/>
      <c r="L31" s="351"/>
      <c r="AMH31" s="332"/>
      <c r="AMI31" s="332"/>
      <c r="AMJ31" s="332"/>
      <c r="AMK31" s="332"/>
    </row>
    <row r="32" spans="2:1025" s="331" customFormat="1" ht="15.75" customHeight="1" thickTop="1" thickBot="1">
      <c r="B32" s="349"/>
      <c r="C32" s="350" t="s">
        <v>1693</v>
      </c>
      <c r="D32" s="352" t="s">
        <v>1736</v>
      </c>
      <c r="E32" s="352" t="s">
        <v>1737</v>
      </c>
      <c r="F32" s="351"/>
      <c r="G32" s="351" t="s">
        <v>1745</v>
      </c>
      <c r="H32" s="351"/>
      <c r="I32" s="351"/>
      <c r="J32" s="351"/>
      <c r="K32" s="351"/>
      <c r="L32" s="351"/>
      <c r="AMH32" s="332"/>
      <c r="AMI32" s="332"/>
      <c r="AMJ32" s="332"/>
      <c r="AMK32" s="332"/>
    </row>
    <row r="33" spans="2:1025" s="331" customFormat="1" ht="15.75" customHeight="1" thickTop="1" thickBot="1">
      <c r="B33" s="349"/>
      <c r="C33" s="350" t="s">
        <v>1696</v>
      </c>
      <c r="D33" s="352" t="s">
        <v>1738</v>
      </c>
      <c r="E33" s="352" t="s">
        <v>1739</v>
      </c>
      <c r="F33" s="351"/>
      <c r="G33" s="351" t="s">
        <v>1745</v>
      </c>
      <c r="H33" s="351"/>
      <c r="I33" s="351"/>
      <c r="J33" s="351"/>
      <c r="K33" s="351"/>
      <c r="L33" s="351"/>
      <c r="AMH33" s="332"/>
      <c r="AMI33" s="332"/>
      <c r="AMJ33" s="332"/>
      <c r="AMK33" s="332"/>
    </row>
    <row r="34" spans="2:1025" s="331" customFormat="1" ht="15.75" customHeight="1" thickTop="1" thickBot="1">
      <c r="B34" s="349"/>
      <c r="C34" s="350" t="s">
        <v>1699</v>
      </c>
      <c r="D34" s="352" t="s">
        <v>1740</v>
      </c>
      <c r="E34" s="352" t="s">
        <v>1741</v>
      </c>
      <c r="F34" s="351"/>
      <c r="G34" s="351" t="s">
        <v>1745</v>
      </c>
      <c r="H34" s="351"/>
      <c r="I34" s="351"/>
      <c r="J34" s="351"/>
      <c r="K34" s="351"/>
      <c r="L34" s="351"/>
      <c r="AMH34" s="332"/>
      <c r="AMI34" s="332"/>
      <c r="AMJ34" s="332"/>
      <c r="AMK34" s="332"/>
    </row>
    <row r="35" spans="2:1025" s="331" customFormat="1" ht="15.75" customHeight="1" thickTop="1" thickBot="1">
      <c r="B35" s="349"/>
      <c r="C35" s="350" t="s">
        <v>1702</v>
      </c>
      <c r="D35" s="352" t="s">
        <v>1742</v>
      </c>
      <c r="E35" s="352" t="s">
        <v>1689</v>
      </c>
      <c r="F35" s="351"/>
      <c r="G35" s="351" t="s">
        <v>1745</v>
      </c>
      <c r="H35" s="351"/>
      <c r="I35" s="351"/>
      <c r="J35" s="351"/>
      <c r="K35" s="351"/>
      <c r="L35" s="351"/>
      <c r="AMH35" s="332"/>
      <c r="AMI35" s="332"/>
      <c r="AMJ35" s="332"/>
      <c r="AMK35" s="332"/>
    </row>
    <row r="36" spans="2:1025" s="331" customFormat="1" ht="15.75" customHeight="1" thickTop="1" thickBot="1">
      <c r="B36" s="349"/>
      <c r="C36" s="350" t="s">
        <v>1705</v>
      </c>
      <c r="D36" s="352" t="s">
        <v>1743</v>
      </c>
      <c r="E36" s="352" t="s">
        <v>1744</v>
      </c>
      <c r="F36" s="351"/>
      <c r="G36" s="351" t="s">
        <v>1745</v>
      </c>
      <c r="H36" s="351"/>
      <c r="I36" s="351"/>
      <c r="J36" s="351"/>
      <c r="K36" s="351"/>
      <c r="L36" s="351"/>
      <c r="AMH36" s="332"/>
      <c r="AMI36" s="332"/>
      <c r="AMJ36" s="332"/>
      <c r="AMK36" s="332"/>
    </row>
    <row r="37" spans="2:1025" s="331" customFormat="1" ht="15.75" customHeight="1" thickTop="1" thickBot="1">
      <c r="B37" s="349"/>
      <c r="C37" s="350" t="s">
        <v>1708</v>
      </c>
      <c r="D37" s="352" t="s">
        <v>1746</v>
      </c>
      <c r="E37" s="352" t="s">
        <v>1747</v>
      </c>
      <c r="F37" s="351"/>
      <c r="G37" s="351" t="s">
        <v>1745</v>
      </c>
      <c r="H37" s="351"/>
      <c r="I37" s="351"/>
      <c r="J37" s="351"/>
      <c r="K37" s="351"/>
      <c r="L37" s="351"/>
      <c r="AMH37" s="332"/>
      <c r="AMI37" s="332"/>
      <c r="AMJ37" s="332"/>
      <c r="AMK37" s="332"/>
    </row>
    <row r="38" spans="2:1025" s="331" customFormat="1" ht="15.75" customHeight="1" thickTop="1" thickBot="1">
      <c r="B38" s="349"/>
      <c r="C38" s="350" t="s">
        <v>1711</v>
      </c>
      <c r="D38" s="352" t="s">
        <v>1748</v>
      </c>
      <c r="E38" s="352" t="s">
        <v>1749</v>
      </c>
      <c r="F38" s="351"/>
      <c r="G38" s="351" t="s">
        <v>1745</v>
      </c>
      <c r="H38" s="351"/>
      <c r="I38" s="351"/>
      <c r="J38" s="351"/>
      <c r="K38" s="351"/>
      <c r="L38" s="351"/>
      <c r="AMH38" s="332"/>
      <c r="AMI38" s="332"/>
      <c r="AMJ38" s="332"/>
      <c r="AMK38" s="332"/>
    </row>
    <row r="39" spans="2:1025" s="331" customFormat="1" ht="15.75" customHeight="1" thickTop="1" thickBot="1">
      <c r="B39" s="349"/>
      <c r="C39" s="350" t="s">
        <v>1714</v>
      </c>
      <c r="D39" s="352" t="s">
        <v>1750</v>
      </c>
      <c r="E39" s="352" t="s">
        <v>1751</v>
      </c>
      <c r="F39" s="351"/>
      <c r="G39" s="351" t="s">
        <v>1745</v>
      </c>
      <c r="H39" s="351"/>
      <c r="I39" s="351"/>
      <c r="J39" s="351"/>
      <c r="K39" s="351"/>
      <c r="L39" s="351"/>
      <c r="AMH39" s="332"/>
      <c r="AMI39" s="332"/>
      <c r="AMJ39" s="332"/>
      <c r="AMK39" s="332"/>
    </row>
    <row r="40" spans="2:1025" s="331" customFormat="1" ht="15.75" customHeight="1" thickTop="1" thickBot="1">
      <c r="B40" s="349"/>
      <c r="C40" s="350" t="s">
        <v>1717</v>
      </c>
      <c r="D40" s="352" t="s">
        <v>1752</v>
      </c>
      <c r="E40" s="352" t="s">
        <v>1753</v>
      </c>
      <c r="F40" s="351"/>
      <c r="G40" s="351" t="s">
        <v>1745</v>
      </c>
      <c r="H40" s="351"/>
      <c r="I40" s="351"/>
      <c r="J40" s="351"/>
      <c r="K40" s="351"/>
      <c r="L40" s="351"/>
      <c r="AMH40" s="332"/>
      <c r="AMI40" s="332"/>
      <c r="AMJ40" s="332"/>
      <c r="AMK40" s="332"/>
    </row>
    <row r="41" spans="2:1025" s="331" customFormat="1" ht="15.75" customHeight="1" thickTop="1" thickBot="1">
      <c r="B41" s="349"/>
      <c r="C41" s="350" t="s">
        <v>1720</v>
      </c>
      <c r="D41" s="352" t="s">
        <v>1754</v>
      </c>
      <c r="E41" s="352" t="s">
        <v>1755</v>
      </c>
      <c r="F41" s="351"/>
      <c r="G41" s="351" t="s">
        <v>1745</v>
      </c>
      <c r="H41" s="351"/>
      <c r="I41" s="351"/>
      <c r="J41" s="351"/>
      <c r="K41" s="351"/>
      <c r="L41" s="351"/>
      <c r="AMH41" s="332"/>
      <c r="AMI41" s="332"/>
      <c r="AMJ41" s="332"/>
      <c r="AMK41" s="332"/>
    </row>
    <row r="42" spans="2:1025" s="331" customFormat="1" ht="15.75" customHeight="1" thickTop="1" thickBot="1">
      <c r="B42" s="354"/>
      <c r="C42" s="350" t="s">
        <v>1724</v>
      </c>
      <c r="D42" s="352" t="s">
        <v>1756</v>
      </c>
      <c r="E42" s="352" t="s">
        <v>1757</v>
      </c>
      <c r="F42" s="351"/>
      <c r="G42" s="351" t="s">
        <v>1745</v>
      </c>
      <c r="H42" s="351"/>
      <c r="I42" s="351"/>
      <c r="J42" s="351"/>
      <c r="K42" s="351"/>
      <c r="L42" s="351"/>
      <c r="AMH42" s="332"/>
      <c r="AMI42" s="332"/>
      <c r="AMJ42" s="332"/>
      <c r="AMK42" s="332"/>
    </row>
    <row r="43" spans="2:1025" s="331" customFormat="1" ht="15.75" customHeight="1" thickTop="1" thickBot="1">
      <c r="B43" s="344" t="s">
        <v>1758</v>
      </c>
      <c r="C43" s="345"/>
      <c r="D43" s="346"/>
      <c r="E43" s="346"/>
      <c r="F43" s="347"/>
      <c r="G43" s="347"/>
      <c r="H43" s="347"/>
      <c r="I43" s="347"/>
      <c r="J43" s="347"/>
      <c r="K43" s="347"/>
      <c r="L43" s="348"/>
      <c r="AMH43" s="332"/>
      <c r="AMI43" s="332"/>
      <c r="AMJ43" s="332"/>
      <c r="AMK43" s="332"/>
    </row>
    <row r="44" spans="2:1025" s="331" customFormat="1" ht="15.75" customHeight="1" thickTop="1" thickBot="1">
      <c r="B44" s="349"/>
      <c r="C44" s="350" t="s">
        <v>1679</v>
      </c>
      <c r="D44" s="352" t="s">
        <v>1759</v>
      </c>
      <c r="E44" s="352" t="s">
        <v>1760</v>
      </c>
      <c r="F44" s="351"/>
      <c r="G44" s="351" t="s">
        <v>1745</v>
      </c>
      <c r="H44" s="351"/>
      <c r="I44" s="351"/>
      <c r="J44" s="351"/>
      <c r="K44" s="351"/>
      <c r="L44" s="355" t="s">
        <v>1761</v>
      </c>
      <c r="AMH44" s="332"/>
      <c r="AMI44" s="332"/>
      <c r="AMJ44" s="332"/>
      <c r="AMK44" s="332"/>
    </row>
    <row r="45" spans="2:1025" s="331" customFormat="1" ht="15.75" customHeight="1" thickTop="1" thickBot="1">
      <c r="B45" s="349"/>
      <c r="C45" s="350" t="s">
        <v>1682</v>
      </c>
      <c r="D45" s="352" t="s">
        <v>1762</v>
      </c>
      <c r="E45" s="352" t="s">
        <v>1763</v>
      </c>
      <c r="F45" s="351"/>
      <c r="G45" s="351" t="s">
        <v>1745</v>
      </c>
      <c r="H45" s="351"/>
      <c r="I45" s="351"/>
      <c r="J45" s="351"/>
      <c r="K45" s="351"/>
      <c r="L45" s="355" t="s">
        <v>1761</v>
      </c>
      <c r="AMH45" s="332"/>
      <c r="AMI45" s="332"/>
      <c r="AMJ45" s="332"/>
      <c r="AMK45" s="332"/>
    </row>
    <row r="46" spans="2:1025" s="331" customFormat="1" ht="15.75" customHeight="1" thickTop="1" thickBot="1">
      <c r="B46" s="349"/>
      <c r="C46" s="350" t="s">
        <v>1686</v>
      </c>
      <c r="D46" s="352" t="s">
        <v>1764</v>
      </c>
      <c r="E46" s="352" t="s">
        <v>1765</v>
      </c>
      <c r="F46" s="351"/>
      <c r="G46" s="351" t="s">
        <v>1745</v>
      </c>
      <c r="H46" s="351"/>
      <c r="I46" s="351"/>
      <c r="J46" s="351"/>
      <c r="K46" s="351"/>
      <c r="L46" s="351"/>
      <c r="AMH46" s="332"/>
      <c r="AMI46" s="332"/>
      <c r="AMJ46" s="332"/>
      <c r="AMK46" s="332"/>
    </row>
    <row r="47" spans="2:1025" s="331" customFormat="1" ht="15.75" customHeight="1" thickTop="1" thickBot="1">
      <c r="B47" s="349"/>
      <c r="C47" s="350" t="s">
        <v>1687</v>
      </c>
      <c r="D47" s="352" t="s">
        <v>1766</v>
      </c>
      <c r="E47" s="352" t="s">
        <v>1767</v>
      </c>
      <c r="F47" s="351"/>
      <c r="G47" s="351" t="s">
        <v>1745</v>
      </c>
      <c r="H47" s="351"/>
      <c r="I47" s="351"/>
      <c r="J47" s="351"/>
      <c r="K47" s="351"/>
      <c r="L47" s="351"/>
      <c r="AMH47" s="332"/>
      <c r="AMI47" s="332"/>
      <c r="AMJ47" s="332"/>
      <c r="AMK47" s="332"/>
    </row>
    <row r="48" spans="2:1025" s="331" customFormat="1" ht="15.75" customHeight="1" thickTop="1" thickBot="1">
      <c r="B48" s="349"/>
      <c r="C48" s="350" t="s">
        <v>1690</v>
      </c>
      <c r="D48" s="352" t="s">
        <v>1768</v>
      </c>
      <c r="E48" s="352" t="s">
        <v>1769</v>
      </c>
      <c r="F48" s="351"/>
      <c r="G48" s="351" t="s">
        <v>1745</v>
      </c>
      <c r="H48" s="351"/>
      <c r="I48" s="351"/>
      <c r="J48" s="351"/>
      <c r="K48" s="351"/>
      <c r="L48" s="351"/>
      <c r="AMH48" s="332"/>
      <c r="AMI48" s="332"/>
      <c r="AMJ48" s="332"/>
      <c r="AMK48" s="332"/>
    </row>
    <row r="49" spans="2:1025" s="331" customFormat="1" ht="15.75" customHeight="1" thickTop="1" thickBot="1">
      <c r="B49" s="349"/>
      <c r="C49" s="350" t="s">
        <v>1693</v>
      </c>
      <c r="D49" s="352" t="s">
        <v>1770</v>
      </c>
      <c r="E49" s="352" t="s">
        <v>1771</v>
      </c>
      <c r="F49" s="351"/>
      <c r="G49" s="351" t="s">
        <v>1745</v>
      </c>
      <c r="H49" s="351"/>
      <c r="I49" s="351"/>
      <c r="J49" s="351"/>
      <c r="K49" s="351"/>
      <c r="L49" s="351"/>
      <c r="AMH49" s="332"/>
      <c r="AMI49" s="332"/>
      <c r="AMJ49" s="332"/>
      <c r="AMK49" s="332"/>
    </row>
    <row r="50" spans="2:1025" s="331" customFormat="1" ht="15.75" customHeight="1" thickTop="1" thickBot="1">
      <c r="B50" s="349"/>
      <c r="C50" s="350" t="s">
        <v>1696</v>
      </c>
      <c r="D50" s="352" t="s">
        <v>1772</v>
      </c>
      <c r="E50" s="352" t="s">
        <v>1773</v>
      </c>
      <c r="F50" s="351"/>
      <c r="G50" s="351" t="s">
        <v>1745</v>
      </c>
      <c r="H50" s="351"/>
      <c r="I50" s="351"/>
      <c r="J50" s="351"/>
      <c r="K50" s="351"/>
      <c r="L50" s="351"/>
      <c r="AMH50" s="332"/>
      <c r="AMI50" s="332"/>
      <c r="AMJ50" s="332"/>
      <c r="AMK50" s="332"/>
    </row>
    <row r="51" spans="2:1025" s="331" customFormat="1" ht="15.75" customHeight="1" thickTop="1" thickBot="1">
      <c r="B51" s="349"/>
      <c r="C51" s="350" t="s">
        <v>1699</v>
      </c>
      <c r="D51" s="352" t="s">
        <v>1774</v>
      </c>
      <c r="E51" s="352" t="s">
        <v>1775</v>
      </c>
      <c r="F51" s="351"/>
      <c r="G51" s="351" t="s">
        <v>1745</v>
      </c>
      <c r="H51" s="351"/>
      <c r="I51" s="351"/>
      <c r="J51" s="351"/>
      <c r="K51" s="351"/>
      <c r="L51" s="351"/>
      <c r="AMH51" s="332"/>
      <c r="AMI51" s="332"/>
      <c r="AMJ51" s="332"/>
      <c r="AMK51" s="332"/>
    </row>
    <row r="52" spans="2:1025" s="331" customFormat="1" ht="15.75" customHeight="1" thickTop="1" thickBot="1">
      <c r="B52" s="349"/>
      <c r="C52" s="350" t="s">
        <v>1702</v>
      </c>
      <c r="D52" s="352" t="s">
        <v>1776</v>
      </c>
      <c r="E52" s="352" t="s">
        <v>1777</v>
      </c>
      <c r="F52" s="351"/>
      <c r="G52" s="351" t="s">
        <v>1745</v>
      </c>
      <c r="H52" s="351"/>
      <c r="I52" s="351"/>
      <c r="J52" s="351"/>
      <c r="K52" s="351"/>
      <c r="L52" s="351"/>
      <c r="AMH52" s="332"/>
      <c r="AMI52" s="332"/>
      <c r="AMJ52" s="332"/>
      <c r="AMK52" s="332"/>
    </row>
    <row r="53" spans="2:1025" s="331" customFormat="1" ht="15.75" customHeight="1" thickTop="1" thickBot="1">
      <c r="B53" s="349"/>
      <c r="C53" s="350" t="s">
        <v>1705</v>
      </c>
      <c r="D53" s="352" t="s">
        <v>1778</v>
      </c>
      <c r="E53" s="352" t="s">
        <v>1779</v>
      </c>
      <c r="F53" s="351"/>
      <c r="G53" s="351" t="s">
        <v>1745</v>
      </c>
      <c r="H53" s="351"/>
      <c r="I53" s="351"/>
      <c r="J53" s="351"/>
      <c r="K53" s="351"/>
      <c r="L53" s="351"/>
      <c r="AMH53" s="332"/>
      <c r="AMI53" s="332"/>
      <c r="AMJ53" s="332"/>
      <c r="AMK53" s="332"/>
    </row>
    <row r="54" spans="2:1025" s="331" customFormat="1" ht="15.75" customHeight="1" thickTop="1" thickBot="1">
      <c r="B54" s="349"/>
      <c r="C54" s="350" t="s">
        <v>1708</v>
      </c>
      <c r="D54" s="352" t="s">
        <v>1780</v>
      </c>
      <c r="E54" s="352" t="s">
        <v>1781</v>
      </c>
      <c r="F54" s="351"/>
      <c r="G54" s="351" t="s">
        <v>1745</v>
      </c>
      <c r="H54" s="351"/>
      <c r="I54" s="351"/>
      <c r="J54" s="351"/>
      <c r="K54" s="351"/>
      <c r="L54" s="351"/>
      <c r="AMH54" s="332"/>
      <c r="AMI54" s="332"/>
      <c r="AMJ54" s="332"/>
      <c r="AMK54" s="332"/>
    </row>
    <row r="55" spans="2:1025" s="331" customFormat="1" ht="15.75" customHeight="1" thickTop="1" thickBot="1">
      <c r="B55" s="349"/>
      <c r="C55" s="350" t="s">
        <v>1711</v>
      </c>
      <c r="D55" s="352" t="s">
        <v>1782</v>
      </c>
      <c r="E55" s="352" t="s">
        <v>1783</v>
      </c>
      <c r="F55" s="351"/>
      <c r="G55" s="351" t="s">
        <v>1745</v>
      </c>
      <c r="H55" s="351"/>
      <c r="I55" s="351"/>
      <c r="J55" s="351"/>
      <c r="K55" s="351"/>
      <c r="L55" s="351"/>
      <c r="AMH55" s="332"/>
      <c r="AMI55" s="332"/>
      <c r="AMJ55" s="332"/>
      <c r="AMK55" s="332"/>
    </row>
    <row r="56" spans="2:1025" s="331" customFormat="1" ht="15.75" customHeight="1" thickTop="1" thickBot="1">
      <c r="B56" s="349"/>
      <c r="C56" s="350" t="s">
        <v>1714</v>
      </c>
      <c r="D56" s="352" t="s">
        <v>1784</v>
      </c>
      <c r="E56" s="352" t="s">
        <v>1785</v>
      </c>
      <c r="F56" s="351"/>
      <c r="G56" s="351" t="s">
        <v>1745</v>
      </c>
      <c r="H56" s="351"/>
      <c r="I56" s="351"/>
      <c r="J56" s="351"/>
      <c r="K56" s="351"/>
      <c r="L56" s="351"/>
      <c r="AMH56" s="332"/>
      <c r="AMI56" s="332"/>
      <c r="AMJ56" s="332"/>
      <c r="AMK56" s="332"/>
    </row>
    <row r="57" spans="2:1025" s="331" customFormat="1" ht="15.75" customHeight="1" thickTop="1" thickBot="1">
      <c r="B57" s="349"/>
      <c r="C57" s="350" t="s">
        <v>1717</v>
      </c>
      <c r="D57" s="352" t="s">
        <v>1786</v>
      </c>
      <c r="E57" s="352" t="s">
        <v>1787</v>
      </c>
      <c r="F57" s="351"/>
      <c r="G57" s="351" t="s">
        <v>1745</v>
      </c>
      <c r="H57" s="351"/>
      <c r="I57" s="351"/>
      <c r="J57" s="351"/>
      <c r="K57" s="351"/>
      <c r="L57" s="351"/>
      <c r="AMH57" s="332"/>
      <c r="AMI57" s="332"/>
      <c r="AMJ57" s="332"/>
      <c r="AMK57" s="332"/>
    </row>
    <row r="58" spans="2:1025" s="331" customFormat="1" ht="15.75" customHeight="1" thickTop="1" thickBot="1">
      <c r="B58" s="349"/>
      <c r="C58" s="350" t="s">
        <v>1720</v>
      </c>
      <c r="D58" s="352" t="s">
        <v>1788</v>
      </c>
      <c r="E58" s="352" t="s">
        <v>1789</v>
      </c>
      <c r="F58" s="351"/>
      <c r="G58" s="351" t="s">
        <v>1745</v>
      </c>
      <c r="H58" s="351"/>
      <c r="I58" s="351"/>
      <c r="J58" s="351"/>
      <c r="K58" s="351"/>
      <c r="L58" s="351"/>
      <c r="AMH58" s="332"/>
      <c r="AMI58" s="332"/>
      <c r="AMJ58" s="332"/>
      <c r="AMK58" s="332"/>
    </row>
    <row r="59" spans="2:1025" s="331" customFormat="1" ht="15.75" customHeight="1" thickTop="1" thickBot="1">
      <c r="B59" s="349"/>
      <c r="C59" s="350" t="s">
        <v>1724</v>
      </c>
      <c r="D59" s="352" t="s">
        <v>1790</v>
      </c>
      <c r="E59" s="352" t="s">
        <v>1791</v>
      </c>
      <c r="F59" s="351"/>
      <c r="G59" s="351" t="s">
        <v>1745</v>
      </c>
      <c r="H59" s="351"/>
      <c r="I59" s="351"/>
      <c r="J59" s="351"/>
      <c r="K59" s="351"/>
      <c r="L59" s="351"/>
      <c r="AMH59" s="332"/>
      <c r="AMI59" s="332"/>
      <c r="AMJ59" s="332"/>
      <c r="AMK59" s="332"/>
    </row>
    <row r="60" spans="2:1025" s="331" customFormat="1" ht="15.75" customHeight="1" thickTop="1" thickBot="1">
      <c r="B60" s="344" t="s">
        <v>1792</v>
      </c>
      <c r="C60" s="345"/>
      <c r="D60" s="346"/>
      <c r="E60" s="346"/>
      <c r="F60" s="347"/>
      <c r="G60" s="347"/>
      <c r="H60" s="347"/>
      <c r="I60" s="347"/>
      <c r="J60" s="347"/>
      <c r="K60" s="347"/>
      <c r="L60" s="348"/>
      <c r="AMH60" s="332"/>
      <c r="AMI60" s="332"/>
      <c r="AMJ60" s="332"/>
      <c r="AMK60" s="332"/>
    </row>
    <row r="61" spans="2:1025" s="331" customFormat="1" ht="15.75" customHeight="1" thickTop="1" thickBot="1">
      <c r="B61" s="349"/>
      <c r="C61" s="350" t="s">
        <v>1679</v>
      </c>
      <c r="D61" s="352" t="s">
        <v>1793</v>
      </c>
      <c r="E61" s="352" t="s">
        <v>1794</v>
      </c>
      <c r="F61" s="351"/>
      <c r="G61" s="351" t="s">
        <v>1745</v>
      </c>
      <c r="H61" s="351"/>
      <c r="I61" s="351"/>
      <c r="J61" s="351"/>
      <c r="K61" s="351"/>
      <c r="L61" s="351"/>
      <c r="AMH61" s="332"/>
      <c r="AMI61" s="332"/>
      <c r="AMJ61" s="332"/>
      <c r="AMK61" s="332"/>
    </row>
    <row r="62" spans="2:1025" s="331" customFormat="1" ht="15.75" customHeight="1" thickTop="1" thickBot="1">
      <c r="B62" s="349"/>
      <c r="C62" s="350" t="s">
        <v>1682</v>
      </c>
      <c r="D62" s="352" t="s">
        <v>1795</v>
      </c>
      <c r="E62" s="352" t="s">
        <v>1796</v>
      </c>
      <c r="F62" s="351"/>
      <c r="G62" s="351" t="s">
        <v>1745</v>
      </c>
      <c r="H62" s="351"/>
      <c r="I62" s="351"/>
      <c r="J62" s="351"/>
      <c r="K62" s="351"/>
      <c r="L62" s="351"/>
      <c r="AMH62" s="332"/>
      <c r="AMI62" s="332"/>
      <c r="AMJ62" s="332"/>
      <c r="AMK62" s="332"/>
    </row>
    <row r="63" spans="2:1025" s="331" customFormat="1" ht="15.75" customHeight="1" thickTop="1" thickBot="1">
      <c r="B63" s="349"/>
      <c r="C63" s="350" t="s">
        <v>1686</v>
      </c>
      <c r="D63" s="352" t="s">
        <v>1797</v>
      </c>
      <c r="E63" s="352" t="s">
        <v>1798</v>
      </c>
      <c r="F63" s="351"/>
      <c r="G63" s="351" t="s">
        <v>1745</v>
      </c>
      <c r="H63" s="351"/>
      <c r="I63" s="351"/>
      <c r="J63" s="351"/>
      <c r="K63" s="351"/>
      <c r="L63" s="351"/>
      <c r="AMH63" s="332"/>
      <c r="AMI63" s="332"/>
      <c r="AMJ63" s="332"/>
      <c r="AMK63" s="332"/>
    </row>
    <row r="64" spans="2:1025" s="331" customFormat="1" ht="15.75" customHeight="1" thickTop="1" thickBot="1">
      <c r="B64" s="349"/>
      <c r="C64" s="350" t="s">
        <v>1687</v>
      </c>
      <c r="D64" s="352" t="s">
        <v>1799</v>
      </c>
      <c r="E64" s="352" t="s">
        <v>1800</v>
      </c>
      <c r="F64" s="351"/>
      <c r="G64" s="351" t="s">
        <v>1745</v>
      </c>
      <c r="H64" s="351"/>
      <c r="I64" s="351"/>
      <c r="J64" s="351"/>
      <c r="K64" s="351"/>
      <c r="L64" s="351"/>
      <c r="AMH64" s="332"/>
      <c r="AMI64" s="332"/>
      <c r="AMJ64" s="332"/>
      <c r="AMK64" s="332"/>
    </row>
    <row r="65" spans="2:1025" s="331" customFormat="1" ht="15.75" customHeight="1" thickTop="1" thickBot="1">
      <c r="B65" s="349"/>
      <c r="C65" s="350" t="s">
        <v>1690</v>
      </c>
      <c r="D65" s="352" t="s">
        <v>1801</v>
      </c>
      <c r="E65" s="352" t="s">
        <v>1802</v>
      </c>
      <c r="F65" s="351"/>
      <c r="G65" s="351" t="s">
        <v>1745</v>
      </c>
      <c r="H65" s="351"/>
      <c r="I65" s="351"/>
      <c r="J65" s="351"/>
      <c r="K65" s="351"/>
      <c r="L65" s="351"/>
      <c r="AMH65" s="332"/>
      <c r="AMI65" s="332"/>
      <c r="AMJ65" s="332"/>
      <c r="AMK65" s="332"/>
    </row>
    <row r="66" spans="2:1025" s="331" customFormat="1" ht="15.75" customHeight="1" thickTop="1" thickBot="1">
      <c r="B66" s="349"/>
      <c r="C66" s="350" t="s">
        <v>1693</v>
      </c>
      <c r="D66" s="352" t="s">
        <v>1803</v>
      </c>
      <c r="E66" s="352" t="s">
        <v>1804</v>
      </c>
      <c r="F66" s="351"/>
      <c r="G66" s="351" t="s">
        <v>1745</v>
      </c>
      <c r="H66" s="351"/>
      <c r="I66" s="351"/>
      <c r="J66" s="351"/>
      <c r="K66" s="351"/>
      <c r="L66" s="351"/>
      <c r="AMH66" s="332"/>
      <c r="AMI66" s="332"/>
      <c r="AMJ66" s="332"/>
      <c r="AMK66" s="332"/>
    </row>
    <row r="67" spans="2:1025" s="331" customFormat="1" ht="15.75" customHeight="1" thickTop="1" thickBot="1">
      <c r="B67" s="349"/>
      <c r="C67" s="350" t="s">
        <v>1696</v>
      </c>
      <c r="D67" s="352" t="s">
        <v>1805</v>
      </c>
      <c r="E67" s="352" t="s">
        <v>1806</v>
      </c>
      <c r="F67" s="351"/>
      <c r="G67" s="351" t="s">
        <v>1745</v>
      </c>
      <c r="H67" s="351"/>
      <c r="I67" s="351"/>
      <c r="J67" s="351"/>
      <c r="K67" s="351"/>
      <c r="L67" s="351"/>
      <c r="AMH67" s="332"/>
      <c r="AMI67" s="332"/>
      <c r="AMJ67" s="332"/>
      <c r="AMK67" s="332"/>
    </row>
    <row r="68" spans="2:1025" s="331" customFormat="1" ht="15.75" customHeight="1" thickTop="1" thickBot="1">
      <c r="B68" s="349"/>
      <c r="C68" s="350" t="s">
        <v>1699</v>
      </c>
      <c r="D68" s="352" t="s">
        <v>1807</v>
      </c>
      <c r="E68" s="352" t="s">
        <v>1808</v>
      </c>
      <c r="F68" s="351"/>
      <c r="G68" s="351" t="s">
        <v>1745</v>
      </c>
      <c r="H68" s="351"/>
      <c r="I68" s="351"/>
      <c r="J68" s="351"/>
      <c r="K68" s="351"/>
      <c r="L68" s="351"/>
      <c r="AMH68" s="332"/>
      <c r="AMI68" s="332"/>
      <c r="AMJ68" s="332"/>
      <c r="AMK68" s="332"/>
    </row>
    <row r="69" spans="2:1025" s="331" customFormat="1" ht="15.75" customHeight="1" thickTop="1" thickBot="1">
      <c r="B69" s="349"/>
      <c r="C69" s="350" t="s">
        <v>1702</v>
      </c>
      <c r="D69" s="352" t="s">
        <v>1809</v>
      </c>
      <c r="E69" s="352" t="s">
        <v>1810</v>
      </c>
      <c r="F69" s="351"/>
      <c r="G69" s="351" t="s">
        <v>1745</v>
      </c>
      <c r="H69" s="351"/>
      <c r="I69" s="351"/>
      <c r="J69" s="351"/>
      <c r="K69" s="351"/>
      <c r="L69" s="351"/>
      <c r="AMH69" s="332"/>
      <c r="AMI69" s="332"/>
      <c r="AMJ69" s="332"/>
      <c r="AMK69" s="332"/>
    </row>
    <row r="70" spans="2:1025" s="331" customFormat="1" ht="15.75" customHeight="1" thickTop="1" thickBot="1">
      <c r="B70" s="349"/>
      <c r="C70" s="350" t="s">
        <v>1705</v>
      </c>
      <c r="D70" s="352" t="s">
        <v>1811</v>
      </c>
      <c r="E70" s="352" t="s">
        <v>1812</v>
      </c>
      <c r="F70" s="351"/>
      <c r="G70" s="351" t="s">
        <v>1745</v>
      </c>
      <c r="H70" s="351"/>
      <c r="I70" s="351"/>
      <c r="J70" s="351"/>
      <c r="K70" s="351"/>
      <c r="L70" s="351"/>
      <c r="AMH70" s="332"/>
      <c r="AMI70" s="332"/>
      <c r="AMJ70" s="332"/>
      <c r="AMK70" s="332"/>
    </row>
    <row r="71" spans="2:1025" s="331" customFormat="1" ht="15.75" customHeight="1" thickTop="1" thickBot="1">
      <c r="B71" s="349"/>
      <c r="C71" s="350" t="s">
        <v>1708</v>
      </c>
      <c r="D71" s="352" t="s">
        <v>1813</v>
      </c>
      <c r="E71" s="352" t="s">
        <v>1814</v>
      </c>
      <c r="F71" s="351"/>
      <c r="G71" s="351" t="s">
        <v>1745</v>
      </c>
      <c r="H71" s="351"/>
      <c r="I71" s="351"/>
      <c r="J71" s="351"/>
      <c r="K71" s="351"/>
      <c r="L71" s="351"/>
      <c r="AMH71" s="332"/>
      <c r="AMI71" s="332"/>
      <c r="AMJ71" s="332"/>
      <c r="AMK71" s="332"/>
    </row>
    <row r="72" spans="2:1025" s="331" customFormat="1" ht="15.75" customHeight="1" thickTop="1" thickBot="1">
      <c r="B72" s="349"/>
      <c r="C72" s="350" t="s">
        <v>1711</v>
      </c>
      <c r="D72" s="352" t="s">
        <v>1815</v>
      </c>
      <c r="E72" s="352" t="s">
        <v>1816</v>
      </c>
      <c r="F72" s="351"/>
      <c r="G72" s="351" t="s">
        <v>1745</v>
      </c>
      <c r="H72" s="351"/>
      <c r="I72" s="351"/>
      <c r="J72" s="351"/>
      <c r="K72" s="351"/>
      <c r="L72" s="351"/>
      <c r="AMH72" s="332"/>
      <c r="AMI72" s="332"/>
      <c r="AMJ72" s="332"/>
      <c r="AMK72" s="332"/>
    </row>
    <row r="73" spans="2:1025" s="331" customFormat="1" ht="15.75" customHeight="1" thickTop="1" thickBot="1">
      <c r="B73" s="349"/>
      <c r="C73" s="350" t="s">
        <v>1714</v>
      </c>
      <c r="D73" s="352" t="s">
        <v>1817</v>
      </c>
      <c r="E73" s="352" t="s">
        <v>1818</v>
      </c>
      <c r="F73" s="351"/>
      <c r="G73" s="351" t="s">
        <v>1745</v>
      </c>
      <c r="H73" s="351"/>
      <c r="I73" s="351"/>
      <c r="J73" s="351"/>
      <c r="K73" s="351"/>
      <c r="L73" s="351"/>
      <c r="AMH73" s="332"/>
      <c r="AMI73" s="332"/>
      <c r="AMJ73" s="332"/>
      <c r="AMK73" s="332"/>
    </row>
    <row r="74" spans="2:1025" s="331" customFormat="1" ht="15.75" customHeight="1" thickTop="1" thickBot="1">
      <c r="B74" s="349"/>
      <c r="C74" s="350" t="s">
        <v>1717</v>
      </c>
      <c r="D74" s="352" t="s">
        <v>1819</v>
      </c>
      <c r="E74" s="352" t="s">
        <v>1820</v>
      </c>
      <c r="F74" s="351"/>
      <c r="G74" s="351" t="s">
        <v>1745</v>
      </c>
      <c r="H74" s="351"/>
      <c r="I74" s="351"/>
      <c r="J74" s="351"/>
      <c r="K74" s="351"/>
      <c r="L74" s="351"/>
      <c r="AMH74" s="332"/>
      <c r="AMI74" s="332"/>
      <c r="AMJ74" s="332"/>
      <c r="AMK74" s="332"/>
    </row>
    <row r="75" spans="2:1025" s="331" customFormat="1" ht="15.75" customHeight="1" thickTop="1" thickBot="1">
      <c r="B75" s="349"/>
      <c r="C75" s="350" t="s">
        <v>1720</v>
      </c>
      <c r="D75" s="352" t="s">
        <v>1821</v>
      </c>
      <c r="E75" s="352" t="s">
        <v>1822</v>
      </c>
      <c r="F75" s="351"/>
      <c r="G75" s="351" t="s">
        <v>1745</v>
      </c>
      <c r="H75" s="351"/>
      <c r="I75" s="351"/>
      <c r="J75" s="351"/>
      <c r="K75" s="351"/>
      <c r="L75" s="351"/>
      <c r="AMH75" s="332"/>
      <c r="AMI75" s="332"/>
      <c r="AMJ75" s="332"/>
      <c r="AMK75" s="332"/>
    </row>
    <row r="76" spans="2:1025" s="331" customFormat="1" ht="15.75" customHeight="1" thickTop="1" thickBot="1">
      <c r="B76" s="349"/>
      <c r="C76" s="350" t="s">
        <v>1724</v>
      </c>
      <c r="D76" s="352" t="s">
        <v>1823</v>
      </c>
      <c r="E76" s="352" t="s">
        <v>1824</v>
      </c>
      <c r="F76" s="351"/>
      <c r="G76" s="351" t="s">
        <v>1745</v>
      </c>
      <c r="H76" s="351"/>
      <c r="I76" s="351"/>
      <c r="J76" s="351"/>
      <c r="K76" s="351"/>
      <c r="L76" s="351"/>
      <c r="AMH76" s="332"/>
      <c r="AMI76" s="332"/>
      <c r="AMJ76" s="332"/>
      <c r="AMK76" s="332"/>
    </row>
    <row r="77" spans="2:1025" s="331" customFormat="1" ht="15.75" customHeight="1" thickTop="1" thickBot="1">
      <c r="B77" s="344" t="s">
        <v>1825</v>
      </c>
      <c r="C77" s="345"/>
      <c r="D77" s="346"/>
      <c r="E77" s="346"/>
      <c r="F77" s="347"/>
      <c r="G77" s="347"/>
      <c r="H77" s="347"/>
      <c r="I77" s="347"/>
      <c r="J77" s="347"/>
      <c r="K77" s="347"/>
      <c r="L77" s="348"/>
      <c r="AMH77" s="332"/>
      <c r="AMI77" s="332"/>
      <c r="AMJ77" s="332"/>
      <c r="AMK77" s="332"/>
    </row>
    <row r="78" spans="2:1025" s="331" customFormat="1" ht="15.75" customHeight="1" thickTop="1" thickBot="1">
      <c r="B78" s="349"/>
      <c r="C78" s="350" t="s">
        <v>1827</v>
      </c>
      <c r="D78" s="166" t="s">
        <v>1680</v>
      </c>
      <c r="E78" s="166" t="s">
        <v>1680</v>
      </c>
      <c r="F78" s="351"/>
      <c r="G78" s="351" t="s">
        <v>1681</v>
      </c>
      <c r="H78" s="351"/>
      <c r="I78" s="351"/>
      <c r="J78" s="351"/>
      <c r="K78" s="351"/>
      <c r="L78" s="351"/>
      <c r="AMH78" s="332"/>
      <c r="AMI78" s="332"/>
      <c r="AMJ78" s="332"/>
      <c r="AMK78" s="332"/>
    </row>
    <row r="79" spans="2:1025" s="331" customFormat="1" ht="15.75" customHeight="1" thickTop="1" thickBot="1">
      <c r="B79" s="349"/>
      <c r="C79" s="350" t="s">
        <v>1686</v>
      </c>
      <c r="D79" s="352" t="s">
        <v>1828</v>
      </c>
      <c r="E79" s="352" t="s">
        <v>1829</v>
      </c>
      <c r="F79" s="351"/>
      <c r="G79" s="351" t="s">
        <v>1745</v>
      </c>
      <c r="H79" s="351"/>
      <c r="I79" s="351"/>
      <c r="J79" s="351"/>
      <c r="K79" s="351"/>
      <c r="L79" s="351"/>
      <c r="AMH79" s="332"/>
      <c r="AMI79" s="332"/>
      <c r="AMJ79" s="332"/>
      <c r="AMK79" s="332"/>
    </row>
    <row r="80" spans="2:1025" s="331" customFormat="1" ht="15.75" customHeight="1" thickTop="1" thickBot="1">
      <c r="B80" s="349"/>
      <c r="C80" s="350" t="s">
        <v>1687</v>
      </c>
      <c r="D80" s="352" t="s">
        <v>1830</v>
      </c>
      <c r="E80" s="352" t="s">
        <v>1831</v>
      </c>
      <c r="F80" s="351"/>
      <c r="G80" s="351" t="s">
        <v>1745</v>
      </c>
      <c r="H80" s="351"/>
      <c r="I80" s="351"/>
      <c r="J80" s="351"/>
      <c r="K80" s="351"/>
      <c r="L80" s="351"/>
      <c r="AMH80" s="332"/>
      <c r="AMI80" s="332"/>
      <c r="AMJ80" s="332"/>
      <c r="AMK80" s="332"/>
    </row>
    <row r="81" spans="2:1025" s="331" customFormat="1" ht="15.75" customHeight="1" thickTop="1" thickBot="1">
      <c r="B81" s="349"/>
      <c r="C81" s="350" t="s">
        <v>1690</v>
      </c>
      <c r="D81" s="352" t="s">
        <v>1832</v>
      </c>
      <c r="E81" s="352" t="s">
        <v>1833</v>
      </c>
      <c r="F81" s="351"/>
      <c r="G81" s="351" t="s">
        <v>1745</v>
      </c>
      <c r="H81" s="351"/>
      <c r="I81" s="351"/>
      <c r="J81" s="351"/>
      <c r="K81" s="351"/>
      <c r="L81" s="351"/>
      <c r="AMH81" s="332"/>
      <c r="AMI81" s="332"/>
      <c r="AMJ81" s="332"/>
      <c r="AMK81" s="332"/>
    </row>
    <row r="82" spans="2:1025" s="331" customFormat="1" ht="15.75" customHeight="1" thickTop="1" thickBot="1">
      <c r="B82" s="349"/>
      <c r="C82" s="350" t="s">
        <v>1693</v>
      </c>
      <c r="D82" s="352" t="s">
        <v>1834</v>
      </c>
      <c r="E82" s="352" t="s">
        <v>1835</v>
      </c>
      <c r="F82" s="351"/>
      <c r="G82" s="351" t="s">
        <v>1745</v>
      </c>
      <c r="H82" s="351"/>
      <c r="I82" s="351"/>
      <c r="J82" s="351"/>
      <c r="K82" s="351"/>
      <c r="L82" s="351"/>
      <c r="AMH82" s="332"/>
      <c r="AMI82" s="332"/>
      <c r="AMJ82" s="332"/>
      <c r="AMK82" s="332"/>
    </row>
    <row r="83" spans="2:1025" s="331" customFormat="1" ht="15.75" customHeight="1" thickTop="1" thickBot="1">
      <c r="B83" s="349"/>
      <c r="C83" s="350" t="s">
        <v>1696</v>
      </c>
      <c r="D83" s="352" t="s">
        <v>1836</v>
      </c>
      <c r="E83" s="352" t="s">
        <v>1837</v>
      </c>
      <c r="F83" s="351"/>
      <c r="G83" s="351" t="s">
        <v>1745</v>
      </c>
      <c r="H83" s="351"/>
      <c r="I83" s="351"/>
      <c r="J83" s="351"/>
      <c r="K83" s="351"/>
      <c r="L83" s="351"/>
      <c r="AMH83" s="332"/>
      <c r="AMI83" s="332"/>
      <c r="AMJ83" s="332"/>
      <c r="AMK83" s="332"/>
    </row>
    <row r="84" spans="2:1025" s="331" customFormat="1" ht="15.75" customHeight="1" thickTop="1" thickBot="1">
      <c r="B84" s="349"/>
      <c r="C84" s="350" t="s">
        <v>1699</v>
      </c>
      <c r="D84" s="352" t="s">
        <v>1838</v>
      </c>
      <c r="E84" s="352" t="s">
        <v>1839</v>
      </c>
      <c r="F84" s="351"/>
      <c r="G84" s="351" t="s">
        <v>1745</v>
      </c>
      <c r="H84" s="351"/>
      <c r="I84" s="351"/>
      <c r="J84" s="351"/>
      <c r="K84" s="351"/>
      <c r="L84" s="351"/>
      <c r="AMH84" s="332"/>
      <c r="AMI84" s="332"/>
      <c r="AMJ84" s="332"/>
      <c r="AMK84" s="332"/>
    </row>
    <row r="85" spans="2:1025" s="331" customFormat="1" ht="15.75" customHeight="1" thickTop="1" thickBot="1">
      <c r="B85" s="349"/>
      <c r="C85" s="350" t="s">
        <v>1702</v>
      </c>
      <c r="D85" s="352" t="s">
        <v>1840</v>
      </c>
      <c r="E85" s="352" t="s">
        <v>1841</v>
      </c>
      <c r="F85" s="351"/>
      <c r="G85" s="351" t="s">
        <v>1745</v>
      </c>
      <c r="H85" s="351"/>
      <c r="I85" s="351"/>
      <c r="J85" s="351"/>
      <c r="K85" s="351"/>
      <c r="L85" s="351"/>
      <c r="AMH85" s="332"/>
      <c r="AMI85" s="332"/>
      <c r="AMJ85" s="332"/>
      <c r="AMK85" s="332"/>
    </row>
    <row r="86" spans="2:1025" s="331" customFormat="1" ht="15.75" customHeight="1" thickTop="1" thickBot="1">
      <c r="B86" s="349"/>
      <c r="C86" s="350" t="s">
        <v>1705</v>
      </c>
      <c r="D86" s="352" t="s">
        <v>1842</v>
      </c>
      <c r="E86" s="352" t="s">
        <v>1843</v>
      </c>
      <c r="F86" s="351"/>
      <c r="G86" s="351" t="s">
        <v>1745</v>
      </c>
      <c r="H86" s="351"/>
      <c r="I86" s="351"/>
      <c r="J86" s="351"/>
      <c r="K86" s="351"/>
      <c r="L86" s="351"/>
      <c r="AMH86" s="332"/>
      <c r="AMI86" s="332"/>
      <c r="AMJ86" s="332"/>
      <c r="AMK86" s="332"/>
    </row>
    <row r="87" spans="2:1025" s="331" customFormat="1" ht="15.75" customHeight="1" thickTop="1" thickBot="1">
      <c r="B87" s="349"/>
      <c r="C87" s="350" t="s">
        <v>1708</v>
      </c>
      <c r="D87" s="352" t="s">
        <v>1844</v>
      </c>
      <c r="E87" s="352" t="s">
        <v>1845</v>
      </c>
      <c r="F87" s="351"/>
      <c r="G87" s="351" t="s">
        <v>1745</v>
      </c>
      <c r="H87" s="351"/>
      <c r="I87" s="351"/>
      <c r="J87" s="351"/>
      <c r="K87" s="351"/>
      <c r="L87" s="351"/>
      <c r="AMH87" s="332"/>
      <c r="AMI87" s="332"/>
      <c r="AMJ87" s="332"/>
      <c r="AMK87" s="332"/>
    </row>
    <row r="88" spans="2:1025" s="331" customFormat="1" ht="15.75" customHeight="1" thickTop="1" thickBot="1">
      <c r="B88" s="349"/>
      <c r="C88" s="350" t="s">
        <v>1711</v>
      </c>
      <c r="D88" s="352" t="s">
        <v>1846</v>
      </c>
      <c r="E88" s="352" t="s">
        <v>1847</v>
      </c>
      <c r="F88" s="351"/>
      <c r="G88" s="351" t="s">
        <v>1745</v>
      </c>
      <c r="H88" s="351"/>
      <c r="I88" s="351"/>
      <c r="J88" s="351"/>
      <c r="K88" s="351"/>
      <c r="L88" s="351"/>
      <c r="AMH88" s="332"/>
      <c r="AMI88" s="332"/>
      <c r="AMJ88" s="332"/>
      <c r="AMK88" s="332"/>
    </row>
    <row r="89" spans="2:1025" s="331" customFormat="1" ht="15.75" customHeight="1" thickTop="1" thickBot="1">
      <c r="B89" s="349"/>
      <c r="C89" s="350" t="s">
        <v>1714</v>
      </c>
      <c r="D89" s="352" t="s">
        <v>1848</v>
      </c>
      <c r="E89" s="352" t="s">
        <v>1849</v>
      </c>
      <c r="F89" s="351"/>
      <c r="G89" s="351" t="s">
        <v>1745</v>
      </c>
      <c r="H89" s="351"/>
      <c r="I89" s="351"/>
      <c r="J89" s="351"/>
      <c r="K89" s="351"/>
      <c r="L89" s="351"/>
      <c r="AMH89" s="332"/>
      <c r="AMI89" s="332"/>
      <c r="AMJ89" s="332"/>
      <c r="AMK89" s="332"/>
    </row>
    <row r="90" spans="2:1025" s="331" customFormat="1" ht="15.75" customHeight="1" thickTop="1" thickBot="1">
      <c r="B90" s="349"/>
      <c r="C90" s="350" t="s">
        <v>1717</v>
      </c>
      <c r="D90" s="352" t="s">
        <v>1850</v>
      </c>
      <c r="E90" s="352" t="s">
        <v>1851</v>
      </c>
      <c r="F90" s="351"/>
      <c r="G90" s="351" t="s">
        <v>1745</v>
      </c>
      <c r="H90" s="351"/>
      <c r="I90" s="351"/>
      <c r="J90" s="351"/>
      <c r="K90" s="351"/>
      <c r="L90" s="351"/>
      <c r="AMH90" s="332"/>
      <c r="AMI90" s="332"/>
      <c r="AMJ90" s="332"/>
      <c r="AMK90" s="332"/>
    </row>
    <row r="91" spans="2:1025" s="331" customFormat="1" ht="15.75" customHeight="1" thickTop="1" thickBot="1">
      <c r="B91" s="349"/>
      <c r="C91" s="350" t="s">
        <v>1720</v>
      </c>
      <c r="D91" s="352" t="s">
        <v>1852</v>
      </c>
      <c r="E91" s="352" t="s">
        <v>1853</v>
      </c>
      <c r="F91" s="351"/>
      <c r="G91" s="351" t="s">
        <v>1745</v>
      </c>
      <c r="H91" s="351"/>
      <c r="I91" s="351"/>
      <c r="J91" s="351"/>
      <c r="K91" s="351"/>
      <c r="L91" s="351"/>
      <c r="AMH91" s="332"/>
      <c r="AMI91" s="332"/>
      <c r="AMJ91" s="332"/>
      <c r="AMK91" s="332"/>
    </row>
    <row r="92" spans="2:1025" s="331" customFormat="1" ht="15.75" customHeight="1" thickTop="1" thickBot="1">
      <c r="B92" s="349"/>
      <c r="C92" s="350" t="s">
        <v>1724</v>
      </c>
      <c r="D92" s="352" t="s">
        <v>1854</v>
      </c>
      <c r="E92" s="352" t="s">
        <v>1855</v>
      </c>
      <c r="F92" s="351"/>
      <c r="G92" s="351" t="s">
        <v>1745</v>
      </c>
      <c r="H92" s="351"/>
      <c r="I92" s="351"/>
      <c r="J92" s="351"/>
      <c r="K92" s="351"/>
      <c r="L92" s="351"/>
      <c r="AMH92" s="332"/>
      <c r="AMI92" s="332"/>
      <c r="AMJ92" s="332"/>
      <c r="AMK92" s="332"/>
    </row>
    <row r="93" spans="2:1025" s="331" customFormat="1" ht="15.75" customHeight="1" thickTop="1" thickBot="1">
      <c r="B93" s="344" t="s">
        <v>1856</v>
      </c>
      <c r="C93" s="345"/>
      <c r="D93" s="346"/>
      <c r="E93" s="346"/>
      <c r="F93" s="347"/>
      <c r="G93" s="347"/>
      <c r="H93" s="347"/>
      <c r="I93" s="347"/>
      <c r="J93" s="347"/>
      <c r="K93" s="347"/>
      <c r="L93" s="348"/>
      <c r="AMH93" s="332"/>
      <c r="AMI93" s="332"/>
      <c r="AMJ93" s="332"/>
      <c r="AMK93" s="332"/>
    </row>
    <row r="94" spans="2:1025" s="331" customFormat="1" ht="15.75" customHeight="1" thickTop="1" thickBot="1">
      <c r="B94" s="349"/>
      <c r="C94" s="350" t="s">
        <v>1827</v>
      </c>
      <c r="D94" s="166" t="s">
        <v>1680</v>
      </c>
      <c r="E94" s="166" t="s">
        <v>1680</v>
      </c>
      <c r="F94" s="351"/>
      <c r="G94" s="351" t="s">
        <v>1681</v>
      </c>
      <c r="H94" s="351"/>
      <c r="I94" s="351"/>
      <c r="J94" s="351"/>
      <c r="K94" s="351"/>
      <c r="L94" s="351"/>
      <c r="AMH94" s="332"/>
      <c r="AMI94" s="332"/>
      <c r="AMJ94" s="332"/>
      <c r="AMK94" s="332"/>
    </row>
    <row r="95" spans="2:1025" s="331" customFormat="1" ht="15.75" customHeight="1" thickTop="1" thickBot="1">
      <c r="B95" s="349"/>
      <c r="C95" s="350" t="s">
        <v>1686</v>
      </c>
      <c r="D95" s="352" t="s">
        <v>1857</v>
      </c>
      <c r="E95" s="352" t="s">
        <v>1858</v>
      </c>
      <c r="F95" s="351"/>
      <c r="G95" s="351" t="s">
        <v>1745</v>
      </c>
      <c r="H95" s="351"/>
      <c r="I95" s="351"/>
      <c r="J95" s="351"/>
      <c r="K95" s="351"/>
      <c r="L95" s="351"/>
      <c r="AMH95" s="332"/>
      <c r="AMI95" s="332"/>
      <c r="AMJ95" s="332"/>
      <c r="AMK95" s="332"/>
    </row>
    <row r="96" spans="2:1025" s="331" customFormat="1" ht="15.75" customHeight="1" thickTop="1" thickBot="1">
      <c r="B96" s="349"/>
      <c r="C96" s="350" t="s">
        <v>1687</v>
      </c>
      <c r="D96" s="352" t="s">
        <v>1859</v>
      </c>
      <c r="E96" s="352" t="s">
        <v>1860</v>
      </c>
      <c r="F96" s="351"/>
      <c r="G96" s="351" t="s">
        <v>1745</v>
      </c>
      <c r="H96" s="351"/>
      <c r="I96" s="351"/>
      <c r="J96" s="351"/>
      <c r="K96" s="351"/>
      <c r="L96" s="351"/>
      <c r="AMH96" s="332"/>
      <c r="AMI96" s="332"/>
      <c r="AMJ96" s="332"/>
      <c r="AMK96" s="332"/>
    </row>
    <row r="97" spans="2:1025" s="331" customFormat="1" ht="15.75" customHeight="1" thickTop="1" thickBot="1">
      <c r="B97" s="349"/>
      <c r="C97" s="350" t="s">
        <v>1690</v>
      </c>
      <c r="D97" s="352" t="s">
        <v>1861</v>
      </c>
      <c r="E97" s="352" t="s">
        <v>1862</v>
      </c>
      <c r="F97" s="351"/>
      <c r="G97" s="351" t="s">
        <v>1745</v>
      </c>
      <c r="H97" s="351"/>
      <c r="I97" s="351"/>
      <c r="J97" s="351"/>
      <c r="K97" s="351"/>
      <c r="L97" s="351"/>
      <c r="AMH97" s="332"/>
      <c r="AMI97" s="332"/>
      <c r="AMJ97" s="332"/>
      <c r="AMK97" s="332"/>
    </row>
    <row r="98" spans="2:1025" s="331" customFormat="1" ht="15.75" customHeight="1" thickTop="1" thickBot="1">
      <c r="B98" s="349"/>
      <c r="C98" s="350" t="s">
        <v>1693</v>
      </c>
      <c r="D98" s="352" t="s">
        <v>1863</v>
      </c>
      <c r="E98" s="352" t="s">
        <v>1864</v>
      </c>
      <c r="F98" s="351"/>
      <c r="G98" s="351" t="s">
        <v>1745</v>
      </c>
      <c r="H98" s="351"/>
      <c r="I98" s="351"/>
      <c r="J98" s="351"/>
      <c r="K98" s="351"/>
      <c r="L98" s="351"/>
      <c r="AMH98" s="332"/>
      <c r="AMI98" s="332"/>
      <c r="AMJ98" s="332"/>
      <c r="AMK98" s="332"/>
    </row>
    <row r="99" spans="2:1025" s="331" customFormat="1" ht="15.75" customHeight="1" thickTop="1" thickBot="1">
      <c r="B99" s="349"/>
      <c r="C99" s="350" t="s">
        <v>1696</v>
      </c>
      <c r="D99" s="352" t="s">
        <v>1865</v>
      </c>
      <c r="E99" s="352" t="s">
        <v>1866</v>
      </c>
      <c r="F99" s="351"/>
      <c r="G99" s="351" t="s">
        <v>1745</v>
      </c>
      <c r="H99" s="351"/>
      <c r="I99" s="351"/>
      <c r="J99" s="351"/>
      <c r="K99" s="351"/>
      <c r="L99" s="351"/>
      <c r="AMH99" s="332"/>
      <c r="AMI99" s="332"/>
      <c r="AMJ99" s="332"/>
      <c r="AMK99" s="332"/>
    </row>
    <row r="100" spans="2:1025" s="331" customFormat="1" ht="15.75" customHeight="1" thickTop="1" thickBot="1">
      <c r="B100" s="349"/>
      <c r="C100" s="350" t="s">
        <v>1699</v>
      </c>
      <c r="D100" s="352" t="s">
        <v>1867</v>
      </c>
      <c r="E100" s="352" t="s">
        <v>1868</v>
      </c>
      <c r="F100" s="351"/>
      <c r="G100" s="351" t="s">
        <v>1745</v>
      </c>
      <c r="H100" s="351"/>
      <c r="I100" s="351"/>
      <c r="J100" s="351"/>
      <c r="K100" s="351"/>
      <c r="L100" s="351"/>
      <c r="AMH100" s="332"/>
      <c r="AMI100" s="332"/>
      <c r="AMJ100" s="332"/>
      <c r="AMK100" s="332"/>
    </row>
    <row r="101" spans="2:1025" s="331" customFormat="1" ht="15.75" customHeight="1" thickTop="1" thickBot="1">
      <c r="B101" s="349"/>
      <c r="C101" s="350" t="s">
        <v>1702</v>
      </c>
      <c r="D101" s="352" t="s">
        <v>1869</v>
      </c>
      <c r="E101" s="352" t="s">
        <v>1870</v>
      </c>
      <c r="F101" s="351"/>
      <c r="G101" s="351" t="s">
        <v>1745</v>
      </c>
      <c r="H101" s="351"/>
      <c r="I101" s="351"/>
      <c r="J101" s="351"/>
      <c r="K101" s="351"/>
      <c r="L101" s="351"/>
      <c r="AMH101" s="332"/>
      <c r="AMI101" s="332"/>
      <c r="AMJ101" s="332"/>
      <c r="AMK101" s="332"/>
    </row>
    <row r="102" spans="2:1025" s="331" customFormat="1" ht="15.75" customHeight="1" thickTop="1" thickBot="1">
      <c r="B102" s="349"/>
      <c r="C102" s="350" t="s">
        <v>1705</v>
      </c>
      <c r="D102" s="352" t="s">
        <v>1871</v>
      </c>
      <c r="E102" s="352" t="s">
        <v>1872</v>
      </c>
      <c r="F102" s="351"/>
      <c r="G102" s="351" t="s">
        <v>1745</v>
      </c>
      <c r="H102" s="351"/>
      <c r="I102" s="351"/>
      <c r="J102" s="351"/>
      <c r="K102" s="351"/>
      <c r="L102" s="351"/>
      <c r="AMH102" s="332"/>
      <c r="AMI102" s="332"/>
      <c r="AMJ102" s="332"/>
      <c r="AMK102" s="332"/>
    </row>
    <row r="103" spans="2:1025" s="331" customFormat="1" ht="15.75" customHeight="1" thickTop="1" thickBot="1">
      <c r="B103" s="349"/>
      <c r="C103" s="350" t="s">
        <v>1708</v>
      </c>
      <c r="D103" s="352" t="s">
        <v>1873</v>
      </c>
      <c r="E103" s="352" t="s">
        <v>1874</v>
      </c>
      <c r="F103" s="351"/>
      <c r="G103" s="351" t="s">
        <v>1745</v>
      </c>
      <c r="H103" s="351"/>
      <c r="I103" s="351"/>
      <c r="J103" s="351"/>
      <c r="K103" s="351"/>
      <c r="L103" s="351"/>
      <c r="AMH103" s="332"/>
      <c r="AMI103" s="332"/>
      <c r="AMJ103" s="332"/>
      <c r="AMK103" s="332"/>
    </row>
    <row r="104" spans="2:1025" s="331" customFormat="1" ht="15.75" customHeight="1" thickTop="1" thickBot="1">
      <c r="B104" s="349"/>
      <c r="C104" s="350" t="s">
        <v>1711</v>
      </c>
      <c r="D104" s="352" t="s">
        <v>1875</v>
      </c>
      <c r="E104" s="352" t="s">
        <v>1876</v>
      </c>
      <c r="F104" s="351"/>
      <c r="G104" s="351" t="s">
        <v>1745</v>
      </c>
      <c r="H104" s="351"/>
      <c r="I104" s="351"/>
      <c r="J104" s="351"/>
      <c r="K104" s="351"/>
      <c r="L104" s="351"/>
      <c r="AMH104" s="332"/>
      <c r="AMI104" s="332"/>
      <c r="AMJ104" s="332"/>
      <c r="AMK104" s="332"/>
    </row>
    <row r="105" spans="2:1025" s="331" customFormat="1" ht="15.75" customHeight="1" thickTop="1" thickBot="1">
      <c r="B105" s="349"/>
      <c r="C105" s="350" t="s">
        <v>1714</v>
      </c>
      <c r="D105" s="352" t="s">
        <v>1877</v>
      </c>
      <c r="E105" s="352" t="s">
        <v>1878</v>
      </c>
      <c r="F105" s="351"/>
      <c r="G105" s="351" t="s">
        <v>1745</v>
      </c>
      <c r="H105" s="351"/>
      <c r="I105" s="351"/>
      <c r="J105" s="351"/>
      <c r="K105" s="351"/>
      <c r="L105" s="351"/>
      <c r="AMH105" s="332"/>
      <c r="AMI105" s="332"/>
      <c r="AMJ105" s="332"/>
      <c r="AMK105" s="332"/>
    </row>
    <row r="106" spans="2:1025" s="331" customFormat="1" ht="15.75" customHeight="1" thickTop="1" thickBot="1">
      <c r="B106" s="349"/>
      <c r="C106" s="350" t="s">
        <v>1717</v>
      </c>
      <c r="D106" s="352" t="s">
        <v>1879</v>
      </c>
      <c r="E106" s="352" t="s">
        <v>1880</v>
      </c>
      <c r="F106" s="351"/>
      <c r="G106" s="351" t="s">
        <v>1745</v>
      </c>
      <c r="H106" s="351"/>
      <c r="I106" s="351"/>
      <c r="J106" s="351"/>
      <c r="K106" s="351"/>
      <c r="L106" s="351"/>
      <c r="AMH106" s="332"/>
      <c r="AMI106" s="332"/>
      <c r="AMJ106" s="332"/>
      <c r="AMK106" s="332"/>
    </row>
    <row r="107" spans="2:1025" s="331" customFormat="1" ht="15.75" customHeight="1" thickTop="1" thickBot="1">
      <c r="B107" s="349"/>
      <c r="C107" s="350" t="s">
        <v>1720</v>
      </c>
      <c r="D107" s="352" t="s">
        <v>1881</v>
      </c>
      <c r="E107" s="352" t="s">
        <v>1882</v>
      </c>
      <c r="F107" s="351"/>
      <c r="G107" s="351" t="s">
        <v>1745</v>
      </c>
      <c r="H107" s="351"/>
      <c r="I107" s="351"/>
      <c r="J107" s="351"/>
      <c r="K107" s="351"/>
      <c r="L107" s="351"/>
      <c r="AMH107" s="332"/>
      <c r="AMI107" s="332"/>
      <c r="AMJ107" s="332"/>
      <c r="AMK107" s="332"/>
    </row>
    <row r="108" spans="2:1025" s="331" customFormat="1" ht="15.75" customHeight="1" thickTop="1" thickBot="1">
      <c r="B108" s="354"/>
      <c r="C108" s="350" t="s">
        <v>1724</v>
      </c>
      <c r="D108" s="352" t="s">
        <v>1883</v>
      </c>
      <c r="E108" s="352" t="s">
        <v>1884</v>
      </c>
      <c r="F108" s="351"/>
      <c r="G108" s="351" t="s">
        <v>1745</v>
      </c>
      <c r="H108" s="351"/>
      <c r="I108" s="351"/>
      <c r="J108" s="351"/>
      <c r="K108" s="351"/>
      <c r="L108" s="351"/>
      <c r="AMH108" s="332"/>
      <c r="AMI108" s="332"/>
      <c r="AMJ108" s="332"/>
      <c r="AMK108" s="332"/>
    </row>
    <row r="109" spans="2:1025" s="331" customFormat="1" ht="15.75" customHeight="1" thickTop="1" thickBot="1">
      <c r="B109" s="344" t="s">
        <v>1885</v>
      </c>
      <c r="C109" s="345"/>
      <c r="D109" s="346"/>
      <c r="E109" s="346"/>
      <c r="F109" s="347"/>
      <c r="G109" s="347"/>
      <c r="H109" s="347"/>
      <c r="I109" s="347"/>
      <c r="J109" s="347"/>
      <c r="K109" s="347"/>
      <c r="L109" s="348"/>
      <c r="AMH109" s="332"/>
      <c r="AMI109" s="332"/>
      <c r="AMJ109" s="332"/>
      <c r="AMK109" s="332"/>
    </row>
    <row r="110" spans="2:1025" s="331" customFormat="1" ht="15.75" customHeight="1" thickTop="1" thickBot="1">
      <c r="B110" s="349"/>
      <c r="C110" s="350" t="s">
        <v>1679</v>
      </c>
      <c r="D110" s="166" t="s">
        <v>1680</v>
      </c>
      <c r="E110" s="166" t="s">
        <v>1680</v>
      </c>
      <c r="F110" s="351"/>
      <c r="G110" s="351" t="s">
        <v>1681</v>
      </c>
      <c r="H110" s="351"/>
      <c r="I110" s="351"/>
      <c r="J110" s="351"/>
      <c r="K110" s="351"/>
      <c r="L110" s="351"/>
      <c r="AMH110" s="332"/>
      <c r="AMI110" s="332"/>
      <c r="AMJ110" s="332"/>
      <c r="AMK110" s="332"/>
    </row>
    <row r="111" spans="2:1025" s="331" customFormat="1" ht="15.75" customHeight="1" thickTop="1" thickBot="1">
      <c r="B111" s="349"/>
      <c r="C111" s="350" t="s">
        <v>1682</v>
      </c>
      <c r="D111" s="352" t="s">
        <v>1886</v>
      </c>
      <c r="E111" s="352" t="s">
        <v>1887</v>
      </c>
      <c r="F111" s="351"/>
      <c r="G111" s="351" t="s">
        <v>1745</v>
      </c>
      <c r="H111" s="351"/>
      <c r="I111" s="351"/>
      <c r="J111" s="351"/>
      <c r="K111" s="351"/>
      <c r="L111" s="351"/>
      <c r="AMH111" s="332"/>
      <c r="AMI111" s="332"/>
      <c r="AMJ111" s="332"/>
      <c r="AMK111" s="332"/>
    </row>
    <row r="112" spans="2:1025" s="331" customFormat="1" ht="15.75" customHeight="1" thickTop="1" thickBot="1">
      <c r="B112" s="349"/>
      <c r="C112" s="350" t="s">
        <v>1686</v>
      </c>
      <c r="D112" s="352" t="s">
        <v>1888</v>
      </c>
      <c r="E112" s="352" t="s">
        <v>1889</v>
      </c>
      <c r="F112" s="351"/>
      <c r="G112" s="351" t="s">
        <v>1745</v>
      </c>
      <c r="H112" s="351"/>
      <c r="I112" s="351"/>
      <c r="J112" s="351"/>
      <c r="K112" s="351"/>
      <c r="L112" s="351"/>
      <c r="AMH112" s="332"/>
      <c r="AMI112" s="332"/>
      <c r="AMJ112" s="332"/>
      <c r="AMK112" s="332"/>
    </row>
    <row r="113" spans="2:1025" s="331" customFormat="1" ht="15.75" customHeight="1" thickTop="1" thickBot="1">
      <c r="B113" s="349"/>
      <c r="C113" s="350" t="s">
        <v>1687</v>
      </c>
      <c r="D113" s="352" t="s">
        <v>1890</v>
      </c>
      <c r="E113" s="352" t="s">
        <v>1891</v>
      </c>
      <c r="F113" s="351"/>
      <c r="G113" s="351" t="s">
        <v>1745</v>
      </c>
      <c r="H113" s="351"/>
      <c r="I113" s="351"/>
      <c r="J113" s="351"/>
      <c r="K113" s="351"/>
      <c r="L113" s="351"/>
      <c r="AMH113" s="332"/>
      <c r="AMI113" s="332"/>
      <c r="AMJ113" s="332"/>
      <c r="AMK113" s="332"/>
    </row>
    <row r="114" spans="2:1025" s="331" customFormat="1" ht="15.75" customHeight="1" thickTop="1" thickBot="1">
      <c r="B114" s="349"/>
      <c r="C114" s="350" t="s">
        <v>1690</v>
      </c>
      <c r="D114" s="352" t="s">
        <v>1892</v>
      </c>
      <c r="E114" s="352" t="s">
        <v>1893</v>
      </c>
      <c r="F114" s="351" t="s">
        <v>1745</v>
      </c>
      <c r="G114" s="351" t="s">
        <v>1745</v>
      </c>
      <c r="H114" s="351"/>
      <c r="I114" s="351"/>
      <c r="J114" s="351"/>
      <c r="K114" s="351"/>
      <c r="L114" s="351"/>
      <c r="AMH114" s="332"/>
      <c r="AMI114" s="332"/>
      <c r="AMJ114" s="332"/>
      <c r="AMK114" s="332"/>
    </row>
    <row r="115" spans="2:1025" s="331" customFormat="1" ht="15.75" customHeight="1" thickTop="1" thickBot="1">
      <c r="B115" s="349"/>
      <c r="C115" s="350" t="s">
        <v>1693</v>
      </c>
      <c r="D115" s="352" t="s">
        <v>1894</v>
      </c>
      <c r="E115" s="352" t="s">
        <v>1895</v>
      </c>
      <c r="F115" s="351"/>
      <c r="G115" s="351" t="s">
        <v>1745</v>
      </c>
      <c r="H115" s="351"/>
      <c r="I115" s="351"/>
      <c r="J115" s="351"/>
      <c r="K115" s="351"/>
      <c r="L115" s="351"/>
      <c r="AMH115" s="332"/>
      <c r="AMI115" s="332"/>
      <c r="AMJ115" s="332"/>
      <c r="AMK115" s="332"/>
    </row>
    <row r="116" spans="2:1025" s="331" customFormat="1" ht="15.75" customHeight="1" thickTop="1" thickBot="1">
      <c r="B116" s="349"/>
      <c r="C116" s="350" t="s">
        <v>1696</v>
      </c>
      <c r="D116" s="352" t="s">
        <v>1896</v>
      </c>
      <c r="E116" s="352" t="s">
        <v>1897</v>
      </c>
      <c r="F116" s="351"/>
      <c r="G116" s="351" t="s">
        <v>1745</v>
      </c>
      <c r="H116" s="351"/>
      <c r="I116" s="351"/>
      <c r="J116" s="351"/>
      <c r="K116" s="351"/>
      <c r="L116" s="351"/>
      <c r="AMH116" s="332"/>
      <c r="AMI116" s="332"/>
      <c r="AMJ116" s="332"/>
      <c r="AMK116" s="332"/>
    </row>
    <row r="117" spans="2:1025" s="331" customFormat="1" ht="15.75" customHeight="1" thickTop="1" thickBot="1">
      <c r="B117" s="349"/>
      <c r="C117" s="350" t="s">
        <v>1699</v>
      </c>
      <c r="D117" s="352" t="s">
        <v>1898</v>
      </c>
      <c r="E117" s="352" t="s">
        <v>1899</v>
      </c>
      <c r="F117" s="351"/>
      <c r="G117" s="351" t="s">
        <v>1745</v>
      </c>
      <c r="H117" s="351"/>
      <c r="I117" s="351"/>
      <c r="J117" s="351"/>
      <c r="K117" s="351"/>
      <c r="L117" s="351"/>
      <c r="AMH117" s="332"/>
      <c r="AMI117" s="332"/>
      <c r="AMJ117" s="332"/>
      <c r="AMK117" s="332"/>
    </row>
    <row r="118" spans="2:1025" s="331" customFormat="1" ht="15.75" customHeight="1" thickTop="1" thickBot="1">
      <c r="B118" s="349"/>
      <c r="C118" s="350" t="s">
        <v>1702</v>
      </c>
      <c r="D118" s="352" t="s">
        <v>1900</v>
      </c>
      <c r="E118" s="352" t="s">
        <v>1901</v>
      </c>
      <c r="F118" s="351"/>
      <c r="G118" s="351" t="s">
        <v>1745</v>
      </c>
      <c r="H118" s="351"/>
      <c r="I118" s="351"/>
      <c r="J118" s="351"/>
      <c r="K118" s="351"/>
      <c r="L118" s="351"/>
      <c r="AMH118" s="332"/>
      <c r="AMI118" s="332"/>
      <c r="AMJ118" s="332"/>
      <c r="AMK118" s="332"/>
    </row>
    <row r="119" spans="2:1025" s="331" customFormat="1" ht="15.75" customHeight="1" thickTop="1" thickBot="1">
      <c r="B119" s="349"/>
      <c r="C119" s="350" t="s">
        <v>1705</v>
      </c>
      <c r="D119" s="352" t="s">
        <v>1902</v>
      </c>
      <c r="E119" s="352" t="s">
        <v>1903</v>
      </c>
      <c r="F119" s="351"/>
      <c r="G119" s="351" t="s">
        <v>1745</v>
      </c>
      <c r="H119" s="351"/>
      <c r="I119" s="351"/>
      <c r="J119" s="351"/>
      <c r="K119" s="351"/>
      <c r="L119" s="351"/>
      <c r="AMH119" s="332"/>
      <c r="AMI119" s="332"/>
      <c r="AMJ119" s="332"/>
      <c r="AMK119" s="332"/>
    </row>
    <row r="120" spans="2:1025" s="331" customFormat="1" ht="15.75" customHeight="1" thickTop="1" thickBot="1">
      <c r="B120" s="349"/>
      <c r="C120" s="350" t="s">
        <v>1708</v>
      </c>
      <c r="D120" s="352" t="s">
        <v>1904</v>
      </c>
      <c r="E120" s="353" t="s">
        <v>1905</v>
      </c>
      <c r="F120" s="351"/>
      <c r="G120" s="351" t="s">
        <v>1745</v>
      </c>
      <c r="H120" s="351"/>
      <c r="I120" s="351"/>
      <c r="J120" s="351"/>
      <c r="K120" s="351"/>
      <c r="L120" s="351"/>
      <c r="AMH120" s="332"/>
      <c r="AMI120" s="332"/>
      <c r="AMJ120" s="332"/>
      <c r="AMK120" s="332"/>
    </row>
    <row r="121" spans="2:1025" s="331" customFormat="1" ht="15.75" customHeight="1" thickTop="1" thickBot="1">
      <c r="B121" s="349"/>
      <c r="C121" s="350" t="s">
        <v>1711</v>
      </c>
      <c r="D121" s="352" t="s">
        <v>1906</v>
      </c>
      <c r="E121" s="352" t="s">
        <v>1907</v>
      </c>
      <c r="F121" s="351"/>
      <c r="G121" s="351" t="s">
        <v>1745</v>
      </c>
      <c r="H121" s="351"/>
      <c r="I121" s="351"/>
      <c r="J121" s="351"/>
      <c r="K121" s="351"/>
      <c r="L121" s="351"/>
      <c r="AMH121" s="332"/>
      <c r="AMI121" s="332"/>
      <c r="AMJ121" s="332"/>
      <c r="AMK121" s="332"/>
    </row>
    <row r="122" spans="2:1025" s="331" customFormat="1" ht="15.75" customHeight="1" thickTop="1" thickBot="1">
      <c r="B122" s="349"/>
      <c r="C122" s="350" t="s">
        <v>1714</v>
      </c>
      <c r="D122" s="352" t="s">
        <v>1908</v>
      </c>
      <c r="E122" s="352" t="s">
        <v>1909</v>
      </c>
      <c r="F122" s="351"/>
      <c r="G122" s="351" t="s">
        <v>1745</v>
      </c>
      <c r="H122" s="351"/>
      <c r="I122" s="351"/>
      <c r="J122" s="351"/>
      <c r="K122" s="351"/>
      <c r="L122" s="351"/>
      <c r="AMH122" s="332"/>
      <c r="AMI122" s="332"/>
      <c r="AMJ122" s="332"/>
      <c r="AMK122" s="332"/>
    </row>
    <row r="123" spans="2:1025" s="331" customFormat="1" ht="15.75" customHeight="1" thickTop="1" thickBot="1">
      <c r="B123" s="349"/>
      <c r="C123" s="350" t="s">
        <v>1717</v>
      </c>
      <c r="D123" s="352" t="s">
        <v>1910</v>
      </c>
      <c r="E123" s="352" t="s">
        <v>1911</v>
      </c>
      <c r="F123" s="351"/>
      <c r="G123" s="351" t="s">
        <v>1745</v>
      </c>
      <c r="H123" s="351"/>
      <c r="I123" s="351"/>
      <c r="J123" s="351"/>
      <c r="K123" s="351"/>
      <c r="L123" s="351"/>
      <c r="AMH123" s="332"/>
      <c r="AMI123" s="332"/>
      <c r="AMJ123" s="332"/>
      <c r="AMK123" s="332"/>
    </row>
    <row r="124" spans="2:1025" s="331" customFormat="1" ht="15.75" customHeight="1" thickTop="1" thickBot="1">
      <c r="B124" s="349"/>
      <c r="C124" s="350" t="s">
        <v>1720</v>
      </c>
      <c r="D124" s="352" t="s">
        <v>1912</v>
      </c>
      <c r="E124" s="352" t="s">
        <v>1913</v>
      </c>
      <c r="F124" s="351"/>
      <c r="G124" s="351" t="s">
        <v>1745</v>
      </c>
      <c r="H124" s="351"/>
      <c r="I124" s="351"/>
      <c r="J124" s="351"/>
      <c r="K124" s="351"/>
      <c r="L124" s="351"/>
      <c r="AMH124" s="332"/>
      <c r="AMI124" s="332"/>
      <c r="AMJ124" s="332"/>
      <c r="AMK124" s="332"/>
    </row>
    <row r="125" spans="2:1025" s="331" customFormat="1" ht="15.75" customHeight="1" thickTop="1" thickBot="1">
      <c r="B125" s="354"/>
      <c r="C125" s="350" t="s">
        <v>1724</v>
      </c>
      <c r="D125" s="352" t="s">
        <v>1914</v>
      </c>
      <c r="E125" s="352" t="s">
        <v>1915</v>
      </c>
      <c r="F125" s="351"/>
      <c r="G125" s="351" t="s">
        <v>1745</v>
      </c>
      <c r="H125" s="351"/>
      <c r="I125" s="351"/>
      <c r="J125" s="351"/>
      <c r="K125" s="351"/>
      <c r="L125" s="351"/>
      <c r="AMH125" s="332"/>
      <c r="AMI125" s="332"/>
      <c r="AMJ125" s="332"/>
      <c r="AMK125" s="332"/>
    </row>
    <row r="126" spans="2:1025" s="331" customFormat="1" ht="15.75" customHeight="1" thickTop="1" thickBot="1">
      <c r="B126" s="344" t="s">
        <v>1916</v>
      </c>
      <c r="C126" s="345"/>
      <c r="D126" s="346"/>
      <c r="E126" s="346"/>
      <c r="F126" s="347"/>
      <c r="G126" s="347"/>
      <c r="H126" s="347"/>
      <c r="I126" s="347"/>
      <c r="J126" s="347"/>
      <c r="K126" s="347"/>
      <c r="L126" s="348"/>
      <c r="AMH126" s="332"/>
      <c r="AMI126" s="332"/>
      <c r="AMJ126" s="332"/>
      <c r="AMK126" s="332"/>
    </row>
    <row r="127" spans="2:1025" s="331" customFormat="1" ht="15.75" customHeight="1" thickTop="1" thickBot="1">
      <c r="B127" s="349"/>
      <c r="C127" s="350" t="s">
        <v>1679</v>
      </c>
      <c r="D127" s="352" t="s">
        <v>1917</v>
      </c>
      <c r="E127" s="352" t="s">
        <v>1918</v>
      </c>
      <c r="F127" s="351"/>
      <c r="G127" s="351" t="s">
        <v>1745</v>
      </c>
      <c r="H127" s="351"/>
      <c r="I127" s="351"/>
      <c r="J127" s="351"/>
      <c r="K127" s="351"/>
      <c r="L127" s="351"/>
      <c r="AMH127" s="332"/>
      <c r="AMI127" s="332"/>
      <c r="AMJ127" s="332"/>
      <c r="AMK127" s="332"/>
    </row>
    <row r="128" spans="2:1025" s="331" customFormat="1" ht="15.75" customHeight="1" thickTop="1" thickBot="1">
      <c r="B128" s="349"/>
      <c r="C128" s="350" t="s">
        <v>1682</v>
      </c>
      <c r="D128" s="352" t="s">
        <v>1919</v>
      </c>
      <c r="E128" s="352" t="s">
        <v>1920</v>
      </c>
      <c r="F128" s="351"/>
      <c r="G128" s="351" t="s">
        <v>1745</v>
      </c>
      <c r="H128" s="351"/>
      <c r="I128" s="351"/>
      <c r="J128" s="351"/>
      <c r="K128" s="351"/>
      <c r="L128" s="351"/>
      <c r="AMH128" s="332"/>
      <c r="AMI128" s="332"/>
      <c r="AMJ128" s="332"/>
      <c r="AMK128" s="332"/>
    </row>
    <row r="129" spans="2:1025" s="331" customFormat="1" ht="15.75" customHeight="1" thickTop="1" thickBot="1">
      <c r="B129" s="349"/>
      <c r="C129" s="350" t="s">
        <v>1686</v>
      </c>
      <c r="D129" s="352" t="s">
        <v>1921</v>
      </c>
      <c r="E129" s="352" t="s">
        <v>1922</v>
      </c>
      <c r="F129" s="351"/>
      <c r="G129" s="351" t="s">
        <v>1745</v>
      </c>
      <c r="H129" s="351"/>
      <c r="I129" s="351"/>
      <c r="J129" s="351"/>
      <c r="K129" s="351"/>
      <c r="L129" s="351"/>
      <c r="AMH129" s="332"/>
      <c r="AMI129" s="332"/>
      <c r="AMJ129" s="332"/>
      <c r="AMK129" s="332"/>
    </row>
    <row r="130" spans="2:1025" s="331" customFormat="1" ht="15.75" customHeight="1" thickTop="1" thickBot="1">
      <c r="B130" s="349"/>
      <c r="C130" s="350" t="s">
        <v>1687</v>
      </c>
      <c r="D130" s="352" t="s">
        <v>1923</v>
      </c>
      <c r="E130" s="352" t="s">
        <v>1924</v>
      </c>
      <c r="F130" s="351"/>
      <c r="G130" s="351" t="s">
        <v>1745</v>
      </c>
      <c r="H130" s="351"/>
      <c r="I130" s="351"/>
      <c r="J130" s="351"/>
      <c r="K130" s="351"/>
      <c r="L130" s="351"/>
      <c r="AMH130" s="332"/>
      <c r="AMI130" s="332"/>
      <c r="AMJ130" s="332"/>
      <c r="AMK130" s="332"/>
    </row>
    <row r="131" spans="2:1025" s="331" customFormat="1" ht="15.75" customHeight="1" thickTop="1" thickBot="1">
      <c r="B131" s="349"/>
      <c r="C131" s="350" t="s">
        <v>1690</v>
      </c>
      <c r="D131" s="352" t="s">
        <v>1925</v>
      </c>
      <c r="E131" s="352" t="s">
        <v>1926</v>
      </c>
      <c r="F131" s="351"/>
      <c r="G131" s="351" t="s">
        <v>1745</v>
      </c>
      <c r="H131" s="351"/>
      <c r="I131" s="351"/>
      <c r="J131" s="351"/>
      <c r="K131" s="351"/>
      <c r="L131" s="351"/>
      <c r="AMH131" s="332"/>
      <c r="AMI131" s="332"/>
      <c r="AMJ131" s="332"/>
      <c r="AMK131" s="332"/>
    </row>
    <row r="132" spans="2:1025" s="331" customFormat="1" ht="15.75" customHeight="1" thickTop="1" thickBot="1">
      <c r="B132" s="349"/>
      <c r="C132" s="350" t="s">
        <v>1693</v>
      </c>
      <c r="D132" s="352" t="s">
        <v>1927</v>
      </c>
      <c r="E132" s="352" t="s">
        <v>1928</v>
      </c>
      <c r="F132" s="351"/>
      <c r="G132" s="351" t="s">
        <v>1745</v>
      </c>
      <c r="H132" s="351"/>
      <c r="I132" s="351"/>
      <c r="J132" s="351"/>
      <c r="K132" s="351"/>
      <c r="L132" s="351"/>
      <c r="AMH132" s="332"/>
      <c r="AMI132" s="332"/>
      <c r="AMJ132" s="332"/>
      <c r="AMK132" s="332"/>
    </row>
    <row r="133" spans="2:1025" s="331" customFormat="1" ht="15.75" customHeight="1" thickTop="1" thickBot="1">
      <c r="B133" s="349"/>
      <c r="C133" s="350" t="s">
        <v>1696</v>
      </c>
      <c r="D133" s="352" t="s">
        <v>1929</v>
      </c>
      <c r="E133" s="352" t="s">
        <v>1930</v>
      </c>
      <c r="F133" s="351"/>
      <c r="G133" s="351" t="s">
        <v>1745</v>
      </c>
      <c r="H133" s="351"/>
      <c r="I133" s="351"/>
      <c r="J133" s="351"/>
      <c r="K133" s="351"/>
      <c r="L133" s="351"/>
      <c r="AMH133" s="332"/>
      <c r="AMI133" s="332"/>
      <c r="AMJ133" s="332"/>
      <c r="AMK133" s="332"/>
    </row>
    <row r="134" spans="2:1025" s="331" customFormat="1" ht="15.75" customHeight="1" thickTop="1" thickBot="1">
      <c r="B134" s="349"/>
      <c r="C134" s="350" t="s">
        <v>1699</v>
      </c>
      <c r="D134" s="352" t="s">
        <v>1931</v>
      </c>
      <c r="E134" s="352" t="s">
        <v>1932</v>
      </c>
      <c r="F134" s="351"/>
      <c r="G134" s="351" t="s">
        <v>1745</v>
      </c>
      <c r="H134" s="351"/>
      <c r="I134" s="351"/>
      <c r="J134" s="351"/>
      <c r="K134" s="351"/>
      <c r="L134" s="351"/>
      <c r="AMH134" s="332"/>
      <c r="AMI134" s="332"/>
      <c r="AMJ134" s="332"/>
      <c r="AMK134" s="332"/>
    </row>
    <row r="135" spans="2:1025" s="331" customFormat="1" ht="15.75" customHeight="1" thickTop="1" thickBot="1">
      <c r="B135" s="349"/>
      <c r="C135" s="350" t="s">
        <v>1702</v>
      </c>
      <c r="D135" s="352" t="s">
        <v>1933</v>
      </c>
      <c r="E135" s="352" t="s">
        <v>1934</v>
      </c>
      <c r="F135" s="351"/>
      <c r="G135" s="351" t="s">
        <v>1745</v>
      </c>
      <c r="H135" s="351"/>
      <c r="I135" s="351"/>
      <c r="J135" s="351"/>
      <c r="K135" s="351"/>
      <c r="L135" s="351"/>
      <c r="AMH135" s="332"/>
      <c r="AMI135" s="332"/>
      <c r="AMJ135" s="332"/>
      <c r="AMK135" s="332"/>
    </row>
    <row r="136" spans="2:1025" s="331" customFormat="1" ht="15.75" customHeight="1" thickTop="1" thickBot="1">
      <c r="B136" s="349"/>
      <c r="C136" s="350" t="s">
        <v>1705</v>
      </c>
      <c r="D136" s="352" t="s">
        <v>1935</v>
      </c>
      <c r="E136" s="352" t="s">
        <v>1936</v>
      </c>
      <c r="F136" s="351"/>
      <c r="G136" s="351" t="s">
        <v>1745</v>
      </c>
      <c r="H136" s="351"/>
      <c r="I136" s="351"/>
      <c r="J136" s="351"/>
      <c r="K136" s="351"/>
      <c r="L136" s="351"/>
      <c r="AMH136" s="332"/>
      <c r="AMI136" s="332"/>
      <c r="AMJ136" s="332"/>
      <c r="AMK136" s="332"/>
    </row>
    <row r="137" spans="2:1025" s="331" customFormat="1" ht="15.75" customHeight="1" thickTop="1" thickBot="1">
      <c r="B137" s="349"/>
      <c r="C137" s="350" t="s">
        <v>1708</v>
      </c>
      <c r="D137" s="352" t="s">
        <v>1937</v>
      </c>
      <c r="E137" s="353" t="s">
        <v>1938</v>
      </c>
      <c r="F137" s="351"/>
      <c r="G137" s="351" t="s">
        <v>1745</v>
      </c>
      <c r="H137" s="351"/>
      <c r="I137" s="351"/>
      <c r="J137" s="351"/>
      <c r="K137" s="351"/>
      <c r="L137" s="351"/>
      <c r="AMH137" s="332"/>
      <c r="AMI137" s="332"/>
      <c r="AMJ137" s="332"/>
      <c r="AMK137" s="332"/>
    </row>
    <row r="138" spans="2:1025" s="331" customFormat="1" ht="15.75" customHeight="1" thickTop="1" thickBot="1">
      <c r="B138" s="349"/>
      <c r="C138" s="350" t="s">
        <v>1711</v>
      </c>
      <c r="D138" s="352" t="s">
        <v>1939</v>
      </c>
      <c r="E138" s="352" t="s">
        <v>1940</v>
      </c>
      <c r="F138" s="351"/>
      <c r="G138" s="351" t="s">
        <v>1745</v>
      </c>
      <c r="H138" s="351"/>
      <c r="I138" s="351"/>
      <c r="J138" s="351"/>
      <c r="K138" s="351"/>
      <c r="L138" s="351"/>
      <c r="AMH138" s="332"/>
      <c r="AMI138" s="332"/>
      <c r="AMJ138" s="332"/>
      <c r="AMK138" s="332"/>
    </row>
    <row r="139" spans="2:1025" s="331" customFormat="1" ht="15.75" customHeight="1" thickTop="1" thickBot="1">
      <c r="B139" s="349"/>
      <c r="C139" s="350" t="s">
        <v>1714</v>
      </c>
      <c r="D139" s="352" t="s">
        <v>1941</v>
      </c>
      <c r="E139" s="352" t="s">
        <v>1942</v>
      </c>
      <c r="F139" s="351"/>
      <c r="G139" s="351" t="s">
        <v>1745</v>
      </c>
      <c r="H139" s="351"/>
      <c r="I139" s="351"/>
      <c r="J139" s="351"/>
      <c r="K139" s="351"/>
      <c r="L139" s="351"/>
      <c r="AMH139" s="332"/>
      <c r="AMI139" s="332"/>
      <c r="AMJ139" s="332"/>
      <c r="AMK139" s="332"/>
    </row>
    <row r="140" spans="2:1025" s="331" customFormat="1" ht="15.75" customHeight="1" thickTop="1" thickBot="1">
      <c r="B140" s="349"/>
      <c r="C140" s="350" t="s">
        <v>1717</v>
      </c>
      <c r="D140" s="352" t="s">
        <v>1943</v>
      </c>
      <c r="E140" s="352" t="s">
        <v>1944</v>
      </c>
      <c r="F140" s="351"/>
      <c r="G140" s="351" t="s">
        <v>1745</v>
      </c>
      <c r="H140" s="351"/>
      <c r="I140" s="351"/>
      <c r="J140" s="351"/>
      <c r="K140" s="351"/>
      <c r="L140" s="351"/>
      <c r="AMH140" s="332"/>
      <c r="AMI140" s="332"/>
      <c r="AMJ140" s="332"/>
      <c r="AMK140" s="332"/>
    </row>
    <row r="141" spans="2:1025" s="331" customFormat="1" ht="15.75" customHeight="1" thickTop="1" thickBot="1">
      <c r="B141" s="349"/>
      <c r="C141" s="350" t="s">
        <v>1720</v>
      </c>
      <c r="D141" s="352" t="s">
        <v>1945</v>
      </c>
      <c r="E141" s="352" t="s">
        <v>1946</v>
      </c>
      <c r="F141" s="351"/>
      <c r="G141" s="351" t="s">
        <v>1745</v>
      </c>
      <c r="H141" s="351"/>
      <c r="I141" s="351"/>
      <c r="J141" s="351"/>
      <c r="K141" s="351"/>
      <c r="L141" s="351"/>
      <c r="AMH141" s="332"/>
      <c r="AMI141" s="332"/>
      <c r="AMJ141" s="332"/>
      <c r="AMK141" s="332"/>
    </row>
    <row r="142" spans="2:1025" s="331" customFormat="1" ht="15.75" customHeight="1" thickTop="1" thickBot="1">
      <c r="B142" s="354"/>
      <c r="C142" s="350" t="s">
        <v>1724</v>
      </c>
      <c r="D142" s="352" t="s">
        <v>1947</v>
      </c>
      <c r="E142" s="352" t="s">
        <v>1948</v>
      </c>
      <c r="F142" s="351"/>
      <c r="G142" s="351" t="s">
        <v>1745</v>
      </c>
      <c r="H142" s="351"/>
      <c r="I142" s="351"/>
      <c r="J142" s="351"/>
      <c r="K142" s="351"/>
      <c r="L142" s="351"/>
      <c r="AMH142" s="332"/>
      <c r="AMI142" s="332"/>
      <c r="AMJ142" s="332"/>
      <c r="AMK142" s="332"/>
    </row>
    <row r="143" spans="2:1025" s="331" customFormat="1" ht="15.75" customHeight="1" thickTop="1" thickBot="1">
      <c r="B143" s="344" t="s">
        <v>1949</v>
      </c>
      <c r="C143" s="345"/>
      <c r="D143" s="346"/>
      <c r="E143" s="346"/>
      <c r="F143" s="347"/>
      <c r="G143" s="347"/>
      <c r="H143" s="347"/>
      <c r="I143" s="347"/>
      <c r="J143" s="347"/>
      <c r="K143" s="347"/>
      <c r="L143" s="348"/>
      <c r="AMH143" s="332"/>
      <c r="AMI143" s="332"/>
      <c r="AMJ143" s="332"/>
      <c r="AMK143" s="332"/>
    </row>
    <row r="144" spans="2:1025" s="331" customFormat="1" ht="15.75" customHeight="1" thickTop="1" thickBot="1">
      <c r="B144" s="349"/>
      <c r="C144" s="350" t="s">
        <v>1679</v>
      </c>
      <c r="D144" s="166" t="s">
        <v>1680</v>
      </c>
      <c r="E144" s="166" t="s">
        <v>1680</v>
      </c>
      <c r="F144" s="351"/>
      <c r="G144" s="351" t="s">
        <v>1681</v>
      </c>
      <c r="H144" s="351"/>
      <c r="I144" s="351"/>
      <c r="J144" s="351"/>
      <c r="K144" s="351"/>
      <c r="L144" s="351"/>
      <c r="AMH144" s="332"/>
      <c r="AMI144" s="332"/>
      <c r="AMJ144" s="332"/>
      <c r="AMK144" s="332"/>
    </row>
    <row r="145" spans="2:1025" s="331" customFormat="1" ht="15.75" customHeight="1" thickTop="1" thickBot="1">
      <c r="B145" s="349"/>
      <c r="C145" s="350" t="s">
        <v>1682</v>
      </c>
      <c r="D145" s="352" t="s">
        <v>1950</v>
      </c>
      <c r="E145" s="352" t="s">
        <v>1951</v>
      </c>
      <c r="F145" s="351"/>
      <c r="G145" s="351" t="s">
        <v>1745</v>
      </c>
      <c r="H145" s="351"/>
      <c r="I145" s="351"/>
      <c r="J145" s="351"/>
      <c r="K145" s="351"/>
      <c r="L145" s="351"/>
      <c r="AMH145" s="332"/>
      <c r="AMI145" s="332"/>
      <c r="AMJ145" s="332"/>
      <c r="AMK145" s="332"/>
    </row>
    <row r="146" spans="2:1025" s="331" customFormat="1" ht="15.75" customHeight="1" thickTop="1" thickBot="1">
      <c r="B146" s="349"/>
      <c r="C146" s="350" t="s">
        <v>1686</v>
      </c>
      <c r="D146" s="352" t="s">
        <v>1952</v>
      </c>
      <c r="E146" s="352" t="s">
        <v>1953</v>
      </c>
      <c r="F146" s="351"/>
      <c r="G146" s="351" t="s">
        <v>1745</v>
      </c>
      <c r="H146" s="351"/>
      <c r="I146" s="351"/>
      <c r="J146" s="351"/>
      <c r="K146" s="351"/>
      <c r="L146" s="351"/>
      <c r="AMH146" s="332"/>
      <c r="AMI146" s="332"/>
      <c r="AMJ146" s="332"/>
      <c r="AMK146" s="332"/>
    </row>
    <row r="147" spans="2:1025" s="331" customFormat="1" ht="15.75" customHeight="1" thickTop="1" thickBot="1">
      <c r="B147" s="349"/>
      <c r="C147" s="350" t="s">
        <v>1687</v>
      </c>
      <c r="D147" s="352" t="s">
        <v>1954</v>
      </c>
      <c r="E147" s="352" t="s">
        <v>1955</v>
      </c>
      <c r="F147" s="351"/>
      <c r="G147" s="351" t="s">
        <v>1745</v>
      </c>
      <c r="H147" s="351"/>
      <c r="I147" s="351"/>
      <c r="J147" s="351"/>
      <c r="K147" s="351"/>
      <c r="L147" s="351"/>
      <c r="AMH147" s="332"/>
      <c r="AMI147" s="332"/>
      <c r="AMJ147" s="332"/>
      <c r="AMK147" s="332"/>
    </row>
    <row r="148" spans="2:1025" s="331" customFormat="1" ht="15.75" customHeight="1" thickTop="1" thickBot="1">
      <c r="B148" s="349"/>
      <c r="C148" s="350" t="s">
        <v>1690</v>
      </c>
      <c r="D148" s="352" t="s">
        <v>1956</v>
      </c>
      <c r="E148" s="352" t="s">
        <v>1957</v>
      </c>
      <c r="F148" s="351"/>
      <c r="G148" s="351" t="s">
        <v>1745</v>
      </c>
      <c r="H148" s="351"/>
      <c r="I148" s="351"/>
      <c r="J148" s="351"/>
      <c r="K148" s="351"/>
      <c r="L148" s="351"/>
      <c r="AMH148" s="332"/>
      <c r="AMI148" s="332"/>
      <c r="AMJ148" s="332"/>
      <c r="AMK148" s="332"/>
    </row>
    <row r="149" spans="2:1025" s="331" customFormat="1" ht="15.75" customHeight="1" thickTop="1" thickBot="1">
      <c r="B149" s="349"/>
      <c r="C149" s="350" t="s">
        <v>1693</v>
      </c>
      <c r="D149" s="352" t="s">
        <v>1958</v>
      </c>
      <c r="E149" s="352" t="s">
        <v>1959</v>
      </c>
      <c r="F149" s="351"/>
      <c r="G149" s="351" t="s">
        <v>1745</v>
      </c>
      <c r="H149" s="351"/>
      <c r="I149" s="351"/>
      <c r="J149" s="351"/>
      <c r="K149" s="351"/>
      <c r="L149" s="351"/>
      <c r="AMH149" s="332"/>
      <c r="AMI149" s="332"/>
      <c r="AMJ149" s="332"/>
      <c r="AMK149" s="332"/>
    </row>
    <row r="150" spans="2:1025" s="331" customFormat="1" ht="15.75" customHeight="1" thickTop="1" thickBot="1">
      <c r="B150" s="349"/>
      <c r="C150" s="350" t="s">
        <v>1696</v>
      </c>
      <c r="D150" s="352" t="s">
        <v>1960</v>
      </c>
      <c r="E150" s="352" t="s">
        <v>1961</v>
      </c>
      <c r="F150" s="351"/>
      <c r="G150" s="351" t="s">
        <v>1745</v>
      </c>
      <c r="H150" s="351"/>
      <c r="I150" s="351"/>
      <c r="J150" s="351"/>
      <c r="K150" s="351"/>
      <c r="L150" s="351"/>
      <c r="AMH150" s="332"/>
      <c r="AMI150" s="332"/>
      <c r="AMJ150" s="332"/>
      <c r="AMK150" s="332"/>
    </row>
    <row r="151" spans="2:1025" s="331" customFormat="1" ht="15.75" customHeight="1" thickTop="1" thickBot="1">
      <c r="B151" s="349"/>
      <c r="C151" s="350" t="s">
        <v>1699</v>
      </c>
      <c r="D151" s="352" t="s">
        <v>1962</v>
      </c>
      <c r="E151" s="352" t="s">
        <v>1963</v>
      </c>
      <c r="F151" s="351"/>
      <c r="G151" s="351" t="s">
        <v>1745</v>
      </c>
      <c r="H151" s="351"/>
      <c r="I151" s="351"/>
      <c r="J151" s="351"/>
      <c r="K151" s="351"/>
      <c r="L151" s="351"/>
      <c r="AMH151" s="332"/>
      <c r="AMI151" s="332"/>
      <c r="AMJ151" s="332"/>
      <c r="AMK151" s="332"/>
    </row>
    <row r="152" spans="2:1025" s="331" customFormat="1" ht="15.75" customHeight="1" thickTop="1" thickBot="1">
      <c r="B152" s="349"/>
      <c r="C152" s="350" t="s">
        <v>1702</v>
      </c>
      <c r="D152" s="352" t="s">
        <v>1964</v>
      </c>
      <c r="E152" s="352" t="s">
        <v>1965</v>
      </c>
      <c r="F152" s="351"/>
      <c r="G152" s="351" t="s">
        <v>1745</v>
      </c>
      <c r="H152" s="351"/>
      <c r="I152" s="351"/>
      <c r="J152" s="351"/>
      <c r="K152" s="351"/>
      <c r="L152" s="351"/>
      <c r="AMH152" s="332"/>
      <c r="AMI152" s="332"/>
      <c r="AMJ152" s="332"/>
      <c r="AMK152" s="332"/>
    </row>
    <row r="153" spans="2:1025" s="331" customFormat="1" ht="15.75" customHeight="1" thickTop="1" thickBot="1">
      <c r="B153" s="349"/>
      <c r="C153" s="350" t="s">
        <v>1705</v>
      </c>
      <c r="D153" s="352" t="s">
        <v>1966</v>
      </c>
      <c r="E153" s="352" t="s">
        <v>1967</v>
      </c>
      <c r="F153" s="351"/>
      <c r="G153" s="351" t="s">
        <v>1745</v>
      </c>
      <c r="H153" s="351"/>
      <c r="I153" s="351"/>
      <c r="J153" s="351"/>
      <c r="K153" s="351"/>
      <c r="L153" s="351"/>
      <c r="AMH153" s="332"/>
      <c r="AMI153" s="332"/>
      <c r="AMJ153" s="332"/>
      <c r="AMK153" s="332"/>
    </row>
    <row r="154" spans="2:1025" s="331" customFormat="1" ht="15.75" customHeight="1" thickTop="1" thickBot="1">
      <c r="B154" s="349"/>
      <c r="C154" s="350" t="s">
        <v>1708</v>
      </c>
      <c r="D154" s="352" t="s">
        <v>1968</v>
      </c>
      <c r="E154" s="353" t="s">
        <v>1969</v>
      </c>
      <c r="F154" s="351"/>
      <c r="G154" s="351" t="s">
        <v>1745</v>
      </c>
      <c r="H154" s="351"/>
      <c r="I154" s="351"/>
      <c r="J154" s="351"/>
      <c r="K154" s="351"/>
      <c r="L154" s="351"/>
      <c r="AMH154" s="332"/>
      <c r="AMI154" s="332"/>
      <c r="AMJ154" s="332"/>
      <c r="AMK154" s="332"/>
    </row>
    <row r="155" spans="2:1025" s="331" customFormat="1" ht="15.75" customHeight="1" thickTop="1" thickBot="1">
      <c r="B155" s="349"/>
      <c r="C155" s="350" t="s">
        <v>1711</v>
      </c>
      <c r="D155" s="352" t="s">
        <v>1970</v>
      </c>
      <c r="E155" s="352" t="s">
        <v>1971</v>
      </c>
      <c r="F155" s="351"/>
      <c r="G155" s="351" t="s">
        <v>1745</v>
      </c>
      <c r="H155" s="351"/>
      <c r="I155" s="351"/>
      <c r="J155" s="351"/>
      <c r="K155" s="351"/>
      <c r="L155" s="351"/>
      <c r="AMH155" s="332"/>
      <c r="AMI155" s="332"/>
      <c r="AMJ155" s="332"/>
      <c r="AMK155" s="332"/>
    </row>
    <row r="156" spans="2:1025" s="331" customFormat="1" ht="15.75" customHeight="1" thickTop="1" thickBot="1">
      <c r="B156" s="349"/>
      <c r="C156" s="350" t="s">
        <v>1714</v>
      </c>
      <c r="D156" s="352" t="s">
        <v>1972</v>
      </c>
      <c r="E156" s="352" t="s">
        <v>1973</v>
      </c>
      <c r="F156" s="351"/>
      <c r="G156" s="351" t="s">
        <v>1745</v>
      </c>
      <c r="H156" s="351"/>
      <c r="I156" s="351"/>
      <c r="J156" s="351"/>
      <c r="K156" s="351"/>
      <c r="L156" s="351"/>
      <c r="AMH156" s="332"/>
      <c r="AMI156" s="332"/>
      <c r="AMJ156" s="332"/>
      <c r="AMK156" s="332"/>
    </row>
    <row r="157" spans="2:1025" s="331" customFormat="1" ht="15.75" customHeight="1" thickTop="1" thickBot="1">
      <c r="B157" s="349"/>
      <c r="C157" s="350" t="s">
        <v>1717</v>
      </c>
      <c r="D157" s="352" t="s">
        <v>1974</v>
      </c>
      <c r="E157" s="352" t="s">
        <v>1975</v>
      </c>
      <c r="F157" s="351"/>
      <c r="G157" s="351" t="s">
        <v>1745</v>
      </c>
      <c r="H157" s="351"/>
      <c r="I157" s="351"/>
      <c r="J157" s="351"/>
      <c r="K157" s="351"/>
      <c r="L157" s="351"/>
      <c r="AMH157" s="332"/>
      <c r="AMI157" s="332"/>
      <c r="AMJ157" s="332"/>
      <c r="AMK157" s="332"/>
    </row>
    <row r="158" spans="2:1025" s="331" customFormat="1" ht="15.75" customHeight="1" thickTop="1" thickBot="1">
      <c r="B158" s="349"/>
      <c r="C158" s="350" t="s">
        <v>1720</v>
      </c>
      <c r="D158" s="352" t="s">
        <v>1976</v>
      </c>
      <c r="E158" s="352" t="s">
        <v>1977</v>
      </c>
      <c r="F158" s="351"/>
      <c r="G158" s="351" t="s">
        <v>1745</v>
      </c>
      <c r="H158" s="351"/>
      <c r="I158" s="351"/>
      <c r="J158" s="351"/>
      <c r="K158" s="351"/>
      <c r="L158" s="351"/>
      <c r="AMH158" s="332"/>
      <c r="AMI158" s="332"/>
      <c r="AMJ158" s="332"/>
      <c r="AMK158" s="332"/>
    </row>
    <row r="159" spans="2:1025" s="331" customFormat="1" ht="15.75" customHeight="1" thickTop="1" thickBot="1">
      <c r="B159" s="354"/>
      <c r="C159" s="350" t="s">
        <v>1724</v>
      </c>
      <c r="D159" s="352" t="s">
        <v>1978</v>
      </c>
      <c r="E159" s="352" t="s">
        <v>1979</v>
      </c>
      <c r="F159" s="351"/>
      <c r="G159" s="351" t="s">
        <v>1745</v>
      </c>
      <c r="H159" s="351"/>
      <c r="I159" s="351"/>
      <c r="J159" s="351"/>
      <c r="K159" s="351"/>
      <c r="L159" s="351"/>
      <c r="AMH159" s="332"/>
      <c r="AMI159" s="332"/>
      <c r="AMJ159" s="332"/>
      <c r="AMK159" s="332"/>
    </row>
    <row r="160" spans="2:1025" s="331" customFormat="1" ht="15.75" customHeight="1" thickTop="1" thickBot="1">
      <c r="B160" s="344" t="s">
        <v>1980</v>
      </c>
      <c r="C160" s="345"/>
      <c r="D160" s="346"/>
      <c r="E160" s="346"/>
      <c r="F160" s="347"/>
      <c r="G160" s="347"/>
      <c r="H160" s="347"/>
      <c r="I160" s="347"/>
      <c r="J160" s="347"/>
      <c r="K160" s="347"/>
      <c r="L160" s="348"/>
      <c r="AMH160" s="332"/>
      <c r="AMI160" s="332"/>
      <c r="AMJ160" s="332"/>
      <c r="AMK160" s="332"/>
    </row>
    <row r="161" spans="2:1025" s="331" customFormat="1" ht="15.75" customHeight="1" thickTop="1" thickBot="1">
      <c r="B161" s="349"/>
      <c r="C161" s="350" t="s">
        <v>1827</v>
      </c>
      <c r="D161" s="166" t="s">
        <v>1680</v>
      </c>
      <c r="E161" s="166" t="s">
        <v>1680</v>
      </c>
      <c r="F161" s="351"/>
      <c r="G161" s="351" t="s">
        <v>1681</v>
      </c>
      <c r="H161" s="351"/>
      <c r="I161" s="351"/>
      <c r="J161" s="351"/>
      <c r="K161" s="351"/>
      <c r="L161" s="351"/>
      <c r="AMH161" s="332"/>
      <c r="AMI161" s="332"/>
      <c r="AMJ161" s="332"/>
      <c r="AMK161" s="332"/>
    </row>
    <row r="162" spans="2:1025" s="331" customFormat="1" ht="15.75" customHeight="1" thickTop="1" thickBot="1">
      <c r="B162" s="349"/>
      <c r="C162" s="350" t="s">
        <v>1686</v>
      </c>
      <c r="D162" s="352" t="s">
        <v>1981</v>
      </c>
      <c r="E162" s="352" t="s">
        <v>1982</v>
      </c>
      <c r="F162" s="351"/>
      <c r="G162" s="351" t="s">
        <v>1745</v>
      </c>
      <c r="H162" s="351"/>
      <c r="I162" s="351"/>
      <c r="J162" s="351"/>
      <c r="K162" s="351"/>
      <c r="L162" s="351"/>
      <c r="AMH162" s="332"/>
      <c r="AMI162" s="332"/>
      <c r="AMJ162" s="332"/>
      <c r="AMK162" s="332"/>
    </row>
    <row r="163" spans="2:1025" s="331" customFormat="1" ht="15.75" customHeight="1" thickTop="1" thickBot="1">
      <c r="B163" s="349"/>
      <c r="C163" s="350" t="s">
        <v>1687</v>
      </c>
      <c r="D163" s="352" t="s">
        <v>1983</v>
      </c>
      <c r="E163" s="352" t="s">
        <v>1984</v>
      </c>
      <c r="F163" s="351"/>
      <c r="G163" s="351" t="s">
        <v>1745</v>
      </c>
      <c r="H163" s="351"/>
      <c r="I163" s="351"/>
      <c r="J163" s="351"/>
      <c r="K163" s="351"/>
      <c r="L163" s="351"/>
      <c r="AMH163" s="332"/>
      <c r="AMI163" s="332"/>
      <c r="AMJ163" s="332"/>
      <c r="AMK163" s="332"/>
    </row>
    <row r="164" spans="2:1025" s="331" customFormat="1" ht="15.75" customHeight="1" thickTop="1" thickBot="1">
      <c r="B164" s="349"/>
      <c r="C164" s="350" t="s">
        <v>1690</v>
      </c>
      <c r="D164" s="352" t="s">
        <v>1985</v>
      </c>
      <c r="E164" s="352" t="s">
        <v>1986</v>
      </c>
      <c r="F164" s="351"/>
      <c r="G164" s="351" t="s">
        <v>1745</v>
      </c>
      <c r="H164" s="351"/>
      <c r="I164" s="351"/>
      <c r="J164" s="351"/>
      <c r="K164" s="351"/>
      <c r="L164" s="351"/>
      <c r="AMH164" s="332"/>
      <c r="AMI164" s="332"/>
      <c r="AMJ164" s="332"/>
      <c r="AMK164" s="332"/>
    </row>
    <row r="165" spans="2:1025" s="331" customFormat="1" ht="15.75" customHeight="1" thickTop="1" thickBot="1">
      <c r="B165" s="349"/>
      <c r="C165" s="350" t="s">
        <v>1693</v>
      </c>
      <c r="D165" s="352" t="s">
        <v>1987</v>
      </c>
      <c r="E165" s="352" t="s">
        <v>1988</v>
      </c>
      <c r="F165" s="351"/>
      <c r="G165" s="351" t="s">
        <v>1745</v>
      </c>
      <c r="H165" s="351"/>
      <c r="I165" s="351"/>
      <c r="J165" s="351"/>
      <c r="K165" s="351"/>
      <c r="L165" s="351"/>
      <c r="AMH165" s="332"/>
      <c r="AMI165" s="332"/>
      <c r="AMJ165" s="332"/>
      <c r="AMK165" s="332"/>
    </row>
    <row r="166" spans="2:1025" s="331" customFormat="1" ht="15.75" customHeight="1" thickTop="1" thickBot="1">
      <c r="B166" s="349"/>
      <c r="C166" s="350" t="s">
        <v>1696</v>
      </c>
      <c r="D166" s="352" t="s">
        <v>1989</v>
      </c>
      <c r="E166" s="352" t="s">
        <v>1990</v>
      </c>
      <c r="F166" s="351"/>
      <c r="G166" s="351" t="s">
        <v>1745</v>
      </c>
      <c r="H166" s="351"/>
      <c r="I166" s="351"/>
      <c r="J166" s="351"/>
      <c r="K166" s="351"/>
      <c r="L166" s="351"/>
      <c r="AMH166" s="332"/>
      <c r="AMI166" s="332"/>
      <c r="AMJ166" s="332"/>
      <c r="AMK166" s="332"/>
    </row>
    <row r="167" spans="2:1025" s="331" customFormat="1" ht="15.75" customHeight="1" thickTop="1" thickBot="1">
      <c r="B167" s="349"/>
      <c r="C167" s="350" t="s">
        <v>1699</v>
      </c>
      <c r="D167" s="352" t="s">
        <v>1991</v>
      </c>
      <c r="E167" s="352" t="s">
        <v>1992</v>
      </c>
      <c r="F167" s="351"/>
      <c r="G167" s="351" t="s">
        <v>1745</v>
      </c>
      <c r="H167" s="351"/>
      <c r="I167" s="351"/>
      <c r="J167" s="351"/>
      <c r="K167" s="351"/>
      <c r="L167" s="351"/>
      <c r="AMH167" s="332"/>
      <c r="AMI167" s="332"/>
      <c r="AMJ167" s="332"/>
      <c r="AMK167" s="332"/>
    </row>
    <row r="168" spans="2:1025" s="331" customFormat="1" ht="15.75" customHeight="1" thickTop="1" thickBot="1">
      <c r="B168" s="349"/>
      <c r="C168" s="350" t="s">
        <v>1702</v>
      </c>
      <c r="D168" s="352" t="s">
        <v>1993</v>
      </c>
      <c r="E168" s="352" t="s">
        <v>1994</v>
      </c>
      <c r="F168" s="351"/>
      <c r="G168" s="351" t="s">
        <v>1745</v>
      </c>
      <c r="H168" s="351"/>
      <c r="I168" s="351"/>
      <c r="J168" s="351"/>
      <c r="K168" s="351"/>
      <c r="L168" s="351"/>
      <c r="AMH168" s="332"/>
      <c r="AMI168" s="332"/>
      <c r="AMJ168" s="332"/>
      <c r="AMK168" s="332"/>
    </row>
    <row r="169" spans="2:1025" s="331" customFormat="1" ht="15.75" customHeight="1" thickTop="1" thickBot="1">
      <c r="B169" s="349"/>
      <c r="C169" s="350" t="s">
        <v>1705</v>
      </c>
      <c r="D169" s="352" t="s">
        <v>1995</v>
      </c>
      <c r="E169" s="352" t="s">
        <v>1996</v>
      </c>
      <c r="F169" s="351"/>
      <c r="G169" s="351" t="s">
        <v>1745</v>
      </c>
      <c r="H169" s="351"/>
      <c r="I169" s="351"/>
      <c r="J169" s="351"/>
      <c r="K169" s="351"/>
      <c r="L169" s="351"/>
      <c r="AMH169" s="332"/>
      <c r="AMI169" s="332"/>
      <c r="AMJ169" s="332"/>
      <c r="AMK169" s="332"/>
    </row>
    <row r="170" spans="2:1025" s="331" customFormat="1" ht="15.75" customHeight="1" thickTop="1" thickBot="1">
      <c r="B170" s="349"/>
      <c r="C170" s="350" t="s">
        <v>1708</v>
      </c>
      <c r="D170" s="352" t="s">
        <v>1997</v>
      </c>
      <c r="E170" s="353" t="s">
        <v>1998</v>
      </c>
      <c r="F170" s="351"/>
      <c r="G170" s="351" t="s">
        <v>1745</v>
      </c>
      <c r="H170" s="351"/>
      <c r="I170" s="351"/>
      <c r="J170" s="351"/>
      <c r="K170" s="351"/>
      <c r="L170" s="351"/>
      <c r="AMH170" s="332"/>
      <c r="AMI170" s="332"/>
      <c r="AMJ170" s="332"/>
      <c r="AMK170" s="332"/>
    </row>
    <row r="171" spans="2:1025" s="331" customFormat="1" ht="15.75" customHeight="1" thickTop="1" thickBot="1">
      <c r="B171" s="349"/>
      <c r="C171" s="350" t="s">
        <v>1711</v>
      </c>
      <c r="D171" s="352" t="s">
        <v>1999</v>
      </c>
      <c r="E171" s="352" t="s">
        <v>2000</v>
      </c>
      <c r="F171" s="351"/>
      <c r="G171" s="351" t="s">
        <v>1745</v>
      </c>
      <c r="H171" s="351"/>
      <c r="I171" s="351"/>
      <c r="J171" s="351"/>
      <c r="K171" s="351"/>
      <c r="L171" s="351"/>
      <c r="AMH171" s="332"/>
      <c r="AMI171" s="332"/>
      <c r="AMJ171" s="332"/>
      <c r="AMK171" s="332"/>
    </row>
    <row r="172" spans="2:1025" s="331" customFormat="1" ht="15.75" customHeight="1" thickTop="1" thickBot="1">
      <c r="B172" s="349"/>
      <c r="C172" s="350" t="s">
        <v>1714</v>
      </c>
      <c r="D172" s="352" t="s">
        <v>2001</v>
      </c>
      <c r="E172" s="352" t="s">
        <v>2002</v>
      </c>
      <c r="F172" s="351"/>
      <c r="G172" s="351" t="s">
        <v>1745</v>
      </c>
      <c r="H172" s="351"/>
      <c r="I172" s="351"/>
      <c r="J172" s="351"/>
      <c r="K172" s="351"/>
      <c r="L172" s="351"/>
      <c r="AMH172" s="332"/>
      <c r="AMI172" s="332"/>
      <c r="AMJ172" s="332"/>
      <c r="AMK172" s="332"/>
    </row>
    <row r="173" spans="2:1025" s="331" customFormat="1" ht="15.75" customHeight="1" thickTop="1" thickBot="1">
      <c r="B173" s="349"/>
      <c r="C173" s="350" t="s">
        <v>1717</v>
      </c>
      <c r="D173" s="352" t="s">
        <v>2003</v>
      </c>
      <c r="E173" s="352" t="s">
        <v>2004</v>
      </c>
      <c r="F173" s="351"/>
      <c r="G173" s="351" t="s">
        <v>1745</v>
      </c>
      <c r="H173" s="351"/>
      <c r="I173" s="351"/>
      <c r="J173" s="351"/>
      <c r="K173" s="351"/>
      <c r="L173" s="351"/>
      <c r="AMH173" s="332"/>
      <c r="AMI173" s="332"/>
      <c r="AMJ173" s="332"/>
      <c r="AMK173" s="332"/>
    </row>
    <row r="174" spans="2:1025" s="331" customFormat="1" ht="15.75" customHeight="1" thickTop="1" thickBot="1">
      <c r="B174" s="349"/>
      <c r="C174" s="350" t="s">
        <v>1720</v>
      </c>
      <c r="D174" s="352" t="s">
        <v>2005</v>
      </c>
      <c r="E174" s="352" t="s">
        <v>2006</v>
      </c>
      <c r="F174" s="351"/>
      <c r="G174" s="351" t="s">
        <v>1745</v>
      </c>
      <c r="H174" s="351"/>
      <c r="I174" s="351"/>
      <c r="J174" s="351"/>
      <c r="K174" s="351"/>
      <c r="L174" s="351"/>
      <c r="AMH174" s="332"/>
      <c r="AMI174" s="332"/>
      <c r="AMJ174" s="332"/>
      <c r="AMK174" s="332"/>
    </row>
    <row r="175" spans="2:1025" s="331" customFormat="1" ht="15.75" customHeight="1" thickTop="1" thickBot="1">
      <c r="B175" s="354"/>
      <c r="C175" s="350" t="s">
        <v>1724</v>
      </c>
      <c r="D175" s="352" t="s">
        <v>2007</v>
      </c>
      <c r="E175" s="352" t="s">
        <v>2008</v>
      </c>
      <c r="F175" s="351"/>
      <c r="G175" s="351" t="s">
        <v>1745</v>
      </c>
      <c r="H175" s="351"/>
      <c r="I175" s="351"/>
      <c r="J175" s="351"/>
      <c r="K175" s="351"/>
      <c r="L175" s="351"/>
      <c r="AMH175" s="332"/>
      <c r="AMI175" s="332"/>
      <c r="AMJ175" s="332"/>
      <c r="AMK175" s="332"/>
    </row>
    <row r="176" spans="2:1025" s="331" customFormat="1" ht="15.75" customHeight="1" thickTop="1" thickBot="1">
      <c r="B176" s="344" t="s">
        <v>2009</v>
      </c>
      <c r="C176" s="345"/>
      <c r="D176" s="346"/>
      <c r="E176" s="346"/>
      <c r="F176" s="347"/>
      <c r="G176" s="347"/>
      <c r="H176" s="347"/>
      <c r="I176" s="347"/>
      <c r="J176" s="347"/>
      <c r="K176" s="347"/>
      <c r="L176" s="348"/>
      <c r="AMH176" s="332"/>
      <c r="AMI176" s="332"/>
      <c r="AMJ176" s="332"/>
      <c r="AMK176" s="332"/>
    </row>
    <row r="177" spans="2:1025" s="331" customFormat="1" ht="15.75" customHeight="1" thickTop="1" thickBot="1">
      <c r="B177" s="349"/>
      <c r="C177" s="350" t="s">
        <v>1827</v>
      </c>
      <c r="D177" s="166" t="s">
        <v>1680</v>
      </c>
      <c r="E177" s="166" t="s">
        <v>1680</v>
      </c>
      <c r="F177" s="351"/>
      <c r="G177" s="351" t="s">
        <v>1681</v>
      </c>
      <c r="H177" s="351"/>
      <c r="I177" s="351"/>
      <c r="J177" s="351"/>
      <c r="K177" s="351"/>
      <c r="L177" s="351"/>
      <c r="AMH177" s="332"/>
      <c r="AMI177" s="332"/>
      <c r="AMJ177" s="332"/>
      <c r="AMK177" s="332"/>
    </row>
    <row r="178" spans="2:1025" s="331" customFormat="1" ht="15.75" customHeight="1" thickTop="1" thickBot="1">
      <c r="B178" s="349"/>
      <c r="C178" s="350" t="s">
        <v>1686</v>
      </c>
      <c r="D178" s="352" t="s">
        <v>2010</v>
      </c>
      <c r="E178" s="352" t="s">
        <v>2011</v>
      </c>
      <c r="F178" s="351"/>
      <c r="G178" s="351" t="s">
        <v>1745</v>
      </c>
      <c r="H178" s="351"/>
      <c r="I178" s="351"/>
      <c r="J178" s="351"/>
      <c r="K178" s="351"/>
      <c r="L178" s="351"/>
      <c r="AMH178" s="332"/>
      <c r="AMI178" s="332"/>
      <c r="AMJ178" s="332"/>
      <c r="AMK178" s="332"/>
    </row>
    <row r="179" spans="2:1025" s="331" customFormat="1" ht="15.75" customHeight="1" thickTop="1" thickBot="1">
      <c r="B179" s="349"/>
      <c r="C179" s="350" t="s">
        <v>1687</v>
      </c>
      <c r="D179" s="352" t="s">
        <v>2012</v>
      </c>
      <c r="E179" s="352" t="s">
        <v>2013</v>
      </c>
      <c r="F179" s="351"/>
      <c r="G179" s="351" t="s">
        <v>1745</v>
      </c>
      <c r="H179" s="351"/>
      <c r="I179" s="351"/>
      <c r="J179" s="351"/>
      <c r="K179" s="351"/>
      <c r="L179" s="351"/>
      <c r="AMH179" s="332"/>
      <c r="AMI179" s="332"/>
      <c r="AMJ179" s="332"/>
      <c r="AMK179" s="332"/>
    </row>
    <row r="180" spans="2:1025" s="331" customFormat="1" ht="15.75" customHeight="1" thickTop="1" thickBot="1">
      <c r="B180" s="349"/>
      <c r="C180" s="350" t="s">
        <v>1690</v>
      </c>
      <c r="D180" s="352" t="s">
        <v>2014</v>
      </c>
      <c r="E180" s="352" t="s">
        <v>2015</v>
      </c>
      <c r="F180" s="351"/>
      <c r="G180" s="351" t="s">
        <v>1745</v>
      </c>
      <c r="H180" s="351"/>
      <c r="I180" s="351"/>
      <c r="J180" s="351"/>
      <c r="K180" s="351"/>
      <c r="L180" s="351"/>
      <c r="AMH180" s="332"/>
      <c r="AMI180" s="332"/>
      <c r="AMJ180" s="332"/>
      <c r="AMK180" s="332"/>
    </row>
    <row r="181" spans="2:1025" s="331" customFormat="1" ht="15.75" customHeight="1" thickTop="1" thickBot="1">
      <c r="B181" s="349"/>
      <c r="C181" s="350" t="s">
        <v>1693</v>
      </c>
      <c r="D181" s="352" t="s">
        <v>2016</v>
      </c>
      <c r="E181" s="352" t="s">
        <v>2017</v>
      </c>
      <c r="F181" s="351"/>
      <c r="G181" s="351" t="s">
        <v>1745</v>
      </c>
      <c r="H181" s="351"/>
      <c r="I181" s="351"/>
      <c r="J181" s="351"/>
      <c r="K181" s="351"/>
      <c r="L181" s="351"/>
      <c r="AMH181" s="332"/>
      <c r="AMI181" s="332"/>
      <c r="AMJ181" s="332"/>
      <c r="AMK181" s="332"/>
    </row>
    <row r="182" spans="2:1025" s="331" customFormat="1" ht="15.75" customHeight="1" thickTop="1" thickBot="1">
      <c r="B182" s="349"/>
      <c r="C182" s="350" t="s">
        <v>1696</v>
      </c>
      <c r="D182" s="352" t="s">
        <v>2018</v>
      </c>
      <c r="E182" s="352" t="s">
        <v>2019</v>
      </c>
      <c r="F182" s="351"/>
      <c r="G182" s="351" t="s">
        <v>1745</v>
      </c>
      <c r="H182" s="351"/>
      <c r="I182" s="351"/>
      <c r="J182" s="351"/>
      <c r="K182" s="351"/>
      <c r="L182" s="351"/>
      <c r="AMH182" s="332"/>
      <c r="AMI182" s="332"/>
      <c r="AMJ182" s="332"/>
      <c r="AMK182" s="332"/>
    </row>
    <row r="183" spans="2:1025" s="331" customFormat="1" ht="15.75" customHeight="1" thickTop="1" thickBot="1">
      <c r="B183" s="349"/>
      <c r="C183" s="350" t="s">
        <v>1699</v>
      </c>
      <c r="D183" s="352" t="s">
        <v>2020</v>
      </c>
      <c r="E183" s="352" t="s">
        <v>2021</v>
      </c>
      <c r="F183" s="351"/>
      <c r="G183" s="351" t="s">
        <v>1745</v>
      </c>
      <c r="H183" s="351"/>
      <c r="I183" s="351"/>
      <c r="J183" s="351"/>
      <c r="K183" s="351"/>
      <c r="L183" s="351"/>
      <c r="AMH183" s="332"/>
      <c r="AMI183" s="332"/>
      <c r="AMJ183" s="332"/>
      <c r="AMK183" s="332"/>
    </row>
    <row r="184" spans="2:1025" s="331" customFormat="1" ht="15.75" customHeight="1" thickTop="1" thickBot="1">
      <c r="B184" s="349"/>
      <c r="C184" s="350" t="s">
        <v>1702</v>
      </c>
      <c r="D184" s="352" t="s">
        <v>2022</v>
      </c>
      <c r="E184" s="352" t="s">
        <v>2023</v>
      </c>
      <c r="F184" s="351"/>
      <c r="G184" s="351" t="s">
        <v>1745</v>
      </c>
      <c r="H184" s="351"/>
      <c r="I184" s="351"/>
      <c r="J184" s="351"/>
      <c r="K184" s="351"/>
      <c r="L184" s="351"/>
      <c r="AMH184" s="332"/>
      <c r="AMI184" s="332"/>
      <c r="AMJ184" s="332"/>
      <c r="AMK184" s="332"/>
    </row>
    <row r="185" spans="2:1025" s="331" customFormat="1" ht="15.75" customHeight="1" thickTop="1" thickBot="1">
      <c r="B185" s="349"/>
      <c r="C185" s="350" t="s">
        <v>1705</v>
      </c>
      <c r="D185" s="352" t="s">
        <v>2024</v>
      </c>
      <c r="E185" s="352" t="s">
        <v>2025</v>
      </c>
      <c r="F185" s="351"/>
      <c r="G185" s="351" t="s">
        <v>1745</v>
      </c>
      <c r="H185" s="351"/>
      <c r="I185" s="351"/>
      <c r="J185" s="351"/>
      <c r="K185" s="351"/>
      <c r="L185" s="351"/>
      <c r="AMH185" s="332"/>
      <c r="AMI185" s="332"/>
      <c r="AMJ185" s="332"/>
      <c r="AMK185" s="332"/>
    </row>
    <row r="186" spans="2:1025" s="331" customFormat="1" ht="15.75" customHeight="1" thickTop="1" thickBot="1">
      <c r="B186" s="349"/>
      <c r="C186" s="350" t="s">
        <v>1708</v>
      </c>
      <c r="D186" s="352" t="s">
        <v>2026</v>
      </c>
      <c r="E186" s="353" t="s">
        <v>2027</v>
      </c>
      <c r="F186" s="351"/>
      <c r="G186" s="351" t="s">
        <v>1745</v>
      </c>
      <c r="H186" s="351"/>
      <c r="I186" s="351"/>
      <c r="J186" s="351"/>
      <c r="K186" s="351"/>
      <c r="L186" s="351"/>
      <c r="AMH186" s="332"/>
      <c r="AMI186" s="332"/>
      <c r="AMJ186" s="332"/>
      <c r="AMK186" s="332"/>
    </row>
    <row r="187" spans="2:1025" s="331" customFormat="1" ht="15.75" customHeight="1" thickTop="1" thickBot="1">
      <c r="B187" s="349"/>
      <c r="C187" s="350" t="s">
        <v>1711</v>
      </c>
      <c r="D187" s="352" t="s">
        <v>2028</v>
      </c>
      <c r="E187" s="352" t="s">
        <v>2029</v>
      </c>
      <c r="F187" s="351"/>
      <c r="G187" s="351" t="s">
        <v>1745</v>
      </c>
      <c r="H187" s="351"/>
      <c r="I187" s="351"/>
      <c r="J187" s="351"/>
      <c r="K187" s="351"/>
      <c r="L187" s="351"/>
      <c r="AMH187" s="332"/>
      <c r="AMI187" s="332"/>
      <c r="AMJ187" s="332"/>
      <c r="AMK187" s="332"/>
    </row>
    <row r="188" spans="2:1025" s="331" customFormat="1" ht="15.75" customHeight="1" thickTop="1" thickBot="1">
      <c r="B188" s="349"/>
      <c r="C188" s="350" t="s">
        <v>1714</v>
      </c>
      <c r="D188" s="352" t="s">
        <v>2030</v>
      </c>
      <c r="E188" s="352" t="s">
        <v>2031</v>
      </c>
      <c r="F188" s="351"/>
      <c r="G188" s="351" t="s">
        <v>1745</v>
      </c>
      <c r="H188" s="351"/>
      <c r="I188" s="351"/>
      <c r="J188" s="351"/>
      <c r="K188" s="351"/>
      <c r="L188" s="351"/>
      <c r="AMH188" s="332"/>
      <c r="AMI188" s="332"/>
      <c r="AMJ188" s="332"/>
      <c r="AMK188" s="332"/>
    </row>
    <row r="189" spans="2:1025" s="331" customFormat="1" ht="15.75" customHeight="1" thickTop="1" thickBot="1">
      <c r="B189" s="349"/>
      <c r="C189" s="350" t="s">
        <v>1717</v>
      </c>
      <c r="D189" s="352" t="s">
        <v>2032</v>
      </c>
      <c r="E189" s="352" t="s">
        <v>2033</v>
      </c>
      <c r="F189" s="351"/>
      <c r="G189" s="351" t="s">
        <v>1745</v>
      </c>
      <c r="H189" s="351"/>
      <c r="I189" s="351"/>
      <c r="J189" s="351"/>
      <c r="K189" s="351"/>
      <c r="L189" s="351"/>
      <c r="AMH189" s="332"/>
      <c r="AMI189" s="332"/>
      <c r="AMJ189" s="332"/>
      <c r="AMK189" s="332"/>
    </row>
    <row r="190" spans="2:1025" s="331" customFormat="1" ht="15.75" customHeight="1" thickTop="1" thickBot="1">
      <c r="B190" s="349"/>
      <c r="C190" s="350" t="s">
        <v>1720</v>
      </c>
      <c r="D190" s="352" t="s">
        <v>2034</v>
      </c>
      <c r="E190" s="352" t="s">
        <v>2035</v>
      </c>
      <c r="F190" s="351"/>
      <c r="G190" s="351" t="s">
        <v>1745</v>
      </c>
      <c r="H190" s="351"/>
      <c r="I190" s="351"/>
      <c r="J190" s="351"/>
      <c r="K190" s="351"/>
      <c r="L190" s="351"/>
      <c r="AMH190" s="332"/>
      <c r="AMI190" s="332"/>
      <c r="AMJ190" s="332"/>
      <c r="AMK190" s="332"/>
    </row>
    <row r="191" spans="2:1025" s="331" customFormat="1" ht="15.75" customHeight="1" thickTop="1" thickBot="1">
      <c r="B191" s="354"/>
      <c r="C191" s="350" t="s">
        <v>1724</v>
      </c>
      <c r="D191" s="352" t="s">
        <v>2036</v>
      </c>
      <c r="E191" s="352" t="s">
        <v>2037</v>
      </c>
      <c r="F191" s="351"/>
      <c r="G191" s="351" t="s">
        <v>1745</v>
      </c>
      <c r="H191" s="351"/>
      <c r="I191" s="351"/>
      <c r="J191" s="351"/>
      <c r="K191" s="351"/>
      <c r="L191" s="351"/>
      <c r="AMH191" s="332"/>
      <c r="AMI191" s="332"/>
      <c r="AMJ191" s="332"/>
      <c r="AMK191" s="332"/>
    </row>
    <row r="192" spans="2:1025" s="331" customFormat="1" ht="15.75" customHeight="1" thickTop="1" thickBot="1">
      <c r="B192" s="344" t="s">
        <v>2038</v>
      </c>
      <c r="C192" s="345"/>
      <c r="D192" s="346"/>
      <c r="E192" s="346"/>
      <c r="F192" s="347"/>
      <c r="G192" s="347"/>
      <c r="H192" s="347"/>
      <c r="I192" s="347"/>
      <c r="J192" s="347"/>
      <c r="K192" s="347"/>
      <c r="L192" s="348"/>
      <c r="AMH192" s="332"/>
      <c r="AMI192" s="332"/>
      <c r="AMJ192" s="332"/>
      <c r="AMK192" s="332"/>
    </row>
    <row r="193" spans="2:1025" s="331" customFormat="1" ht="15.75" customHeight="1" thickTop="1" thickBot="1">
      <c r="B193" s="349"/>
      <c r="C193" s="350" t="s">
        <v>1827</v>
      </c>
      <c r="D193" s="166" t="s">
        <v>1680</v>
      </c>
      <c r="E193" s="166" t="s">
        <v>1680</v>
      </c>
      <c r="F193" s="351"/>
      <c r="G193" s="351" t="s">
        <v>1681</v>
      </c>
      <c r="H193" s="351"/>
      <c r="I193" s="351"/>
      <c r="J193" s="351"/>
      <c r="K193" s="351"/>
      <c r="L193" s="351"/>
      <c r="AMH193" s="332"/>
      <c r="AMI193" s="332"/>
      <c r="AMJ193" s="332"/>
      <c r="AMK193" s="332"/>
    </row>
    <row r="194" spans="2:1025" s="331" customFormat="1" ht="15.75" customHeight="1" thickTop="1" thickBot="1">
      <c r="B194" s="349"/>
      <c r="C194" s="350" t="s">
        <v>1686</v>
      </c>
      <c r="D194" s="352" t="s">
        <v>2039</v>
      </c>
      <c r="E194" s="352" t="s">
        <v>2040</v>
      </c>
      <c r="F194" s="351"/>
      <c r="G194" s="351" t="s">
        <v>1745</v>
      </c>
      <c r="H194" s="351"/>
      <c r="I194" s="351"/>
      <c r="J194" s="351"/>
      <c r="K194" s="351"/>
      <c r="L194" s="351"/>
      <c r="AMH194" s="332"/>
      <c r="AMI194" s="332"/>
      <c r="AMJ194" s="332"/>
      <c r="AMK194" s="332"/>
    </row>
    <row r="195" spans="2:1025" s="331" customFormat="1" ht="15.75" customHeight="1" thickTop="1" thickBot="1">
      <c r="B195" s="349"/>
      <c r="C195" s="350" t="s">
        <v>1687</v>
      </c>
      <c r="D195" s="352" t="s">
        <v>2041</v>
      </c>
      <c r="E195" s="352" t="s">
        <v>2042</v>
      </c>
      <c r="F195" s="351"/>
      <c r="G195" s="351" t="s">
        <v>1745</v>
      </c>
      <c r="H195" s="351"/>
      <c r="I195" s="351"/>
      <c r="J195" s="351"/>
      <c r="K195" s="351"/>
      <c r="L195" s="351"/>
      <c r="AMH195" s="332"/>
      <c r="AMI195" s="332"/>
      <c r="AMJ195" s="332"/>
      <c r="AMK195" s="332"/>
    </row>
    <row r="196" spans="2:1025" s="331" customFormat="1" ht="15.75" customHeight="1" thickTop="1" thickBot="1">
      <c r="B196" s="349"/>
      <c r="C196" s="350" t="s">
        <v>1690</v>
      </c>
      <c r="D196" s="352" t="s">
        <v>2043</v>
      </c>
      <c r="E196" s="352" t="s">
        <v>2044</v>
      </c>
      <c r="F196" s="351"/>
      <c r="G196" s="351" t="s">
        <v>1745</v>
      </c>
      <c r="H196" s="351"/>
      <c r="I196" s="351"/>
      <c r="J196" s="351"/>
      <c r="K196" s="351"/>
      <c r="L196" s="351"/>
      <c r="AMH196" s="332"/>
      <c r="AMI196" s="332"/>
      <c r="AMJ196" s="332"/>
      <c r="AMK196" s="332"/>
    </row>
    <row r="197" spans="2:1025" s="331" customFormat="1" ht="15.75" customHeight="1" thickTop="1" thickBot="1">
      <c r="B197" s="349"/>
      <c r="C197" s="350" t="s">
        <v>1693</v>
      </c>
      <c r="D197" s="352" t="s">
        <v>2045</v>
      </c>
      <c r="E197" s="352" t="s">
        <v>2046</v>
      </c>
      <c r="F197" s="351"/>
      <c r="G197" s="351" t="s">
        <v>1745</v>
      </c>
      <c r="H197" s="351"/>
      <c r="I197" s="351"/>
      <c r="J197" s="351"/>
      <c r="K197" s="351"/>
      <c r="L197" s="351"/>
      <c r="AMH197" s="332"/>
      <c r="AMI197" s="332"/>
      <c r="AMJ197" s="332"/>
      <c r="AMK197" s="332"/>
    </row>
    <row r="198" spans="2:1025" s="331" customFormat="1" ht="15.75" customHeight="1" thickTop="1" thickBot="1">
      <c r="B198" s="349"/>
      <c r="C198" s="350" t="s">
        <v>1696</v>
      </c>
      <c r="D198" s="352" t="s">
        <v>2047</v>
      </c>
      <c r="E198" s="352" t="s">
        <v>1990</v>
      </c>
      <c r="F198" s="351"/>
      <c r="G198" s="351" t="s">
        <v>1745</v>
      </c>
      <c r="H198" s="351"/>
      <c r="I198" s="351"/>
      <c r="J198" s="351"/>
      <c r="K198" s="351"/>
      <c r="L198" s="351"/>
      <c r="AMH198" s="332"/>
      <c r="AMI198" s="332"/>
      <c r="AMJ198" s="332"/>
      <c r="AMK198" s="332"/>
    </row>
    <row r="199" spans="2:1025" s="331" customFormat="1" ht="15.75" customHeight="1" thickTop="1" thickBot="1">
      <c r="B199" s="349"/>
      <c r="C199" s="350" t="s">
        <v>1699</v>
      </c>
      <c r="D199" s="352" t="s">
        <v>2048</v>
      </c>
      <c r="E199" s="352" t="s">
        <v>2049</v>
      </c>
      <c r="F199" s="351"/>
      <c r="G199" s="351" t="s">
        <v>1745</v>
      </c>
      <c r="H199" s="351"/>
      <c r="I199" s="351"/>
      <c r="J199" s="351"/>
      <c r="K199" s="351"/>
      <c r="L199" s="351"/>
      <c r="AMH199" s="332"/>
      <c r="AMI199" s="332"/>
      <c r="AMJ199" s="332"/>
      <c r="AMK199" s="332"/>
    </row>
    <row r="200" spans="2:1025" s="331" customFormat="1" ht="15.75" customHeight="1" thickTop="1" thickBot="1">
      <c r="B200" s="349"/>
      <c r="C200" s="350" t="s">
        <v>1702</v>
      </c>
      <c r="D200" s="352" t="s">
        <v>2050</v>
      </c>
      <c r="E200" s="352" t="s">
        <v>2051</v>
      </c>
      <c r="F200" s="351"/>
      <c r="G200" s="351" t="s">
        <v>1745</v>
      </c>
      <c r="H200" s="351"/>
      <c r="I200" s="351"/>
      <c r="J200" s="351"/>
      <c r="K200" s="351"/>
      <c r="L200" s="351"/>
      <c r="AMH200" s="332"/>
      <c r="AMI200" s="332"/>
      <c r="AMJ200" s="332"/>
      <c r="AMK200" s="332"/>
    </row>
    <row r="201" spans="2:1025" s="331" customFormat="1" ht="15.75" customHeight="1" thickTop="1" thickBot="1">
      <c r="B201" s="349"/>
      <c r="C201" s="350" t="s">
        <v>1705</v>
      </c>
      <c r="D201" s="352" t="s">
        <v>2052</v>
      </c>
      <c r="E201" s="352" t="s">
        <v>2053</v>
      </c>
      <c r="F201" s="351"/>
      <c r="G201" s="351" t="s">
        <v>1745</v>
      </c>
      <c r="H201" s="351"/>
      <c r="I201" s="351"/>
      <c r="J201" s="351"/>
      <c r="K201" s="351"/>
      <c r="L201" s="351"/>
      <c r="AMH201" s="332"/>
      <c r="AMI201" s="332"/>
      <c r="AMJ201" s="332"/>
      <c r="AMK201" s="332"/>
    </row>
    <row r="202" spans="2:1025" s="331" customFormat="1" ht="15.75" customHeight="1" thickTop="1" thickBot="1">
      <c r="B202" s="349"/>
      <c r="C202" s="350" t="s">
        <v>1708</v>
      </c>
      <c r="D202" s="352" t="s">
        <v>2054</v>
      </c>
      <c r="E202" s="353" t="s">
        <v>2055</v>
      </c>
      <c r="F202" s="351"/>
      <c r="G202" s="351" t="s">
        <v>1745</v>
      </c>
      <c r="H202" s="351"/>
      <c r="I202" s="351"/>
      <c r="J202" s="351"/>
      <c r="K202" s="351"/>
      <c r="L202" s="351"/>
      <c r="AMH202" s="332"/>
      <c r="AMI202" s="332"/>
      <c r="AMJ202" s="332"/>
      <c r="AMK202" s="332"/>
    </row>
    <row r="203" spans="2:1025" s="331" customFormat="1" ht="15.75" customHeight="1" thickTop="1" thickBot="1">
      <c r="B203" s="349"/>
      <c r="C203" s="350" t="s">
        <v>1711</v>
      </c>
      <c r="D203" s="352" t="s">
        <v>2056</v>
      </c>
      <c r="E203" s="352" t="s">
        <v>2057</v>
      </c>
      <c r="F203" s="351"/>
      <c r="G203" s="351" t="s">
        <v>1745</v>
      </c>
      <c r="H203" s="351"/>
      <c r="I203" s="351"/>
      <c r="J203" s="351"/>
      <c r="K203" s="351"/>
      <c r="L203" s="351"/>
      <c r="AMH203" s="332"/>
      <c r="AMI203" s="332"/>
      <c r="AMJ203" s="332"/>
      <c r="AMK203" s="332"/>
    </row>
    <row r="204" spans="2:1025" s="331" customFormat="1" ht="15.75" customHeight="1" thickTop="1" thickBot="1">
      <c r="B204" s="349"/>
      <c r="C204" s="350" t="s">
        <v>1714</v>
      </c>
      <c r="D204" s="352" t="s">
        <v>2058</v>
      </c>
      <c r="E204" s="352" t="s">
        <v>2059</v>
      </c>
      <c r="F204" s="351"/>
      <c r="G204" s="351" t="s">
        <v>1745</v>
      </c>
      <c r="H204" s="351"/>
      <c r="I204" s="351"/>
      <c r="J204" s="351"/>
      <c r="K204" s="351"/>
      <c r="L204" s="351"/>
      <c r="AMH204" s="332"/>
      <c r="AMI204" s="332"/>
      <c r="AMJ204" s="332"/>
      <c r="AMK204" s="332"/>
    </row>
    <row r="205" spans="2:1025" s="331" customFormat="1" ht="15.75" customHeight="1" thickTop="1" thickBot="1">
      <c r="B205" s="349"/>
      <c r="C205" s="350" t="s">
        <v>1717</v>
      </c>
      <c r="D205" s="352" t="s">
        <v>2060</v>
      </c>
      <c r="E205" s="352" t="s">
        <v>2061</v>
      </c>
      <c r="F205" s="351"/>
      <c r="G205" s="351" t="s">
        <v>1745</v>
      </c>
      <c r="H205" s="351"/>
      <c r="I205" s="351"/>
      <c r="J205" s="351"/>
      <c r="K205" s="351"/>
      <c r="L205" s="351"/>
      <c r="AMH205" s="332"/>
      <c r="AMI205" s="332"/>
      <c r="AMJ205" s="332"/>
      <c r="AMK205" s="332"/>
    </row>
    <row r="206" spans="2:1025" s="331" customFormat="1" ht="15.75" customHeight="1" thickTop="1" thickBot="1">
      <c r="B206" s="349"/>
      <c r="C206" s="350" t="s">
        <v>1720</v>
      </c>
      <c r="D206" s="352" t="s">
        <v>2062</v>
      </c>
      <c r="E206" s="352" t="s">
        <v>2063</v>
      </c>
      <c r="F206" s="351"/>
      <c r="G206" s="351" t="s">
        <v>1745</v>
      </c>
      <c r="H206" s="351"/>
      <c r="I206" s="351"/>
      <c r="J206" s="351"/>
      <c r="K206" s="351"/>
      <c r="L206" s="351"/>
      <c r="AMH206" s="332"/>
      <c r="AMI206" s="332"/>
      <c r="AMJ206" s="332"/>
      <c r="AMK206" s="332"/>
    </row>
    <row r="207" spans="2:1025" s="331" customFormat="1" ht="15.75" customHeight="1" thickTop="1" thickBot="1">
      <c r="B207" s="354"/>
      <c r="C207" s="350" t="s">
        <v>1724</v>
      </c>
      <c r="D207" s="352" t="s">
        <v>2064</v>
      </c>
      <c r="E207" s="352" t="s">
        <v>2065</v>
      </c>
      <c r="F207" s="351"/>
      <c r="G207" s="351" t="s">
        <v>1745</v>
      </c>
      <c r="H207" s="351"/>
      <c r="I207" s="351"/>
      <c r="J207" s="351"/>
      <c r="K207" s="351"/>
      <c r="L207" s="351"/>
      <c r="AMH207" s="332"/>
      <c r="AMI207" s="332"/>
      <c r="AMJ207" s="332"/>
      <c r="AMK207" s="332"/>
    </row>
    <row r="208" spans="2:1025" s="331" customFormat="1" ht="15.75" customHeight="1" thickTop="1" thickBot="1">
      <c r="B208" s="344" t="s">
        <v>2066</v>
      </c>
      <c r="C208" s="345"/>
      <c r="D208" s="346"/>
      <c r="E208" s="346"/>
      <c r="F208" s="347"/>
      <c r="G208" s="347"/>
      <c r="H208" s="347"/>
      <c r="I208" s="347"/>
      <c r="J208" s="347"/>
      <c r="K208" s="347"/>
      <c r="L208" s="348"/>
      <c r="AMH208" s="332"/>
      <c r="AMI208" s="332"/>
      <c r="AMJ208" s="332"/>
      <c r="AMK208" s="332"/>
    </row>
    <row r="209" spans="2:1025" s="331" customFormat="1" ht="15.75" customHeight="1" thickTop="1" thickBot="1">
      <c r="B209" s="349"/>
      <c r="C209" s="350" t="s">
        <v>1679</v>
      </c>
      <c r="D209" s="352" t="s">
        <v>2067</v>
      </c>
      <c r="E209" s="352" t="s">
        <v>2068</v>
      </c>
      <c r="F209" s="351"/>
      <c r="G209" s="351" t="s">
        <v>1745</v>
      </c>
      <c r="H209" s="351"/>
      <c r="I209" s="351"/>
      <c r="J209" s="351"/>
      <c r="K209" s="351"/>
      <c r="L209" s="351"/>
      <c r="AMH209" s="332"/>
      <c r="AMI209" s="332"/>
      <c r="AMJ209" s="332"/>
      <c r="AMK209" s="332"/>
    </row>
    <row r="210" spans="2:1025" s="331" customFormat="1" ht="15.75" customHeight="1" thickTop="1" thickBot="1">
      <c r="B210" s="349"/>
      <c r="C210" s="350" t="s">
        <v>1682</v>
      </c>
      <c r="D210" s="352" t="s">
        <v>2069</v>
      </c>
      <c r="E210" s="352" t="s">
        <v>2070</v>
      </c>
      <c r="F210" s="351"/>
      <c r="G210" s="351" t="s">
        <v>1745</v>
      </c>
      <c r="H210" s="351"/>
      <c r="I210" s="351"/>
      <c r="J210" s="351"/>
      <c r="K210" s="351"/>
      <c r="L210" s="351"/>
      <c r="AMH210" s="332"/>
      <c r="AMI210" s="332"/>
      <c r="AMJ210" s="332"/>
      <c r="AMK210" s="332"/>
    </row>
    <row r="211" spans="2:1025" s="331" customFormat="1" ht="15.75" customHeight="1" thickTop="1" thickBot="1">
      <c r="B211" s="349"/>
      <c r="C211" s="350" t="s">
        <v>1686</v>
      </c>
      <c r="D211" s="352" t="s">
        <v>2071</v>
      </c>
      <c r="E211" s="352" t="s">
        <v>2072</v>
      </c>
      <c r="F211" s="351"/>
      <c r="G211" s="351" t="s">
        <v>1745</v>
      </c>
      <c r="H211" s="351"/>
      <c r="I211" s="351"/>
      <c r="J211" s="351"/>
      <c r="K211" s="351"/>
      <c r="L211" s="351"/>
      <c r="AMH211" s="332"/>
      <c r="AMI211" s="332"/>
      <c r="AMJ211" s="332"/>
      <c r="AMK211" s="332"/>
    </row>
    <row r="212" spans="2:1025" s="331" customFormat="1" ht="15.75" customHeight="1" thickTop="1" thickBot="1">
      <c r="B212" s="349"/>
      <c r="C212" s="350" t="s">
        <v>1687</v>
      </c>
      <c r="D212" s="352" t="s">
        <v>2073</v>
      </c>
      <c r="E212" s="352" t="s">
        <v>2074</v>
      </c>
      <c r="F212" s="351"/>
      <c r="G212" s="351" t="s">
        <v>1745</v>
      </c>
      <c r="H212" s="351"/>
      <c r="I212" s="351"/>
      <c r="J212" s="351"/>
      <c r="K212" s="351"/>
      <c r="L212" s="351"/>
      <c r="AMH212" s="332"/>
      <c r="AMI212" s="332"/>
      <c r="AMJ212" s="332"/>
      <c r="AMK212" s="332"/>
    </row>
    <row r="213" spans="2:1025" s="331" customFormat="1" ht="15.75" customHeight="1" thickTop="1" thickBot="1">
      <c r="B213" s="349"/>
      <c r="C213" s="350" t="s">
        <v>1690</v>
      </c>
      <c r="D213" s="352" t="s">
        <v>2075</v>
      </c>
      <c r="E213" s="352" t="s">
        <v>2076</v>
      </c>
      <c r="F213" s="351"/>
      <c r="G213" s="351" t="s">
        <v>1745</v>
      </c>
      <c r="H213" s="351"/>
      <c r="I213" s="351"/>
      <c r="J213" s="351"/>
      <c r="K213" s="351"/>
      <c r="L213" s="351"/>
      <c r="AMH213" s="332"/>
      <c r="AMI213" s="332"/>
      <c r="AMJ213" s="332"/>
      <c r="AMK213" s="332"/>
    </row>
    <row r="214" spans="2:1025" s="331" customFormat="1" ht="15.75" customHeight="1" thickTop="1" thickBot="1">
      <c r="B214" s="349"/>
      <c r="C214" s="350" t="s">
        <v>1693</v>
      </c>
      <c r="D214" s="352" t="s">
        <v>2077</v>
      </c>
      <c r="E214" s="352" t="s">
        <v>2078</v>
      </c>
      <c r="F214" s="351"/>
      <c r="G214" s="351" t="s">
        <v>1745</v>
      </c>
      <c r="H214" s="351"/>
      <c r="I214" s="351"/>
      <c r="J214" s="351"/>
      <c r="K214" s="351"/>
      <c r="L214" s="351"/>
      <c r="AMH214" s="332"/>
      <c r="AMI214" s="332"/>
      <c r="AMJ214" s="332"/>
      <c r="AMK214" s="332"/>
    </row>
    <row r="215" spans="2:1025" s="331" customFormat="1" ht="15.75" customHeight="1" thickTop="1" thickBot="1">
      <c r="B215" s="349"/>
      <c r="C215" s="350" t="s">
        <v>1696</v>
      </c>
      <c r="D215" s="352" t="s">
        <v>2079</v>
      </c>
      <c r="E215" s="352" t="s">
        <v>2080</v>
      </c>
      <c r="F215" s="351"/>
      <c r="G215" s="351" t="s">
        <v>1745</v>
      </c>
      <c r="H215" s="351"/>
      <c r="I215" s="351"/>
      <c r="J215" s="351"/>
      <c r="K215" s="351"/>
      <c r="L215" s="351"/>
      <c r="AMH215" s="332"/>
      <c r="AMI215" s="332"/>
      <c r="AMJ215" s="332"/>
      <c r="AMK215" s="332"/>
    </row>
    <row r="216" spans="2:1025" s="331" customFormat="1" ht="15.75" customHeight="1" thickTop="1" thickBot="1">
      <c r="B216" s="349"/>
      <c r="C216" s="350" t="s">
        <v>1699</v>
      </c>
      <c r="D216" s="352" t="s">
        <v>2081</v>
      </c>
      <c r="E216" s="352" t="s">
        <v>2082</v>
      </c>
      <c r="F216" s="351"/>
      <c r="G216" s="351" t="s">
        <v>1745</v>
      </c>
      <c r="H216" s="351"/>
      <c r="I216" s="351"/>
      <c r="J216" s="351"/>
      <c r="K216" s="351"/>
      <c r="L216" s="351"/>
      <c r="AMH216" s="332"/>
      <c r="AMI216" s="332"/>
      <c r="AMJ216" s="332"/>
      <c r="AMK216" s="332"/>
    </row>
    <row r="217" spans="2:1025" s="331" customFormat="1" ht="15.75" customHeight="1" thickTop="1" thickBot="1">
      <c r="B217" s="349"/>
      <c r="C217" s="350" t="s">
        <v>1702</v>
      </c>
      <c r="D217" s="352" t="s">
        <v>2083</v>
      </c>
      <c r="E217" s="352" t="s">
        <v>2084</v>
      </c>
      <c r="F217" s="351"/>
      <c r="G217" s="351" t="s">
        <v>1745</v>
      </c>
      <c r="H217" s="351"/>
      <c r="I217" s="351"/>
      <c r="J217" s="351"/>
      <c r="K217" s="351"/>
      <c r="L217" s="351"/>
      <c r="AMH217" s="332"/>
      <c r="AMI217" s="332"/>
      <c r="AMJ217" s="332"/>
      <c r="AMK217" s="332"/>
    </row>
    <row r="218" spans="2:1025" s="331" customFormat="1" ht="15.75" customHeight="1" thickTop="1" thickBot="1">
      <c r="B218" s="349"/>
      <c r="C218" s="350" t="s">
        <v>1705</v>
      </c>
      <c r="D218" s="352" t="s">
        <v>2085</v>
      </c>
      <c r="E218" s="352" t="s">
        <v>2086</v>
      </c>
      <c r="F218" s="351"/>
      <c r="G218" s="351" t="s">
        <v>1745</v>
      </c>
      <c r="H218" s="351"/>
      <c r="I218" s="351"/>
      <c r="J218" s="351"/>
      <c r="K218" s="351"/>
      <c r="L218" s="351"/>
      <c r="AMH218" s="332"/>
      <c r="AMI218" s="332"/>
      <c r="AMJ218" s="332"/>
      <c r="AMK218" s="332"/>
    </row>
    <row r="219" spans="2:1025" s="331" customFormat="1" ht="15.75" customHeight="1" thickTop="1" thickBot="1">
      <c r="B219" s="349"/>
      <c r="C219" s="350" t="s">
        <v>1708</v>
      </c>
      <c r="D219" s="352" t="s">
        <v>2087</v>
      </c>
      <c r="E219" s="353" t="s">
        <v>2027</v>
      </c>
      <c r="F219" s="351"/>
      <c r="G219" s="351" t="s">
        <v>1745</v>
      </c>
      <c r="H219" s="351"/>
      <c r="I219" s="351"/>
      <c r="J219" s="351"/>
      <c r="K219" s="351"/>
      <c r="L219" s="351"/>
      <c r="AMH219" s="332"/>
      <c r="AMI219" s="332"/>
      <c r="AMJ219" s="332"/>
      <c r="AMK219" s="332"/>
    </row>
    <row r="220" spans="2:1025" s="331" customFormat="1" ht="15.75" customHeight="1" thickTop="1" thickBot="1">
      <c r="B220" s="349"/>
      <c r="C220" s="350" t="s">
        <v>1711</v>
      </c>
      <c r="D220" s="352" t="s">
        <v>2088</v>
      </c>
      <c r="E220" s="352" t="s">
        <v>2089</v>
      </c>
      <c r="F220" s="351"/>
      <c r="G220" s="351" t="s">
        <v>1745</v>
      </c>
      <c r="H220" s="351"/>
      <c r="I220" s="351"/>
      <c r="J220" s="351"/>
      <c r="K220" s="351"/>
      <c r="L220" s="351"/>
      <c r="AMH220" s="332"/>
      <c r="AMI220" s="332"/>
      <c r="AMJ220" s="332"/>
      <c r="AMK220" s="332"/>
    </row>
    <row r="221" spans="2:1025" s="331" customFormat="1" ht="15.75" customHeight="1" thickTop="1" thickBot="1">
      <c r="B221" s="349"/>
      <c r="C221" s="350" t="s">
        <v>1714</v>
      </c>
      <c r="D221" s="352" t="s">
        <v>2090</v>
      </c>
      <c r="E221" s="352" t="s">
        <v>2091</v>
      </c>
      <c r="F221" s="351"/>
      <c r="G221" s="351" t="s">
        <v>1745</v>
      </c>
      <c r="H221" s="351"/>
      <c r="I221" s="351"/>
      <c r="J221" s="351"/>
      <c r="K221" s="351"/>
      <c r="L221" s="351"/>
      <c r="AMH221" s="332"/>
      <c r="AMI221" s="332"/>
      <c r="AMJ221" s="332"/>
      <c r="AMK221" s="332"/>
    </row>
    <row r="222" spans="2:1025" s="331" customFormat="1" ht="15.75" customHeight="1" thickTop="1" thickBot="1">
      <c r="B222" s="349"/>
      <c r="C222" s="350" t="s">
        <v>1717</v>
      </c>
      <c r="D222" s="352" t="s">
        <v>2092</v>
      </c>
      <c r="E222" s="352" t="s">
        <v>2093</v>
      </c>
      <c r="F222" s="351"/>
      <c r="G222" s="351" t="s">
        <v>1745</v>
      </c>
      <c r="H222" s="351"/>
      <c r="I222" s="351"/>
      <c r="J222" s="351"/>
      <c r="K222" s="351"/>
      <c r="L222" s="351"/>
      <c r="AMH222" s="332"/>
      <c r="AMI222" s="332"/>
      <c r="AMJ222" s="332"/>
      <c r="AMK222" s="332"/>
    </row>
    <row r="223" spans="2:1025" s="331" customFormat="1" ht="15.75" customHeight="1" thickTop="1" thickBot="1">
      <c r="B223" s="349"/>
      <c r="C223" s="350" t="s">
        <v>1720</v>
      </c>
      <c r="D223" s="352" t="s">
        <v>2094</v>
      </c>
      <c r="E223" s="352" t="s">
        <v>2095</v>
      </c>
      <c r="F223" s="351"/>
      <c r="G223" s="351" t="s">
        <v>1745</v>
      </c>
      <c r="H223" s="351"/>
      <c r="I223" s="351"/>
      <c r="J223" s="351"/>
      <c r="K223" s="351"/>
      <c r="L223" s="351"/>
      <c r="AMH223" s="332"/>
      <c r="AMI223" s="332"/>
      <c r="AMJ223" s="332"/>
      <c r="AMK223" s="332"/>
    </row>
    <row r="224" spans="2:1025" s="331" customFormat="1" ht="15.75" customHeight="1" thickTop="1" thickBot="1">
      <c r="B224" s="354"/>
      <c r="C224" s="350" t="s">
        <v>1724</v>
      </c>
      <c r="D224" s="352" t="s">
        <v>2096</v>
      </c>
      <c r="E224" s="352" t="s">
        <v>2097</v>
      </c>
      <c r="F224" s="351"/>
      <c r="G224" s="351" t="s">
        <v>1745</v>
      </c>
      <c r="H224" s="351"/>
      <c r="I224" s="351"/>
      <c r="J224" s="351"/>
      <c r="K224" s="351"/>
      <c r="L224" s="351"/>
      <c r="AMH224" s="332"/>
      <c r="AMI224" s="332"/>
      <c r="AMJ224" s="332"/>
      <c r="AMK224" s="332"/>
    </row>
    <row r="225" spans="2:1025" s="331" customFormat="1" ht="15.75" customHeight="1" thickTop="1" thickBot="1">
      <c r="B225" s="344" t="s">
        <v>2098</v>
      </c>
      <c r="C225" s="345"/>
      <c r="D225" s="346"/>
      <c r="E225" s="346"/>
      <c r="F225" s="347"/>
      <c r="G225" s="347"/>
      <c r="H225" s="347"/>
      <c r="I225" s="347"/>
      <c r="J225" s="347"/>
      <c r="K225" s="347"/>
      <c r="L225" s="348"/>
      <c r="AMH225" s="332"/>
      <c r="AMI225" s="332"/>
      <c r="AMJ225" s="332"/>
      <c r="AMK225" s="332"/>
    </row>
    <row r="226" spans="2:1025" s="331" customFormat="1" ht="15.75" customHeight="1" thickTop="1" thickBot="1">
      <c r="B226" s="349"/>
      <c r="C226" s="350" t="s">
        <v>1679</v>
      </c>
      <c r="D226" s="352" t="s">
        <v>2099</v>
      </c>
      <c r="E226" s="352" t="s">
        <v>2100</v>
      </c>
      <c r="F226" s="351"/>
      <c r="G226" s="351" t="s">
        <v>1745</v>
      </c>
      <c r="H226" s="351"/>
      <c r="I226" s="351"/>
      <c r="J226" s="351"/>
      <c r="K226" s="351"/>
      <c r="L226" s="351"/>
      <c r="AMH226" s="332"/>
      <c r="AMI226" s="332"/>
      <c r="AMJ226" s="332"/>
      <c r="AMK226" s="332"/>
    </row>
    <row r="227" spans="2:1025" s="331" customFormat="1" ht="15.75" customHeight="1" thickTop="1" thickBot="1">
      <c r="B227" s="349"/>
      <c r="C227" s="350" t="s">
        <v>1682</v>
      </c>
      <c r="D227" s="352" t="s">
        <v>2101</v>
      </c>
      <c r="E227" s="352" t="s">
        <v>2102</v>
      </c>
      <c r="F227" s="351"/>
      <c r="G227" s="351" t="s">
        <v>1745</v>
      </c>
      <c r="H227" s="351"/>
      <c r="I227" s="351"/>
      <c r="J227" s="351"/>
      <c r="K227" s="351"/>
      <c r="L227" s="351"/>
      <c r="AMH227" s="332"/>
      <c r="AMI227" s="332"/>
      <c r="AMJ227" s="332"/>
      <c r="AMK227" s="332"/>
    </row>
    <row r="228" spans="2:1025" s="331" customFormat="1" ht="15.75" customHeight="1" thickTop="1" thickBot="1">
      <c r="B228" s="349"/>
      <c r="C228" s="350" t="s">
        <v>1686</v>
      </c>
      <c r="D228" s="352" t="s">
        <v>2103</v>
      </c>
      <c r="E228" s="352" t="s">
        <v>2104</v>
      </c>
      <c r="F228" s="351"/>
      <c r="G228" s="351" t="s">
        <v>1745</v>
      </c>
      <c r="H228" s="351"/>
      <c r="I228" s="351"/>
      <c r="J228" s="351"/>
      <c r="K228" s="351"/>
      <c r="L228" s="351"/>
      <c r="AMH228" s="332"/>
      <c r="AMI228" s="332"/>
      <c r="AMJ228" s="332"/>
      <c r="AMK228" s="332"/>
    </row>
    <row r="229" spans="2:1025" s="331" customFormat="1" ht="15.75" customHeight="1" thickTop="1" thickBot="1">
      <c r="B229" s="349"/>
      <c r="C229" s="350" t="s">
        <v>1687</v>
      </c>
      <c r="D229" s="352" t="s">
        <v>1680</v>
      </c>
      <c r="E229" s="352" t="s">
        <v>1680</v>
      </c>
      <c r="F229" s="351"/>
      <c r="G229" s="351" t="s">
        <v>1681</v>
      </c>
      <c r="H229" s="351"/>
      <c r="I229" s="351"/>
      <c r="J229" s="351"/>
      <c r="K229" s="351"/>
      <c r="L229" s="351"/>
      <c r="AMH229" s="332"/>
      <c r="AMI229" s="332"/>
      <c r="AMJ229" s="332"/>
      <c r="AMK229" s="332"/>
    </row>
    <row r="230" spans="2:1025" s="331" customFormat="1" ht="15.75" customHeight="1" thickTop="1" thickBot="1">
      <c r="B230" s="349"/>
      <c r="C230" s="350" t="s">
        <v>1690</v>
      </c>
      <c r="D230" s="352" t="s">
        <v>2105</v>
      </c>
      <c r="E230" s="352" t="s">
        <v>2106</v>
      </c>
      <c r="F230" s="351"/>
      <c r="G230" s="351" t="s">
        <v>1745</v>
      </c>
      <c r="H230" s="351"/>
      <c r="I230" s="351"/>
      <c r="J230" s="351"/>
      <c r="K230" s="351"/>
      <c r="L230" s="351"/>
      <c r="AMH230" s="332"/>
      <c r="AMI230" s="332"/>
      <c r="AMJ230" s="332"/>
      <c r="AMK230" s="332"/>
    </row>
    <row r="231" spans="2:1025" s="331" customFormat="1" ht="15.75" customHeight="1" thickTop="1" thickBot="1">
      <c r="B231" s="349"/>
      <c r="C231" s="350" t="s">
        <v>1693</v>
      </c>
      <c r="D231" s="352" t="s">
        <v>2107</v>
      </c>
      <c r="E231" s="352" t="s">
        <v>2108</v>
      </c>
      <c r="F231" s="351"/>
      <c r="G231" s="351" t="s">
        <v>1745</v>
      </c>
      <c r="H231" s="351"/>
      <c r="I231" s="351"/>
      <c r="J231" s="351"/>
      <c r="K231" s="351"/>
      <c r="L231" s="351"/>
      <c r="AMH231" s="332"/>
      <c r="AMI231" s="332"/>
      <c r="AMJ231" s="332"/>
      <c r="AMK231" s="332"/>
    </row>
    <row r="232" spans="2:1025" s="331" customFormat="1" ht="15.75" customHeight="1" thickTop="1" thickBot="1">
      <c r="B232" s="349"/>
      <c r="C232" s="350" t="s">
        <v>1696</v>
      </c>
      <c r="D232" s="352" t="s">
        <v>2109</v>
      </c>
      <c r="E232" s="352" t="s">
        <v>2110</v>
      </c>
      <c r="F232" s="351"/>
      <c r="G232" s="351" t="s">
        <v>1745</v>
      </c>
      <c r="H232" s="351"/>
      <c r="I232" s="351"/>
      <c r="J232" s="351"/>
      <c r="K232" s="351"/>
      <c r="L232" s="351"/>
      <c r="AMH232" s="332"/>
      <c r="AMI232" s="332"/>
      <c r="AMJ232" s="332"/>
      <c r="AMK232" s="332"/>
    </row>
    <row r="233" spans="2:1025" s="331" customFormat="1" ht="15.75" customHeight="1" thickTop="1" thickBot="1">
      <c r="B233" s="349"/>
      <c r="C233" s="350" t="s">
        <v>1699</v>
      </c>
      <c r="D233" s="352" t="s">
        <v>2111</v>
      </c>
      <c r="E233" s="352" t="s">
        <v>2112</v>
      </c>
      <c r="F233" s="351"/>
      <c r="G233" s="351" t="s">
        <v>1745</v>
      </c>
      <c r="H233" s="351"/>
      <c r="I233" s="351"/>
      <c r="J233" s="351"/>
      <c r="K233" s="351"/>
      <c r="L233" s="351"/>
      <c r="AMH233" s="332"/>
      <c r="AMI233" s="332"/>
      <c r="AMJ233" s="332"/>
      <c r="AMK233" s="332"/>
    </row>
    <row r="234" spans="2:1025" s="331" customFormat="1" ht="15.75" customHeight="1" thickTop="1" thickBot="1">
      <c r="B234" s="349"/>
      <c r="C234" s="350" t="s">
        <v>1702</v>
      </c>
      <c r="D234" s="352" t="s">
        <v>2113</v>
      </c>
      <c r="E234" s="352" t="s">
        <v>2114</v>
      </c>
      <c r="F234" s="351"/>
      <c r="G234" s="351" t="s">
        <v>1745</v>
      </c>
      <c r="H234" s="351"/>
      <c r="I234" s="351"/>
      <c r="J234" s="351"/>
      <c r="K234" s="351"/>
      <c r="L234" s="351"/>
      <c r="AMH234" s="332"/>
      <c r="AMI234" s="332"/>
      <c r="AMJ234" s="332"/>
      <c r="AMK234" s="332"/>
    </row>
    <row r="235" spans="2:1025" s="331" customFormat="1" ht="15.75" customHeight="1" thickTop="1" thickBot="1">
      <c r="B235" s="349"/>
      <c r="C235" s="350" t="s">
        <v>1705</v>
      </c>
      <c r="D235" s="352" t="s">
        <v>2115</v>
      </c>
      <c r="E235" s="352" t="s">
        <v>2116</v>
      </c>
      <c r="F235" s="351"/>
      <c r="G235" s="351" t="s">
        <v>1745</v>
      </c>
      <c r="H235" s="351"/>
      <c r="I235" s="351"/>
      <c r="J235" s="351"/>
      <c r="K235" s="351"/>
      <c r="L235" s="351"/>
      <c r="AMH235" s="332"/>
      <c r="AMI235" s="332"/>
      <c r="AMJ235" s="332"/>
      <c r="AMK235" s="332"/>
    </row>
    <row r="236" spans="2:1025" s="331" customFormat="1" ht="15.75" customHeight="1" thickTop="1" thickBot="1">
      <c r="B236" s="349"/>
      <c r="C236" s="350" t="s">
        <v>1708</v>
      </c>
      <c r="D236" s="352" t="s">
        <v>2117</v>
      </c>
      <c r="E236" s="353" t="s">
        <v>1719</v>
      </c>
      <c r="F236" s="351"/>
      <c r="G236" s="351" t="s">
        <v>1745</v>
      </c>
      <c r="H236" s="351"/>
      <c r="I236" s="351"/>
      <c r="J236" s="351"/>
      <c r="K236" s="351"/>
      <c r="L236" s="351"/>
      <c r="AMH236" s="332"/>
      <c r="AMI236" s="332"/>
      <c r="AMJ236" s="332"/>
      <c r="AMK236" s="332"/>
    </row>
    <row r="237" spans="2:1025" s="331" customFormat="1" ht="15.75" customHeight="1" thickTop="1" thickBot="1">
      <c r="B237" s="349"/>
      <c r="C237" s="350" t="s">
        <v>1711</v>
      </c>
      <c r="D237" s="352" t="s">
        <v>2118</v>
      </c>
      <c r="E237" s="352" t="s">
        <v>2119</v>
      </c>
      <c r="F237" s="351"/>
      <c r="G237" s="351" t="s">
        <v>1745</v>
      </c>
      <c r="H237" s="351"/>
      <c r="I237" s="351"/>
      <c r="J237" s="351"/>
      <c r="K237" s="351"/>
      <c r="L237" s="351"/>
      <c r="AMH237" s="332"/>
      <c r="AMI237" s="332"/>
      <c r="AMJ237" s="332"/>
      <c r="AMK237" s="332"/>
    </row>
    <row r="238" spans="2:1025" s="331" customFormat="1" ht="15.75" customHeight="1" thickTop="1" thickBot="1">
      <c r="B238" s="349"/>
      <c r="C238" s="350" t="s">
        <v>1714</v>
      </c>
      <c r="D238" s="352" t="s">
        <v>2120</v>
      </c>
      <c r="E238" s="352" t="s">
        <v>2093</v>
      </c>
      <c r="F238" s="351"/>
      <c r="G238" s="351" t="s">
        <v>1745</v>
      </c>
      <c r="H238" s="351"/>
      <c r="I238" s="351"/>
      <c r="J238" s="351"/>
      <c r="K238" s="351"/>
      <c r="L238" s="351"/>
      <c r="AMH238" s="332"/>
      <c r="AMI238" s="332"/>
      <c r="AMJ238" s="332"/>
      <c r="AMK238" s="332"/>
    </row>
    <row r="239" spans="2:1025" s="331" customFormat="1" ht="15.75" customHeight="1" thickTop="1" thickBot="1">
      <c r="B239" s="349"/>
      <c r="C239" s="350" t="s">
        <v>1717</v>
      </c>
      <c r="D239" s="352" t="s">
        <v>2121</v>
      </c>
      <c r="E239" s="352" t="s">
        <v>2122</v>
      </c>
      <c r="F239" s="351"/>
      <c r="G239" s="351" t="s">
        <v>1745</v>
      </c>
      <c r="H239" s="351"/>
      <c r="I239" s="351"/>
      <c r="J239" s="351"/>
      <c r="K239" s="351"/>
      <c r="L239" s="351"/>
      <c r="AMH239" s="332"/>
      <c r="AMI239" s="332"/>
      <c r="AMJ239" s="332"/>
      <c r="AMK239" s="332"/>
    </row>
    <row r="240" spans="2:1025" s="331" customFormat="1" ht="15.75" customHeight="1" thickTop="1" thickBot="1">
      <c r="B240" s="349"/>
      <c r="C240" s="350" t="s">
        <v>1720</v>
      </c>
      <c r="D240" s="352" t="s">
        <v>2123</v>
      </c>
      <c r="E240" s="352" t="s">
        <v>2124</v>
      </c>
      <c r="F240" s="351"/>
      <c r="G240" s="351" t="s">
        <v>1745</v>
      </c>
      <c r="H240" s="351"/>
      <c r="I240" s="351"/>
      <c r="J240" s="351"/>
      <c r="K240" s="351"/>
      <c r="L240" s="351"/>
      <c r="AMH240" s="332"/>
      <c r="AMI240" s="332"/>
      <c r="AMJ240" s="332"/>
      <c r="AMK240" s="332"/>
    </row>
    <row r="241" spans="1:16384" s="331" customFormat="1" ht="15.75" customHeight="1" thickTop="1" thickBot="1">
      <c r="B241" s="354"/>
      <c r="C241" s="350" t="s">
        <v>1724</v>
      </c>
      <c r="D241" s="352" t="s">
        <v>2125</v>
      </c>
      <c r="E241" s="352" t="s">
        <v>2126</v>
      </c>
      <c r="F241" s="351"/>
      <c r="G241" s="351" t="s">
        <v>1745</v>
      </c>
      <c r="H241" s="351"/>
      <c r="I241" s="351"/>
      <c r="J241" s="351"/>
      <c r="K241" s="351"/>
      <c r="L241" s="351"/>
      <c r="AMH241" s="332"/>
      <c r="AMI241" s="332"/>
      <c r="AMJ241" s="332"/>
      <c r="AMK241" s="332"/>
    </row>
    <row r="242" spans="1:16384" s="331" customFormat="1" ht="12.2" customHeight="1" thickTop="1">
      <c r="B242" s="336"/>
      <c r="C242" s="337"/>
      <c r="D242" s="336"/>
      <c r="E242" s="336"/>
      <c r="F242" s="356"/>
      <c r="G242" s="356"/>
      <c r="H242" s="356"/>
      <c r="I242" s="356"/>
      <c r="J242" s="356"/>
      <c r="K242" s="356"/>
      <c r="L242" s="356"/>
      <c r="AMH242" s="332"/>
      <c r="AMI242" s="332"/>
      <c r="AMJ242" s="332"/>
      <c r="AMK242" s="332"/>
    </row>
    <row r="243" spans="1:16384" s="331" customFormat="1" ht="12.2" customHeight="1">
      <c r="A243" s="334"/>
      <c r="B243" s="334"/>
      <c r="C243" s="334"/>
      <c r="D243" s="334"/>
      <c r="E243" s="334"/>
      <c r="F243" s="334" t="s">
        <v>1661</v>
      </c>
      <c r="G243" s="335">
        <v>0</v>
      </c>
      <c r="H243" s="334" t="s">
        <v>1663</v>
      </c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  <c r="Z243" s="334"/>
      <c r="AA243" s="334"/>
      <c r="AB243" s="334"/>
      <c r="AC243" s="334"/>
      <c r="AD243" s="334"/>
      <c r="AE243" s="334"/>
      <c r="AF243" s="334"/>
      <c r="AG243" s="334"/>
      <c r="AH243" s="334"/>
      <c r="AI243" s="334"/>
      <c r="AJ243" s="334"/>
      <c r="AK243" s="334"/>
      <c r="AL243" s="334"/>
      <c r="AM243" s="334"/>
      <c r="AN243" s="334"/>
      <c r="AO243" s="334"/>
      <c r="AP243" s="334"/>
      <c r="AQ243" s="334"/>
      <c r="AR243" s="334"/>
      <c r="AS243" s="334"/>
      <c r="AT243" s="334"/>
      <c r="AU243" s="334"/>
      <c r="AV243" s="334"/>
      <c r="AW243" s="334"/>
      <c r="AX243" s="334"/>
      <c r="AY243" s="334"/>
      <c r="AZ243" s="334"/>
      <c r="BA243" s="334"/>
      <c r="BB243" s="334"/>
      <c r="BC243" s="334"/>
      <c r="BD243" s="334"/>
      <c r="BE243" s="334"/>
      <c r="BF243" s="334"/>
      <c r="BG243" s="334"/>
      <c r="BH243" s="334"/>
      <c r="BI243" s="334"/>
      <c r="BJ243" s="334"/>
      <c r="BK243" s="334"/>
      <c r="BL243" s="334"/>
      <c r="BM243" s="334"/>
      <c r="BN243" s="334"/>
      <c r="BO243" s="334"/>
      <c r="BP243" s="334"/>
      <c r="BQ243" s="334"/>
      <c r="BR243" s="334"/>
      <c r="BS243" s="334"/>
      <c r="BT243" s="334"/>
      <c r="BU243" s="334"/>
      <c r="BV243" s="334"/>
      <c r="BW243" s="334"/>
      <c r="BX243" s="334"/>
      <c r="BY243" s="334"/>
      <c r="BZ243" s="334"/>
      <c r="CA243" s="334"/>
      <c r="CB243" s="334"/>
      <c r="CC243" s="334"/>
      <c r="CD243" s="334"/>
      <c r="CE243" s="334"/>
      <c r="CF243" s="334"/>
      <c r="CG243" s="334"/>
      <c r="CH243" s="334"/>
      <c r="CI243" s="334"/>
      <c r="CJ243" s="334"/>
      <c r="CK243" s="334"/>
      <c r="CL243" s="334"/>
      <c r="CM243" s="334"/>
      <c r="CN243" s="334"/>
      <c r="CO243" s="334"/>
      <c r="CP243" s="334"/>
      <c r="CQ243" s="334"/>
      <c r="CR243" s="334"/>
      <c r="CS243" s="334"/>
      <c r="CT243" s="334"/>
      <c r="CU243" s="334"/>
      <c r="CV243" s="334"/>
      <c r="CW243" s="334"/>
      <c r="CX243" s="334"/>
      <c r="CY243" s="334"/>
      <c r="CZ243" s="334"/>
      <c r="DA243" s="334"/>
      <c r="DB243" s="334"/>
      <c r="DC243" s="334"/>
      <c r="DD243" s="334"/>
      <c r="DE243" s="334"/>
      <c r="DF243" s="334"/>
      <c r="DG243" s="334"/>
      <c r="DH243" s="334"/>
      <c r="DI243" s="334"/>
      <c r="DJ243" s="334"/>
      <c r="DK243" s="334"/>
      <c r="DL243" s="334"/>
      <c r="DM243" s="334"/>
      <c r="DN243" s="334"/>
      <c r="DO243" s="334"/>
      <c r="DP243" s="334"/>
      <c r="DQ243" s="334"/>
      <c r="DR243" s="334"/>
      <c r="DS243" s="334"/>
      <c r="DT243" s="334"/>
      <c r="DU243" s="334"/>
      <c r="DV243" s="334"/>
      <c r="DW243" s="334"/>
      <c r="DX243" s="334"/>
      <c r="DY243" s="334"/>
      <c r="DZ243" s="334"/>
      <c r="EA243" s="334"/>
      <c r="EB243" s="334"/>
      <c r="EC243" s="334"/>
      <c r="ED243" s="334"/>
      <c r="EE243" s="334"/>
      <c r="EF243" s="334"/>
      <c r="EG243" s="334"/>
      <c r="EH243" s="334"/>
      <c r="EI243" s="334"/>
      <c r="EJ243" s="334"/>
      <c r="EK243" s="334"/>
      <c r="EL243" s="334"/>
      <c r="EM243" s="334"/>
      <c r="EN243" s="334"/>
      <c r="EO243" s="334"/>
      <c r="EP243" s="334"/>
      <c r="EQ243" s="334"/>
      <c r="ER243" s="334"/>
      <c r="ES243" s="334"/>
      <c r="ET243" s="334"/>
      <c r="EU243" s="334"/>
      <c r="EV243" s="334"/>
      <c r="EW243" s="334"/>
      <c r="EX243" s="334"/>
      <c r="EY243" s="334"/>
      <c r="EZ243" s="334"/>
      <c r="FA243" s="334"/>
      <c r="FB243" s="334"/>
      <c r="FC243" s="334"/>
      <c r="FD243" s="334"/>
      <c r="FE243" s="334"/>
      <c r="FF243" s="334"/>
      <c r="FG243" s="334"/>
      <c r="FH243" s="334"/>
      <c r="FI243" s="334"/>
      <c r="FJ243" s="334"/>
      <c r="FK243" s="334"/>
      <c r="FL243" s="334"/>
      <c r="FM243" s="334"/>
      <c r="FN243" s="334"/>
      <c r="FO243" s="334"/>
      <c r="FP243" s="334"/>
      <c r="FQ243" s="334"/>
      <c r="FR243" s="334"/>
      <c r="FS243" s="334"/>
      <c r="FT243" s="334"/>
      <c r="FU243" s="334"/>
      <c r="FV243" s="334"/>
      <c r="FW243" s="334"/>
      <c r="FX243" s="334"/>
      <c r="FY243" s="334"/>
      <c r="FZ243" s="334"/>
      <c r="GA243" s="334"/>
      <c r="GB243" s="334"/>
      <c r="GC243" s="334"/>
      <c r="GD243" s="334"/>
      <c r="GE243" s="334"/>
      <c r="GF243" s="334"/>
      <c r="GG243" s="334"/>
      <c r="GH243" s="334"/>
      <c r="GI243" s="334"/>
      <c r="GJ243" s="334"/>
      <c r="GK243" s="334"/>
      <c r="GL243" s="334"/>
      <c r="GM243" s="334"/>
      <c r="GN243" s="334"/>
      <c r="GO243" s="334"/>
      <c r="GP243" s="334"/>
      <c r="GQ243" s="334"/>
      <c r="GR243" s="334"/>
      <c r="GS243" s="334"/>
      <c r="GT243" s="334"/>
      <c r="GU243" s="334"/>
      <c r="GV243" s="334"/>
      <c r="GW243" s="334"/>
      <c r="GX243" s="334"/>
      <c r="GY243" s="334"/>
      <c r="GZ243" s="334"/>
      <c r="HA243" s="334"/>
      <c r="HB243" s="334"/>
      <c r="HC243" s="334"/>
      <c r="HD243" s="334"/>
      <c r="HE243" s="334"/>
      <c r="HF243" s="334"/>
      <c r="HG243" s="334"/>
      <c r="HH243" s="334"/>
      <c r="HI243" s="334"/>
      <c r="HJ243" s="334"/>
      <c r="HK243" s="334"/>
      <c r="HL243" s="334"/>
      <c r="HM243" s="334"/>
      <c r="HN243" s="334"/>
      <c r="HO243" s="334"/>
      <c r="HP243" s="334"/>
      <c r="HQ243" s="334"/>
      <c r="HR243" s="334"/>
      <c r="HS243" s="334"/>
      <c r="HT243" s="334"/>
      <c r="HU243" s="334"/>
      <c r="HV243" s="334"/>
      <c r="HW243" s="334"/>
      <c r="HX243" s="334"/>
      <c r="HY243" s="334"/>
      <c r="HZ243" s="334"/>
      <c r="IA243" s="334"/>
      <c r="IB243" s="334"/>
      <c r="IC243" s="334"/>
      <c r="ID243" s="334"/>
      <c r="IE243" s="334"/>
      <c r="IF243" s="334"/>
      <c r="IG243" s="334"/>
      <c r="IH243" s="334"/>
      <c r="II243" s="334"/>
      <c r="IJ243" s="334"/>
      <c r="IK243" s="334"/>
      <c r="IL243" s="334"/>
      <c r="IM243" s="334"/>
      <c r="IN243" s="334"/>
      <c r="IO243" s="334"/>
      <c r="IP243" s="334"/>
      <c r="IQ243" s="334"/>
      <c r="IR243" s="334"/>
      <c r="IS243" s="334"/>
      <c r="IT243" s="334"/>
      <c r="IU243" s="334"/>
      <c r="IV243" s="334"/>
      <c r="IW243" s="334"/>
      <c r="IX243" s="334"/>
      <c r="IY243" s="334"/>
      <c r="IZ243" s="334"/>
      <c r="JA243" s="334"/>
      <c r="JB243" s="334"/>
      <c r="JC243" s="334"/>
      <c r="JD243" s="334"/>
      <c r="JE243" s="334"/>
      <c r="JF243" s="334"/>
      <c r="JG243" s="334"/>
      <c r="JH243" s="334"/>
      <c r="JI243" s="334"/>
      <c r="JJ243" s="334"/>
      <c r="JK243" s="334"/>
      <c r="JL243" s="334"/>
      <c r="JM243" s="334"/>
      <c r="JN243" s="334"/>
      <c r="JO243" s="334"/>
      <c r="JP243" s="334"/>
      <c r="JQ243" s="334"/>
      <c r="JR243" s="334"/>
      <c r="JS243" s="334"/>
      <c r="JT243" s="334"/>
      <c r="JU243" s="334"/>
      <c r="JV243" s="334"/>
      <c r="JW243" s="334"/>
      <c r="JX243" s="334"/>
      <c r="JY243" s="334"/>
      <c r="JZ243" s="334"/>
      <c r="KA243" s="334"/>
      <c r="KB243" s="334"/>
      <c r="KC243" s="334"/>
      <c r="KD243" s="334"/>
      <c r="KE243" s="334"/>
      <c r="KF243" s="334"/>
      <c r="KG243" s="334"/>
      <c r="KH243" s="334"/>
      <c r="KI243" s="334"/>
      <c r="KJ243" s="334"/>
      <c r="KK243" s="334"/>
      <c r="KL243" s="334"/>
      <c r="KM243" s="334"/>
      <c r="KN243" s="334"/>
      <c r="KO243" s="334"/>
      <c r="KP243" s="334"/>
      <c r="KQ243" s="334"/>
      <c r="KR243" s="334"/>
      <c r="KS243" s="334"/>
      <c r="KT243" s="334"/>
      <c r="KU243" s="334"/>
      <c r="KV243" s="334"/>
      <c r="KW243" s="334"/>
      <c r="KX243" s="334"/>
      <c r="KY243" s="334"/>
      <c r="KZ243" s="334"/>
      <c r="LA243" s="334"/>
      <c r="LB243" s="334"/>
      <c r="LC243" s="334"/>
      <c r="LD243" s="334"/>
      <c r="LE243" s="334"/>
      <c r="LF243" s="334"/>
      <c r="LG243" s="334"/>
      <c r="LH243" s="334"/>
      <c r="LI243" s="334"/>
      <c r="LJ243" s="334"/>
      <c r="LK243" s="334"/>
      <c r="LL243" s="334"/>
      <c r="LM243" s="334"/>
      <c r="LN243" s="334"/>
      <c r="LO243" s="334"/>
      <c r="LP243" s="334"/>
      <c r="LQ243" s="334"/>
      <c r="LR243" s="334"/>
      <c r="LS243" s="334"/>
      <c r="LT243" s="334"/>
      <c r="LU243" s="334"/>
      <c r="LV243" s="334"/>
      <c r="LW243" s="334"/>
      <c r="LX243" s="334"/>
      <c r="LY243" s="334"/>
      <c r="LZ243" s="334"/>
      <c r="MA243" s="334"/>
      <c r="MB243" s="334"/>
      <c r="MC243" s="334"/>
      <c r="MD243" s="334"/>
      <c r="ME243" s="334"/>
      <c r="MF243" s="334"/>
      <c r="MG243" s="334"/>
      <c r="MH243" s="334"/>
      <c r="MI243" s="334"/>
      <c r="MJ243" s="334"/>
      <c r="MK243" s="334"/>
      <c r="ML243" s="334"/>
      <c r="MM243" s="334"/>
      <c r="MN243" s="334"/>
      <c r="MO243" s="334"/>
      <c r="MP243" s="334"/>
      <c r="MQ243" s="334"/>
      <c r="MR243" s="334"/>
      <c r="MS243" s="334"/>
      <c r="MT243" s="334"/>
      <c r="MU243" s="334"/>
      <c r="MV243" s="334"/>
      <c r="MW243" s="334"/>
      <c r="MX243" s="334"/>
      <c r="MY243" s="334"/>
      <c r="MZ243" s="334"/>
      <c r="NA243" s="334"/>
      <c r="NB243" s="334"/>
      <c r="NC243" s="334"/>
      <c r="ND243" s="334"/>
      <c r="NE243" s="334"/>
      <c r="NF243" s="334"/>
      <c r="NG243" s="334"/>
      <c r="NH243" s="334"/>
      <c r="NI243" s="334"/>
      <c r="NJ243" s="334"/>
      <c r="NK243" s="334"/>
      <c r="NL243" s="334"/>
      <c r="NM243" s="334"/>
      <c r="NN243" s="334"/>
      <c r="NO243" s="334"/>
      <c r="NP243" s="334"/>
      <c r="NQ243" s="334"/>
      <c r="NR243" s="334"/>
      <c r="NS243" s="334"/>
      <c r="NT243" s="334"/>
      <c r="NU243" s="334"/>
      <c r="NV243" s="334"/>
      <c r="NW243" s="334"/>
      <c r="NX243" s="334"/>
      <c r="NY243" s="334"/>
      <c r="NZ243" s="334"/>
      <c r="OA243" s="334"/>
      <c r="OB243" s="334"/>
      <c r="OC243" s="334"/>
      <c r="OD243" s="334"/>
      <c r="OE243" s="334"/>
      <c r="OF243" s="334"/>
      <c r="OG243" s="334"/>
      <c r="OH243" s="334"/>
      <c r="OI243" s="334"/>
      <c r="OJ243" s="334"/>
      <c r="OK243" s="334"/>
      <c r="OL243" s="334"/>
      <c r="OM243" s="334"/>
      <c r="ON243" s="334"/>
      <c r="OO243" s="334"/>
      <c r="OP243" s="334"/>
      <c r="OQ243" s="334"/>
      <c r="OR243" s="334"/>
      <c r="OS243" s="334"/>
      <c r="OT243" s="334"/>
      <c r="OU243" s="334"/>
      <c r="OV243" s="334"/>
      <c r="OW243" s="334"/>
      <c r="OX243" s="334"/>
      <c r="OY243" s="334"/>
      <c r="OZ243" s="334"/>
      <c r="PA243" s="334"/>
      <c r="PB243" s="334"/>
      <c r="PC243" s="334"/>
      <c r="PD243" s="334"/>
      <c r="PE243" s="334"/>
      <c r="PF243" s="334"/>
      <c r="PG243" s="334"/>
      <c r="PH243" s="334"/>
      <c r="PI243" s="334"/>
      <c r="PJ243" s="334"/>
      <c r="PK243" s="334"/>
      <c r="PL243" s="334"/>
      <c r="PM243" s="334"/>
      <c r="PN243" s="334"/>
      <c r="PO243" s="334"/>
      <c r="PP243" s="334"/>
      <c r="PQ243" s="334"/>
      <c r="PR243" s="334"/>
      <c r="PS243" s="334"/>
      <c r="PT243" s="334"/>
      <c r="PU243" s="334"/>
      <c r="PV243" s="334"/>
      <c r="PW243" s="334"/>
      <c r="PX243" s="334"/>
      <c r="PY243" s="334"/>
      <c r="PZ243" s="334"/>
      <c r="QA243" s="334"/>
      <c r="QB243" s="334"/>
      <c r="QC243" s="334"/>
      <c r="QD243" s="334"/>
      <c r="QE243" s="334"/>
      <c r="QF243" s="334"/>
      <c r="QG243" s="334"/>
      <c r="QH243" s="334"/>
      <c r="QI243" s="334"/>
      <c r="QJ243" s="334"/>
      <c r="QK243" s="334"/>
      <c r="QL243" s="334"/>
      <c r="QM243" s="334"/>
      <c r="QN243" s="334"/>
      <c r="QO243" s="334"/>
      <c r="QP243" s="334"/>
      <c r="QQ243" s="334"/>
      <c r="QR243" s="334"/>
      <c r="QS243" s="334"/>
      <c r="QT243" s="334"/>
      <c r="QU243" s="334"/>
      <c r="QV243" s="334"/>
      <c r="QW243" s="334"/>
      <c r="QX243" s="334"/>
      <c r="QY243" s="334"/>
      <c r="QZ243" s="334"/>
      <c r="RA243" s="334"/>
      <c r="RB243" s="334"/>
      <c r="RC243" s="334"/>
      <c r="RD243" s="334"/>
      <c r="RE243" s="334"/>
      <c r="RF243" s="334"/>
      <c r="RG243" s="334"/>
      <c r="RH243" s="334"/>
      <c r="RI243" s="334"/>
      <c r="RJ243" s="334"/>
      <c r="RK243" s="334"/>
      <c r="RL243" s="334"/>
      <c r="RM243" s="334"/>
      <c r="RN243" s="334"/>
      <c r="RO243" s="334"/>
      <c r="RP243" s="334"/>
      <c r="RQ243" s="334"/>
      <c r="RR243" s="334"/>
      <c r="RS243" s="334"/>
      <c r="RT243" s="334"/>
      <c r="RU243" s="334"/>
      <c r="RV243" s="334"/>
      <c r="RW243" s="334"/>
      <c r="RX243" s="334"/>
      <c r="RY243" s="334"/>
      <c r="RZ243" s="334"/>
      <c r="SA243" s="334"/>
      <c r="SB243" s="334"/>
      <c r="SC243" s="334"/>
      <c r="SD243" s="334"/>
      <c r="SE243" s="334"/>
      <c r="SF243" s="334"/>
      <c r="SG243" s="334"/>
      <c r="SH243" s="334"/>
      <c r="SI243" s="334"/>
      <c r="SJ243" s="334"/>
      <c r="SK243" s="334"/>
      <c r="SL243" s="334"/>
      <c r="SM243" s="334"/>
      <c r="SN243" s="334"/>
      <c r="SO243" s="334"/>
      <c r="SP243" s="334"/>
      <c r="SQ243" s="334"/>
      <c r="SR243" s="334"/>
      <c r="SS243" s="334"/>
      <c r="ST243" s="334"/>
      <c r="SU243" s="334"/>
      <c r="SV243" s="334"/>
      <c r="SW243" s="334"/>
      <c r="SX243" s="334"/>
      <c r="SY243" s="334"/>
      <c r="SZ243" s="334"/>
      <c r="TA243" s="334"/>
      <c r="TB243" s="334"/>
      <c r="TC243" s="334"/>
      <c r="TD243" s="334"/>
      <c r="TE243" s="334"/>
      <c r="TF243" s="334"/>
      <c r="TG243" s="334"/>
      <c r="TH243" s="334"/>
      <c r="TI243" s="334"/>
      <c r="TJ243" s="334"/>
      <c r="TK243" s="334"/>
      <c r="TL243" s="334"/>
      <c r="TM243" s="334"/>
      <c r="TN243" s="334"/>
      <c r="TO243" s="334"/>
      <c r="TP243" s="334"/>
      <c r="TQ243" s="334"/>
      <c r="TR243" s="334"/>
      <c r="TS243" s="334"/>
      <c r="TT243" s="334"/>
      <c r="TU243" s="334"/>
      <c r="TV243" s="334"/>
      <c r="TW243" s="334"/>
      <c r="TX243" s="334"/>
      <c r="TY243" s="334"/>
      <c r="TZ243" s="334"/>
      <c r="UA243" s="334"/>
      <c r="UB243" s="334"/>
      <c r="UC243" s="334"/>
      <c r="UD243" s="334"/>
      <c r="UE243" s="334"/>
      <c r="UF243" s="334"/>
      <c r="UG243" s="334"/>
      <c r="UH243" s="334"/>
      <c r="UI243" s="334"/>
      <c r="UJ243" s="334"/>
      <c r="UK243" s="334"/>
      <c r="UL243" s="334"/>
      <c r="UM243" s="334"/>
      <c r="UN243" s="334"/>
      <c r="UO243" s="334"/>
      <c r="UP243" s="334"/>
      <c r="UQ243" s="334"/>
      <c r="UR243" s="334"/>
      <c r="US243" s="334"/>
      <c r="UT243" s="334"/>
      <c r="UU243" s="334"/>
      <c r="UV243" s="334"/>
      <c r="UW243" s="334"/>
      <c r="UX243" s="334"/>
      <c r="UY243" s="334"/>
      <c r="UZ243" s="334"/>
      <c r="VA243" s="334"/>
      <c r="VB243" s="334"/>
      <c r="VC243" s="334"/>
      <c r="VD243" s="334"/>
      <c r="VE243" s="334"/>
      <c r="VF243" s="334"/>
      <c r="VG243" s="334"/>
      <c r="VH243" s="334"/>
      <c r="VI243" s="334"/>
      <c r="VJ243" s="334"/>
      <c r="VK243" s="334"/>
      <c r="VL243" s="334"/>
      <c r="VM243" s="334"/>
      <c r="VN243" s="334"/>
      <c r="VO243" s="334"/>
      <c r="VP243" s="334"/>
      <c r="VQ243" s="334"/>
      <c r="VR243" s="334"/>
      <c r="VS243" s="334"/>
      <c r="VT243" s="334"/>
      <c r="VU243" s="334"/>
      <c r="VV243" s="334"/>
      <c r="VW243" s="334"/>
      <c r="VX243" s="334"/>
      <c r="VY243" s="334"/>
      <c r="VZ243" s="334"/>
      <c r="WA243" s="334"/>
      <c r="WB243" s="334"/>
      <c r="WC243" s="334"/>
      <c r="WD243" s="334"/>
      <c r="WE243" s="334"/>
      <c r="WF243" s="334"/>
      <c r="WG243" s="334"/>
      <c r="WH243" s="334"/>
      <c r="WI243" s="334"/>
      <c r="WJ243" s="334"/>
      <c r="WK243" s="334"/>
      <c r="WL243" s="334"/>
      <c r="WM243" s="334"/>
      <c r="WN243" s="334"/>
      <c r="WO243" s="334"/>
      <c r="WP243" s="334"/>
      <c r="WQ243" s="334"/>
      <c r="WR243" s="334"/>
      <c r="WS243" s="334"/>
      <c r="WT243" s="334"/>
      <c r="WU243" s="334"/>
      <c r="WV243" s="334"/>
      <c r="WW243" s="334"/>
      <c r="WX243" s="334"/>
      <c r="WY243" s="334"/>
      <c r="WZ243" s="334"/>
      <c r="XA243" s="334"/>
      <c r="XB243" s="334"/>
      <c r="XC243" s="334"/>
      <c r="XD243" s="334"/>
      <c r="XE243" s="334"/>
      <c r="XF243" s="334"/>
      <c r="XG243" s="334"/>
      <c r="XH243" s="334"/>
      <c r="XI243" s="334"/>
      <c r="XJ243" s="334"/>
      <c r="XK243" s="334"/>
      <c r="XL243" s="334"/>
      <c r="XM243" s="334"/>
      <c r="XN243" s="334"/>
      <c r="XO243" s="334"/>
      <c r="XP243" s="334"/>
      <c r="XQ243" s="334"/>
      <c r="XR243" s="334"/>
      <c r="XS243" s="334"/>
      <c r="XT243" s="334"/>
      <c r="XU243" s="334"/>
      <c r="XV243" s="334"/>
      <c r="XW243" s="334"/>
      <c r="XX243" s="334"/>
      <c r="XY243" s="334"/>
      <c r="XZ243" s="334"/>
      <c r="YA243" s="334"/>
      <c r="YB243" s="334"/>
      <c r="YC243" s="334"/>
      <c r="YD243" s="334"/>
      <c r="YE243" s="334"/>
      <c r="YF243" s="334"/>
      <c r="YG243" s="334"/>
      <c r="YH243" s="334"/>
      <c r="YI243" s="334"/>
      <c r="YJ243" s="334"/>
      <c r="YK243" s="334"/>
      <c r="YL243" s="334"/>
      <c r="YM243" s="334"/>
      <c r="YN243" s="334"/>
      <c r="YO243" s="334"/>
      <c r="YP243" s="334"/>
      <c r="YQ243" s="334"/>
      <c r="YR243" s="334"/>
      <c r="YS243" s="334"/>
      <c r="YT243" s="334"/>
      <c r="YU243" s="334"/>
      <c r="YV243" s="334"/>
      <c r="YW243" s="334"/>
      <c r="YX243" s="334"/>
      <c r="YY243" s="334"/>
      <c r="YZ243" s="334"/>
      <c r="ZA243" s="334"/>
      <c r="ZB243" s="334"/>
      <c r="ZC243" s="334"/>
      <c r="ZD243" s="334"/>
      <c r="ZE243" s="334"/>
      <c r="ZF243" s="334"/>
      <c r="ZG243" s="334"/>
      <c r="ZH243" s="334"/>
      <c r="ZI243" s="334"/>
      <c r="ZJ243" s="334"/>
      <c r="ZK243" s="334"/>
      <c r="ZL243" s="334"/>
      <c r="ZM243" s="334"/>
      <c r="ZN243" s="334"/>
      <c r="ZO243" s="334"/>
      <c r="ZP243" s="334"/>
      <c r="ZQ243" s="334"/>
      <c r="ZR243" s="334"/>
      <c r="ZS243" s="334"/>
      <c r="ZT243" s="334"/>
      <c r="ZU243" s="334"/>
      <c r="ZV243" s="334"/>
      <c r="ZW243" s="334"/>
      <c r="ZX243" s="334"/>
      <c r="ZY243" s="334"/>
      <c r="ZZ243" s="334"/>
      <c r="AAA243" s="334"/>
      <c r="AAB243" s="334"/>
      <c r="AAC243" s="334"/>
      <c r="AAD243" s="334"/>
      <c r="AAE243" s="334"/>
      <c r="AAF243" s="334"/>
      <c r="AAG243" s="334"/>
      <c r="AAH243" s="334"/>
      <c r="AAI243" s="334"/>
      <c r="AAJ243" s="334"/>
      <c r="AAK243" s="334"/>
      <c r="AAL243" s="334"/>
      <c r="AAM243" s="334"/>
      <c r="AAN243" s="334"/>
      <c r="AAO243" s="334"/>
      <c r="AAP243" s="334"/>
      <c r="AAQ243" s="334"/>
      <c r="AAR243" s="334"/>
      <c r="AAS243" s="334"/>
      <c r="AAT243" s="334"/>
      <c r="AAU243" s="334"/>
      <c r="AAV243" s="334"/>
      <c r="AAW243" s="334"/>
      <c r="AAX243" s="334"/>
      <c r="AAY243" s="334"/>
      <c r="AAZ243" s="334"/>
      <c r="ABA243" s="334"/>
      <c r="ABB243" s="334"/>
      <c r="ABC243" s="334"/>
      <c r="ABD243" s="334"/>
      <c r="ABE243" s="334"/>
      <c r="ABF243" s="334"/>
      <c r="ABG243" s="334"/>
      <c r="ABH243" s="334"/>
      <c r="ABI243" s="334"/>
      <c r="ABJ243" s="334"/>
      <c r="ABK243" s="334"/>
      <c r="ABL243" s="334"/>
      <c r="ABM243" s="334"/>
      <c r="ABN243" s="334"/>
      <c r="ABO243" s="334"/>
      <c r="ABP243" s="334"/>
      <c r="ABQ243" s="334"/>
      <c r="ABR243" s="334"/>
      <c r="ABS243" s="334"/>
      <c r="ABT243" s="334"/>
      <c r="ABU243" s="334"/>
      <c r="ABV243" s="334"/>
      <c r="ABW243" s="334"/>
      <c r="ABX243" s="334"/>
      <c r="ABY243" s="334"/>
      <c r="ABZ243" s="334"/>
      <c r="ACA243" s="334"/>
      <c r="ACB243" s="334"/>
      <c r="ACC243" s="334"/>
      <c r="ACD243" s="334"/>
      <c r="ACE243" s="334"/>
      <c r="ACF243" s="334"/>
      <c r="ACG243" s="334"/>
      <c r="ACH243" s="334"/>
      <c r="ACI243" s="334"/>
      <c r="ACJ243" s="334"/>
      <c r="ACK243" s="334"/>
      <c r="ACL243" s="334"/>
      <c r="ACM243" s="334"/>
      <c r="ACN243" s="334"/>
      <c r="ACO243" s="334"/>
      <c r="ACP243" s="334"/>
      <c r="ACQ243" s="334"/>
      <c r="ACR243" s="334"/>
      <c r="ACS243" s="334"/>
      <c r="ACT243" s="334"/>
      <c r="ACU243" s="334"/>
      <c r="ACV243" s="334"/>
      <c r="ACW243" s="334"/>
      <c r="ACX243" s="334"/>
      <c r="ACY243" s="334"/>
      <c r="ACZ243" s="334"/>
      <c r="ADA243" s="334"/>
      <c r="ADB243" s="334"/>
      <c r="ADC243" s="334"/>
      <c r="ADD243" s="334"/>
      <c r="ADE243" s="334"/>
      <c r="ADF243" s="334"/>
      <c r="ADG243" s="334"/>
      <c r="ADH243" s="334"/>
      <c r="ADI243" s="334"/>
      <c r="ADJ243" s="334"/>
      <c r="ADK243" s="334"/>
      <c r="ADL243" s="334"/>
      <c r="ADM243" s="334"/>
      <c r="ADN243" s="334"/>
      <c r="ADO243" s="334"/>
      <c r="ADP243" s="334"/>
      <c r="ADQ243" s="334"/>
      <c r="ADR243" s="334"/>
      <c r="ADS243" s="334"/>
      <c r="ADT243" s="334"/>
      <c r="ADU243" s="334"/>
      <c r="ADV243" s="334"/>
      <c r="ADW243" s="334"/>
      <c r="ADX243" s="334"/>
      <c r="ADY243" s="334"/>
      <c r="ADZ243" s="334"/>
      <c r="AEA243" s="334"/>
      <c r="AEB243" s="334"/>
      <c r="AEC243" s="334"/>
      <c r="AED243" s="334"/>
      <c r="AEE243" s="334"/>
      <c r="AEF243" s="334"/>
      <c r="AEG243" s="334"/>
      <c r="AEH243" s="334"/>
      <c r="AEI243" s="334"/>
      <c r="AEJ243" s="334"/>
      <c r="AEK243" s="334"/>
      <c r="AEL243" s="334"/>
      <c r="AEM243" s="334"/>
      <c r="AEN243" s="334"/>
      <c r="AEO243" s="334"/>
      <c r="AEP243" s="334"/>
      <c r="AEQ243" s="334"/>
      <c r="AER243" s="334"/>
      <c r="AES243" s="334"/>
      <c r="AET243" s="334"/>
      <c r="AEU243" s="334"/>
      <c r="AEV243" s="334"/>
      <c r="AEW243" s="334"/>
      <c r="AEX243" s="334"/>
      <c r="AEY243" s="334"/>
      <c r="AEZ243" s="334"/>
      <c r="AFA243" s="334"/>
      <c r="AFB243" s="334"/>
      <c r="AFC243" s="334"/>
      <c r="AFD243" s="334"/>
      <c r="AFE243" s="334"/>
      <c r="AFF243" s="334"/>
      <c r="AFG243" s="334"/>
      <c r="AFH243" s="334"/>
      <c r="AFI243" s="334"/>
      <c r="AFJ243" s="334"/>
      <c r="AFK243" s="334"/>
      <c r="AFL243" s="334"/>
      <c r="AFM243" s="334"/>
      <c r="AFN243" s="334"/>
      <c r="AFO243" s="334"/>
      <c r="AFP243" s="334"/>
      <c r="AFQ243" s="334"/>
      <c r="AFR243" s="334"/>
      <c r="AFS243" s="334"/>
      <c r="AFT243" s="334"/>
      <c r="AFU243" s="334"/>
      <c r="AFV243" s="334"/>
      <c r="AFW243" s="334"/>
      <c r="AFX243" s="334"/>
      <c r="AFY243" s="334"/>
      <c r="AFZ243" s="334"/>
      <c r="AGA243" s="334"/>
      <c r="AGB243" s="334"/>
      <c r="AGC243" s="334"/>
      <c r="AGD243" s="334"/>
      <c r="AGE243" s="334"/>
      <c r="AGF243" s="334"/>
      <c r="AGG243" s="334"/>
      <c r="AGH243" s="334"/>
      <c r="AGI243" s="334"/>
      <c r="AGJ243" s="334"/>
      <c r="AGK243" s="334"/>
      <c r="AGL243" s="334"/>
      <c r="AGM243" s="334"/>
      <c r="AGN243" s="334"/>
      <c r="AGO243" s="334"/>
      <c r="AGP243" s="334"/>
      <c r="AGQ243" s="334"/>
      <c r="AGR243" s="334"/>
      <c r="AGS243" s="334"/>
      <c r="AGT243" s="334"/>
      <c r="AGU243" s="334"/>
      <c r="AGV243" s="334"/>
      <c r="AGW243" s="334"/>
      <c r="AGX243" s="334"/>
      <c r="AGY243" s="334"/>
      <c r="AGZ243" s="334"/>
      <c r="AHA243" s="334"/>
      <c r="AHB243" s="334"/>
      <c r="AHC243" s="334"/>
      <c r="AHD243" s="334"/>
      <c r="AHE243" s="334"/>
      <c r="AHF243" s="334"/>
      <c r="AHG243" s="334"/>
      <c r="AHH243" s="334"/>
      <c r="AHI243" s="334"/>
      <c r="AHJ243" s="334"/>
      <c r="AHK243" s="334"/>
      <c r="AHL243" s="334"/>
      <c r="AHM243" s="334"/>
      <c r="AHN243" s="334"/>
      <c r="AHO243" s="334"/>
      <c r="AHP243" s="334"/>
      <c r="AHQ243" s="334"/>
      <c r="AHR243" s="334"/>
      <c r="AHS243" s="334"/>
      <c r="AHT243" s="334"/>
      <c r="AHU243" s="334"/>
      <c r="AHV243" s="334"/>
      <c r="AHW243" s="334"/>
      <c r="AHX243" s="334"/>
      <c r="AHY243" s="334"/>
      <c r="AHZ243" s="334"/>
      <c r="AIA243" s="334"/>
      <c r="AIB243" s="334"/>
      <c r="AIC243" s="334"/>
      <c r="AID243" s="334"/>
      <c r="AIE243" s="334"/>
      <c r="AIF243" s="334"/>
      <c r="AIG243" s="334"/>
      <c r="AIH243" s="334"/>
      <c r="AII243" s="334"/>
      <c r="AIJ243" s="334"/>
      <c r="AIK243" s="334"/>
      <c r="AIL243" s="334"/>
      <c r="AIM243" s="334"/>
      <c r="AIN243" s="334"/>
      <c r="AIO243" s="334"/>
      <c r="AIP243" s="334"/>
      <c r="AIQ243" s="334"/>
      <c r="AIR243" s="334"/>
      <c r="AIS243" s="334"/>
      <c r="AIT243" s="334"/>
      <c r="AIU243" s="334"/>
      <c r="AIV243" s="334"/>
      <c r="AIW243" s="334"/>
      <c r="AIX243" s="334"/>
      <c r="AIY243" s="334"/>
      <c r="AIZ243" s="334"/>
      <c r="AJA243" s="334"/>
      <c r="AJB243" s="334"/>
      <c r="AJC243" s="334"/>
      <c r="AJD243" s="334"/>
      <c r="AJE243" s="334"/>
      <c r="AJF243" s="334"/>
      <c r="AJG243" s="334"/>
      <c r="AJH243" s="334"/>
      <c r="AJI243" s="334"/>
      <c r="AJJ243" s="334"/>
      <c r="AJK243" s="334"/>
      <c r="AJL243" s="334"/>
      <c r="AJM243" s="334"/>
      <c r="AJN243" s="334"/>
      <c r="AJO243" s="334"/>
      <c r="AJP243" s="334"/>
      <c r="AJQ243" s="334"/>
      <c r="AJR243" s="334"/>
      <c r="AJS243" s="334"/>
      <c r="AJT243" s="334"/>
      <c r="AJU243" s="334"/>
      <c r="AJV243" s="334"/>
      <c r="AJW243" s="334"/>
      <c r="AJX243" s="334"/>
      <c r="AJY243" s="334"/>
      <c r="AJZ243" s="334"/>
      <c r="AKA243" s="334"/>
      <c r="AKB243" s="334"/>
      <c r="AKC243" s="334"/>
      <c r="AKD243" s="334"/>
      <c r="AKE243" s="334"/>
      <c r="AKF243" s="334"/>
      <c r="AKG243" s="334"/>
      <c r="AKH243" s="334"/>
      <c r="AKI243" s="334"/>
      <c r="AKJ243" s="334"/>
      <c r="AKK243" s="334"/>
      <c r="AKL243" s="334"/>
      <c r="AKM243" s="334"/>
      <c r="AKN243" s="334"/>
      <c r="AKO243" s="334"/>
      <c r="AKP243" s="334"/>
      <c r="AKQ243" s="334"/>
      <c r="AKR243" s="334"/>
      <c r="AKS243" s="334"/>
      <c r="AKT243" s="334"/>
      <c r="AKU243" s="334"/>
      <c r="AKV243" s="334"/>
      <c r="AKW243" s="334"/>
      <c r="AKX243" s="334"/>
      <c r="AKY243" s="334"/>
      <c r="AKZ243" s="334"/>
      <c r="ALA243" s="334"/>
      <c r="ALB243" s="334"/>
      <c r="ALC243" s="334"/>
      <c r="ALD243" s="334"/>
      <c r="ALE243" s="334"/>
      <c r="ALF243" s="334"/>
      <c r="ALG243" s="334"/>
      <c r="ALH243" s="334"/>
      <c r="ALI243" s="334"/>
      <c r="ALJ243" s="334"/>
      <c r="ALK243" s="334"/>
      <c r="ALL243" s="334"/>
      <c r="ALM243" s="334"/>
      <c r="ALN243" s="334"/>
      <c r="ALO243" s="334"/>
      <c r="ALP243" s="334"/>
      <c r="ALQ243" s="334"/>
      <c r="ALR243" s="334"/>
      <c r="ALS243" s="334"/>
      <c r="ALT243" s="334"/>
      <c r="ALU243" s="334"/>
      <c r="ALV243" s="334"/>
      <c r="ALW243" s="334"/>
      <c r="ALX243" s="334"/>
      <c r="ALY243" s="334"/>
      <c r="ALZ243" s="334"/>
      <c r="AMA243" s="334"/>
      <c r="AMB243" s="334"/>
      <c r="AMC243" s="334"/>
      <c r="AMD243" s="334"/>
      <c r="AME243" s="334"/>
      <c r="AMF243" s="334"/>
      <c r="AMG243" s="334"/>
      <c r="AMH243" s="334"/>
      <c r="AMI243" s="334"/>
      <c r="AMJ243" s="334"/>
      <c r="AMK243" s="334"/>
      <c r="AML243" s="334"/>
      <c r="AMM243" s="334"/>
      <c r="AMN243" s="334"/>
      <c r="AMO243" s="334"/>
      <c r="AMP243" s="334"/>
      <c r="AMQ243" s="334"/>
      <c r="AMR243" s="334"/>
      <c r="AMS243" s="334"/>
      <c r="AMT243" s="334"/>
      <c r="AMU243" s="334"/>
      <c r="AMV243" s="334"/>
      <c r="AMW243" s="334"/>
      <c r="AMX243" s="334"/>
      <c r="AMY243" s="334"/>
      <c r="AMZ243" s="334"/>
      <c r="ANA243" s="334"/>
      <c r="ANB243" s="334"/>
      <c r="ANC243" s="334"/>
      <c r="AND243" s="334"/>
      <c r="ANE243" s="334"/>
      <c r="ANF243" s="334"/>
      <c r="ANG243" s="334"/>
      <c r="ANH243" s="334"/>
      <c r="ANI243" s="334"/>
      <c r="ANJ243" s="334"/>
      <c r="ANK243" s="334"/>
      <c r="ANL243" s="334"/>
      <c r="ANM243" s="334"/>
      <c r="ANN243" s="334"/>
      <c r="ANO243" s="334"/>
      <c r="ANP243" s="334"/>
      <c r="ANQ243" s="334"/>
      <c r="ANR243" s="334"/>
      <c r="ANS243" s="334"/>
      <c r="ANT243" s="334"/>
      <c r="ANU243" s="334"/>
      <c r="ANV243" s="334"/>
      <c r="ANW243" s="334"/>
      <c r="ANX243" s="334"/>
      <c r="ANY243" s="334"/>
      <c r="ANZ243" s="334"/>
      <c r="AOA243" s="334"/>
      <c r="AOB243" s="334"/>
      <c r="AOC243" s="334"/>
      <c r="AOD243" s="334"/>
      <c r="AOE243" s="334"/>
      <c r="AOF243" s="334"/>
      <c r="AOG243" s="334"/>
      <c r="AOH243" s="334"/>
      <c r="AOI243" s="334"/>
      <c r="AOJ243" s="334"/>
      <c r="AOK243" s="334"/>
      <c r="AOL243" s="334"/>
      <c r="AOM243" s="334"/>
      <c r="AON243" s="334"/>
      <c r="AOO243" s="334"/>
      <c r="AOP243" s="334"/>
      <c r="AOQ243" s="334"/>
      <c r="AOR243" s="334"/>
      <c r="AOS243" s="334"/>
      <c r="AOT243" s="334"/>
      <c r="AOU243" s="334"/>
      <c r="AOV243" s="334"/>
      <c r="AOW243" s="334"/>
      <c r="AOX243" s="334"/>
      <c r="AOY243" s="334"/>
      <c r="AOZ243" s="334"/>
      <c r="APA243" s="334"/>
      <c r="APB243" s="334"/>
      <c r="APC243" s="334"/>
      <c r="APD243" s="334"/>
      <c r="APE243" s="334"/>
      <c r="APF243" s="334"/>
      <c r="APG243" s="334"/>
      <c r="APH243" s="334"/>
      <c r="API243" s="334"/>
      <c r="APJ243" s="334"/>
      <c r="APK243" s="334"/>
      <c r="APL243" s="334"/>
      <c r="APM243" s="334"/>
      <c r="APN243" s="334"/>
      <c r="APO243" s="334"/>
      <c r="APP243" s="334"/>
      <c r="APQ243" s="334"/>
      <c r="APR243" s="334"/>
      <c r="APS243" s="334"/>
      <c r="APT243" s="334"/>
      <c r="APU243" s="334"/>
      <c r="APV243" s="334"/>
      <c r="APW243" s="334"/>
      <c r="APX243" s="334"/>
      <c r="APY243" s="334"/>
      <c r="APZ243" s="334"/>
      <c r="AQA243" s="334"/>
      <c r="AQB243" s="334"/>
      <c r="AQC243" s="334"/>
      <c r="AQD243" s="334"/>
      <c r="AQE243" s="334"/>
      <c r="AQF243" s="334"/>
      <c r="AQG243" s="334"/>
      <c r="AQH243" s="334"/>
      <c r="AQI243" s="334"/>
      <c r="AQJ243" s="334"/>
      <c r="AQK243" s="334"/>
      <c r="AQL243" s="334"/>
      <c r="AQM243" s="334"/>
      <c r="AQN243" s="334"/>
      <c r="AQO243" s="334"/>
      <c r="AQP243" s="334"/>
      <c r="AQQ243" s="334"/>
      <c r="AQR243" s="334"/>
      <c r="AQS243" s="334"/>
      <c r="AQT243" s="334"/>
      <c r="AQU243" s="334"/>
      <c r="AQV243" s="334"/>
      <c r="AQW243" s="334"/>
      <c r="AQX243" s="334"/>
      <c r="AQY243" s="334"/>
      <c r="AQZ243" s="334"/>
      <c r="ARA243" s="334"/>
      <c r="ARB243" s="334"/>
      <c r="ARC243" s="334"/>
      <c r="ARD243" s="334"/>
      <c r="ARE243" s="334"/>
      <c r="ARF243" s="334"/>
      <c r="ARG243" s="334"/>
      <c r="ARH243" s="334"/>
      <c r="ARI243" s="334"/>
      <c r="ARJ243" s="334"/>
      <c r="ARK243" s="334"/>
      <c r="ARL243" s="334"/>
      <c r="ARM243" s="334"/>
      <c r="ARN243" s="334"/>
      <c r="ARO243" s="334"/>
      <c r="ARP243" s="334"/>
      <c r="ARQ243" s="334"/>
      <c r="ARR243" s="334"/>
      <c r="ARS243" s="334"/>
      <c r="ART243" s="334"/>
      <c r="ARU243" s="334"/>
      <c r="ARV243" s="334"/>
      <c r="ARW243" s="334"/>
      <c r="ARX243" s="334"/>
      <c r="ARY243" s="334"/>
      <c r="ARZ243" s="334"/>
      <c r="ASA243" s="334"/>
      <c r="ASB243" s="334"/>
      <c r="ASC243" s="334"/>
      <c r="ASD243" s="334"/>
      <c r="ASE243" s="334"/>
      <c r="ASF243" s="334"/>
      <c r="ASG243" s="334"/>
      <c r="ASH243" s="334"/>
      <c r="ASI243" s="334"/>
      <c r="ASJ243" s="334"/>
      <c r="ASK243" s="334"/>
      <c r="ASL243" s="334"/>
      <c r="ASM243" s="334"/>
      <c r="ASN243" s="334"/>
      <c r="ASO243" s="334"/>
      <c r="ASP243" s="334"/>
      <c r="ASQ243" s="334"/>
      <c r="ASR243" s="334"/>
      <c r="ASS243" s="334"/>
      <c r="AST243" s="334"/>
      <c r="ASU243" s="334"/>
      <c r="ASV243" s="334"/>
      <c r="ASW243" s="334"/>
      <c r="ASX243" s="334"/>
      <c r="ASY243" s="334"/>
      <c r="ASZ243" s="334"/>
      <c r="ATA243" s="334"/>
      <c r="ATB243" s="334"/>
      <c r="ATC243" s="334"/>
      <c r="ATD243" s="334"/>
      <c r="ATE243" s="334"/>
      <c r="ATF243" s="334"/>
      <c r="ATG243" s="334"/>
      <c r="ATH243" s="334"/>
      <c r="ATI243" s="334"/>
      <c r="ATJ243" s="334"/>
      <c r="ATK243" s="334"/>
      <c r="ATL243" s="334"/>
      <c r="ATM243" s="334"/>
      <c r="ATN243" s="334"/>
      <c r="ATO243" s="334"/>
      <c r="ATP243" s="334"/>
      <c r="ATQ243" s="334"/>
      <c r="ATR243" s="334"/>
      <c r="ATS243" s="334"/>
      <c r="ATT243" s="334"/>
      <c r="ATU243" s="334"/>
      <c r="ATV243" s="334"/>
      <c r="ATW243" s="334"/>
      <c r="ATX243" s="334"/>
      <c r="ATY243" s="334"/>
      <c r="ATZ243" s="334"/>
      <c r="AUA243" s="334"/>
      <c r="AUB243" s="334"/>
      <c r="AUC243" s="334"/>
      <c r="AUD243" s="334"/>
      <c r="AUE243" s="334"/>
      <c r="AUF243" s="334"/>
      <c r="AUG243" s="334"/>
      <c r="AUH243" s="334"/>
      <c r="AUI243" s="334"/>
      <c r="AUJ243" s="334"/>
      <c r="AUK243" s="334"/>
      <c r="AUL243" s="334"/>
      <c r="AUM243" s="334"/>
      <c r="AUN243" s="334"/>
      <c r="AUO243" s="334"/>
      <c r="AUP243" s="334"/>
      <c r="AUQ243" s="334"/>
      <c r="AUR243" s="334"/>
      <c r="AUS243" s="334"/>
      <c r="AUT243" s="334"/>
      <c r="AUU243" s="334"/>
      <c r="AUV243" s="334"/>
      <c r="AUW243" s="334"/>
      <c r="AUX243" s="334"/>
      <c r="AUY243" s="334"/>
      <c r="AUZ243" s="334"/>
      <c r="AVA243" s="334"/>
      <c r="AVB243" s="334"/>
      <c r="AVC243" s="334"/>
      <c r="AVD243" s="334"/>
      <c r="AVE243" s="334"/>
      <c r="AVF243" s="334"/>
      <c r="AVG243" s="334"/>
      <c r="AVH243" s="334"/>
      <c r="AVI243" s="334"/>
      <c r="AVJ243" s="334"/>
      <c r="AVK243" s="334"/>
      <c r="AVL243" s="334"/>
      <c r="AVM243" s="334"/>
      <c r="AVN243" s="334"/>
      <c r="AVO243" s="334"/>
      <c r="AVP243" s="334"/>
      <c r="AVQ243" s="334"/>
      <c r="AVR243" s="334"/>
      <c r="AVS243" s="334"/>
      <c r="AVT243" s="334"/>
      <c r="AVU243" s="334"/>
      <c r="AVV243" s="334"/>
      <c r="AVW243" s="334"/>
      <c r="AVX243" s="334"/>
      <c r="AVY243" s="334"/>
      <c r="AVZ243" s="334"/>
      <c r="AWA243" s="334"/>
      <c r="AWB243" s="334"/>
      <c r="AWC243" s="334"/>
      <c r="AWD243" s="334"/>
      <c r="AWE243" s="334"/>
      <c r="AWF243" s="334"/>
      <c r="AWG243" s="334"/>
      <c r="AWH243" s="334"/>
      <c r="AWI243" s="334"/>
      <c r="AWJ243" s="334"/>
      <c r="AWK243" s="334"/>
      <c r="AWL243" s="334"/>
      <c r="AWM243" s="334"/>
      <c r="AWN243" s="334"/>
      <c r="AWO243" s="334"/>
      <c r="AWP243" s="334"/>
      <c r="AWQ243" s="334"/>
      <c r="AWR243" s="334"/>
      <c r="AWS243" s="334"/>
      <c r="AWT243" s="334"/>
      <c r="AWU243" s="334"/>
      <c r="AWV243" s="334"/>
      <c r="AWW243" s="334"/>
      <c r="AWX243" s="334"/>
      <c r="AWY243" s="334"/>
      <c r="AWZ243" s="334"/>
      <c r="AXA243" s="334"/>
      <c r="AXB243" s="334"/>
      <c r="AXC243" s="334"/>
      <c r="AXD243" s="334"/>
      <c r="AXE243" s="334"/>
      <c r="AXF243" s="334"/>
      <c r="AXG243" s="334"/>
      <c r="AXH243" s="334"/>
      <c r="AXI243" s="334"/>
      <c r="AXJ243" s="334"/>
      <c r="AXK243" s="334"/>
      <c r="AXL243" s="334"/>
      <c r="AXM243" s="334"/>
      <c r="AXN243" s="334"/>
      <c r="AXO243" s="334"/>
      <c r="AXP243" s="334"/>
      <c r="AXQ243" s="334"/>
      <c r="AXR243" s="334"/>
      <c r="AXS243" s="334"/>
      <c r="AXT243" s="334"/>
      <c r="AXU243" s="334"/>
      <c r="AXV243" s="334"/>
      <c r="AXW243" s="334"/>
      <c r="AXX243" s="334"/>
      <c r="AXY243" s="334"/>
      <c r="AXZ243" s="334"/>
      <c r="AYA243" s="334"/>
      <c r="AYB243" s="334"/>
      <c r="AYC243" s="334"/>
      <c r="AYD243" s="334"/>
      <c r="AYE243" s="334"/>
      <c r="AYF243" s="334"/>
      <c r="AYG243" s="334"/>
      <c r="AYH243" s="334"/>
      <c r="AYI243" s="334"/>
      <c r="AYJ243" s="334"/>
      <c r="AYK243" s="334"/>
      <c r="AYL243" s="334"/>
      <c r="AYM243" s="334"/>
      <c r="AYN243" s="334"/>
      <c r="AYO243" s="334"/>
      <c r="AYP243" s="334"/>
      <c r="AYQ243" s="334"/>
      <c r="AYR243" s="334"/>
      <c r="AYS243" s="334"/>
      <c r="AYT243" s="334"/>
      <c r="AYU243" s="334"/>
      <c r="AYV243" s="334"/>
      <c r="AYW243" s="334"/>
      <c r="AYX243" s="334"/>
      <c r="AYY243" s="334"/>
      <c r="AYZ243" s="334"/>
      <c r="AZA243" s="334"/>
      <c r="AZB243" s="334"/>
      <c r="AZC243" s="334"/>
      <c r="AZD243" s="334"/>
      <c r="AZE243" s="334"/>
      <c r="AZF243" s="334"/>
      <c r="AZG243" s="334"/>
      <c r="AZH243" s="334"/>
      <c r="AZI243" s="334"/>
      <c r="AZJ243" s="334"/>
      <c r="AZK243" s="334"/>
      <c r="AZL243" s="334"/>
      <c r="AZM243" s="334"/>
      <c r="AZN243" s="334"/>
      <c r="AZO243" s="334"/>
      <c r="AZP243" s="334"/>
      <c r="AZQ243" s="334"/>
      <c r="AZR243" s="334"/>
      <c r="AZS243" s="334"/>
      <c r="AZT243" s="334"/>
      <c r="AZU243" s="334"/>
      <c r="AZV243" s="334"/>
      <c r="AZW243" s="334"/>
      <c r="AZX243" s="334"/>
      <c r="AZY243" s="334"/>
      <c r="AZZ243" s="334"/>
      <c r="BAA243" s="334"/>
      <c r="BAB243" s="334"/>
      <c r="BAC243" s="334"/>
      <c r="BAD243" s="334"/>
      <c r="BAE243" s="334"/>
      <c r="BAF243" s="334"/>
      <c r="BAG243" s="334"/>
      <c r="BAH243" s="334"/>
      <c r="BAI243" s="334"/>
      <c r="BAJ243" s="334"/>
      <c r="BAK243" s="334"/>
      <c r="BAL243" s="334"/>
      <c r="BAM243" s="334"/>
      <c r="BAN243" s="334"/>
      <c r="BAO243" s="334"/>
      <c r="BAP243" s="334"/>
      <c r="BAQ243" s="334"/>
      <c r="BAR243" s="334"/>
      <c r="BAS243" s="334"/>
      <c r="BAT243" s="334"/>
      <c r="BAU243" s="334"/>
      <c r="BAV243" s="334"/>
      <c r="BAW243" s="334"/>
      <c r="BAX243" s="334"/>
      <c r="BAY243" s="334"/>
      <c r="BAZ243" s="334"/>
      <c r="BBA243" s="334"/>
      <c r="BBB243" s="334"/>
      <c r="BBC243" s="334"/>
      <c r="BBD243" s="334"/>
      <c r="BBE243" s="334"/>
      <c r="BBF243" s="334"/>
      <c r="BBG243" s="334"/>
      <c r="BBH243" s="334"/>
      <c r="BBI243" s="334"/>
      <c r="BBJ243" s="334"/>
      <c r="BBK243" s="334"/>
      <c r="BBL243" s="334"/>
      <c r="BBM243" s="334"/>
      <c r="BBN243" s="334"/>
      <c r="BBO243" s="334"/>
      <c r="BBP243" s="334"/>
      <c r="BBQ243" s="334"/>
      <c r="BBR243" s="334"/>
      <c r="BBS243" s="334"/>
      <c r="BBT243" s="334"/>
      <c r="BBU243" s="334"/>
      <c r="BBV243" s="334"/>
      <c r="BBW243" s="334"/>
      <c r="BBX243" s="334"/>
      <c r="BBY243" s="334"/>
      <c r="BBZ243" s="334"/>
      <c r="BCA243" s="334"/>
      <c r="BCB243" s="334"/>
      <c r="BCC243" s="334"/>
      <c r="BCD243" s="334"/>
      <c r="BCE243" s="334"/>
      <c r="BCF243" s="334"/>
      <c r="BCG243" s="334"/>
      <c r="BCH243" s="334"/>
      <c r="BCI243" s="334"/>
      <c r="BCJ243" s="334"/>
      <c r="BCK243" s="334"/>
      <c r="BCL243" s="334"/>
      <c r="BCM243" s="334"/>
      <c r="BCN243" s="334"/>
      <c r="BCO243" s="334"/>
      <c r="BCP243" s="334"/>
      <c r="BCQ243" s="334"/>
      <c r="BCR243" s="334"/>
      <c r="BCS243" s="334"/>
      <c r="BCT243" s="334"/>
      <c r="BCU243" s="334"/>
      <c r="BCV243" s="334"/>
      <c r="BCW243" s="334"/>
      <c r="BCX243" s="334"/>
      <c r="BCY243" s="334"/>
      <c r="BCZ243" s="334"/>
      <c r="BDA243" s="334"/>
      <c r="BDB243" s="334"/>
      <c r="BDC243" s="334"/>
      <c r="BDD243" s="334"/>
      <c r="BDE243" s="334"/>
      <c r="BDF243" s="334"/>
      <c r="BDG243" s="334"/>
      <c r="BDH243" s="334"/>
      <c r="BDI243" s="334"/>
      <c r="BDJ243" s="334"/>
      <c r="BDK243" s="334"/>
      <c r="BDL243" s="334"/>
      <c r="BDM243" s="334"/>
      <c r="BDN243" s="334"/>
      <c r="BDO243" s="334"/>
      <c r="BDP243" s="334"/>
      <c r="BDQ243" s="334"/>
      <c r="BDR243" s="334"/>
      <c r="BDS243" s="334"/>
      <c r="BDT243" s="334"/>
      <c r="BDU243" s="334"/>
      <c r="BDV243" s="334"/>
      <c r="BDW243" s="334"/>
      <c r="BDX243" s="334"/>
      <c r="BDY243" s="334"/>
      <c r="BDZ243" s="334"/>
      <c r="BEA243" s="334"/>
      <c r="BEB243" s="334"/>
      <c r="BEC243" s="334"/>
      <c r="BED243" s="334"/>
      <c r="BEE243" s="334"/>
      <c r="BEF243" s="334"/>
      <c r="BEG243" s="334"/>
      <c r="BEH243" s="334"/>
      <c r="BEI243" s="334"/>
      <c r="BEJ243" s="334"/>
      <c r="BEK243" s="334"/>
      <c r="BEL243" s="334"/>
      <c r="BEM243" s="334"/>
      <c r="BEN243" s="334"/>
      <c r="BEO243" s="334"/>
      <c r="BEP243" s="334"/>
      <c r="BEQ243" s="334"/>
      <c r="BER243" s="334"/>
      <c r="BES243" s="334"/>
      <c r="BET243" s="334"/>
      <c r="BEU243" s="334"/>
      <c r="BEV243" s="334"/>
      <c r="BEW243" s="334"/>
      <c r="BEX243" s="334"/>
      <c r="BEY243" s="334"/>
      <c r="BEZ243" s="334"/>
      <c r="BFA243" s="334"/>
      <c r="BFB243" s="334"/>
      <c r="BFC243" s="334"/>
      <c r="BFD243" s="334"/>
      <c r="BFE243" s="334"/>
      <c r="BFF243" s="334"/>
      <c r="BFG243" s="334"/>
      <c r="BFH243" s="334"/>
      <c r="BFI243" s="334"/>
      <c r="BFJ243" s="334"/>
      <c r="BFK243" s="334"/>
      <c r="BFL243" s="334"/>
      <c r="BFM243" s="334"/>
      <c r="BFN243" s="334"/>
      <c r="BFO243" s="334"/>
      <c r="BFP243" s="334"/>
      <c r="BFQ243" s="334"/>
      <c r="BFR243" s="334"/>
      <c r="BFS243" s="334"/>
      <c r="BFT243" s="334"/>
      <c r="BFU243" s="334"/>
      <c r="BFV243" s="334"/>
      <c r="BFW243" s="334"/>
      <c r="BFX243" s="334"/>
      <c r="BFY243" s="334"/>
      <c r="BFZ243" s="334"/>
      <c r="BGA243" s="334"/>
      <c r="BGB243" s="334"/>
      <c r="BGC243" s="334"/>
      <c r="BGD243" s="334"/>
      <c r="BGE243" s="334"/>
      <c r="BGF243" s="334"/>
      <c r="BGG243" s="334"/>
      <c r="BGH243" s="334"/>
      <c r="BGI243" s="334"/>
      <c r="BGJ243" s="334"/>
      <c r="BGK243" s="334"/>
      <c r="BGL243" s="334"/>
      <c r="BGM243" s="334"/>
      <c r="BGN243" s="334"/>
      <c r="BGO243" s="334"/>
      <c r="BGP243" s="334"/>
      <c r="BGQ243" s="334"/>
      <c r="BGR243" s="334"/>
      <c r="BGS243" s="334"/>
      <c r="BGT243" s="334"/>
      <c r="BGU243" s="334"/>
      <c r="BGV243" s="334"/>
      <c r="BGW243" s="334"/>
      <c r="BGX243" s="334"/>
      <c r="BGY243" s="334"/>
      <c r="BGZ243" s="334"/>
      <c r="BHA243" s="334"/>
      <c r="BHB243" s="334"/>
      <c r="BHC243" s="334"/>
      <c r="BHD243" s="334"/>
      <c r="BHE243" s="334"/>
      <c r="BHF243" s="334"/>
      <c r="BHG243" s="334"/>
      <c r="BHH243" s="334"/>
      <c r="BHI243" s="334"/>
      <c r="BHJ243" s="334"/>
      <c r="BHK243" s="334"/>
      <c r="BHL243" s="334"/>
      <c r="BHM243" s="334"/>
      <c r="BHN243" s="334"/>
      <c r="BHO243" s="334"/>
      <c r="BHP243" s="334"/>
      <c r="BHQ243" s="334"/>
      <c r="BHR243" s="334"/>
      <c r="BHS243" s="334"/>
      <c r="BHT243" s="334"/>
      <c r="BHU243" s="334"/>
      <c r="BHV243" s="334"/>
      <c r="BHW243" s="334"/>
      <c r="BHX243" s="334"/>
      <c r="BHY243" s="334"/>
      <c r="BHZ243" s="334"/>
      <c r="BIA243" s="334"/>
      <c r="BIB243" s="334"/>
      <c r="BIC243" s="334"/>
      <c r="BID243" s="334"/>
      <c r="BIE243" s="334"/>
      <c r="BIF243" s="334"/>
      <c r="BIG243" s="334"/>
      <c r="BIH243" s="334"/>
      <c r="BII243" s="334"/>
      <c r="BIJ243" s="334"/>
      <c r="BIK243" s="334"/>
      <c r="BIL243" s="334"/>
      <c r="BIM243" s="334"/>
      <c r="BIN243" s="334"/>
      <c r="BIO243" s="334"/>
      <c r="BIP243" s="334"/>
      <c r="BIQ243" s="334"/>
      <c r="BIR243" s="334"/>
      <c r="BIS243" s="334"/>
      <c r="BIT243" s="334"/>
      <c r="BIU243" s="334"/>
      <c r="BIV243" s="334"/>
      <c r="BIW243" s="334"/>
      <c r="BIX243" s="334"/>
      <c r="BIY243" s="334"/>
      <c r="BIZ243" s="334"/>
      <c r="BJA243" s="334"/>
      <c r="BJB243" s="334"/>
      <c r="BJC243" s="334"/>
      <c r="BJD243" s="334"/>
      <c r="BJE243" s="334"/>
      <c r="BJF243" s="334"/>
      <c r="BJG243" s="334"/>
      <c r="BJH243" s="334"/>
      <c r="BJI243" s="334"/>
      <c r="BJJ243" s="334"/>
      <c r="BJK243" s="334"/>
      <c r="BJL243" s="334"/>
      <c r="BJM243" s="334"/>
      <c r="BJN243" s="334"/>
      <c r="BJO243" s="334"/>
      <c r="BJP243" s="334"/>
      <c r="BJQ243" s="334"/>
      <c r="BJR243" s="334"/>
      <c r="BJS243" s="334"/>
      <c r="BJT243" s="334"/>
      <c r="BJU243" s="334"/>
      <c r="BJV243" s="334"/>
      <c r="BJW243" s="334"/>
      <c r="BJX243" s="334"/>
      <c r="BJY243" s="334"/>
      <c r="BJZ243" s="334"/>
      <c r="BKA243" s="334"/>
      <c r="BKB243" s="334"/>
      <c r="BKC243" s="334"/>
      <c r="BKD243" s="334"/>
      <c r="BKE243" s="334"/>
      <c r="BKF243" s="334"/>
      <c r="BKG243" s="334"/>
      <c r="BKH243" s="334"/>
      <c r="BKI243" s="334"/>
      <c r="BKJ243" s="334"/>
      <c r="BKK243" s="334"/>
      <c r="BKL243" s="334"/>
      <c r="BKM243" s="334"/>
      <c r="BKN243" s="334"/>
      <c r="BKO243" s="334"/>
      <c r="BKP243" s="334"/>
      <c r="BKQ243" s="334"/>
      <c r="BKR243" s="334"/>
      <c r="BKS243" s="334"/>
      <c r="BKT243" s="334"/>
      <c r="BKU243" s="334"/>
      <c r="BKV243" s="334"/>
      <c r="BKW243" s="334"/>
      <c r="BKX243" s="334"/>
      <c r="BKY243" s="334"/>
      <c r="BKZ243" s="334"/>
      <c r="BLA243" s="334"/>
      <c r="BLB243" s="334"/>
      <c r="BLC243" s="334"/>
      <c r="BLD243" s="334"/>
      <c r="BLE243" s="334"/>
      <c r="BLF243" s="334"/>
      <c r="BLG243" s="334"/>
      <c r="BLH243" s="334"/>
      <c r="BLI243" s="334"/>
      <c r="BLJ243" s="334"/>
      <c r="BLK243" s="334"/>
      <c r="BLL243" s="334"/>
      <c r="BLM243" s="334"/>
      <c r="BLN243" s="334"/>
      <c r="BLO243" s="334"/>
      <c r="BLP243" s="334"/>
      <c r="BLQ243" s="334"/>
      <c r="BLR243" s="334"/>
      <c r="BLS243" s="334"/>
      <c r="BLT243" s="334"/>
      <c r="BLU243" s="334"/>
      <c r="BLV243" s="334"/>
      <c r="BLW243" s="334"/>
      <c r="BLX243" s="334"/>
      <c r="BLY243" s="334"/>
      <c r="BLZ243" s="334"/>
      <c r="BMA243" s="334"/>
      <c r="BMB243" s="334"/>
      <c r="BMC243" s="334"/>
      <c r="BMD243" s="334"/>
      <c r="BME243" s="334"/>
      <c r="BMF243" s="334"/>
      <c r="BMG243" s="334"/>
      <c r="BMH243" s="334"/>
      <c r="BMI243" s="334"/>
      <c r="BMJ243" s="334"/>
      <c r="BMK243" s="334"/>
      <c r="BML243" s="334"/>
      <c r="BMM243" s="334"/>
      <c r="BMN243" s="334"/>
      <c r="BMO243" s="334"/>
      <c r="BMP243" s="334"/>
      <c r="BMQ243" s="334"/>
      <c r="BMR243" s="334"/>
      <c r="BMS243" s="334"/>
      <c r="BMT243" s="334"/>
      <c r="BMU243" s="334"/>
      <c r="BMV243" s="334"/>
      <c r="BMW243" s="334"/>
      <c r="BMX243" s="334"/>
      <c r="BMY243" s="334"/>
      <c r="BMZ243" s="334"/>
      <c r="BNA243" s="334"/>
      <c r="BNB243" s="334"/>
      <c r="BNC243" s="334"/>
      <c r="BND243" s="334"/>
      <c r="BNE243" s="334"/>
      <c r="BNF243" s="334"/>
      <c r="BNG243" s="334"/>
      <c r="BNH243" s="334"/>
      <c r="BNI243" s="334"/>
      <c r="BNJ243" s="334"/>
      <c r="BNK243" s="334"/>
      <c r="BNL243" s="334"/>
      <c r="BNM243" s="334"/>
      <c r="BNN243" s="334"/>
      <c r="BNO243" s="334"/>
      <c r="BNP243" s="334"/>
      <c r="BNQ243" s="334"/>
      <c r="BNR243" s="334"/>
      <c r="BNS243" s="334"/>
      <c r="BNT243" s="334"/>
      <c r="BNU243" s="334"/>
      <c r="BNV243" s="334"/>
      <c r="BNW243" s="334"/>
      <c r="BNX243" s="334"/>
      <c r="BNY243" s="334"/>
      <c r="BNZ243" s="334"/>
      <c r="BOA243" s="334"/>
      <c r="BOB243" s="334"/>
      <c r="BOC243" s="334"/>
      <c r="BOD243" s="334"/>
      <c r="BOE243" s="334"/>
      <c r="BOF243" s="334"/>
      <c r="BOG243" s="334"/>
      <c r="BOH243" s="334"/>
      <c r="BOI243" s="334"/>
      <c r="BOJ243" s="334"/>
      <c r="BOK243" s="334"/>
      <c r="BOL243" s="334"/>
      <c r="BOM243" s="334"/>
      <c r="BON243" s="334"/>
      <c r="BOO243" s="334"/>
      <c r="BOP243" s="334"/>
      <c r="BOQ243" s="334"/>
      <c r="BOR243" s="334"/>
      <c r="BOS243" s="334"/>
      <c r="BOT243" s="334"/>
      <c r="BOU243" s="334"/>
      <c r="BOV243" s="334"/>
      <c r="BOW243" s="334"/>
      <c r="BOX243" s="334"/>
      <c r="BOY243" s="334"/>
      <c r="BOZ243" s="334"/>
      <c r="BPA243" s="334"/>
      <c r="BPB243" s="334"/>
      <c r="BPC243" s="334"/>
      <c r="BPD243" s="334"/>
      <c r="BPE243" s="334"/>
      <c r="BPF243" s="334"/>
      <c r="BPG243" s="334"/>
      <c r="BPH243" s="334"/>
      <c r="BPI243" s="334"/>
      <c r="BPJ243" s="334"/>
      <c r="BPK243" s="334"/>
      <c r="BPL243" s="334"/>
      <c r="BPM243" s="334"/>
      <c r="BPN243" s="334"/>
      <c r="BPO243" s="334"/>
      <c r="BPP243" s="334"/>
      <c r="BPQ243" s="334"/>
      <c r="BPR243" s="334"/>
      <c r="BPS243" s="334"/>
      <c r="BPT243" s="334"/>
      <c r="BPU243" s="334"/>
      <c r="BPV243" s="334"/>
      <c r="BPW243" s="334"/>
      <c r="BPX243" s="334"/>
      <c r="BPY243" s="334"/>
      <c r="BPZ243" s="334"/>
      <c r="BQA243" s="334"/>
      <c r="BQB243" s="334"/>
      <c r="BQC243" s="334"/>
      <c r="BQD243" s="334"/>
      <c r="BQE243" s="334"/>
      <c r="BQF243" s="334"/>
      <c r="BQG243" s="334"/>
      <c r="BQH243" s="334"/>
      <c r="BQI243" s="334"/>
      <c r="BQJ243" s="334"/>
      <c r="BQK243" s="334"/>
      <c r="BQL243" s="334"/>
      <c r="BQM243" s="334"/>
      <c r="BQN243" s="334"/>
      <c r="BQO243" s="334"/>
      <c r="BQP243" s="334"/>
      <c r="BQQ243" s="334"/>
      <c r="BQR243" s="334"/>
      <c r="BQS243" s="334"/>
      <c r="BQT243" s="334"/>
      <c r="BQU243" s="334"/>
      <c r="BQV243" s="334"/>
      <c r="BQW243" s="334"/>
      <c r="BQX243" s="334"/>
      <c r="BQY243" s="334"/>
      <c r="BQZ243" s="334"/>
      <c r="BRA243" s="334"/>
      <c r="BRB243" s="334"/>
      <c r="BRC243" s="334"/>
      <c r="BRD243" s="334"/>
      <c r="BRE243" s="334"/>
      <c r="BRF243" s="334"/>
      <c r="BRG243" s="334"/>
      <c r="BRH243" s="334"/>
      <c r="BRI243" s="334"/>
      <c r="BRJ243" s="334"/>
      <c r="BRK243" s="334"/>
      <c r="BRL243" s="334"/>
      <c r="BRM243" s="334"/>
      <c r="BRN243" s="334"/>
      <c r="BRO243" s="334"/>
      <c r="BRP243" s="334"/>
      <c r="BRQ243" s="334"/>
      <c r="BRR243" s="334"/>
      <c r="BRS243" s="334"/>
      <c r="BRT243" s="334"/>
      <c r="BRU243" s="334"/>
      <c r="BRV243" s="334"/>
      <c r="BRW243" s="334"/>
      <c r="BRX243" s="334"/>
      <c r="BRY243" s="334"/>
      <c r="BRZ243" s="334"/>
      <c r="BSA243" s="334"/>
      <c r="BSB243" s="334"/>
      <c r="BSC243" s="334"/>
      <c r="BSD243" s="334"/>
      <c r="BSE243" s="334"/>
      <c r="BSF243" s="334"/>
      <c r="BSG243" s="334"/>
      <c r="BSH243" s="334"/>
      <c r="BSI243" s="334"/>
      <c r="BSJ243" s="334"/>
      <c r="BSK243" s="334"/>
      <c r="BSL243" s="334"/>
      <c r="BSM243" s="334"/>
      <c r="BSN243" s="334"/>
      <c r="BSO243" s="334"/>
      <c r="BSP243" s="334"/>
      <c r="BSQ243" s="334"/>
      <c r="BSR243" s="334"/>
      <c r="BSS243" s="334"/>
      <c r="BST243" s="334"/>
      <c r="BSU243" s="334"/>
      <c r="BSV243" s="334"/>
      <c r="BSW243" s="334"/>
      <c r="BSX243" s="334"/>
      <c r="BSY243" s="334"/>
      <c r="BSZ243" s="334"/>
      <c r="BTA243" s="334"/>
      <c r="BTB243" s="334"/>
      <c r="BTC243" s="334"/>
      <c r="BTD243" s="334"/>
      <c r="BTE243" s="334"/>
      <c r="BTF243" s="334"/>
      <c r="BTG243" s="334"/>
      <c r="BTH243" s="334"/>
      <c r="BTI243" s="334"/>
      <c r="BTJ243" s="334"/>
      <c r="BTK243" s="334"/>
      <c r="BTL243" s="334"/>
      <c r="BTM243" s="334"/>
      <c r="BTN243" s="334"/>
      <c r="BTO243" s="334"/>
      <c r="BTP243" s="334"/>
      <c r="BTQ243" s="334"/>
      <c r="BTR243" s="334"/>
      <c r="BTS243" s="334"/>
      <c r="BTT243" s="334"/>
      <c r="BTU243" s="334"/>
      <c r="BTV243" s="334"/>
      <c r="BTW243" s="334"/>
      <c r="BTX243" s="334"/>
      <c r="BTY243" s="334"/>
      <c r="BTZ243" s="334"/>
      <c r="BUA243" s="334"/>
      <c r="BUB243" s="334"/>
      <c r="BUC243" s="334"/>
      <c r="BUD243" s="334"/>
      <c r="BUE243" s="334"/>
      <c r="BUF243" s="334"/>
      <c r="BUG243" s="334"/>
      <c r="BUH243" s="334"/>
      <c r="BUI243" s="334"/>
      <c r="BUJ243" s="334"/>
      <c r="BUK243" s="334"/>
      <c r="BUL243" s="334"/>
      <c r="BUM243" s="334"/>
      <c r="BUN243" s="334"/>
      <c r="BUO243" s="334"/>
      <c r="BUP243" s="334"/>
      <c r="BUQ243" s="334"/>
      <c r="BUR243" s="334"/>
      <c r="BUS243" s="334"/>
      <c r="BUT243" s="334"/>
      <c r="BUU243" s="334"/>
      <c r="BUV243" s="334"/>
      <c r="BUW243" s="334"/>
      <c r="BUX243" s="334"/>
      <c r="BUY243" s="334"/>
      <c r="BUZ243" s="334"/>
      <c r="BVA243" s="334"/>
      <c r="BVB243" s="334"/>
      <c r="BVC243" s="334"/>
      <c r="BVD243" s="334"/>
      <c r="BVE243" s="334"/>
      <c r="BVF243" s="334"/>
      <c r="BVG243" s="334"/>
      <c r="BVH243" s="334"/>
      <c r="BVI243" s="334"/>
      <c r="BVJ243" s="334"/>
      <c r="BVK243" s="334"/>
      <c r="BVL243" s="334"/>
      <c r="BVM243" s="334"/>
      <c r="BVN243" s="334"/>
      <c r="BVO243" s="334"/>
      <c r="BVP243" s="334"/>
      <c r="BVQ243" s="334"/>
      <c r="BVR243" s="334"/>
      <c r="BVS243" s="334"/>
      <c r="BVT243" s="334"/>
      <c r="BVU243" s="334"/>
      <c r="BVV243" s="334"/>
      <c r="BVW243" s="334"/>
      <c r="BVX243" s="334"/>
      <c r="BVY243" s="334"/>
      <c r="BVZ243" s="334"/>
      <c r="BWA243" s="334"/>
      <c r="BWB243" s="334"/>
      <c r="BWC243" s="334"/>
      <c r="BWD243" s="334"/>
      <c r="BWE243" s="334"/>
      <c r="BWF243" s="334"/>
      <c r="BWG243" s="334"/>
      <c r="BWH243" s="334"/>
      <c r="BWI243" s="334"/>
      <c r="BWJ243" s="334"/>
      <c r="BWK243" s="334"/>
      <c r="BWL243" s="334"/>
      <c r="BWM243" s="334"/>
      <c r="BWN243" s="334"/>
      <c r="BWO243" s="334"/>
      <c r="BWP243" s="334"/>
      <c r="BWQ243" s="334"/>
      <c r="BWR243" s="334"/>
      <c r="BWS243" s="334"/>
      <c r="BWT243" s="334"/>
      <c r="BWU243" s="334"/>
      <c r="BWV243" s="334"/>
      <c r="BWW243" s="334"/>
      <c r="BWX243" s="334"/>
      <c r="BWY243" s="334"/>
      <c r="BWZ243" s="334"/>
      <c r="BXA243" s="334"/>
      <c r="BXB243" s="334"/>
      <c r="BXC243" s="334"/>
      <c r="BXD243" s="334"/>
      <c r="BXE243" s="334"/>
      <c r="BXF243" s="334"/>
      <c r="BXG243" s="334"/>
      <c r="BXH243" s="334"/>
      <c r="BXI243" s="334"/>
      <c r="BXJ243" s="334"/>
      <c r="BXK243" s="334"/>
      <c r="BXL243" s="334"/>
      <c r="BXM243" s="334"/>
      <c r="BXN243" s="334"/>
      <c r="BXO243" s="334"/>
      <c r="BXP243" s="334"/>
      <c r="BXQ243" s="334"/>
      <c r="BXR243" s="334"/>
      <c r="BXS243" s="334"/>
      <c r="BXT243" s="334"/>
      <c r="BXU243" s="334"/>
      <c r="BXV243" s="334"/>
      <c r="BXW243" s="334"/>
      <c r="BXX243" s="334"/>
      <c r="BXY243" s="334"/>
      <c r="BXZ243" s="334"/>
      <c r="BYA243" s="334"/>
      <c r="BYB243" s="334"/>
      <c r="BYC243" s="334"/>
      <c r="BYD243" s="334"/>
      <c r="BYE243" s="334"/>
      <c r="BYF243" s="334"/>
      <c r="BYG243" s="334"/>
      <c r="BYH243" s="334"/>
      <c r="BYI243" s="334"/>
      <c r="BYJ243" s="334"/>
      <c r="BYK243" s="334"/>
      <c r="BYL243" s="334"/>
      <c r="BYM243" s="334"/>
      <c r="BYN243" s="334"/>
      <c r="BYO243" s="334"/>
      <c r="BYP243" s="334"/>
      <c r="BYQ243" s="334"/>
      <c r="BYR243" s="334"/>
      <c r="BYS243" s="334"/>
      <c r="BYT243" s="334"/>
      <c r="BYU243" s="334"/>
      <c r="BYV243" s="334"/>
      <c r="BYW243" s="334"/>
      <c r="BYX243" s="334"/>
      <c r="BYY243" s="334"/>
      <c r="BYZ243" s="334"/>
      <c r="BZA243" s="334"/>
      <c r="BZB243" s="334"/>
      <c r="BZC243" s="334"/>
      <c r="BZD243" s="334"/>
      <c r="BZE243" s="334"/>
      <c r="BZF243" s="334"/>
      <c r="BZG243" s="334"/>
      <c r="BZH243" s="334"/>
      <c r="BZI243" s="334"/>
      <c r="BZJ243" s="334"/>
      <c r="BZK243" s="334"/>
      <c r="BZL243" s="334"/>
      <c r="BZM243" s="334"/>
      <c r="BZN243" s="334"/>
      <c r="BZO243" s="334"/>
      <c r="BZP243" s="334"/>
      <c r="BZQ243" s="334"/>
      <c r="BZR243" s="334"/>
      <c r="BZS243" s="334"/>
      <c r="BZT243" s="334"/>
      <c r="BZU243" s="334"/>
      <c r="BZV243" s="334"/>
      <c r="BZW243" s="334"/>
      <c r="BZX243" s="334"/>
      <c r="BZY243" s="334"/>
      <c r="BZZ243" s="334"/>
      <c r="CAA243" s="334"/>
      <c r="CAB243" s="334"/>
      <c r="CAC243" s="334"/>
      <c r="CAD243" s="334"/>
      <c r="CAE243" s="334"/>
      <c r="CAF243" s="334"/>
      <c r="CAG243" s="334"/>
      <c r="CAH243" s="334"/>
      <c r="CAI243" s="334"/>
      <c r="CAJ243" s="334"/>
      <c r="CAK243" s="334"/>
      <c r="CAL243" s="334"/>
      <c r="CAM243" s="334"/>
      <c r="CAN243" s="334"/>
      <c r="CAO243" s="334"/>
      <c r="CAP243" s="334"/>
      <c r="CAQ243" s="334"/>
      <c r="CAR243" s="334"/>
      <c r="CAS243" s="334"/>
      <c r="CAT243" s="334"/>
      <c r="CAU243" s="334"/>
      <c r="CAV243" s="334"/>
      <c r="CAW243" s="334"/>
      <c r="CAX243" s="334"/>
      <c r="CAY243" s="334"/>
      <c r="CAZ243" s="334"/>
      <c r="CBA243" s="334"/>
      <c r="CBB243" s="334"/>
      <c r="CBC243" s="334"/>
      <c r="CBD243" s="334"/>
      <c r="CBE243" s="334"/>
      <c r="CBF243" s="334"/>
      <c r="CBG243" s="334"/>
      <c r="CBH243" s="334"/>
      <c r="CBI243" s="334"/>
      <c r="CBJ243" s="334"/>
      <c r="CBK243" s="334"/>
      <c r="CBL243" s="334"/>
      <c r="CBM243" s="334"/>
      <c r="CBN243" s="334"/>
      <c r="CBO243" s="334"/>
      <c r="CBP243" s="334"/>
      <c r="CBQ243" s="334"/>
      <c r="CBR243" s="334"/>
      <c r="CBS243" s="334"/>
      <c r="CBT243" s="334"/>
      <c r="CBU243" s="334"/>
      <c r="CBV243" s="334"/>
      <c r="CBW243" s="334"/>
      <c r="CBX243" s="334"/>
      <c r="CBY243" s="334"/>
      <c r="CBZ243" s="334"/>
      <c r="CCA243" s="334"/>
      <c r="CCB243" s="334"/>
      <c r="CCC243" s="334"/>
      <c r="CCD243" s="334"/>
      <c r="CCE243" s="334"/>
      <c r="CCF243" s="334"/>
      <c r="CCG243" s="334"/>
      <c r="CCH243" s="334"/>
      <c r="CCI243" s="334"/>
      <c r="CCJ243" s="334"/>
      <c r="CCK243" s="334"/>
      <c r="CCL243" s="334"/>
      <c r="CCM243" s="334"/>
      <c r="CCN243" s="334"/>
      <c r="CCO243" s="334"/>
      <c r="CCP243" s="334"/>
      <c r="CCQ243" s="334"/>
      <c r="CCR243" s="334"/>
      <c r="CCS243" s="334"/>
      <c r="CCT243" s="334"/>
      <c r="CCU243" s="334"/>
      <c r="CCV243" s="334"/>
      <c r="CCW243" s="334"/>
      <c r="CCX243" s="334"/>
      <c r="CCY243" s="334"/>
      <c r="CCZ243" s="334"/>
      <c r="CDA243" s="334"/>
      <c r="CDB243" s="334"/>
      <c r="CDC243" s="334"/>
      <c r="CDD243" s="334"/>
      <c r="CDE243" s="334"/>
      <c r="CDF243" s="334"/>
      <c r="CDG243" s="334"/>
      <c r="CDH243" s="334"/>
      <c r="CDI243" s="334"/>
      <c r="CDJ243" s="334"/>
      <c r="CDK243" s="334"/>
      <c r="CDL243" s="334"/>
      <c r="CDM243" s="334"/>
      <c r="CDN243" s="334"/>
      <c r="CDO243" s="334"/>
      <c r="CDP243" s="334"/>
      <c r="CDQ243" s="334"/>
      <c r="CDR243" s="334"/>
      <c r="CDS243" s="334"/>
      <c r="CDT243" s="334"/>
      <c r="CDU243" s="334"/>
      <c r="CDV243" s="334"/>
      <c r="CDW243" s="334"/>
      <c r="CDX243" s="334"/>
      <c r="CDY243" s="334"/>
      <c r="CDZ243" s="334"/>
      <c r="CEA243" s="334"/>
      <c r="CEB243" s="334"/>
      <c r="CEC243" s="334"/>
      <c r="CED243" s="334"/>
      <c r="CEE243" s="334"/>
      <c r="CEF243" s="334"/>
      <c r="CEG243" s="334"/>
      <c r="CEH243" s="334"/>
      <c r="CEI243" s="334"/>
      <c r="CEJ243" s="334"/>
      <c r="CEK243" s="334"/>
      <c r="CEL243" s="334"/>
      <c r="CEM243" s="334"/>
      <c r="CEN243" s="334"/>
      <c r="CEO243" s="334"/>
      <c r="CEP243" s="334"/>
      <c r="CEQ243" s="334"/>
      <c r="CER243" s="334"/>
      <c r="CES243" s="334"/>
      <c r="CET243" s="334"/>
      <c r="CEU243" s="334"/>
      <c r="CEV243" s="334"/>
      <c r="CEW243" s="334"/>
      <c r="CEX243" s="334"/>
      <c r="CEY243" s="334"/>
      <c r="CEZ243" s="334"/>
      <c r="CFA243" s="334"/>
      <c r="CFB243" s="334"/>
      <c r="CFC243" s="334"/>
      <c r="CFD243" s="334"/>
      <c r="CFE243" s="334"/>
      <c r="CFF243" s="334"/>
      <c r="CFG243" s="334"/>
      <c r="CFH243" s="334"/>
      <c r="CFI243" s="334"/>
      <c r="CFJ243" s="334"/>
      <c r="CFK243" s="334"/>
      <c r="CFL243" s="334"/>
      <c r="CFM243" s="334"/>
      <c r="CFN243" s="334"/>
      <c r="CFO243" s="334"/>
      <c r="CFP243" s="334"/>
      <c r="CFQ243" s="334"/>
      <c r="CFR243" s="334"/>
      <c r="CFS243" s="334"/>
      <c r="CFT243" s="334"/>
      <c r="CFU243" s="334"/>
      <c r="CFV243" s="334"/>
      <c r="CFW243" s="334"/>
      <c r="CFX243" s="334"/>
      <c r="CFY243" s="334"/>
      <c r="CFZ243" s="334"/>
      <c r="CGA243" s="334"/>
      <c r="CGB243" s="334"/>
      <c r="CGC243" s="334"/>
      <c r="CGD243" s="334"/>
      <c r="CGE243" s="334"/>
      <c r="CGF243" s="334"/>
      <c r="CGG243" s="334"/>
      <c r="CGH243" s="334"/>
      <c r="CGI243" s="334"/>
      <c r="CGJ243" s="334"/>
      <c r="CGK243" s="334"/>
      <c r="CGL243" s="334"/>
      <c r="CGM243" s="334"/>
      <c r="CGN243" s="334"/>
      <c r="CGO243" s="334"/>
      <c r="CGP243" s="334"/>
      <c r="CGQ243" s="334"/>
      <c r="CGR243" s="334"/>
      <c r="CGS243" s="334"/>
      <c r="CGT243" s="334"/>
      <c r="CGU243" s="334"/>
      <c r="CGV243" s="334"/>
      <c r="CGW243" s="334"/>
      <c r="CGX243" s="334"/>
      <c r="CGY243" s="334"/>
      <c r="CGZ243" s="334"/>
      <c r="CHA243" s="334"/>
      <c r="CHB243" s="334"/>
      <c r="CHC243" s="334"/>
      <c r="CHD243" s="334"/>
      <c r="CHE243" s="334"/>
      <c r="CHF243" s="334"/>
      <c r="CHG243" s="334"/>
      <c r="CHH243" s="334"/>
      <c r="CHI243" s="334"/>
      <c r="CHJ243" s="334"/>
      <c r="CHK243" s="334"/>
      <c r="CHL243" s="334"/>
      <c r="CHM243" s="334"/>
      <c r="CHN243" s="334"/>
      <c r="CHO243" s="334"/>
      <c r="CHP243" s="334"/>
      <c r="CHQ243" s="334"/>
      <c r="CHR243" s="334"/>
      <c r="CHS243" s="334"/>
      <c r="CHT243" s="334"/>
      <c r="CHU243" s="334"/>
      <c r="CHV243" s="334"/>
      <c r="CHW243" s="334"/>
      <c r="CHX243" s="334"/>
      <c r="CHY243" s="334"/>
      <c r="CHZ243" s="334"/>
      <c r="CIA243" s="334"/>
      <c r="CIB243" s="334"/>
      <c r="CIC243" s="334"/>
      <c r="CID243" s="334"/>
      <c r="CIE243" s="334"/>
      <c r="CIF243" s="334"/>
      <c r="CIG243" s="334"/>
      <c r="CIH243" s="334"/>
      <c r="CII243" s="334"/>
      <c r="CIJ243" s="334"/>
      <c r="CIK243" s="334"/>
      <c r="CIL243" s="334"/>
      <c r="CIM243" s="334"/>
      <c r="CIN243" s="334"/>
      <c r="CIO243" s="334"/>
      <c r="CIP243" s="334"/>
      <c r="CIQ243" s="334"/>
      <c r="CIR243" s="334"/>
      <c r="CIS243" s="334"/>
      <c r="CIT243" s="334"/>
      <c r="CIU243" s="334"/>
      <c r="CIV243" s="334"/>
      <c r="CIW243" s="334"/>
      <c r="CIX243" s="334"/>
      <c r="CIY243" s="334"/>
      <c r="CIZ243" s="334"/>
      <c r="CJA243" s="334"/>
      <c r="CJB243" s="334"/>
      <c r="CJC243" s="334"/>
      <c r="CJD243" s="334"/>
      <c r="CJE243" s="334"/>
      <c r="CJF243" s="334"/>
      <c r="CJG243" s="334"/>
      <c r="CJH243" s="334"/>
      <c r="CJI243" s="334"/>
      <c r="CJJ243" s="334"/>
      <c r="CJK243" s="334"/>
      <c r="CJL243" s="334"/>
      <c r="CJM243" s="334"/>
      <c r="CJN243" s="334"/>
      <c r="CJO243" s="334"/>
      <c r="CJP243" s="334"/>
      <c r="CJQ243" s="334"/>
      <c r="CJR243" s="334"/>
      <c r="CJS243" s="334"/>
      <c r="CJT243" s="334"/>
      <c r="CJU243" s="334"/>
      <c r="CJV243" s="334"/>
      <c r="CJW243" s="334"/>
      <c r="CJX243" s="334"/>
      <c r="CJY243" s="334"/>
      <c r="CJZ243" s="334"/>
      <c r="CKA243" s="334"/>
      <c r="CKB243" s="334"/>
      <c r="CKC243" s="334"/>
      <c r="CKD243" s="334"/>
      <c r="CKE243" s="334"/>
      <c r="CKF243" s="334"/>
      <c r="CKG243" s="334"/>
      <c r="CKH243" s="334"/>
      <c r="CKI243" s="334"/>
      <c r="CKJ243" s="334"/>
      <c r="CKK243" s="334"/>
      <c r="CKL243" s="334"/>
      <c r="CKM243" s="334"/>
      <c r="CKN243" s="334"/>
      <c r="CKO243" s="334"/>
      <c r="CKP243" s="334"/>
      <c r="CKQ243" s="334"/>
      <c r="CKR243" s="334"/>
      <c r="CKS243" s="334"/>
      <c r="CKT243" s="334"/>
      <c r="CKU243" s="334"/>
      <c r="CKV243" s="334"/>
      <c r="CKW243" s="334"/>
      <c r="CKX243" s="334"/>
      <c r="CKY243" s="334"/>
      <c r="CKZ243" s="334"/>
      <c r="CLA243" s="334"/>
      <c r="CLB243" s="334"/>
      <c r="CLC243" s="334"/>
      <c r="CLD243" s="334"/>
      <c r="CLE243" s="334"/>
      <c r="CLF243" s="334"/>
      <c r="CLG243" s="334"/>
      <c r="CLH243" s="334"/>
      <c r="CLI243" s="334"/>
      <c r="CLJ243" s="334"/>
      <c r="CLK243" s="334"/>
      <c r="CLL243" s="334"/>
      <c r="CLM243" s="334"/>
      <c r="CLN243" s="334"/>
      <c r="CLO243" s="334"/>
      <c r="CLP243" s="334"/>
      <c r="CLQ243" s="334"/>
      <c r="CLR243" s="334"/>
      <c r="CLS243" s="334"/>
      <c r="CLT243" s="334"/>
      <c r="CLU243" s="334"/>
      <c r="CLV243" s="334"/>
      <c r="CLW243" s="334"/>
      <c r="CLX243" s="334"/>
      <c r="CLY243" s="334"/>
      <c r="CLZ243" s="334"/>
      <c r="CMA243" s="334"/>
      <c r="CMB243" s="334"/>
      <c r="CMC243" s="334"/>
      <c r="CMD243" s="334"/>
      <c r="CME243" s="334"/>
      <c r="CMF243" s="334"/>
      <c r="CMG243" s="334"/>
      <c r="CMH243" s="334"/>
      <c r="CMI243" s="334"/>
      <c r="CMJ243" s="334"/>
      <c r="CMK243" s="334"/>
      <c r="CML243" s="334"/>
      <c r="CMM243" s="334"/>
      <c r="CMN243" s="334"/>
      <c r="CMO243" s="334"/>
      <c r="CMP243" s="334"/>
      <c r="CMQ243" s="334"/>
      <c r="CMR243" s="334"/>
      <c r="CMS243" s="334"/>
      <c r="CMT243" s="334"/>
      <c r="CMU243" s="334"/>
      <c r="CMV243" s="334"/>
      <c r="CMW243" s="334"/>
      <c r="CMX243" s="334"/>
      <c r="CMY243" s="334"/>
      <c r="CMZ243" s="334"/>
      <c r="CNA243" s="334"/>
      <c r="CNB243" s="334"/>
      <c r="CNC243" s="334"/>
      <c r="CND243" s="334"/>
      <c r="CNE243" s="334"/>
      <c r="CNF243" s="334"/>
      <c r="CNG243" s="334"/>
      <c r="CNH243" s="334"/>
      <c r="CNI243" s="334"/>
      <c r="CNJ243" s="334"/>
      <c r="CNK243" s="334"/>
      <c r="CNL243" s="334"/>
      <c r="CNM243" s="334"/>
      <c r="CNN243" s="334"/>
      <c r="CNO243" s="334"/>
      <c r="CNP243" s="334"/>
      <c r="CNQ243" s="334"/>
      <c r="CNR243" s="334"/>
      <c r="CNS243" s="334"/>
      <c r="CNT243" s="334"/>
      <c r="CNU243" s="334"/>
      <c r="CNV243" s="334"/>
      <c r="CNW243" s="334"/>
      <c r="CNX243" s="334"/>
      <c r="CNY243" s="334"/>
      <c r="CNZ243" s="334"/>
      <c r="COA243" s="334"/>
      <c r="COB243" s="334"/>
      <c r="COC243" s="334"/>
      <c r="COD243" s="334"/>
      <c r="COE243" s="334"/>
      <c r="COF243" s="334"/>
      <c r="COG243" s="334"/>
      <c r="COH243" s="334"/>
      <c r="COI243" s="334"/>
      <c r="COJ243" s="334"/>
      <c r="COK243" s="334"/>
      <c r="COL243" s="334"/>
      <c r="COM243" s="334"/>
      <c r="CON243" s="334"/>
      <c r="COO243" s="334"/>
      <c r="COP243" s="334"/>
      <c r="COQ243" s="334"/>
      <c r="COR243" s="334"/>
      <c r="COS243" s="334"/>
      <c r="COT243" s="334"/>
      <c r="COU243" s="334"/>
      <c r="COV243" s="334"/>
      <c r="COW243" s="334"/>
      <c r="COX243" s="334"/>
      <c r="COY243" s="334"/>
      <c r="COZ243" s="334"/>
      <c r="CPA243" s="334"/>
      <c r="CPB243" s="334"/>
      <c r="CPC243" s="334"/>
      <c r="CPD243" s="334"/>
      <c r="CPE243" s="334"/>
      <c r="CPF243" s="334"/>
      <c r="CPG243" s="334"/>
      <c r="CPH243" s="334"/>
      <c r="CPI243" s="334"/>
      <c r="CPJ243" s="334"/>
      <c r="CPK243" s="334"/>
      <c r="CPL243" s="334"/>
      <c r="CPM243" s="334"/>
      <c r="CPN243" s="334"/>
      <c r="CPO243" s="334"/>
      <c r="CPP243" s="334"/>
      <c r="CPQ243" s="334"/>
      <c r="CPR243" s="334"/>
      <c r="CPS243" s="334"/>
      <c r="CPT243" s="334"/>
      <c r="CPU243" s="334"/>
      <c r="CPV243" s="334"/>
      <c r="CPW243" s="334"/>
      <c r="CPX243" s="334"/>
      <c r="CPY243" s="334"/>
      <c r="CPZ243" s="334"/>
      <c r="CQA243" s="334"/>
      <c r="CQB243" s="334"/>
      <c r="CQC243" s="334"/>
      <c r="CQD243" s="334"/>
      <c r="CQE243" s="334"/>
      <c r="CQF243" s="334"/>
      <c r="CQG243" s="334"/>
      <c r="CQH243" s="334"/>
      <c r="CQI243" s="334"/>
      <c r="CQJ243" s="334"/>
      <c r="CQK243" s="334"/>
      <c r="CQL243" s="334"/>
      <c r="CQM243" s="334"/>
      <c r="CQN243" s="334"/>
      <c r="CQO243" s="334"/>
      <c r="CQP243" s="334"/>
      <c r="CQQ243" s="334"/>
      <c r="CQR243" s="334"/>
      <c r="CQS243" s="334"/>
      <c r="CQT243" s="334"/>
      <c r="CQU243" s="334"/>
      <c r="CQV243" s="334"/>
      <c r="CQW243" s="334"/>
      <c r="CQX243" s="334"/>
      <c r="CQY243" s="334"/>
      <c r="CQZ243" s="334"/>
      <c r="CRA243" s="334"/>
      <c r="CRB243" s="334"/>
      <c r="CRC243" s="334"/>
      <c r="CRD243" s="334"/>
      <c r="CRE243" s="334"/>
      <c r="CRF243" s="334"/>
      <c r="CRG243" s="334"/>
      <c r="CRH243" s="334"/>
      <c r="CRI243" s="334"/>
      <c r="CRJ243" s="334"/>
      <c r="CRK243" s="334"/>
      <c r="CRL243" s="334"/>
      <c r="CRM243" s="334"/>
      <c r="CRN243" s="334"/>
      <c r="CRO243" s="334"/>
      <c r="CRP243" s="334"/>
      <c r="CRQ243" s="334"/>
      <c r="CRR243" s="334"/>
      <c r="CRS243" s="334"/>
      <c r="CRT243" s="334"/>
      <c r="CRU243" s="334"/>
      <c r="CRV243" s="334"/>
      <c r="CRW243" s="334"/>
      <c r="CRX243" s="334"/>
      <c r="CRY243" s="334"/>
      <c r="CRZ243" s="334"/>
      <c r="CSA243" s="334"/>
      <c r="CSB243" s="334"/>
      <c r="CSC243" s="334"/>
      <c r="CSD243" s="334"/>
      <c r="CSE243" s="334"/>
      <c r="CSF243" s="334"/>
      <c r="CSG243" s="334"/>
      <c r="CSH243" s="334"/>
      <c r="CSI243" s="334"/>
      <c r="CSJ243" s="334"/>
      <c r="CSK243" s="334"/>
      <c r="CSL243" s="334"/>
      <c r="CSM243" s="334"/>
      <c r="CSN243" s="334"/>
      <c r="CSO243" s="334"/>
      <c r="CSP243" s="334"/>
      <c r="CSQ243" s="334"/>
      <c r="CSR243" s="334"/>
      <c r="CSS243" s="334"/>
      <c r="CST243" s="334"/>
      <c r="CSU243" s="334"/>
      <c r="CSV243" s="334"/>
      <c r="CSW243" s="334"/>
      <c r="CSX243" s="334"/>
      <c r="CSY243" s="334"/>
      <c r="CSZ243" s="334"/>
      <c r="CTA243" s="334"/>
      <c r="CTB243" s="334"/>
      <c r="CTC243" s="334"/>
      <c r="CTD243" s="334"/>
      <c r="CTE243" s="334"/>
      <c r="CTF243" s="334"/>
      <c r="CTG243" s="334"/>
      <c r="CTH243" s="334"/>
      <c r="CTI243" s="334"/>
      <c r="CTJ243" s="334"/>
      <c r="CTK243" s="334"/>
      <c r="CTL243" s="334"/>
      <c r="CTM243" s="334"/>
      <c r="CTN243" s="334"/>
      <c r="CTO243" s="334"/>
      <c r="CTP243" s="334"/>
      <c r="CTQ243" s="334"/>
      <c r="CTR243" s="334"/>
      <c r="CTS243" s="334"/>
      <c r="CTT243" s="334"/>
      <c r="CTU243" s="334"/>
      <c r="CTV243" s="334"/>
      <c r="CTW243" s="334"/>
      <c r="CTX243" s="334"/>
      <c r="CTY243" s="334"/>
      <c r="CTZ243" s="334"/>
      <c r="CUA243" s="334"/>
      <c r="CUB243" s="334"/>
      <c r="CUC243" s="334"/>
      <c r="CUD243" s="334"/>
      <c r="CUE243" s="334"/>
      <c r="CUF243" s="334"/>
      <c r="CUG243" s="334"/>
      <c r="CUH243" s="334"/>
      <c r="CUI243" s="334"/>
      <c r="CUJ243" s="334"/>
      <c r="CUK243" s="334"/>
      <c r="CUL243" s="334"/>
      <c r="CUM243" s="334"/>
      <c r="CUN243" s="334"/>
      <c r="CUO243" s="334"/>
      <c r="CUP243" s="334"/>
      <c r="CUQ243" s="334"/>
      <c r="CUR243" s="334"/>
      <c r="CUS243" s="334"/>
      <c r="CUT243" s="334"/>
      <c r="CUU243" s="334"/>
      <c r="CUV243" s="334"/>
      <c r="CUW243" s="334"/>
      <c r="CUX243" s="334"/>
      <c r="CUY243" s="334"/>
      <c r="CUZ243" s="334"/>
      <c r="CVA243" s="334"/>
      <c r="CVB243" s="334"/>
      <c r="CVC243" s="334"/>
      <c r="CVD243" s="334"/>
      <c r="CVE243" s="334"/>
      <c r="CVF243" s="334"/>
      <c r="CVG243" s="334"/>
      <c r="CVH243" s="334"/>
      <c r="CVI243" s="334"/>
      <c r="CVJ243" s="334"/>
      <c r="CVK243" s="334"/>
      <c r="CVL243" s="334"/>
      <c r="CVM243" s="334"/>
      <c r="CVN243" s="334"/>
      <c r="CVO243" s="334"/>
      <c r="CVP243" s="334"/>
      <c r="CVQ243" s="334"/>
      <c r="CVR243" s="334"/>
      <c r="CVS243" s="334"/>
      <c r="CVT243" s="334"/>
      <c r="CVU243" s="334"/>
      <c r="CVV243" s="334"/>
      <c r="CVW243" s="334"/>
      <c r="CVX243" s="334"/>
      <c r="CVY243" s="334"/>
      <c r="CVZ243" s="334"/>
      <c r="CWA243" s="334"/>
      <c r="CWB243" s="334"/>
      <c r="CWC243" s="334"/>
      <c r="CWD243" s="334"/>
      <c r="CWE243" s="334"/>
      <c r="CWF243" s="334"/>
      <c r="CWG243" s="334"/>
      <c r="CWH243" s="334"/>
      <c r="CWI243" s="334"/>
      <c r="CWJ243" s="334"/>
      <c r="CWK243" s="334"/>
      <c r="CWL243" s="334"/>
      <c r="CWM243" s="334"/>
      <c r="CWN243" s="334"/>
      <c r="CWO243" s="334"/>
      <c r="CWP243" s="334"/>
      <c r="CWQ243" s="334"/>
      <c r="CWR243" s="334"/>
      <c r="CWS243" s="334"/>
      <c r="CWT243" s="334"/>
      <c r="CWU243" s="334"/>
      <c r="CWV243" s="334"/>
      <c r="CWW243" s="334"/>
      <c r="CWX243" s="334"/>
      <c r="CWY243" s="334"/>
      <c r="CWZ243" s="334"/>
      <c r="CXA243" s="334"/>
      <c r="CXB243" s="334"/>
      <c r="CXC243" s="334"/>
      <c r="CXD243" s="334"/>
      <c r="CXE243" s="334"/>
      <c r="CXF243" s="334"/>
      <c r="CXG243" s="334"/>
      <c r="CXH243" s="334"/>
      <c r="CXI243" s="334"/>
      <c r="CXJ243" s="334"/>
      <c r="CXK243" s="334"/>
      <c r="CXL243" s="334"/>
      <c r="CXM243" s="334"/>
      <c r="CXN243" s="334"/>
      <c r="CXO243" s="334"/>
      <c r="CXP243" s="334"/>
      <c r="CXQ243" s="334"/>
      <c r="CXR243" s="334"/>
      <c r="CXS243" s="334"/>
      <c r="CXT243" s="334"/>
      <c r="CXU243" s="334"/>
      <c r="CXV243" s="334"/>
      <c r="CXW243" s="334"/>
      <c r="CXX243" s="334"/>
      <c r="CXY243" s="334"/>
      <c r="CXZ243" s="334"/>
      <c r="CYA243" s="334"/>
      <c r="CYB243" s="334"/>
      <c r="CYC243" s="334"/>
      <c r="CYD243" s="334"/>
      <c r="CYE243" s="334"/>
      <c r="CYF243" s="334"/>
      <c r="CYG243" s="334"/>
      <c r="CYH243" s="334"/>
      <c r="CYI243" s="334"/>
      <c r="CYJ243" s="334"/>
      <c r="CYK243" s="334"/>
      <c r="CYL243" s="334"/>
      <c r="CYM243" s="334"/>
      <c r="CYN243" s="334"/>
      <c r="CYO243" s="334"/>
      <c r="CYP243" s="334"/>
      <c r="CYQ243" s="334"/>
      <c r="CYR243" s="334"/>
      <c r="CYS243" s="334"/>
      <c r="CYT243" s="334"/>
      <c r="CYU243" s="334"/>
      <c r="CYV243" s="334"/>
      <c r="CYW243" s="334"/>
      <c r="CYX243" s="334"/>
      <c r="CYY243" s="334"/>
      <c r="CYZ243" s="334"/>
      <c r="CZA243" s="334"/>
      <c r="CZB243" s="334"/>
      <c r="CZC243" s="334"/>
      <c r="CZD243" s="334"/>
      <c r="CZE243" s="334"/>
      <c r="CZF243" s="334"/>
      <c r="CZG243" s="334"/>
      <c r="CZH243" s="334"/>
      <c r="CZI243" s="334"/>
      <c r="CZJ243" s="334"/>
      <c r="CZK243" s="334"/>
      <c r="CZL243" s="334"/>
      <c r="CZM243" s="334"/>
      <c r="CZN243" s="334"/>
      <c r="CZO243" s="334"/>
      <c r="CZP243" s="334"/>
      <c r="CZQ243" s="334"/>
      <c r="CZR243" s="334"/>
      <c r="CZS243" s="334"/>
      <c r="CZT243" s="334"/>
      <c r="CZU243" s="334"/>
      <c r="CZV243" s="334"/>
      <c r="CZW243" s="334"/>
      <c r="CZX243" s="334"/>
      <c r="CZY243" s="334"/>
      <c r="CZZ243" s="334"/>
      <c r="DAA243" s="334"/>
      <c r="DAB243" s="334"/>
      <c r="DAC243" s="334"/>
      <c r="DAD243" s="334"/>
      <c r="DAE243" s="334"/>
      <c r="DAF243" s="334"/>
      <c r="DAG243" s="334"/>
      <c r="DAH243" s="334"/>
      <c r="DAI243" s="334"/>
      <c r="DAJ243" s="334"/>
      <c r="DAK243" s="334"/>
      <c r="DAL243" s="334"/>
      <c r="DAM243" s="334"/>
      <c r="DAN243" s="334"/>
      <c r="DAO243" s="334"/>
      <c r="DAP243" s="334"/>
      <c r="DAQ243" s="334"/>
      <c r="DAR243" s="334"/>
      <c r="DAS243" s="334"/>
      <c r="DAT243" s="334"/>
      <c r="DAU243" s="334"/>
      <c r="DAV243" s="334"/>
      <c r="DAW243" s="334"/>
      <c r="DAX243" s="334"/>
      <c r="DAY243" s="334"/>
      <c r="DAZ243" s="334"/>
      <c r="DBA243" s="334"/>
      <c r="DBB243" s="334"/>
      <c r="DBC243" s="334"/>
      <c r="DBD243" s="334"/>
      <c r="DBE243" s="334"/>
      <c r="DBF243" s="334"/>
      <c r="DBG243" s="334"/>
      <c r="DBH243" s="334"/>
      <c r="DBI243" s="334"/>
      <c r="DBJ243" s="334"/>
      <c r="DBK243" s="334"/>
      <c r="DBL243" s="334"/>
      <c r="DBM243" s="334"/>
      <c r="DBN243" s="334"/>
      <c r="DBO243" s="334"/>
      <c r="DBP243" s="334"/>
      <c r="DBQ243" s="334"/>
      <c r="DBR243" s="334"/>
      <c r="DBS243" s="334"/>
      <c r="DBT243" s="334"/>
      <c r="DBU243" s="334"/>
      <c r="DBV243" s="334"/>
      <c r="DBW243" s="334"/>
      <c r="DBX243" s="334"/>
      <c r="DBY243" s="334"/>
      <c r="DBZ243" s="334"/>
      <c r="DCA243" s="334"/>
      <c r="DCB243" s="334"/>
      <c r="DCC243" s="334"/>
      <c r="DCD243" s="334"/>
      <c r="DCE243" s="334"/>
      <c r="DCF243" s="334"/>
      <c r="DCG243" s="334"/>
      <c r="DCH243" s="334"/>
      <c r="DCI243" s="334"/>
      <c r="DCJ243" s="334"/>
      <c r="DCK243" s="334"/>
      <c r="DCL243" s="334"/>
      <c r="DCM243" s="334"/>
      <c r="DCN243" s="334"/>
      <c r="DCO243" s="334"/>
      <c r="DCP243" s="334"/>
      <c r="DCQ243" s="334"/>
      <c r="DCR243" s="334"/>
      <c r="DCS243" s="334"/>
      <c r="DCT243" s="334"/>
      <c r="DCU243" s="334"/>
      <c r="DCV243" s="334"/>
      <c r="DCW243" s="334"/>
      <c r="DCX243" s="334"/>
      <c r="DCY243" s="334"/>
      <c r="DCZ243" s="334"/>
      <c r="DDA243" s="334"/>
      <c r="DDB243" s="334"/>
      <c r="DDC243" s="334"/>
      <c r="DDD243" s="334"/>
      <c r="DDE243" s="334"/>
      <c r="DDF243" s="334"/>
      <c r="DDG243" s="334"/>
      <c r="DDH243" s="334"/>
      <c r="DDI243" s="334"/>
      <c r="DDJ243" s="334"/>
      <c r="DDK243" s="334"/>
      <c r="DDL243" s="334"/>
      <c r="DDM243" s="334"/>
      <c r="DDN243" s="334"/>
      <c r="DDO243" s="334"/>
      <c r="DDP243" s="334"/>
      <c r="DDQ243" s="334"/>
      <c r="DDR243" s="334"/>
      <c r="DDS243" s="334"/>
      <c r="DDT243" s="334"/>
      <c r="DDU243" s="334"/>
      <c r="DDV243" s="334"/>
      <c r="DDW243" s="334"/>
      <c r="DDX243" s="334"/>
      <c r="DDY243" s="334"/>
      <c r="DDZ243" s="334"/>
      <c r="DEA243" s="334"/>
      <c r="DEB243" s="334"/>
      <c r="DEC243" s="334"/>
      <c r="DED243" s="334"/>
      <c r="DEE243" s="334"/>
      <c r="DEF243" s="334"/>
      <c r="DEG243" s="334"/>
      <c r="DEH243" s="334"/>
      <c r="DEI243" s="334"/>
      <c r="DEJ243" s="334"/>
      <c r="DEK243" s="334"/>
      <c r="DEL243" s="334"/>
      <c r="DEM243" s="334"/>
      <c r="DEN243" s="334"/>
      <c r="DEO243" s="334"/>
      <c r="DEP243" s="334"/>
      <c r="DEQ243" s="334"/>
      <c r="DER243" s="334"/>
      <c r="DES243" s="334"/>
      <c r="DET243" s="334"/>
      <c r="DEU243" s="334"/>
      <c r="DEV243" s="334"/>
      <c r="DEW243" s="334"/>
      <c r="DEX243" s="334"/>
      <c r="DEY243" s="334"/>
      <c r="DEZ243" s="334"/>
      <c r="DFA243" s="334"/>
      <c r="DFB243" s="334"/>
      <c r="DFC243" s="334"/>
      <c r="DFD243" s="334"/>
      <c r="DFE243" s="334"/>
      <c r="DFF243" s="334"/>
      <c r="DFG243" s="334"/>
      <c r="DFH243" s="334"/>
      <c r="DFI243" s="334"/>
      <c r="DFJ243" s="334"/>
      <c r="DFK243" s="334"/>
      <c r="DFL243" s="334"/>
      <c r="DFM243" s="334"/>
      <c r="DFN243" s="334"/>
      <c r="DFO243" s="334"/>
      <c r="DFP243" s="334"/>
      <c r="DFQ243" s="334"/>
      <c r="DFR243" s="334"/>
      <c r="DFS243" s="334"/>
      <c r="DFT243" s="334"/>
      <c r="DFU243" s="334"/>
      <c r="DFV243" s="334"/>
      <c r="DFW243" s="334"/>
      <c r="DFX243" s="334"/>
      <c r="DFY243" s="334"/>
      <c r="DFZ243" s="334"/>
      <c r="DGA243" s="334"/>
      <c r="DGB243" s="334"/>
      <c r="DGC243" s="334"/>
      <c r="DGD243" s="334"/>
      <c r="DGE243" s="334"/>
      <c r="DGF243" s="334"/>
      <c r="DGG243" s="334"/>
      <c r="DGH243" s="334"/>
      <c r="DGI243" s="334"/>
      <c r="DGJ243" s="334"/>
      <c r="DGK243" s="334"/>
      <c r="DGL243" s="334"/>
      <c r="DGM243" s="334"/>
      <c r="DGN243" s="334"/>
      <c r="DGO243" s="334"/>
      <c r="DGP243" s="334"/>
      <c r="DGQ243" s="334"/>
      <c r="DGR243" s="334"/>
      <c r="DGS243" s="334"/>
      <c r="DGT243" s="334"/>
      <c r="DGU243" s="334"/>
      <c r="DGV243" s="334"/>
      <c r="DGW243" s="334"/>
      <c r="DGX243" s="334"/>
      <c r="DGY243" s="334"/>
      <c r="DGZ243" s="334"/>
      <c r="DHA243" s="334"/>
      <c r="DHB243" s="334"/>
      <c r="DHC243" s="334"/>
      <c r="DHD243" s="334"/>
      <c r="DHE243" s="334"/>
      <c r="DHF243" s="334"/>
      <c r="DHG243" s="334"/>
      <c r="DHH243" s="334"/>
      <c r="DHI243" s="334"/>
      <c r="DHJ243" s="334"/>
      <c r="DHK243" s="334"/>
      <c r="DHL243" s="334"/>
      <c r="DHM243" s="334"/>
      <c r="DHN243" s="334"/>
      <c r="DHO243" s="334"/>
      <c r="DHP243" s="334"/>
      <c r="DHQ243" s="334"/>
      <c r="DHR243" s="334"/>
      <c r="DHS243" s="334"/>
      <c r="DHT243" s="334"/>
      <c r="DHU243" s="334"/>
      <c r="DHV243" s="334"/>
      <c r="DHW243" s="334"/>
      <c r="DHX243" s="334"/>
      <c r="DHY243" s="334"/>
      <c r="DHZ243" s="334"/>
      <c r="DIA243" s="334"/>
      <c r="DIB243" s="334"/>
      <c r="DIC243" s="334"/>
      <c r="DID243" s="334"/>
      <c r="DIE243" s="334"/>
      <c r="DIF243" s="334"/>
      <c r="DIG243" s="334"/>
      <c r="DIH243" s="334"/>
      <c r="DII243" s="334"/>
      <c r="DIJ243" s="334"/>
      <c r="DIK243" s="334"/>
      <c r="DIL243" s="334"/>
      <c r="DIM243" s="334"/>
      <c r="DIN243" s="334"/>
      <c r="DIO243" s="334"/>
      <c r="DIP243" s="334"/>
      <c r="DIQ243" s="334"/>
      <c r="DIR243" s="334"/>
      <c r="DIS243" s="334"/>
      <c r="DIT243" s="334"/>
      <c r="DIU243" s="334"/>
      <c r="DIV243" s="334"/>
      <c r="DIW243" s="334"/>
      <c r="DIX243" s="334"/>
      <c r="DIY243" s="334"/>
      <c r="DIZ243" s="334"/>
      <c r="DJA243" s="334"/>
      <c r="DJB243" s="334"/>
      <c r="DJC243" s="334"/>
      <c r="DJD243" s="334"/>
      <c r="DJE243" s="334"/>
      <c r="DJF243" s="334"/>
      <c r="DJG243" s="334"/>
      <c r="DJH243" s="334"/>
      <c r="DJI243" s="334"/>
      <c r="DJJ243" s="334"/>
      <c r="DJK243" s="334"/>
      <c r="DJL243" s="334"/>
      <c r="DJM243" s="334"/>
      <c r="DJN243" s="334"/>
      <c r="DJO243" s="334"/>
      <c r="DJP243" s="334"/>
      <c r="DJQ243" s="334"/>
      <c r="DJR243" s="334"/>
      <c r="DJS243" s="334"/>
      <c r="DJT243" s="334"/>
      <c r="DJU243" s="334"/>
      <c r="DJV243" s="334"/>
      <c r="DJW243" s="334"/>
      <c r="DJX243" s="334"/>
      <c r="DJY243" s="334"/>
      <c r="DJZ243" s="334"/>
      <c r="DKA243" s="334"/>
      <c r="DKB243" s="334"/>
      <c r="DKC243" s="334"/>
      <c r="DKD243" s="334"/>
      <c r="DKE243" s="334"/>
      <c r="DKF243" s="334"/>
      <c r="DKG243" s="334"/>
      <c r="DKH243" s="334"/>
      <c r="DKI243" s="334"/>
      <c r="DKJ243" s="334"/>
      <c r="DKK243" s="334"/>
      <c r="DKL243" s="334"/>
      <c r="DKM243" s="334"/>
      <c r="DKN243" s="334"/>
      <c r="DKO243" s="334"/>
      <c r="DKP243" s="334"/>
      <c r="DKQ243" s="334"/>
      <c r="DKR243" s="334"/>
      <c r="DKS243" s="334"/>
      <c r="DKT243" s="334"/>
      <c r="DKU243" s="334"/>
      <c r="DKV243" s="334"/>
      <c r="DKW243" s="334"/>
      <c r="DKX243" s="334"/>
      <c r="DKY243" s="334"/>
      <c r="DKZ243" s="334"/>
      <c r="DLA243" s="334"/>
      <c r="DLB243" s="334"/>
      <c r="DLC243" s="334"/>
      <c r="DLD243" s="334"/>
      <c r="DLE243" s="334"/>
      <c r="DLF243" s="334"/>
      <c r="DLG243" s="334"/>
      <c r="DLH243" s="334"/>
      <c r="DLI243" s="334"/>
      <c r="DLJ243" s="334"/>
      <c r="DLK243" s="334"/>
      <c r="DLL243" s="334"/>
      <c r="DLM243" s="334"/>
      <c r="DLN243" s="334"/>
      <c r="DLO243" s="334"/>
      <c r="DLP243" s="334"/>
      <c r="DLQ243" s="334"/>
      <c r="DLR243" s="334"/>
      <c r="DLS243" s="334"/>
      <c r="DLT243" s="334"/>
      <c r="DLU243" s="334"/>
      <c r="DLV243" s="334"/>
      <c r="DLW243" s="334"/>
      <c r="DLX243" s="334"/>
      <c r="DLY243" s="334"/>
      <c r="DLZ243" s="334"/>
      <c r="DMA243" s="334"/>
      <c r="DMB243" s="334"/>
      <c r="DMC243" s="334"/>
      <c r="DMD243" s="334"/>
      <c r="DME243" s="334"/>
      <c r="DMF243" s="334"/>
      <c r="DMG243" s="334"/>
      <c r="DMH243" s="334"/>
      <c r="DMI243" s="334"/>
      <c r="DMJ243" s="334"/>
      <c r="DMK243" s="334"/>
      <c r="DML243" s="334"/>
      <c r="DMM243" s="334"/>
      <c r="DMN243" s="334"/>
      <c r="DMO243" s="334"/>
      <c r="DMP243" s="334"/>
      <c r="DMQ243" s="334"/>
      <c r="DMR243" s="334"/>
      <c r="DMS243" s="334"/>
      <c r="DMT243" s="334"/>
      <c r="DMU243" s="334"/>
      <c r="DMV243" s="334"/>
      <c r="DMW243" s="334"/>
      <c r="DMX243" s="334"/>
      <c r="DMY243" s="334"/>
      <c r="DMZ243" s="334"/>
      <c r="DNA243" s="334"/>
      <c r="DNB243" s="334"/>
      <c r="DNC243" s="334"/>
      <c r="DND243" s="334"/>
      <c r="DNE243" s="334"/>
      <c r="DNF243" s="334"/>
      <c r="DNG243" s="334"/>
      <c r="DNH243" s="334"/>
      <c r="DNI243" s="334"/>
      <c r="DNJ243" s="334"/>
      <c r="DNK243" s="334"/>
      <c r="DNL243" s="334"/>
      <c r="DNM243" s="334"/>
      <c r="DNN243" s="334"/>
      <c r="DNO243" s="334"/>
      <c r="DNP243" s="334"/>
      <c r="DNQ243" s="334"/>
      <c r="DNR243" s="334"/>
      <c r="DNS243" s="334"/>
      <c r="DNT243" s="334"/>
      <c r="DNU243" s="334"/>
      <c r="DNV243" s="334"/>
      <c r="DNW243" s="334"/>
      <c r="DNX243" s="334"/>
      <c r="DNY243" s="334"/>
      <c r="DNZ243" s="334"/>
      <c r="DOA243" s="334"/>
      <c r="DOB243" s="334"/>
      <c r="DOC243" s="334"/>
      <c r="DOD243" s="334"/>
      <c r="DOE243" s="334"/>
      <c r="DOF243" s="334"/>
      <c r="DOG243" s="334"/>
      <c r="DOH243" s="334"/>
      <c r="DOI243" s="334"/>
      <c r="DOJ243" s="334"/>
      <c r="DOK243" s="334"/>
      <c r="DOL243" s="334"/>
      <c r="DOM243" s="334"/>
      <c r="DON243" s="334"/>
      <c r="DOO243" s="334"/>
      <c r="DOP243" s="334"/>
      <c r="DOQ243" s="334"/>
      <c r="DOR243" s="334"/>
      <c r="DOS243" s="334"/>
      <c r="DOT243" s="334"/>
      <c r="DOU243" s="334"/>
      <c r="DOV243" s="334"/>
      <c r="DOW243" s="334"/>
      <c r="DOX243" s="334"/>
      <c r="DOY243" s="334"/>
      <c r="DOZ243" s="334"/>
      <c r="DPA243" s="334"/>
      <c r="DPB243" s="334"/>
      <c r="DPC243" s="334"/>
      <c r="DPD243" s="334"/>
      <c r="DPE243" s="334"/>
      <c r="DPF243" s="334"/>
      <c r="DPG243" s="334"/>
      <c r="DPH243" s="334"/>
      <c r="DPI243" s="334"/>
      <c r="DPJ243" s="334"/>
      <c r="DPK243" s="334"/>
      <c r="DPL243" s="334"/>
      <c r="DPM243" s="334"/>
      <c r="DPN243" s="334"/>
      <c r="DPO243" s="334"/>
      <c r="DPP243" s="334"/>
      <c r="DPQ243" s="334"/>
      <c r="DPR243" s="334"/>
      <c r="DPS243" s="334"/>
      <c r="DPT243" s="334"/>
      <c r="DPU243" s="334"/>
      <c r="DPV243" s="334"/>
      <c r="DPW243" s="334"/>
      <c r="DPX243" s="334"/>
      <c r="DPY243" s="334"/>
      <c r="DPZ243" s="334"/>
      <c r="DQA243" s="334"/>
      <c r="DQB243" s="334"/>
      <c r="DQC243" s="334"/>
      <c r="DQD243" s="334"/>
      <c r="DQE243" s="334"/>
      <c r="DQF243" s="334"/>
      <c r="DQG243" s="334"/>
      <c r="DQH243" s="334"/>
      <c r="DQI243" s="334"/>
      <c r="DQJ243" s="334"/>
      <c r="DQK243" s="334"/>
      <c r="DQL243" s="334"/>
      <c r="DQM243" s="334"/>
      <c r="DQN243" s="334"/>
      <c r="DQO243" s="334"/>
      <c r="DQP243" s="334"/>
      <c r="DQQ243" s="334"/>
      <c r="DQR243" s="334"/>
      <c r="DQS243" s="334"/>
      <c r="DQT243" s="334"/>
      <c r="DQU243" s="334"/>
      <c r="DQV243" s="334"/>
      <c r="DQW243" s="334"/>
      <c r="DQX243" s="334"/>
      <c r="DQY243" s="334"/>
      <c r="DQZ243" s="334"/>
      <c r="DRA243" s="334"/>
      <c r="DRB243" s="334"/>
      <c r="DRC243" s="334"/>
      <c r="DRD243" s="334"/>
      <c r="DRE243" s="334"/>
      <c r="DRF243" s="334"/>
      <c r="DRG243" s="334"/>
      <c r="DRH243" s="334"/>
      <c r="DRI243" s="334"/>
      <c r="DRJ243" s="334"/>
      <c r="DRK243" s="334"/>
      <c r="DRL243" s="334"/>
      <c r="DRM243" s="334"/>
      <c r="DRN243" s="334"/>
      <c r="DRO243" s="334"/>
      <c r="DRP243" s="334"/>
      <c r="DRQ243" s="334"/>
      <c r="DRR243" s="334"/>
      <c r="DRS243" s="334"/>
      <c r="DRT243" s="334"/>
      <c r="DRU243" s="334"/>
      <c r="DRV243" s="334"/>
      <c r="DRW243" s="334"/>
      <c r="DRX243" s="334"/>
      <c r="DRY243" s="334"/>
      <c r="DRZ243" s="334"/>
      <c r="DSA243" s="334"/>
      <c r="DSB243" s="334"/>
      <c r="DSC243" s="334"/>
      <c r="DSD243" s="334"/>
      <c r="DSE243" s="334"/>
      <c r="DSF243" s="334"/>
      <c r="DSG243" s="334"/>
      <c r="DSH243" s="334"/>
      <c r="DSI243" s="334"/>
      <c r="DSJ243" s="334"/>
      <c r="DSK243" s="334"/>
      <c r="DSL243" s="334"/>
      <c r="DSM243" s="334"/>
      <c r="DSN243" s="334"/>
      <c r="DSO243" s="334"/>
      <c r="DSP243" s="334"/>
      <c r="DSQ243" s="334"/>
      <c r="DSR243" s="334"/>
      <c r="DSS243" s="334"/>
      <c r="DST243" s="334"/>
      <c r="DSU243" s="334"/>
      <c r="DSV243" s="334"/>
      <c r="DSW243" s="334"/>
      <c r="DSX243" s="334"/>
      <c r="DSY243" s="334"/>
      <c r="DSZ243" s="334"/>
      <c r="DTA243" s="334"/>
      <c r="DTB243" s="334"/>
      <c r="DTC243" s="334"/>
      <c r="DTD243" s="334"/>
      <c r="DTE243" s="334"/>
      <c r="DTF243" s="334"/>
      <c r="DTG243" s="334"/>
      <c r="DTH243" s="334"/>
      <c r="DTI243" s="334"/>
      <c r="DTJ243" s="334"/>
      <c r="DTK243" s="334"/>
      <c r="DTL243" s="334"/>
      <c r="DTM243" s="334"/>
      <c r="DTN243" s="334"/>
      <c r="DTO243" s="334"/>
      <c r="DTP243" s="334"/>
      <c r="DTQ243" s="334"/>
      <c r="DTR243" s="334"/>
      <c r="DTS243" s="334"/>
      <c r="DTT243" s="334"/>
      <c r="DTU243" s="334"/>
      <c r="DTV243" s="334"/>
      <c r="DTW243" s="334"/>
      <c r="DTX243" s="334"/>
      <c r="DTY243" s="334"/>
      <c r="DTZ243" s="334"/>
      <c r="DUA243" s="334"/>
      <c r="DUB243" s="334"/>
      <c r="DUC243" s="334"/>
      <c r="DUD243" s="334"/>
      <c r="DUE243" s="334"/>
      <c r="DUF243" s="334"/>
      <c r="DUG243" s="334"/>
      <c r="DUH243" s="334"/>
      <c r="DUI243" s="334"/>
      <c r="DUJ243" s="334"/>
      <c r="DUK243" s="334"/>
      <c r="DUL243" s="334"/>
      <c r="DUM243" s="334"/>
      <c r="DUN243" s="334"/>
      <c r="DUO243" s="334"/>
      <c r="DUP243" s="334"/>
      <c r="DUQ243" s="334"/>
      <c r="DUR243" s="334"/>
      <c r="DUS243" s="334"/>
      <c r="DUT243" s="334"/>
      <c r="DUU243" s="334"/>
      <c r="DUV243" s="334"/>
      <c r="DUW243" s="334"/>
      <c r="DUX243" s="334"/>
      <c r="DUY243" s="334"/>
      <c r="DUZ243" s="334"/>
      <c r="DVA243" s="334"/>
      <c r="DVB243" s="334"/>
      <c r="DVC243" s="334"/>
      <c r="DVD243" s="334"/>
      <c r="DVE243" s="334"/>
      <c r="DVF243" s="334"/>
      <c r="DVG243" s="334"/>
      <c r="DVH243" s="334"/>
      <c r="DVI243" s="334"/>
      <c r="DVJ243" s="334"/>
      <c r="DVK243" s="334"/>
      <c r="DVL243" s="334"/>
      <c r="DVM243" s="334"/>
      <c r="DVN243" s="334"/>
      <c r="DVO243" s="334"/>
      <c r="DVP243" s="334"/>
      <c r="DVQ243" s="334"/>
      <c r="DVR243" s="334"/>
      <c r="DVS243" s="334"/>
      <c r="DVT243" s="334"/>
      <c r="DVU243" s="334"/>
      <c r="DVV243" s="334"/>
      <c r="DVW243" s="334"/>
      <c r="DVX243" s="334"/>
      <c r="DVY243" s="334"/>
      <c r="DVZ243" s="334"/>
      <c r="DWA243" s="334"/>
      <c r="DWB243" s="334"/>
      <c r="DWC243" s="334"/>
      <c r="DWD243" s="334"/>
      <c r="DWE243" s="334"/>
      <c r="DWF243" s="334"/>
      <c r="DWG243" s="334"/>
      <c r="DWH243" s="334"/>
      <c r="DWI243" s="334"/>
      <c r="DWJ243" s="334"/>
      <c r="DWK243" s="334"/>
      <c r="DWL243" s="334"/>
      <c r="DWM243" s="334"/>
      <c r="DWN243" s="334"/>
      <c r="DWO243" s="334"/>
      <c r="DWP243" s="334"/>
      <c r="DWQ243" s="334"/>
      <c r="DWR243" s="334"/>
      <c r="DWS243" s="334"/>
      <c r="DWT243" s="334"/>
      <c r="DWU243" s="334"/>
      <c r="DWV243" s="334"/>
      <c r="DWW243" s="334"/>
      <c r="DWX243" s="334"/>
      <c r="DWY243" s="334"/>
      <c r="DWZ243" s="334"/>
      <c r="DXA243" s="334"/>
      <c r="DXB243" s="334"/>
      <c r="DXC243" s="334"/>
      <c r="DXD243" s="334"/>
      <c r="DXE243" s="334"/>
      <c r="DXF243" s="334"/>
      <c r="DXG243" s="334"/>
      <c r="DXH243" s="334"/>
      <c r="DXI243" s="334"/>
      <c r="DXJ243" s="334"/>
      <c r="DXK243" s="334"/>
      <c r="DXL243" s="334"/>
      <c r="DXM243" s="334"/>
      <c r="DXN243" s="334"/>
      <c r="DXO243" s="334"/>
      <c r="DXP243" s="334"/>
      <c r="DXQ243" s="334"/>
      <c r="DXR243" s="334"/>
      <c r="DXS243" s="334"/>
      <c r="DXT243" s="334"/>
      <c r="DXU243" s="334"/>
      <c r="DXV243" s="334"/>
      <c r="DXW243" s="334"/>
      <c r="DXX243" s="334"/>
      <c r="DXY243" s="334"/>
      <c r="DXZ243" s="334"/>
      <c r="DYA243" s="334"/>
      <c r="DYB243" s="334"/>
      <c r="DYC243" s="334"/>
      <c r="DYD243" s="334"/>
      <c r="DYE243" s="334"/>
      <c r="DYF243" s="334"/>
      <c r="DYG243" s="334"/>
      <c r="DYH243" s="334"/>
      <c r="DYI243" s="334"/>
      <c r="DYJ243" s="334"/>
      <c r="DYK243" s="334"/>
      <c r="DYL243" s="334"/>
      <c r="DYM243" s="334"/>
      <c r="DYN243" s="334"/>
      <c r="DYO243" s="334"/>
      <c r="DYP243" s="334"/>
      <c r="DYQ243" s="334"/>
      <c r="DYR243" s="334"/>
      <c r="DYS243" s="334"/>
      <c r="DYT243" s="334"/>
      <c r="DYU243" s="334"/>
      <c r="DYV243" s="334"/>
      <c r="DYW243" s="334"/>
      <c r="DYX243" s="334"/>
      <c r="DYY243" s="334"/>
      <c r="DYZ243" s="334"/>
      <c r="DZA243" s="334"/>
      <c r="DZB243" s="334"/>
      <c r="DZC243" s="334"/>
      <c r="DZD243" s="334"/>
      <c r="DZE243" s="334"/>
      <c r="DZF243" s="334"/>
      <c r="DZG243" s="334"/>
      <c r="DZH243" s="334"/>
      <c r="DZI243" s="334"/>
      <c r="DZJ243" s="334"/>
      <c r="DZK243" s="334"/>
      <c r="DZL243" s="334"/>
      <c r="DZM243" s="334"/>
      <c r="DZN243" s="334"/>
      <c r="DZO243" s="334"/>
      <c r="DZP243" s="334"/>
      <c r="DZQ243" s="334"/>
      <c r="DZR243" s="334"/>
      <c r="DZS243" s="334"/>
      <c r="DZT243" s="334"/>
      <c r="DZU243" s="334"/>
      <c r="DZV243" s="334"/>
      <c r="DZW243" s="334"/>
      <c r="DZX243" s="334"/>
      <c r="DZY243" s="334"/>
      <c r="DZZ243" s="334"/>
      <c r="EAA243" s="334"/>
      <c r="EAB243" s="334"/>
      <c r="EAC243" s="334"/>
      <c r="EAD243" s="334"/>
      <c r="EAE243" s="334"/>
      <c r="EAF243" s="334"/>
      <c r="EAG243" s="334"/>
      <c r="EAH243" s="334"/>
      <c r="EAI243" s="334"/>
      <c r="EAJ243" s="334"/>
      <c r="EAK243" s="334"/>
      <c r="EAL243" s="334"/>
      <c r="EAM243" s="334"/>
      <c r="EAN243" s="334"/>
      <c r="EAO243" s="334"/>
      <c r="EAP243" s="334"/>
      <c r="EAQ243" s="334"/>
      <c r="EAR243" s="334"/>
      <c r="EAS243" s="334"/>
      <c r="EAT243" s="334"/>
      <c r="EAU243" s="334"/>
      <c r="EAV243" s="334"/>
      <c r="EAW243" s="334"/>
      <c r="EAX243" s="334"/>
      <c r="EAY243" s="334"/>
      <c r="EAZ243" s="334"/>
      <c r="EBA243" s="334"/>
      <c r="EBB243" s="334"/>
      <c r="EBC243" s="334"/>
      <c r="EBD243" s="334"/>
      <c r="EBE243" s="334"/>
      <c r="EBF243" s="334"/>
      <c r="EBG243" s="334"/>
      <c r="EBH243" s="334"/>
      <c r="EBI243" s="334"/>
      <c r="EBJ243" s="334"/>
      <c r="EBK243" s="334"/>
      <c r="EBL243" s="334"/>
      <c r="EBM243" s="334"/>
      <c r="EBN243" s="334"/>
      <c r="EBO243" s="334"/>
      <c r="EBP243" s="334"/>
      <c r="EBQ243" s="334"/>
      <c r="EBR243" s="334"/>
      <c r="EBS243" s="334"/>
      <c r="EBT243" s="334"/>
      <c r="EBU243" s="334"/>
      <c r="EBV243" s="334"/>
      <c r="EBW243" s="334"/>
      <c r="EBX243" s="334"/>
      <c r="EBY243" s="334"/>
      <c r="EBZ243" s="334"/>
      <c r="ECA243" s="334"/>
      <c r="ECB243" s="334"/>
      <c r="ECC243" s="334"/>
      <c r="ECD243" s="334"/>
      <c r="ECE243" s="334"/>
      <c r="ECF243" s="334"/>
      <c r="ECG243" s="334"/>
      <c r="ECH243" s="334"/>
      <c r="ECI243" s="334"/>
      <c r="ECJ243" s="334"/>
      <c r="ECK243" s="334"/>
      <c r="ECL243" s="334"/>
      <c r="ECM243" s="334"/>
      <c r="ECN243" s="334"/>
      <c r="ECO243" s="334"/>
      <c r="ECP243" s="334"/>
      <c r="ECQ243" s="334"/>
      <c r="ECR243" s="334"/>
      <c r="ECS243" s="334"/>
      <c r="ECT243" s="334"/>
      <c r="ECU243" s="334"/>
      <c r="ECV243" s="334"/>
      <c r="ECW243" s="334"/>
      <c r="ECX243" s="334"/>
      <c r="ECY243" s="334"/>
      <c r="ECZ243" s="334"/>
      <c r="EDA243" s="334"/>
      <c r="EDB243" s="334"/>
      <c r="EDC243" s="334"/>
      <c r="EDD243" s="334"/>
      <c r="EDE243" s="334"/>
      <c r="EDF243" s="334"/>
      <c r="EDG243" s="334"/>
      <c r="EDH243" s="334"/>
      <c r="EDI243" s="334"/>
      <c r="EDJ243" s="334"/>
      <c r="EDK243" s="334"/>
      <c r="EDL243" s="334"/>
      <c r="EDM243" s="334"/>
      <c r="EDN243" s="334"/>
      <c r="EDO243" s="334"/>
      <c r="EDP243" s="334"/>
      <c r="EDQ243" s="334"/>
      <c r="EDR243" s="334"/>
      <c r="EDS243" s="334"/>
      <c r="EDT243" s="334"/>
      <c r="EDU243" s="334"/>
      <c r="EDV243" s="334"/>
      <c r="EDW243" s="334"/>
      <c r="EDX243" s="334"/>
      <c r="EDY243" s="334"/>
      <c r="EDZ243" s="334"/>
      <c r="EEA243" s="334"/>
      <c r="EEB243" s="334"/>
      <c r="EEC243" s="334"/>
      <c r="EED243" s="334"/>
      <c r="EEE243" s="334"/>
      <c r="EEF243" s="334"/>
      <c r="EEG243" s="334"/>
      <c r="EEH243" s="334"/>
      <c r="EEI243" s="334"/>
      <c r="EEJ243" s="334"/>
      <c r="EEK243" s="334"/>
      <c r="EEL243" s="334"/>
      <c r="EEM243" s="334"/>
      <c r="EEN243" s="334"/>
      <c r="EEO243" s="334"/>
      <c r="EEP243" s="334"/>
      <c r="EEQ243" s="334"/>
      <c r="EER243" s="334"/>
      <c r="EES243" s="334"/>
      <c r="EET243" s="334"/>
      <c r="EEU243" s="334"/>
      <c r="EEV243" s="334"/>
      <c r="EEW243" s="334"/>
      <c r="EEX243" s="334"/>
      <c r="EEY243" s="334"/>
      <c r="EEZ243" s="334"/>
      <c r="EFA243" s="334"/>
      <c r="EFB243" s="334"/>
      <c r="EFC243" s="334"/>
      <c r="EFD243" s="334"/>
      <c r="EFE243" s="334"/>
      <c r="EFF243" s="334"/>
      <c r="EFG243" s="334"/>
      <c r="EFH243" s="334"/>
      <c r="EFI243" s="334"/>
      <c r="EFJ243" s="334"/>
      <c r="EFK243" s="334"/>
      <c r="EFL243" s="334"/>
      <c r="EFM243" s="334"/>
      <c r="EFN243" s="334"/>
      <c r="EFO243" s="334"/>
      <c r="EFP243" s="334"/>
      <c r="EFQ243" s="334"/>
      <c r="EFR243" s="334"/>
      <c r="EFS243" s="334"/>
      <c r="EFT243" s="334"/>
      <c r="EFU243" s="334"/>
      <c r="EFV243" s="334"/>
      <c r="EFW243" s="334"/>
      <c r="EFX243" s="334"/>
      <c r="EFY243" s="334"/>
      <c r="EFZ243" s="334"/>
      <c r="EGA243" s="334"/>
      <c r="EGB243" s="334"/>
      <c r="EGC243" s="334"/>
      <c r="EGD243" s="334"/>
      <c r="EGE243" s="334"/>
      <c r="EGF243" s="334"/>
      <c r="EGG243" s="334"/>
      <c r="EGH243" s="334"/>
      <c r="EGI243" s="334"/>
      <c r="EGJ243" s="334"/>
      <c r="EGK243" s="334"/>
      <c r="EGL243" s="334"/>
      <c r="EGM243" s="334"/>
      <c r="EGN243" s="334"/>
      <c r="EGO243" s="334"/>
      <c r="EGP243" s="334"/>
      <c r="EGQ243" s="334"/>
      <c r="EGR243" s="334"/>
      <c r="EGS243" s="334"/>
      <c r="EGT243" s="334"/>
      <c r="EGU243" s="334"/>
      <c r="EGV243" s="334"/>
      <c r="EGW243" s="334"/>
      <c r="EGX243" s="334"/>
      <c r="EGY243" s="334"/>
      <c r="EGZ243" s="334"/>
      <c r="EHA243" s="334"/>
      <c r="EHB243" s="334"/>
      <c r="EHC243" s="334"/>
      <c r="EHD243" s="334"/>
      <c r="EHE243" s="334"/>
      <c r="EHF243" s="334"/>
      <c r="EHG243" s="334"/>
      <c r="EHH243" s="334"/>
      <c r="EHI243" s="334"/>
      <c r="EHJ243" s="334"/>
      <c r="EHK243" s="334"/>
      <c r="EHL243" s="334"/>
      <c r="EHM243" s="334"/>
      <c r="EHN243" s="334"/>
      <c r="EHO243" s="334"/>
      <c r="EHP243" s="334"/>
      <c r="EHQ243" s="334"/>
      <c r="EHR243" s="334"/>
      <c r="EHS243" s="334"/>
      <c r="EHT243" s="334"/>
      <c r="EHU243" s="334"/>
      <c r="EHV243" s="334"/>
      <c r="EHW243" s="334"/>
      <c r="EHX243" s="334"/>
      <c r="EHY243" s="334"/>
      <c r="EHZ243" s="334"/>
      <c r="EIA243" s="334"/>
      <c r="EIB243" s="334"/>
      <c r="EIC243" s="334"/>
      <c r="EID243" s="334"/>
      <c r="EIE243" s="334"/>
      <c r="EIF243" s="334"/>
      <c r="EIG243" s="334"/>
      <c r="EIH243" s="334"/>
      <c r="EII243" s="334"/>
      <c r="EIJ243" s="334"/>
      <c r="EIK243" s="334"/>
      <c r="EIL243" s="334"/>
      <c r="EIM243" s="334"/>
      <c r="EIN243" s="334"/>
      <c r="EIO243" s="334"/>
      <c r="EIP243" s="334"/>
      <c r="EIQ243" s="334"/>
      <c r="EIR243" s="334"/>
      <c r="EIS243" s="334"/>
      <c r="EIT243" s="334"/>
      <c r="EIU243" s="334"/>
      <c r="EIV243" s="334"/>
      <c r="EIW243" s="334"/>
      <c r="EIX243" s="334"/>
      <c r="EIY243" s="334"/>
      <c r="EIZ243" s="334"/>
      <c r="EJA243" s="334"/>
      <c r="EJB243" s="334"/>
      <c r="EJC243" s="334"/>
      <c r="EJD243" s="334"/>
      <c r="EJE243" s="334"/>
      <c r="EJF243" s="334"/>
      <c r="EJG243" s="334"/>
      <c r="EJH243" s="334"/>
      <c r="EJI243" s="334"/>
      <c r="EJJ243" s="334"/>
      <c r="EJK243" s="334"/>
      <c r="EJL243" s="334"/>
      <c r="EJM243" s="334"/>
      <c r="EJN243" s="334"/>
      <c r="EJO243" s="334"/>
      <c r="EJP243" s="334"/>
      <c r="EJQ243" s="334"/>
      <c r="EJR243" s="334"/>
      <c r="EJS243" s="334"/>
      <c r="EJT243" s="334"/>
      <c r="EJU243" s="334"/>
      <c r="EJV243" s="334"/>
      <c r="EJW243" s="334"/>
      <c r="EJX243" s="334"/>
      <c r="EJY243" s="334"/>
      <c r="EJZ243" s="334"/>
      <c r="EKA243" s="334"/>
      <c r="EKB243" s="334"/>
      <c r="EKC243" s="334"/>
      <c r="EKD243" s="334"/>
      <c r="EKE243" s="334"/>
      <c r="EKF243" s="334"/>
      <c r="EKG243" s="334"/>
      <c r="EKH243" s="334"/>
      <c r="EKI243" s="334"/>
      <c r="EKJ243" s="334"/>
      <c r="EKK243" s="334"/>
      <c r="EKL243" s="334"/>
      <c r="EKM243" s="334"/>
      <c r="EKN243" s="334"/>
      <c r="EKO243" s="334"/>
      <c r="EKP243" s="334"/>
      <c r="EKQ243" s="334"/>
      <c r="EKR243" s="334"/>
      <c r="EKS243" s="334"/>
      <c r="EKT243" s="334"/>
      <c r="EKU243" s="334"/>
      <c r="EKV243" s="334"/>
      <c r="EKW243" s="334"/>
      <c r="EKX243" s="334"/>
      <c r="EKY243" s="334"/>
      <c r="EKZ243" s="334"/>
      <c r="ELA243" s="334"/>
      <c r="ELB243" s="334"/>
      <c r="ELC243" s="334"/>
      <c r="ELD243" s="334"/>
      <c r="ELE243" s="334"/>
      <c r="ELF243" s="334"/>
      <c r="ELG243" s="334"/>
      <c r="ELH243" s="334"/>
      <c r="ELI243" s="334"/>
      <c r="ELJ243" s="334"/>
      <c r="ELK243" s="334"/>
      <c r="ELL243" s="334"/>
      <c r="ELM243" s="334"/>
      <c r="ELN243" s="334"/>
      <c r="ELO243" s="334"/>
      <c r="ELP243" s="334"/>
      <c r="ELQ243" s="334"/>
      <c r="ELR243" s="334"/>
      <c r="ELS243" s="334"/>
      <c r="ELT243" s="334"/>
      <c r="ELU243" s="334"/>
      <c r="ELV243" s="334"/>
      <c r="ELW243" s="334"/>
      <c r="ELX243" s="334"/>
      <c r="ELY243" s="334"/>
      <c r="ELZ243" s="334"/>
      <c r="EMA243" s="334"/>
      <c r="EMB243" s="334"/>
      <c r="EMC243" s="334"/>
      <c r="EMD243" s="334"/>
      <c r="EME243" s="334"/>
      <c r="EMF243" s="334"/>
      <c r="EMG243" s="334"/>
      <c r="EMH243" s="334"/>
      <c r="EMI243" s="334"/>
      <c r="EMJ243" s="334"/>
      <c r="EMK243" s="334"/>
      <c r="EML243" s="334"/>
      <c r="EMM243" s="334"/>
      <c r="EMN243" s="334"/>
      <c r="EMO243" s="334"/>
      <c r="EMP243" s="334"/>
      <c r="EMQ243" s="334"/>
      <c r="EMR243" s="334"/>
      <c r="EMS243" s="334"/>
      <c r="EMT243" s="334"/>
      <c r="EMU243" s="334"/>
      <c r="EMV243" s="334"/>
      <c r="EMW243" s="334"/>
      <c r="EMX243" s="334"/>
      <c r="EMY243" s="334"/>
      <c r="EMZ243" s="334"/>
      <c r="ENA243" s="334"/>
      <c r="ENB243" s="334"/>
      <c r="ENC243" s="334"/>
      <c r="END243" s="334"/>
      <c r="ENE243" s="334"/>
      <c r="ENF243" s="334"/>
      <c r="ENG243" s="334"/>
      <c r="ENH243" s="334"/>
      <c r="ENI243" s="334"/>
      <c r="ENJ243" s="334"/>
      <c r="ENK243" s="334"/>
      <c r="ENL243" s="334"/>
      <c r="ENM243" s="334"/>
      <c r="ENN243" s="334"/>
      <c r="ENO243" s="334"/>
      <c r="ENP243" s="334"/>
      <c r="ENQ243" s="334"/>
      <c r="ENR243" s="334"/>
      <c r="ENS243" s="334"/>
      <c r="ENT243" s="334"/>
      <c r="ENU243" s="334"/>
      <c r="ENV243" s="334"/>
      <c r="ENW243" s="334"/>
      <c r="ENX243" s="334"/>
      <c r="ENY243" s="334"/>
      <c r="ENZ243" s="334"/>
      <c r="EOA243" s="334"/>
      <c r="EOB243" s="334"/>
      <c r="EOC243" s="334"/>
      <c r="EOD243" s="334"/>
      <c r="EOE243" s="334"/>
      <c r="EOF243" s="334"/>
      <c r="EOG243" s="334"/>
      <c r="EOH243" s="334"/>
      <c r="EOI243" s="334"/>
      <c r="EOJ243" s="334"/>
      <c r="EOK243" s="334"/>
      <c r="EOL243" s="334"/>
      <c r="EOM243" s="334"/>
      <c r="EON243" s="334"/>
      <c r="EOO243" s="334"/>
      <c r="EOP243" s="334"/>
      <c r="EOQ243" s="334"/>
      <c r="EOR243" s="334"/>
      <c r="EOS243" s="334"/>
      <c r="EOT243" s="334"/>
      <c r="EOU243" s="334"/>
      <c r="EOV243" s="334"/>
      <c r="EOW243" s="334"/>
      <c r="EOX243" s="334"/>
      <c r="EOY243" s="334"/>
      <c r="EOZ243" s="334"/>
      <c r="EPA243" s="334"/>
      <c r="EPB243" s="334"/>
      <c r="EPC243" s="334"/>
      <c r="EPD243" s="334"/>
      <c r="EPE243" s="334"/>
      <c r="EPF243" s="334"/>
      <c r="EPG243" s="334"/>
      <c r="EPH243" s="334"/>
      <c r="EPI243" s="334"/>
      <c r="EPJ243" s="334"/>
      <c r="EPK243" s="334"/>
      <c r="EPL243" s="334"/>
      <c r="EPM243" s="334"/>
      <c r="EPN243" s="334"/>
      <c r="EPO243" s="334"/>
      <c r="EPP243" s="334"/>
      <c r="EPQ243" s="334"/>
      <c r="EPR243" s="334"/>
      <c r="EPS243" s="334"/>
      <c r="EPT243" s="334"/>
      <c r="EPU243" s="334"/>
      <c r="EPV243" s="334"/>
      <c r="EPW243" s="334"/>
      <c r="EPX243" s="334"/>
      <c r="EPY243" s="334"/>
      <c r="EPZ243" s="334"/>
      <c r="EQA243" s="334"/>
      <c r="EQB243" s="334"/>
      <c r="EQC243" s="334"/>
      <c r="EQD243" s="334"/>
      <c r="EQE243" s="334"/>
      <c r="EQF243" s="334"/>
      <c r="EQG243" s="334"/>
      <c r="EQH243" s="334"/>
      <c r="EQI243" s="334"/>
      <c r="EQJ243" s="334"/>
      <c r="EQK243" s="334"/>
      <c r="EQL243" s="334"/>
      <c r="EQM243" s="334"/>
      <c r="EQN243" s="334"/>
      <c r="EQO243" s="334"/>
      <c r="EQP243" s="334"/>
      <c r="EQQ243" s="334"/>
      <c r="EQR243" s="334"/>
      <c r="EQS243" s="334"/>
      <c r="EQT243" s="334"/>
      <c r="EQU243" s="334"/>
      <c r="EQV243" s="334"/>
      <c r="EQW243" s="334"/>
      <c r="EQX243" s="334"/>
      <c r="EQY243" s="334"/>
      <c r="EQZ243" s="334"/>
      <c r="ERA243" s="334"/>
      <c r="ERB243" s="334"/>
      <c r="ERC243" s="334"/>
      <c r="ERD243" s="334"/>
      <c r="ERE243" s="334"/>
      <c r="ERF243" s="334"/>
      <c r="ERG243" s="334"/>
      <c r="ERH243" s="334"/>
      <c r="ERI243" s="334"/>
      <c r="ERJ243" s="334"/>
      <c r="ERK243" s="334"/>
      <c r="ERL243" s="334"/>
      <c r="ERM243" s="334"/>
      <c r="ERN243" s="334"/>
      <c r="ERO243" s="334"/>
      <c r="ERP243" s="334"/>
      <c r="ERQ243" s="334"/>
      <c r="ERR243" s="334"/>
      <c r="ERS243" s="334"/>
      <c r="ERT243" s="334"/>
      <c r="ERU243" s="334"/>
      <c r="ERV243" s="334"/>
      <c r="ERW243" s="334"/>
      <c r="ERX243" s="334"/>
      <c r="ERY243" s="334"/>
      <c r="ERZ243" s="334"/>
      <c r="ESA243" s="334"/>
      <c r="ESB243" s="334"/>
      <c r="ESC243" s="334"/>
      <c r="ESD243" s="334"/>
      <c r="ESE243" s="334"/>
      <c r="ESF243" s="334"/>
      <c r="ESG243" s="334"/>
      <c r="ESH243" s="334"/>
      <c r="ESI243" s="334"/>
      <c r="ESJ243" s="334"/>
      <c r="ESK243" s="334"/>
      <c r="ESL243" s="334"/>
      <c r="ESM243" s="334"/>
      <c r="ESN243" s="334"/>
      <c r="ESO243" s="334"/>
      <c r="ESP243" s="334"/>
      <c r="ESQ243" s="334"/>
      <c r="ESR243" s="334"/>
      <c r="ESS243" s="334"/>
      <c r="EST243" s="334"/>
      <c r="ESU243" s="334"/>
      <c r="ESV243" s="334"/>
      <c r="ESW243" s="334"/>
      <c r="ESX243" s="334"/>
      <c r="ESY243" s="334"/>
      <c r="ESZ243" s="334"/>
      <c r="ETA243" s="334"/>
      <c r="ETB243" s="334"/>
      <c r="ETC243" s="334"/>
      <c r="ETD243" s="334"/>
      <c r="ETE243" s="334"/>
      <c r="ETF243" s="334"/>
      <c r="ETG243" s="334"/>
      <c r="ETH243" s="334"/>
      <c r="ETI243" s="334"/>
      <c r="ETJ243" s="334"/>
      <c r="ETK243" s="334"/>
      <c r="ETL243" s="334"/>
      <c r="ETM243" s="334"/>
      <c r="ETN243" s="334"/>
      <c r="ETO243" s="334"/>
      <c r="ETP243" s="334"/>
      <c r="ETQ243" s="334"/>
      <c r="ETR243" s="334"/>
      <c r="ETS243" s="334"/>
      <c r="ETT243" s="334"/>
      <c r="ETU243" s="334"/>
      <c r="ETV243" s="334"/>
      <c r="ETW243" s="334"/>
      <c r="ETX243" s="334"/>
      <c r="ETY243" s="334"/>
      <c r="ETZ243" s="334"/>
      <c r="EUA243" s="334"/>
      <c r="EUB243" s="334"/>
      <c r="EUC243" s="334"/>
      <c r="EUD243" s="334"/>
      <c r="EUE243" s="334"/>
      <c r="EUF243" s="334"/>
      <c r="EUG243" s="334"/>
      <c r="EUH243" s="334"/>
      <c r="EUI243" s="334"/>
      <c r="EUJ243" s="334"/>
      <c r="EUK243" s="334"/>
      <c r="EUL243" s="334"/>
      <c r="EUM243" s="334"/>
      <c r="EUN243" s="334"/>
      <c r="EUO243" s="334"/>
      <c r="EUP243" s="334"/>
      <c r="EUQ243" s="334"/>
      <c r="EUR243" s="334"/>
      <c r="EUS243" s="334"/>
      <c r="EUT243" s="334"/>
      <c r="EUU243" s="334"/>
      <c r="EUV243" s="334"/>
      <c r="EUW243" s="334"/>
      <c r="EUX243" s="334"/>
      <c r="EUY243" s="334"/>
      <c r="EUZ243" s="334"/>
      <c r="EVA243" s="334"/>
      <c r="EVB243" s="334"/>
      <c r="EVC243" s="334"/>
      <c r="EVD243" s="334"/>
      <c r="EVE243" s="334"/>
      <c r="EVF243" s="334"/>
      <c r="EVG243" s="334"/>
      <c r="EVH243" s="334"/>
      <c r="EVI243" s="334"/>
      <c r="EVJ243" s="334"/>
      <c r="EVK243" s="334"/>
      <c r="EVL243" s="334"/>
      <c r="EVM243" s="334"/>
      <c r="EVN243" s="334"/>
      <c r="EVO243" s="334"/>
      <c r="EVP243" s="334"/>
      <c r="EVQ243" s="334"/>
      <c r="EVR243" s="334"/>
      <c r="EVS243" s="334"/>
      <c r="EVT243" s="334"/>
      <c r="EVU243" s="334"/>
      <c r="EVV243" s="334"/>
      <c r="EVW243" s="334"/>
      <c r="EVX243" s="334"/>
      <c r="EVY243" s="334"/>
      <c r="EVZ243" s="334"/>
      <c r="EWA243" s="334"/>
      <c r="EWB243" s="334"/>
      <c r="EWC243" s="334"/>
      <c r="EWD243" s="334"/>
      <c r="EWE243" s="334"/>
      <c r="EWF243" s="334"/>
      <c r="EWG243" s="334"/>
      <c r="EWH243" s="334"/>
      <c r="EWI243" s="334"/>
      <c r="EWJ243" s="334"/>
      <c r="EWK243" s="334"/>
      <c r="EWL243" s="334"/>
      <c r="EWM243" s="334"/>
      <c r="EWN243" s="334"/>
      <c r="EWO243" s="334"/>
      <c r="EWP243" s="334"/>
      <c r="EWQ243" s="334"/>
      <c r="EWR243" s="334"/>
      <c r="EWS243" s="334"/>
      <c r="EWT243" s="334"/>
      <c r="EWU243" s="334"/>
      <c r="EWV243" s="334"/>
      <c r="EWW243" s="334"/>
      <c r="EWX243" s="334"/>
      <c r="EWY243" s="334"/>
      <c r="EWZ243" s="334"/>
      <c r="EXA243" s="334"/>
      <c r="EXB243" s="334"/>
      <c r="EXC243" s="334"/>
      <c r="EXD243" s="334"/>
      <c r="EXE243" s="334"/>
      <c r="EXF243" s="334"/>
      <c r="EXG243" s="334"/>
      <c r="EXH243" s="334"/>
      <c r="EXI243" s="334"/>
      <c r="EXJ243" s="334"/>
      <c r="EXK243" s="334"/>
      <c r="EXL243" s="334"/>
      <c r="EXM243" s="334"/>
      <c r="EXN243" s="334"/>
      <c r="EXO243" s="334"/>
      <c r="EXP243" s="334"/>
      <c r="EXQ243" s="334"/>
      <c r="EXR243" s="334"/>
      <c r="EXS243" s="334"/>
      <c r="EXT243" s="334"/>
      <c r="EXU243" s="334"/>
      <c r="EXV243" s="334"/>
      <c r="EXW243" s="334"/>
      <c r="EXX243" s="334"/>
      <c r="EXY243" s="334"/>
      <c r="EXZ243" s="334"/>
      <c r="EYA243" s="334"/>
      <c r="EYB243" s="334"/>
      <c r="EYC243" s="334"/>
      <c r="EYD243" s="334"/>
      <c r="EYE243" s="334"/>
      <c r="EYF243" s="334"/>
      <c r="EYG243" s="334"/>
      <c r="EYH243" s="334"/>
      <c r="EYI243" s="334"/>
      <c r="EYJ243" s="334"/>
      <c r="EYK243" s="334"/>
      <c r="EYL243" s="334"/>
      <c r="EYM243" s="334"/>
      <c r="EYN243" s="334"/>
      <c r="EYO243" s="334"/>
      <c r="EYP243" s="334"/>
      <c r="EYQ243" s="334"/>
      <c r="EYR243" s="334"/>
      <c r="EYS243" s="334"/>
      <c r="EYT243" s="334"/>
      <c r="EYU243" s="334"/>
      <c r="EYV243" s="334"/>
      <c r="EYW243" s="334"/>
      <c r="EYX243" s="334"/>
      <c r="EYY243" s="334"/>
      <c r="EYZ243" s="334"/>
      <c r="EZA243" s="334"/>
      <c r="EZB243" s="334"/>
      <c r="EZC243" s="334"/>
      <c r="EZD243" s="334"/>
      <c r="EZE243" s="334"/>
      <c r="EZF243" s="334"/>
      <c r="EZG243" s="334"/>
      <c r="EZH243" s="334"/>
      <c r="EZI243" s="334"/>
      <c r="EZJ243" s="334"/>
      <c r="EZK243" s="334"/>
      <c r="EZL243" s="334"/>
      <c r="EZM243" s="334"/>
      <c r="EZN243" s="334"/>
      <c r="EZO243" s="334"/>
      <c r="EZP243" s="334"/>
      <c r="EZQ243" s="334"/>
      <c r="EZR243" s="334"/>
      <c r="EZS243" s="334"/>
      <c r="EZT243" s="334"/>
      <c r="EZU243" s="334"/>
      <c r="EZV243" s="334"/>
      <c r="EZW243" s="334"/>
      <c r="EZX243" s="334"/>
      <c r="EZY243" s="334"/>
      <c r="EZZ243" s="334"/>
      <c r="FAA243" s="334"/>
      <c r="FAB243" s="334"/>
      <c r="FAC243" s="334"/>
      <c r="FAD243" s="334"/>
      <c r="FAE243" s="334"/>
      <c r="FAF243" s="334"/>
      <c r="FAG243" s="334"/>
      <c r="FAH243" s="334"/>
      <c r="FAI243" s="334"/>
      <c r="FAJ243" s="334"/>
      <c r="FAK243" s="334"/>
      <c r="FAL243" s="334"/>
      <c r="FAM243" s="334"/>
      <c r="FAN243" s="334"/>
      <c r="FAO243" s="334"/>
      <c r="FAP243" s="334"/>
      <c r="FAQ243" s="334"/>
      <c r="FAR243" s="334"/>
      <c r="FAS243" s="334"/>
      <c r="FAT243" s="334"/>
      <c r="FAU243" s="334"/>
      <c r="FAV243" s="334"/>
      <c r="FAW243" s="334"/>
      <c r="FAX243" s="334"/>
      <c r="FAY243" s="334"/>
      <c r="FAZ243" s="334"/>
      <c r="FBA243" s="334"/>
      <c r="FBB243" s="334"/>
      <c r="FBC243" s="334"/>
      <c r="FBD243" s="334"/>
      <c r="FBE243" s="334"/>
      <c r="FBF243" s="334"/>
      <c r="FBG243" s="334"/>
      <c r="FBH243" s="334"/>
      <c r="FBI243" s="334"/>
      <c r="FBJ243" s="334"/>
      <c r="FBK243" s="334"/>
      <c r="FBL243" s="334"/>
      <c r="FBM243" s="334"/>
      <c r="FBN243" s="334"/>
      <c r="FBO243" s="334"/>
      <c r="FBP243" s="334"/>
      <c r="FBQ243" s="334"/>
      <c r="FBR243" s="334"/>
      <c r="FBS243" s="334"/>
      <c r="FBT243" s="334"/>
      <c r="FBU243" s="334"/>
      <c r="FBV243" s="334"/>
      <c r="FBW243" s="334"/>
      <c r="FBX243" s="334"/>
      <c r="FBY243" s="334"/>
      <c r="FBZ243" s="334"/>
      <c r="FCA243" s="334"/>
      <c r="FCB243" s="334"/>
      <c r="FCC243" s="334"/>
      <c r="FCD243" s="334"/>
      <c r="FCE243" s="334"/>
      <c r="FCF243" s="334"/>
      <c r="FCG243" s="334"/>
      <c r="FCH243" s="334"/>
      <c r="FCI243" s="334"/>
      <c r="FCJ243" s="334"/>
      <c r="FCK243" s="334"/>
      <c r="FCL243" s="334"/>
      <c r="FCM243" s="334"/>
      <c r="FCN243" s="334"/>
      <c r="FCO243" s="334"/>
      <c r="FCP243" s="334"/>
      <c r="FCQ243" s="334"/>
      <c r="FCR243" s="334"/>
      <c r="FCS243" s="334"/>
      <c r="FCT243" s="334"/>
      <c r="FCU243" s="334"/>
      <c r="FCV243" s="334"/>
      <c r="FCW243" s="334"/>
      <c r="FCX243" s="334"/>
      <c r="FCY243" s="334"/>
      <c r="FCZ243" s="334"/>
      <c r="FDA243" s="334"/>
      <c r="FDB243" s="334"/>
      <c r="FDC243" s="334"/>
      <c r="FDD243" s="334"/>
      <c r="FDE243" s="334"/>
      <c r="FDF243" s="334"/>
      <c r="FDG243" s="334"/>
      <c r="FDH243" s="334"/>
      <c r="FDI243" s="334"/>
      <c r="FDJ243" s="334"/>
      <c r="FDK243" s="334"/>
      <c r="FDL243" s="334"/>
      <c r="FDM243" s="334"/>
      <c r="FDN243" s="334"/>
      <c r="FDO243" s="334"/>
      <c r="FDP243" s="334"/>
      <c r="FDQ243" s="334"/>
      <c r="FDR243" s="334"/>
      <c r="FDS243" s="334"/>
      <c r="FDT243" s="334"/>
      <c r="FDU243" s="334"/>
      <c r="FDV243" s="334"/>
      <c r="FDW243" s="334"/>
      <c r="FDX243" s="334"/>
      <c r="FDY243" s="334"/>
      <c r="FDZ243" s="334"/>
      <c r="FEA243" s="334"/>
      <c r="FEB243" s="334"/>
      <c r="FEC243" s="334"/>
      <c r="FED243" s="334"/>
      <c r="FEE243" s="334"/>
      <c r="FEF243" s="334"/>
      <c r="FEG243" s="334"/>
      <c r="FEH243" s="334"/>
      <c r="FEI243" s="334"/>
      <c r="FEJ243" s="334"/>
      <c r="FEK243" s="334"/>
      <c r="FEL243" s="334"/>
      <c r="FEM243" s="334"/>
      <c r="FEN243" s="334"/>
      <c r="FEO243" s="334"/>
      <c r="FEP243" s="334"/>
      <c r="FEQ243" s="334"/>
      <c r="FER243" s="334"/>
      <c r="FES243" s="334"/>
      <c r="FET243" s="334"/>
      <c r="FEU243" s="334"/>
      <c r="FEV243" s="334"/>
      <c r="FEW243" s="334"/>
      <c r="FEX243" s="334"/>
      <c r="FEY243" s="334"/>
      <c r="FEZ243" s="334"/>
      <c r="FFA243" s="334"/>
      <c r="FFB243" s="334"/>
      <c r="FFC243" s="334"/>
      <c r="FFD243" s="334"/>
      <c r="FFE243" s="334"/>
      <c r="FFF243" s="334"/>
      <c r="FFG243" s="334"/>
      <c r="FFH243" s="334"/>
      <c r="FFI243" s="334"/>
      <c r="FFJ243" s="334"/>
      <c r="FFK243" s="334"/>
      <c r="FFL243" s="334"/>
      <c r="FFM243" s="334"/>
      <c r="FFN243" s="334"/>
      <c r="FFO243" s="334"/>
      <c r="FFP243" s="334"/>
      <c r="FFQ243" s="334"/>
      <c r="FFR243" s="334"/>
      <c r="FFS243" s="334"/>
      <c r="FFT243" s="334"/>
      <c r="FFU243" s="334"/>
      <c r="FFV243" s="334"/>
      <c r="FFW243" s="334"/>
      <c r="FFX243" s="334"/>
      <c r="FFY243" s="334"/>
      <c r="FFZ243" s="334"/>
      <c r="FGA243" s="334"/>
      <c r="FGB243" s="334"/>
      <c r="FGC243" s="334"/>
      <c r="FGD243" s="334"/>
      <c r="FGE243" s="334"/>
      <c r="FGF243" s="334"/>
      <c r="FGG243" s="334"/>
      <c r="FGH243" s="334"/>
      <c r="FGI243" s="334"/>
      <c r="FGJ243" s="334"/>
      <c r="FGK243" s="334"/>
      <c r="FGL243" s="334"/>
      <c r="FGM243" s="334"/>
      <c r="FGN243" s="334"/>
      <c r="FGO243" s="334"/>
      <c r="FGP243" s="334"/>
      <c r="FGQ243" s="334"/>
      <c r="FGR243" s="334"/>
      <c r="FGS243" s="334"/>
      <c r="FGT243" s="334"/>
      <c r="FGU243" s="334"/>
      <c r="FGV243" s="334"/>
      <c r="FGW243" s="334"/>
      <c r="FGX243" s="334"/>
      <c r="FGY243" s="334"/>
      <c r="FGZ243" s="334"/>
      <c r="FHA243" s="334"/>
      <c r="FHB243" s="334"/>
      <c r="FHC243" s="334"/>
      <c r="FHD243" s="334"/>
      <c r="FHE243" s="334"/>
      <c r="FHF243" s="334"/>
      <c r="FHG243" s="334"/>
      <c r="FHH243" s="334"/>
      <c r="FHI243" s="334"/>
      <c r="FHJ243" s="334"/>
      <c r="FHK243" s="334"/>
      <c r="FHL243" s="334"/>
      <c r="FHM243" s="334"/>
      <c r="FHN243" s="334"/>
      <c r="FHO243" s="334"/>
      <c r="FHP243" s="334"/>
      <c r="FHQ243" s="334"/>
      <c r="FHR243" s="334"/>
      <c r="FHS243" s="334"/>
      <c r="FHT243" s="334"/>
      <c r="FHU243" s="334"/>
      <c r="FHV243" s="334"/>
      <c r="FHW243" s="334"/>
      <c r="FHX243" s="334"/>
      <c r="FHY243" s="334"/>
      <c r="FHZ243" s="334"/>
      <c r="FIA243" s="334"/>
      <c r="FIB243" s="334"/>
      <c r="FIC243" s="334"/>
      <c r="FID243" s="334"/>
      <c r="FIE243" s="334"/>
      <c r="FIF243" s="334"/>
      <c r="FIG243" s="334"/>
      <c r="FIH243" s="334"/>
      <c r="FII243" s="334"/>
      <c r="FIJ243" s="334"/>
      <c r="FIK243" s="334"/>
      <c r="FIL243" s="334"/>
      <c r="FIM243" s="334"/>
      <c r="FIN243" s="334"/>
      <c r="FIO243" s="334"/>
      <c r="FIP243" s="334"/>
      <c r="FIQ243" s="334"/>
      <c r="FIR243" s="334"/>
      <c r="FIS243" s="334"/>
      <c r="FIT243" s="334"/>
      <c r="FIU243" s="334"/>
      <c r="FIV243" s="334"/>
      <c r="FIW243" s="334"/>
      <c r="FIX243" s="334"/>
      <c r="FIY243" s="334"/>
      <c r="FIZ243" s="334"/>
      <c r="FJA243" s="334"/>
      <c r="FJB243" s="334"/>
      <c r="FJC243" s="334"/>
      <c r="FJD243" s="334"/>
      <c r="FJE243" s="334"/>
      <c r="FJF243" s="334"/>
      <c r="FJG243" s="334"/>
      <c r="FJH243" s="334"/>
      <c r="FJI243" s="334"/>
      <c r="FJJ243" s="334"/>
      <c r="FJK243" s="334"/>
      <c r="FJL243" s="334"/>
      <c r="FJM243" s="334"/>
      <c r="FJN243" s="334"/>
      <c r="FJO243" s="334"/>
      <c r="FJP243" s="334"/>
      <c r="FJQ243" s="334"/>
      <c r="FJR243" s="334"/>
      <c r="FJS243" s="334"/>
      <c r="FJT243" s="334"/>
      <c r="FJU243" s="334"/>
      <c r="FJV243" s="334"/>
      <c r="FJW243" s="334"/>
      <c r="FJX243" s="334"/>
      <c r="FJY243" s="334"/>
      <c r="FJZ243" s="334"/>
      <c r="FKA243" s="334"/>
      <c r="FKB243" s="334"/>
      <c r="FKC243" s="334"/>
      <c r="FKD243" s="334"/>
      <c r="FKE243" s="334"/>
      <c r="FKF243" s="334"/>
      <c r="FKG243" s="334"/>
      <c r="FKH243" s="334"/>
      <c r="FKI243" s="334"/>
      <c r="FKJ243" s="334"/>
      <c r="FKK243" s="334"/>
      <c r="FKL243" s="334"/>
      <c r="FKM243" s="334"/>
      <c r="FKN243" s="334"/>
      <c r="FKO243" s="334"/>
      <c r="FKP243" s="334"/>
      <c r="FKQ243" s="334"/>
      <c r="FKR243" s="334"/>
      <c r="FKS243" s="334"/>
      <c r="FKT243" s="334"/>
      <c r="FKU243" s="334"/>
      <c r="FKV243" s="334"/>
      <c r="FKW243" s="334"/>
      <c r="FKX243" s="334"/>
      <c r="FKY243" s="334"/>
      <c r="FKZ243" s="334"/>
      <c r="FLA243" s="334"/>
      <c r="FLB243" s="334"/>
      <c r="FLC243" s="334"/>
      <c r="FLD243" s="334"/>
      <c r="FLE243" s="334"/>
      <c r="FLF243" s="334"/>
      <c r="FLG243" s="334"/>
      <c r="FLH243" s="334"/>
      <c r="FLI243" s="334"/>
      <c r="FLJ243" s="334"/>
      <c r="FLK243" s="334"/>
      <c r="FLL243" s="334"/>
      <c r="FLM243" s="334"/>
      <c r="FLN243" s="334"/>
      <c r="FLO243" s="334"/>
      <c r="FLP243" s="334"/>
      <c r="FLQ243" s="334"/>
      <c r="FLR243" s="334"/>
      <c r="FLS243" s="334"/>
      <c r="FLT243" s="334"/>
      <c r="FLU243" s="334"/>
      <c r="FLV243" s="334"/>
      <c r="FLW243" s="334"/>
      <c r="FLX243" s="334"/>
      <c r="FLY243" s="334"/>
      <c r="FLZ243" s="334"/>
      <c r="FMA243" s="334"/>
      <c r="FMB243" s="334"/>
      <c r="FMC243" s="334"/>
      <c r="FMD243" s="334"/>
      <c r="FME243" s="334"/>
      <c r="FMF243" s="334"/>
      <c r="FMG243" s="334"/>
      <c r="FMH243" s="334"/>
      <c r="FMI243" s="334"/>
      <c r="FMJ243" s="334"/>
      <c r="FMK243" s="334"/>
      <c r="FML243" s="334"/>
      <c r="FMM243" s="334"/>
      <c r="FMN243" s="334"/>
      <c r="FMO243" s="334"/>
      <c r="FMP243" s="334"/>
      <c r="FMQ243" s="334"/>
      <c r="FMR243" s="334"/>
      <c r="FMS243" s="334"/>
      <c r="FMT243" s="334"/>
      <c r="FMU243" s="334"/>
      <c r="FMV243" s="334"/>
      <c r="FMW243" s="334"/>
      <c r="FMX243" s="334"/>
      <c r="FMY243" s="334"/>
      <c r="FMZ243" s="334"/>
      <c r="FNA243" s="334"/>
      <c r="FNB243" s="334"/>
      <c r="FNC243" s="334"/>
      <c r="FND243" s="334"/>
      <c r="FNE243" s="334"/>
      <c r="FNF243" s="334"/>
      <c r="FNG243" s="334"/>
      <c r="FNH243" s="334"/>
      <c r="FNI243" s="334"/>
      <c r="FNJ243" s="334"/>
      <c r="FNK243" s="334"/>
      <c r="FNL243" s="334"/>
      <c r="FNM243" s="334"/>
      <c r="FNN243" s="334"/>
      <c r="FNO243" s="334"/>
      <c r="FNP243" s="334"/>
      <c r="FNQ243" s="334"/>
      <c r="FNR243" s="334"/>
      <c r="FNS243" s="334"/>
      <c r="FNT243" s="334"/>
      <c r="FNU243" s="334"/>
      <c r="FNV243" s="334"/>
      <c r="FNW243" s="334"/>
      <c r="FNX243" s="334"/>
      <c r="FNY243" s="334"/>
      <c r="FNZ243" s="334"/>
      <c r="FOA243" s="334"/>
      <c r="FOB243" s="334"/>
      <c r="FOC243" s="334"/>
      <c r="FOD243" s="334"/>
      <c r="FOE243" s="334"/>
      <c r="FOF243" s="334"/>
      <c r="FOG243" s="334"/>
      <c r="FOH243" s="334"/>
      <c r="FOI243" s="334"/>
      <c r="FOJ243" s="334"/>
      <c r="FOK243" s="334"/>
      <c r="FOL243" s="334"/>
      <c r="FOM243" s="334"/>
      <c r="FON243" s="334"/>
      <c r="FOO243" s="334"/>
      <c r="FOP243" s="334"/>
      <c r="FOQ243" s="334"/>
      <c r="FOR243" s="334"/>
      <c r="FOS243" s="334"/>
      <c r="FOT243" s="334"/>
      <c r="FOU243" s="334"/>
      <c r="FOV243" s="334"/>
      <c r="FOW243" s="334"/>
      <c r="FOX243" s="334"/>
      <c r="FOY243" s="334"/>
      <c r="FOZ243" s="334"/>
      <c r="FPA243" s="334"/>
      <c r="FPB243" s="334"/>
      <c r="FPC243" s="334"/>
      <c r="FPD243" s="334"/>
      <c r="FPE243" s="334"/>
      <c r="FPF243" s="334"/>
      <c r="FPG243" s="334"/>
      <c r="FPH243" s="334"/>
      <c r="FPI243" s="334"/>
      <c r="FPJ243" s="334"/>
      <c r="FPK243" s="334"/>
      <c r="FPL243" s="334"/>
      <c r="FPM243" s="334"/>
      <c r="FPN243" s="334"/>
      <c r="FPO243" s="334"/>
      <c r="FPP243" s="334"/>
      <c r="FPQ243" s="334"/>
      <c r="FPR243" s="334"/>
      <c r="FPS243" s="334"/>
      <c r="FPT243" s="334"/>
      <c r="FPU243" s="334"/>
      <c r="FPV243" s="334"/>
      <c r="FPW243" s="334"/>
      <c r="FPX243" s="334"/>
      <c r="FPY243" s="334"/>
      <c r="FPZ243" s="334"/>
      <c r="FQA243" s="334"/>
      <c r="FQB243" s="334"/>
      <c r="FQC243" s="334"/>
      <c r="FQD243" s="334"/>
      <c r="FQE243" s="334"/>
      <c r="FQF243" s="334"/>
      <c r="FQG243" s="334"/>
      <c r="FQH243" s="334"/>
      <c r="FQI243" s="334"/>
      <c r="FQJ243" s="334"/>
      <c r="FQK243" s="334"/>
      <c r="FQL243" s="334"/>
      <c r="FQM243" s="334"/>
      <c r="FQN243" s="334"/>
      <c r="FQO243" s="334"/>
      <c r="FQP243" s="334"/>
      <c r="FQQ243" s="334"/>
      <c r="FQR243" s="334"/>
      <c r="FQS243" s="334"/>
      <c r="FQT243" s="334"/>
      <c r="FQU243" s="334"/>
      <c r="FQV243" s="334"/>
      <c r="FQW243" s="334"/>
      <c r="FQX243" s="334"/>
      <c r="FQY243" s="334"/>
      <c r="FQZ243" s="334"/>
      <c r="FRA243" s="334"/>
      <c r="FRB243" s="334"/>
      <c r="FRC243" s="334"/>
      <c r="FRD243" s="334"/>
      <c r="FRE243" s="334"/>
      <c r="FRF243" s="334"/>
      <c r="FRG243" s="334"/>
      <c r="FRH243" s="334"/>
      <c r="FRI243" s="334"/>
      <c r="FRJ243" s="334"/>
      <c r="FRK243" s="334"/>
      <c r="FRL243" s="334"/>
      <c r="FRM243" s="334"/>
      <c r="FRN243" s="334"/>
      <c r="FRO243" s="334"/>
      <c r="FRP243" s="334"/>
      <c r="FRQ243" s="334"/>
      <c r="FRR243" s="334"/>
      <c r="FRS243" s="334"/>
      <c r="FRT243" s="334"/>
      <c r="FRU243" s="334"/>
      <c r="FRV243" s="334"/>
      <c r="FRW243" s="334"/>
      <c r="FRX243" s="334"/>
      <c r="FRY243" s="334"/>
      <c r="FRZ243" s="334"/>
      <c r="FSA243" s="334"/>
      <c r="FSB243" s="334"/>
      <c r="FSC243" s="334"/>
      <c r="FSD243" s="334"/>
      <c r="FSE243" s="334"/>
      <c r="FSF243" s="334"/>
      <c r="FSG243" s="334"/>
      <c r="FSH243" s="334"/>
      <c r="FSI243" s="334"/>
      <c r="FSJ243" s="334"/>
      <c r="FSK243" s="334"/>
      <c r="FSL243" s="334"/>
      <c r="FSM243" s="334"/>
      <c r="FSN243" s="334"/>
      <c r="FSO243" s="334"/>
      <c r="FSP243" s="334"/>
      <c r="FSQ243" s="334"/>
      <c r="FSR243" s="334"/>
      <c r="FSS243" s="334"/>
      <c r="FST243" s="334"/>
      <c r="FSU243" s="334"/>
      <c r="FSV243" s="334"/>
      <c r="FSW243" s="334"/>
      <c r="FSX243" s="334"/>
      <c r="FSY243" s="334"/>
      <c r="FSZ243" s="334"/>
      <c r="FTA243" s="334"/>
      <c r="FTB243" s="334"/>
      <c r="FTC243" s="334"/>
      <c r="FTD243" s="334"/>
      <c r="FTE243" s="334"/>
      <c r="FTF243" s="334"/>
      <c r="FTG243" s="334"/>
      <c r="FTH243" s="334"/>
      <c r="FTI243" s="334"/>
      <c r="FTJ243" s="334"/>
      <c r="FTK243" s="334"/>
      <c r="FTL243" s="334"/>
      <c r="FTM243" s="334"/>
      <c r="FTN243" s="334"/>
      <c r="FTO243" s="334"/>
      <c r="FTP243" s="334"/>
      <c r="FTQ243" s="334"/>
      <c r="FTR243" s="334"/>
      <c r="FTS243" s="334"/>
      <c r="FTT243" s="334"/>
      <c r="FTU243" s="334"/>
      <c r="FTV243" s="334"/>
      <c r="FTW243" s="334"/>
      <c r="FTX243" s="334"/>
      <c r="FTY243" s="334"/>
      <c r="FTZ243" s="334"/>
      <c r="FUA243" s="334"/>
      <c r="FUB243" s="334"/>
      <c r="FUC243" s="334"/>
      <c r="FUD243" s="334"/>
      <c r="FUE243" s="334"/>
      <c r="FUF243" s="334"/>
      <c r="FUG243" s="334"/>
      <c r="FUH243" s="334"/>
      <c r="FUI243" s="334"/>
      <c r="FUJ243" s="334"/>
      <c r="FUK243" s="334"/>
      <c r="FUL243" s="334"/>
      <c r="FUM243" s="334"/>
      <c r="FUN243" s="334"/>
      <c r="FUO243" s="334"/>
      <c r="FUP243" s="334"/>
      <c r="FUQ243" s="334"/>
      <c r="FUR243" s="334"/>
      <c r="FUS243" s="334"/>
      <c r="FUT243" s="334"/>
      <c r="FUU243" s="334"/>
      <c r="FUV243" s="334"/>
      <c r="FUW243" s="334"/>
      <c r="FUX243" s="334"/>
      <c r="FUY243" s="334"/>
      <c r="FUZ243" s="334"/>
      <c r="FVA243" s="334"/>
      <c r="FVB243" s="334"/>
      <c r="FVC243" s="334"/>
      <c r="FVD243" s="334"/>
      <c r="FVE243" s="334"/>
      <c r="FVF243" s="334"/>
      <c r="FVG243" s="334"/>
      <c r="FVH243" s="334"/>
      <c r="FVI243" s="334"/>
      <c r="FVJ243" s="334"/>
      <c r="FVK243" s="334"/>
      <c r="FVL243" s="334"/>
      <c r="FVM243" s="334"/>
      <c r="FVN243" s="334"/>
      <c r="FVO243" s="334"/>
      <c r="FVP243" s="334"/>
      <c r="FVQ243" s="334"/>
      <c r="FVR243" s="334"/>
      <c r="FVS243" s="334"/>
      <c r="FVT243" s="334"/>
      <c r="FVU243" s="334"/>
      <c r="FVV243" s="334"/>
      <c r="FVW243" s="334"/>
      <c r="FVX243" s="334"/>
      <c r="FVY243" s="334"/>
      <c r="FVZ243" s="334"/>
      <c r="FWA243" s="334"/>
      <c r="FWB243" s="334"/>
      <c r="FWC243" s="334"/>
      <c r="FWD243" s="334"/>
      <c r="FWE243" s="334"/>
      <c r="FWF243" s="334"/>
      <c r="FWG243" s="334"/>
      <c r="FWH243" s="334"/>
      <c r="FWI243" s="334"/>
      <c r="FWJ243" s="334"/>
      <c r="FWK243" s="334"/>
      <c r="FWL243" s="334"/>
      <c r="FWM243" s="334"/>
      <c r="FWN243" s="334"/>
      <c r="FWO243" s="334"/>
      <c r="FWP243" s="334"/>
      <c r="FWQ243" s="334"/>
      <c r="FWR243" s="334"/>
      <c r="FWS243" s="334"/>
      <c r="FWT243" s="334"/>
      <c r="FWU243" s="334"/>
      <c r="FWV243" s="334"/>
      <c r="FWW243" s="334"/>
      <c r="FWX243" s="334"/>
      <c r="FWY243" s="334"/>
      <c r="FWZ243" s="334"/>
      <c r="FXA243" s="334"/>
      <c r="FXB243" s="334"/>
      <c r="FXC243" s="334"/>
      <c r="FXD243" s="334"/>
      <c r="FXE243" s="334"/>
      <c r="FXF243" s="334"/>
      <c r="FXG243" s="334"/>
      <c r="FXH243" s="334"/>
      <c r="FXI243" s="334"/>
      <c r="FXJ243" s="334"/>
      <c r="FXK243" s="334"/>
      <c r="FXL243" s="334"/>
      <c r="FXM243" s="334"/>
      <c r="FXN243" s="334"/>
      <c r="FXO243" s="334"/>
      <c r="FXP243" s="334"/>
      <c r="FXQ243" s="334"/>
      <c r="FXR243" s="334"/>
      <c r="FXS243" s="334"/>
      <c r="FXT243" s="334"/>
      <c r="FXU243" s="334"/>
      <c r="FXV243" s="334"/>
      <c r="FXW243" s="334"/>
      <c r="FXX243" s="334"/>
      <c r="FXY243" s="334"/>
      <c r="FXZ243" s="334"/>
      <c r="FYA243" s="334"/>
      <c r="FYB243" s="334"/>
      <c r="FYC243" s="334"/>
      <c r="FYD243" s="334"/>
      <c r="FYE243" s="334"/>
      <c r="FYF243" s="334"/>
      <c r="FYG243" s="334"/>
      <c r="FYH243" s="334"/>
      <c r="FYI243" s="334"/>
      <c r="FYJ243" s="334"/>
      <c r="FYK243" s="334"/>
      <c r="FYL243" s="334"/>
      <c r="FYM243" s="334"/>
      <c r="FYN243" s="334"/>
      <c r="FYO243" s="334"/>
      <c r="FYP243" s="334"/>
      <c r="FYQ243" s="334"/>
      <c r="FYR243" s="334"/>
      <c r="FYS243" s="334"/>
      <c r="FYT243" s="334"/>
      <c r="FYU243" s="334"/>
      <c r="FYV243" s="334"/>
      <c r="FYW243" s="334"/>
      <c r="FYX243" s="334"/>
      <c r="FYY243" s="334"/>
      <c r="FYZ243" s="334"/>
      <c r="FZA243" s="334"/>
      <c r="FZB243" s="334"/>
      <c r="FZC243" s="334"/>
      <c r="FZD243" s="334"/>
      <c r="FZE243" s="334"/>
      <c r="FZF243" s="334"/>
      <c r="FZG243" s="334"/>
      <c r="FZH243" s="334"/>
      <c r="FZI243" s="334"/>
      <c r="FZJ243" s="334"/>
      <c r="FZK243" s="334"/>
      <c r="FZL243" s="334"/>
      <c r="FZM243" s="334"/>
      <c r="FZN243" s="334"/>
      <c r="FZO243" s="334"/>
      <c r="FZP243" s="334"/>
      <c r="FZQ243" s="334"/>
      <c r="FZR243" s="334"/>
      <c r="FZS243" s="334"/>
      <c r="FZT243" s="334"/>
      <c r="FZU243" s="334"/>
      <c r="FZV243" s="334"/>
      <c r="FZW243" s="334"/>
      <c r="FZX243" s="334"/>
      <c r="FZY243" s="334"/>
      <c r="FZZ243" s="334"/>
      <c r="GAA243" s="334"/>
      <c r="GAB243" s="334"/>
      <c r="GAC243" s="334"/>
      <c r="GAD243" s="334"/>
      <c r="GAE243" s="334"/>
      <c r="GAF243" s="334"/>
      <c r="GAG243" s="334"/>
      <c r="GAH243" s="334"/>
      <c r="GAI243" s="334"/>
      <c r="GAJ243" s="334"/>
      <c r="GAK243" s="334"/>
      <c r="GAL243" s="334"/>
      <c r="GAM243" s="334"/>
      <c r="GAN243" s="334"/>
      <c r="GAO243" s="334"/>
      <c r="GAP243" s="334"/>
      <c r="GAQ243" s="334"/>
      <c r="GAR243" s="334"/>
      <c r="GAS243" s="334"/>
      <c r="GAT243" s="334"/>
      <c r="GAU243" s="334"/>
      <c r="GAV243" s="334"/>
      <c r="GAW243" s="334"/>
      <c r="GAX243" s="334"/>
      <c r="GAY243" s="334"/>
      <c r="GAZ243" s="334"/>
      <c r="GBA243" s="334"/>
      <c r="GBB243" s="334"/>
      <c r="GBC243" s="334"/>
      <c r="GBD243" s="334"/>
      <c r="GBE243" s="334"/>
      <c r="GBF243" s="334"/>
      <c r="GBG243" s="334"/>
      <c r="GBH243" s="334"/>
      <c r="GBI243" s="334"/>
      <c r="GBJ243" s="334"/>
      <c r="GBK243" s="334"/>
      <c r="GBL243" s="334"/>
      <c r="GBM243" s="334"/>
      <c r="GBN243" s="334"/>
      <c r="GBO243" s="334"/>
      <c r="GBP243" s="334"/>
      <c r="GBQ243" s="334"/>
      <c r="GBR243" s="334"/>
      <c r="GBS243" s="334"/>
      <c r="GBT243" s="334"/>
      <c r="GBU243" s="334"/>
      <c r="GBV243" s="334"/>
      <c r="GBW243" s="334"/>
      <c r="GBX243" s="334"/>
      <c r="GBY243" s="334"/>
      <c r="GBZ243" s="334"/>
      <c r="GCA243" s="334"/>
      <c r="GCB243" s="334"/>
      <c r="GCC243" s="334"/>
      <c r="GCD243" s="334"/>
      <c r="GCE243" s="334"/>
      <c r="GCF243" s="334"/>
      <c r="GCG243" s="334"/>
      <c r="GCH243" s="334"/>
      <c r="GCI243" s="334"/>
      <c r="GCJ243" s="334"/>
      <c r="GCK243" s="334"/>
      <c r="GCL243" s="334"/>
      <c r="GCM243" s="334"/>
      <c r="GCN243" s="334"/>
      <c r="GCO243" s="334"/>
      <c r="GCP243" s="334"/>
      <c r="GCQ243" s="334"/>
      <c r="GCR243" s="334"/>
      <c r="GCS243" s="334"/>
      <c r="GCT243" s="334"/>
      <c r="GCU243" s="334"/>
      <c r="GCV243" s="334"/>
      <c r="GCW243" s="334"/>
      <c r="GCX243" s="334"/>
      <c r="GCY243" s="334"/>
      <c r="GCZ243" s="334"/>
      <c r="GDA243" s="334"/>
      <c r="GDB243" s="334"/>
      <c r="GDC243" s="334"/>
      <c r="GDD243" s="334"/>
      <c r="GDE243" s="334"/>
      <c r="GDF243" s="334"/>
      <c r="GDG243" s="334"/>
      <c r="GDH243" s="334"/>
      <c r="GDI243" s="334"/>
      <c r="GDJ243" s="334"/>
      <c r="GDK243" s="334"/>
      <c r="GDL243" s="334"/>
      <c r="GDM243" s="334"/>
      <c r="GDN243" s="334"/>
      <c r="GDO243" s="334"/>
      <c r="GDP243" s="334"/>
      <c r="GDQ243" s="334"/>
      <c r="GDR243" s="334"/>
      <c r="GDS243" s="334"/>
      <c r="GDT243" s="334"/>
      <c r="GDU243" s="334"/>
      <c r="GDV243" s="334"/>
      <c r="GDW243" s="334"/>
      <c r="GDX243" s="334"/>
      <c r="GDY243" s="334"/>
      <c r="GDZ243" s="334"/>
      <c r="GEA243" s="334"/>
      <c r="GEB243" s="334"/>
      <c r="GEC243" s="334"/>
      <c r="GED243" s="334"/>
      <c r="GEE243" s="334"/>
      <c r="GEF243" s="334"/>
      <c r="GEG243" s="334"/>
      <c r="GEH243" s="334"/>
      <c r="GEI243" s="334"/>
      <c r="GEJ243" s="334"/>
      <c r="GEK243" s="334"/>
      <c r="GEL243" s="334"/>
      <c r="GEM243" s="334"/>
      <c r="GEN243" s="334"/>
      <c r="GEO243" s="334"/>
      <c r="GEP243" s="334"/>
      <c r="GEQ243" s="334"/>
      <c r="GER243" s="334"/>
      <c r="GES243" s="334"/>
      <c r="GET243" s="334"/>
      <c r="GEU243" s="334"/>
      <c r="GEV243" s="334"/>
      <c r="GEW243" s="334"/>
      <c r="GEX243" s="334"/>
      <c r="GEY243" s="334"/>
      <c r="GEZ243" s="334"/>
      <c r="GFA243" s="334"/>
      <c r="GFB243" s="334"/>
      <c r="GFC243" s="334"/>
      <c r="GFD243" s="334"/>
      <c r="GFE243" s="334"/>
      <c r="GFF243" s="334"/>
      <c r="GFG243" s="334"/>
      <c r="GFH243" s="334"/>
      <c r="GFI243" s="334"/>
      <c r="GFJ243" s="334"/>
      <c r="GFK243" s="334"/>
      <c r="GFL243" s="334"/>
      <c r="GFM243" s="334"/>
      <c r="GFN243" s="334"/>
      <c r="GFO243" s="334"/>
      <c r="GFP243" s="334"/>
      <c r="GFQ243" s="334"/>
      <c r="GFR243" s="334"/>
      <c r="GFS243" s="334"/>
      <c r="GFT243" s="334"/>
      <c r="GFU243" s="334"/>
      <c r="GFV243" s="334"/>
      <c r="GFW243" s="334"/>
      <c r="GFX243" s="334"/>
      <c r="GFY243" s="334"/>
      <c r="GFZ243" s="334"/>
      <c r="GGA243" s="334"/>
      <c r="GGB243" s="334"/>
      <c r="GGC243" s="334"/>
      <c r="GGD243" s="334"/>
      <c r="GGE243" s="334"/>
      <c r="GGF243" s="334"/>
      <c r="GGG243" s="334"/>
      <c r="GGH243" s="334"/>
      <c r="GGI243" s="334"/>
      <c r="GGJ243" s="334"/>
      <c r="GGK243" s="334"/>
      <c r="GGL243" s="334"/>
      <c r="GGM243" s="334"/>
      <c r="GGN243" s="334"/>
      <c r="GGO243" s="334"/>
      <c r="GGP243" s="334"/>
      <c r="GGQ243" s="334"/>
      <c r="GGR243" s="334"/>
      <c r="GGS243" s="334"/>
      <c r="GGT243" s="334"/>
      <c r="GGU243" s="334"/>
      <c r="GGV243" s="334"/>
      <c r="GGW243" s="334"/>
      <c r="GGX243" s="334"/>
      <c r="GGY243" s="334"/>
      <c r="GGZ243" s="334"/>
      <c r="GHA243" s="334"/>
      <c r="GHB243" s="334"/>
      <c r="GHC243" s="334"/>
      <c r="GHD243" s="334"/>
      <c r="GHE243" s="334"/>
      <c r="GHF243" s="334"/>
      <c r="GHG243" s="334"/>
      <c r="GHH243" s="334"/>
      <c r="GHI243" s="334"/>
      <c r="GHJ243" s="334"/>
      <c r="GHK243" s="334"/>
      <c r="GHL243" s="334"/>
      <c r="GHM243" s="334"/>
      <c r="GHN243" s="334"/>
      <c r="GHO243" s="334"/>
      <c r="GHP243" s="334"/>
      <c r="GHQ243" s="334"/>
      <c r="GHR243" s="334"/>
      <c r="GHS243" s="334"/>
      <c r="GHT243" s="334"/>
      <c r="GHU243" s="334"/>
      <c r="GHV243" s="334"/>
      <c r="GHW243" s="334"/>
      <c r="GHX243" s="334"/>
      <c r="GHY243" s="334"/>
      <c r="GHZ243" s="334"/>
      <c r="GIA243" s="334"/>
      <c r="GIB243" s="334"/>
      <c r="GIC243" s="334"/>
      <c r="GID243" s="334"/>
      <c r="GIE243" s="334"/>
      <c r="GIF243" s="334"/>
      <c r="GIG243" s="334"/>
      <c r="GIH243" s="334"/>
      <c r="GII243" s="334"/>
      <c r="GIJ243" s="334"/>
      <c r="GIK243" s="334"/>
      <c r="GIL243" s="334"/>
      <c r="GIM243" s="334"/>
      <c r="GIN243" s="334"/>
      <c r="GIO243" s="334"/>
      <c r="GIP243" s="334"/>
      <c r="GIQ243" s="334"/>
      <c r="GIR243" s="334"/>
      <c r="GIS243" s="334"/>
      <c r="GIT243" s="334"/>
      <c r="GIU243" s="334"/>
      <c r="GIV243" s="334"/>
      <c r="GIW243" s="334"/>
      <c r="GIX243" s="334"/>
      <c r="GIY243" s="334"/>
      <c r="GIZ243" s="334"/>
      <c r="GJA243" s="334"/>
      <c r="GJB243" s="334"/>
      <c r="GJC243" s="334"/>
      <c r="GJD243" s="334"/>
      <c r="GJE243" s="334"/>
      <c r="GJF243" s="334"/>
      <c r="GJG243" s="334"/>
      <c r="GJH243" s="334"/>
      <c r="GJI243" s="334"/>
      <c r="GJJ243" s="334"/>
      <c r="GJK243" s="334"/>
      <c r="GJL243" s="334"/>
      <c r="GJM243" s="334"/>
      <c r="GJN243" s="334"/>
      <c r="GJO243" s="334"/>
      <c r="GJP243" s="334"/>
      <c r="GJQ243" s="334"/>
      <c r="GJR243" s="334"/>
      <c r="GJS243" s="334"/>
      <c r="GJT243" s="334"/>
      <c r="GJU243" s="334"/>
      <c r="GJV243" s="334"/>
      <c r="GJW243" s="334"/>
      <c r="GJX243" s="334"/>
      <c r="GJY243" s="334"/>
      <c r="GJZ243" s="334"/>
      <c r="GKA243" s="334"/>
      <c r="GKB243" s="334"/>
      <c r="GKC243" s="334"/>
      <c r="GKD243" s="334"/>
      <c r="GKE243" s="334"/>
      <c r="GKF243" s="334"/>
      <c r="GKG243" s="334"/>
      <c r="GKH243" s="334"/>
      <c r="GKI243" s="334"/>
      <c r="GKJ243" s="334"/>
      <c r="GKK243" s="334"/>
      <c r="GKL243" s="334"/>
      <c r="GKM243" s="334"/>
      <c r="GKN243" s="334"/>
      <c r="GKO243" s="334"/>
      <c r="GKP243" s="334"/>
      <c r="GKQ243" s="334"/>
      <c r="GKR243" s="334"/>
      <c r="GKS243" s="334"/>
      <c r="GKT243" s="334"/>
      <c r="GKU243" s="334"/>
      <c r="GKV243" s="334"/>
      <c r="GKW243" s="334"/>
      <c r="GKX243" s="334"/>
      <c r="GKY243" s="334"/>
      <c r="GKZ243" s="334"/>
      <c r="GLA243" s="334"/>
      <c r="GLB243" s="334"/>
      <c r="GLC243" s="334"/>
      <c r="GLD243" s="334"/>
      <c r="GLE243" s="334"/>
      <c r="GLF243" s="334"/>
      <c r="GLG243" s="334"/>
      <c r="GLH243" s="334"/>
      <c r="GLI243" s="334"/>
      <c r="GLJ243" s="334"/>
      <c r="GLK243" s="334"/>
      <c r="GLL243" s="334"/>
      <c r="GLM243" s="334"/>
      <c r="GLN243" s="334"/>
      <c r="GLO243" s="334"/>
      <c r="GLP243" s="334"/>
      <c r="GLQ243" s="334"/>
      <c r="GLR243" s="334"/>
      <c r="GLS243" s="334"/>
      <c r="GLT243" s="334"/>
      <c r="GLU243" s="334"/>
      <c r="GLV243" s="334"/>
      <c r="GLW243" s="334"/>
      <c r="GLX243" s="334"/>
      <c r="GLY243" s="334"/>
      <c r="GLZ243" s="334"/>
      <c r="GMA243" s="334"/>
      <c r="GMB243" s="334"/>
      <c r="GMC243" s="334"/>
      <c r="GMD243" s="334"/>
      <c r="GME243" s="334"/>
      <c r="GMF243" s="334"/>
      <c r="GMG243" s="334"/>
      <c r="GMH243" s="334"/>
      <c r="GMI243" s="334"/>
      <c r="GMJ243" s="334"/>
      <c r="GMK243" s="334"/>
      <c r="GML243" s="334"/>
      <c r="GMM243" s="334"/>
      <c r="GMN243" s="334"/>
      <c r="GMO243" s="334"/>
      <c r="GMP243" s="334"/>
      <c r="GMQ243" s="334"/>
      <c r="GMR243" s="334"/>
      <c r="GMS243" s="334"/>
      <c r="GMT243" s="334"/>
      <c r="GMU243" s="334"/>
      <c r="GMV243" s="334"/>
      <c r="GMW243" s="334"/>
      <c r="GMX243" s="334"/>
      <c r="GMY243" s="334"/>
      <c r="GMZ243" s="334"/>
      <c r="GNA243" s="334"/>
      <c r="GNB243" s="334"/>
      <c r="GNC243" s="334"/>
      <c r="GND243" s="334"/>
      <c r="GNE243" s="334"/>
      <c r="GNF243" s="334"/>
      <c r="GNG243" s="334"/>
      <c r="GNH243" s="334"/>
      <c r="GNI243" s="334"/>
      <c r="GNJ243" s="334"/>
      <c r="GNK243" s="334"/>
      <c r="GNL243" s="334"/>
      <c r="GNM243" s="334"/>
      <c r="GNN243" s="334"/>
      <c r="GNO243" s="334"/>
      <c r="GNP243" s="334"/>
      <c r="GNQ243" s="334"/>
      <c r="GNR243" s="334"/>
      <c r="GNS243" s="334"/>
      <c r="GNT243" s="334"/>
      <c r="GNU243" s="334"/>
      <c r="GNV243" s="334"/>
      <c r="GNW243" s="334"/>
      <c r="GNX243" s="334"/>
      <c r="GNY243" s="334"/>
      <c r="GNZ243" s="334"/>
      <c r="GOA243" s="334"/>
      <c r="GOB243" s="334"/>
      <c r="GOC243" s="334"/>
      <c r="GOD243" s="334"/>
      <c r="GOE243" s="334"/>
      <c r="GOF243" s="334"/>
      <c r="GOG243" s="334"/>
      <c r="GOH243" s="334"/>
      <c r="GOI243" s="334"/>
      <c r="GOJ243" s="334"/>
      <c r="GOK243" s="334"/>
      <c r="GOL243" s="334"/>
      <c r="GOM243" s="334"/>
      <c r="GON243" s="334"/>
      <c r="GOO243" s="334"/>
      <c r="GOP243" s="334"/>
      <c r="GOQ243" s="334"/>
      <c r="GOR243" s="334"/>
      <c r="GOS243" s="334"/>
      <c r="GOT243" s="334"/>
      <c r="GOU243" s="334"/>
      <c r="GOV243" s="334"/>
      <c r="GOW243" s="334"/>
      <c r="GOX243" s="334"/>
      <c r="GOY243" s="334"/>
      <c r="GOZ243" s="334"/>
      <c r="GPA243" s="334"/>
      <c r="GPB243" s="334"/>
      <c r="GPC243" s="334"/>
      <c r="GPD243" s="334"/>
      <c r="GPE243" s="334"/>
      <c r="GPF243" s="334"/>
      <c r="GPG243" s="334"/>
      <c r="GPH243" s="334"/>
      <c r="GPI243" s="334"/>
      <c r="GPJ243" s="334"/>
      <c r="GPK243" s="334"/>
      <c r="GPL243" s="334"/>
      <c r="GPM243" s="334"/>
      <c r="GPN243" s="334"/>
      <c r="GPO243" s="334"/>
      <c r="GPP243" s="334"/>
      <c r="GPQ243" s="334"/>
      <c r="GPR243" s="334"/>
      <c r="GPS243" s="334"/>
      <c r="GPT243" s="334"/>
      <c r="GPU243" s="334"/>
      <c r="GPV243" s="334"/>
      <c r="GPW243" s="334"/>
      <c r="GPX243" s="334"/>
      <c r="GPY243" s="334"/>
      <c r="GPZ243" s="334"/>
      <c r="GQA243" s="334"/>
      <c r="GQB243" s="334"/>
      <c r="GQC243" s="334"/>
      <c r="GQD243" s="334"/>
      <c r="GQE243" s="334"/>
      <c r="GQF243" s="334"/>
      <c r="GQG243" s="334"/>
      <c r="GQH243" s="334"/>
      <c r="GQI243" s="334"/>
      <c r="GQJ243" s="334"/>
      <c r="GQK243" s="334"/>
      <c r="GQL243" s="334"/>
      <c r="GQM243" s="334"/>
      <c r="GQN243" s="334"/>
      <c r="GQO243" s="334"/>
      <c r="GQP243" s="334"/>
      <c r="GQQ243" s="334"/>
      <c r="GQR243" s="334"/>
      <c r="GQS243" s="334"/>
      <c r="GQT243" s="334"/>
      <c r="GQU243" s="334"/>
      <c r="GQV243" s="334"/>
      <c r="GQW243" s="334"/>
      <c r="GQX243" s="334"/>
      <c r="GQY243" s="334"/>
      <c r="GQZ243" s="334"/>
      <c r="GRA243" s="334"/>
      <c r="GRB243" s="334"/>
      <c r="GRC243" s="334"/>
      <c r="GRD243" s="334"/>
      <c r="GRE243" s="334"/>
      <c r="GRF243" s="334"/>
      <c r="GRG243" s="334"/>
      <c r="GRH243" s="334"/>
      <c r="GRI243" s="334"/>
      <c r="GRJ243" s="334"/>
      <c r="GRK243" s="334"/>
      <c r="GRL243" s="334"/>
      <c r="GRM243" s="334"/>
      <c r="GRN243" s="334"/>
      <c r="GRO243" s="334"/>
      <c r="GRP243" s="334"/>
      <c r="GRQ243" s="334"/>
      <c r="GRR243" s="334"/>
      <c r="GRS243" s="334"/>
      <c r="GRT243" s="334"/>
      <c r="GRU243" s="334"/>
      <c r="GRV243" s="334"/>
      <c r="GRW243" s="334"/>
      <c r="GRX243" s="334"/>
      <c r="GRY243" s="334"/>
      <c r="GRZ243" s="334"/>
      <c r="GSA243" s="334"/>
      <c r="GSB243" s="334"/>
      <c r="GSC243" s="334"/>
      <c r="GSD243" s="334"/>
      <c r="GSE243" s="334"/>
      <c r="GSF243" s="334"/>
      <c r="GSG243" s="334"/>
      <c r="GSH243" s="334"/>
      <c r="GSI243" s="334"/>
      <c r="GSJ243" s="334"/>
      <c r="GSK243" s="334"/>
      <c r="GSL243" s="334"/>
      <c r="GSM243" s="334"/>
      <c r="GSN243" s="334"/>
      <c r="GSO243" s="334"/>
      <c r="GSP243" s="334"/>
      <c r="GSQ243" s="334"/>
      <c r="GSR243" s="334"/>
      <c r="GSS243" s="334"/>
      <c r="GST243" s="334"/>
      <c r="GSU243" s="334"/>
      <c r="GSV243" s="334"/>
      <c r="GSW243" s="334"/>
      <c r="GSX243" s="334"/>
      <c r="GSY243" s="334"/>
      <c r="GSZ243" s="334"/>
      <c r="GTA243" s="334"/>
      <c r="GTB243" s="334"/>
      <c r="GTC243" s="334"/>
      <c r="GTD243" s="334"/>
      <c r="GTE243" s="334"/>
      <c r="GTF243" s="334"/>
      <c r="GTG243" s="334"/>
      <c r="GTH243" s="334"/>
      <c r="GTI243" s="334"/>
      <c r="GTJ243" s="334"/>
      <c r="GTK243" s="334"/>
      <c r="GTL243" s="334"/>
      <c r="GTM243" s="334"/>
      <c r="GTN243" s="334"/>
      <c r="GTO243" s="334"/>
      <c r="GTP243" s="334"/>
      <c r="GTQ243" s="334"/>
      <c r="GTR243" s="334"/>
      <c r="GTS243" s="334"/>
      <c r="GTT243" s="334"/>
      <c r="GTU243" s="334"/>
      <c r="GTV243" s="334"/>
      <c r="GTW243" s="334"/>
      <c r="GTX243" s="334"/>
      <c r="GTY243" s="334"/>
      <c r="GTZ243" s="334"/>
      <c r="GUA243" s="334"/>
      <c r="GUB243" s="334"/>
      <c r="GUC243" s="334"/>
      <c r="GUD243" s="334"/>
      <c r="GUE243" s="334"/>
      <c r="GUF243" s="334"/>
      <c r="GUG243" s="334"/>
      <c r="GUH243" s="334"/>
      <c r="GUI243" s="334"/>
      <c r="GUJ243" s="334"/>
      <c r="GUK243" s="334"/>
      <c r="GUL243" s="334"/>
      <c r="GUM243" s="334"/>
      <c r="GUN243" s="334"/>
      <c r="GUO243" s="334"/>
      <c r="GUP243" s="334"/>
      <c r="GUQ243" s="334"/>
      <c r="GUR243" s="334"/>
      <c r="GUS243" s="334"/>
      <c r="GUT243" s="334"/>
      <c r="GUU243" s="334"/>
      <c r="GUV243" s="334"/>
      <c r="GUW243" s="334"/>
      <c r="GUX243" s="334"/>
      <c r="GUY243" s="334"/>
      <c r="GUZ243" s="334"/>
      <c r="GVA243" s="334"/>
      <c r="GVB243" s="334"/>
      <c r="GVC243" s="334"/>
      <c r="GVD243" s="334"/>
      <c r="GVE243" s="334"/>
      <c r="GVF243" s="334"/>
      <c r="GVG243" s="334"/>
      <c r="GVH243" s="334"/>
      <c r="GVI243" s="334"/>
      <c r="GVJ243" s="334"/>
      <c r="GVK243" s="334"/>
      <c r="GVL243" s="334"/>
      <c r="GVM243" s="334"/>
      <c r="GVN243" s="334"/>
      <c r="GVO243" s="334"/>
      <c r="GVP243" s="334"/>
      <c r="GVQ243" s="334"/>
      <c r="GVR243" s="334"/>
      <c r="GVS243" s="334"/>
      <c r="GVT243" s="334"/>
      <c r="GVU243" s="334"/>
      <c r="GVV243" s="334"/>
      <c r="GVW243" s="334"/>
      <c r="GVX243" s="334"/>
      <c r="GVY243" s="334"/>
      <c r="GVZ243" s="334"/>
      <c r="GWA243" s="334"/>
      <c r="GWB243" s="334"/>
      <c r="GWC243" s="334"/>
      <c r="GWD243" s="334"/>
      <c r="GWE243" s="334"/>
      <c r="GWF243" s="334"/>
      <c r="GWG243" s="334"/>
      <c r="GWH243" s="334"/>
      <c r="GWI243" s="334"/>
      <c r="GWJ243" s="334"/>
      <c r="GWK243" s="334"/>
      <c r="GWL243" s="334"/>
      <c r="GWM243" s="334"/>
      <c r="GWN243" s="334"/>
      <c r="GWO243" s="334"/>
      <c r="GWP243" s="334"/>
      <c r="GWQ243" s="334"/>
      <c r="GWR243" s="334"/>
      <c r="GWS243" s="334"/>
      <c r="GWT243" s="334"/>
      <c r="GWU243" s="334"/>
      <c r="GWV243" s="334"/>
      <c r="GWW243" s="334"/>
      <c r="GWX243" s="334"/>
      <c r="GWY243" s="334"/>
      <c r="GWZ243" s="334"/>
      <c r="GXA243" s="334"/>
      <c r="GXB243" s="334"/>
      <c r="GXC243" s="334"/>
      <c r="GXD243" s="334"/>
      <c r="GXE243" s="334"/>
      <c r="GXF243" s="334"/>
      <c r="GXG243" s="334"/>
      <c r="GXH243" s="334"/>
      <c r="GXI243" s="334"/>
      <c r="GXJ243" s="334"/>
      <c r="GXK243" s="334"/>
      <c r="GXL243" s="334"/>
      <c r="GXM243" s="334"/>
      <c r="GXN243" s="334"/>
      <c r="GXO243" s="334"/>
      <c r="GXP243" s="334"/>
      <c r="GXQ243" s="334"/>
      <c r="GXR243" s="334"/>
      <c r="GXS243" s="334"/>
      <c r="GXT243" s="334"/>
      <c r="GXU243" s="334"/>
      <c r="GXV243" s="334"/>
      <c r="GXW243" s="334"/>
      <c r="GXX243" s="334"/>
      <c r="GXY243" s="334"/>
      <c r="GXZ243" s="334"/>
      <c r="GYA243" s="334"/>
      <c r="GYB243" s="334"/>
      <c r="GYC243" s="334"/>
      <c r="GYD243" s="334"/>
      <c r="GYE243" s="334"/>
      <c r="GYF243" s="334"/>
      <c r="GYG243" s="334"/>
      <c r="GYH243" s="334"/>
      <c r="GYI243" s="334"/>
      <c r="GYJ243" s="334"/>
      <c r="GYK243" s="334"/>
      <c r="GYL243" s="334"/>
      <c r="GYM243" s="334"/>
      <c r="GYN243" s="334"/>
      <c r="GYO243" s="334"/>
      <c r="GYP243" s="334"/>
      <c r="GYQ243" s="334"/>
      <c r="GYR243" s="334"/>
      <c r="GYS243" s="334"/>
      <c r="GYT243" s="334"/>
      <c r="GYU243" s="334"/>
      <c r="GYV243" s="334"/>
      <c r="GYW243" s="334"/>
      <c r="GYX243" s="334"/>
      <c r="GYY243" s="334"/>
      <c r="GYZ243" s="334"/>
      <c r="GZA243" s="334"/>
      <c r="GZB243" s="334"/>
      <c r="GZC243" s="334"/>
      <c r="GZD243" s="334"/>
      <c r="GZE243" s="334"/>
      <c r="GZF243" s="334"/>
      <c r="GZG243" s="334"/>
      <c r="GZH243" s="334"/>
      <c r="GZI243" s="334"/>
      <c r="GZJ243" s="334"/>
      <c r="GZK243" s="334"/>
      <c r="GZL243" s="334"/>
      <c r="GZM243" s="334"/>
      <c r="GZN243" s="334"/>
      <c r="GZO243" s="334"/>
      <c r="GZP243" s="334"/>
      <c r="GZQ243" s="334"/>
      <c r="GZR243" s="334"/>
      <c r="GZS243" s="334"/>
      <c r="GZT243" s="334"/>
      <c r="GZU243" s="334"/>
      <c r="GZV243" s="334"/>
      <c r="GZW243" s="334"/>
      <c r="GZX243" s="334"/>
      <c r="GZY243" s="334"/>
      <c r="GZZ243" s="334"/>
      <c r="HAA243" s="334"/>
      <c r="HAB243" s="334"/>
      <c r="HAC243" s="334"/>
      <c r="HAD243" s="334"/>
      <c r="HAE243" s="334"/>
      <c r="HAF243" s="334"/>
      <c r="HAG243" s="334"/>
      <c r="HAH243" s="334"/>
      <c r="HAI243" s="334"/>
      <c r="HAJ243" s="334"/>
      <c r="HAK243" s="334"/>
      <c r="HAL243" s="334"/>
      <c r="HAM243" s="334"/>
      <c r="HAN243" s="334"/>
      <c r="HAO243" s="334"/>
      <c r="HAP243" s="334"/>
      <c r="HAQ243" s="334"/>
      <c r="HAR243" s="334"/>
      <c r="HAS243" s="334"/>
      <c r="HAT243" s="334"/>
      <c r="HAU243" s="334"/>
      <c r="HAV243" s="334"/>
      <c r="HAW243" s="334"/>
      <c r="HAX243" s="334"/>
      <c r="HAY243" s="334"/>
      <c r="HAZ243" s="334"/>
      <c r="HBA243" s="334"/>
      <c r="HBB243" s="334"/>
      <c r="HBC243" s="334"/>
      <c r="HBD243" s="334"/>
      <c r="HBE243" s="334"/>
      <c r="HBF243" s="334"/>
      <c r="HBG243" s="334"/>
      <c r="HBH243" s="334"/>
      <c r="HBI243" s="334"/>
      <c r="HBJ243" s="334"/>
      <c r="HBK243" s="334"/>
      <c r="HBL243" s="334"/>
      <c r="HBM243" s="334"/>
      <c r="HBN243" s="334"/>
      <c r="HBO243" s="334"/>
      <c r="HBP243" s="334"/>
      <c r="HBQ243" s="334"/>
      <c r="HBR243" s="334"/>
      <c r="HBS243" s="334"/>
      <c r="HBT243" s="334"/>
      <c r="HBU243" s="334"/>
      <c r="HBV243" s="334"/>
      <c r="HBW243" s="334"/>
      <c r="HBX243" s="334"/>
      <c r="HBY243" s="334"/>
      <c r="HBZ243" s="334"/>
      <c r="HCA243" s="334"/>
      <c r="HCB243" s="334"/>
      <c r="HCC243" s="334"/>
      <c r="HCD243" s="334"/>
      <c r="HCE243" s="334"/>
      <c r="HCF243" s="334"/>
      <c r="HCG243" s="334"/>
      <c r="HCH243" s="334"/>
      <c r="HCI243" s="334"/>
      <c r="HCJ243" s="334"/>
      <c r="HCK243" s="334"/>
      <c r="HCL243" s="334"/>
      <c r="HCM243" s="334"/>
      <c r="HCN243" s="334"/>
      <c r="HCO243" s="334"/>
      <c r="HCP243" s="334"/>
      <c r="HCQ243" s="334"/>
      <c r="HCR243" s="334"/>
      <c r="HCS243" s="334"/>
      <c r="HCT243" s="334"/>
      <c r="HCU243" s="334"/>
      <c r="HCV243" s="334"/>
      <c r="HCW243" s="334"/>
      <c r="HCX243" s="334"/>
      <c r="HCY243" s="334"/>
      <c r="HCZ243" s="334"/>
      <c r="HDA243" s="334"/>
      <c r="HDB243" s="334"/>
      <c r="HDC243" s="334"/>
      <c r="HDD243" s="334"/>
      <c r="HDE243" s="334"/>
      <c r="HDF243" s="334"/>
      <c r="HDG243" s="334"/>
      <c r="HDH243" s="334"/>
      <c r="HDI243" s="334"/>
      <c r="HDJ243" s="334"/>
      <c r="HDK243" s="334"/>
      <c r="HDL243" s="334"/>
      <c r="HDM243" s="334"/>
      <c r="HDN243" s="334"/>
      <c r="HDO243" s="334"/>
      <c r="HDP243" s="334"/>
      <c r="HDQ243" s="334"/>
      <c r="HDR243" s="334"/>
      <c r="HDS243" s="334"/>
      <c r="HDT243" s="334"/>
      <c r="HDU243" s="334"/>
      <c r="HDV243" s="334"/>
      <c r="HDW243" s="334"/>
      <c r="HDX243" s="334"/>
      <c r="HDY243" s="334"/>
      <c r="HDZ243" s="334"/>
      <c r="HEA243" s="334"/>
      <c r="HEB243" s="334"/>
      <c r="HEC243" s="334"/>
      <c r="HED243" s="334"/>
      <c r="HEE243" s="334"/>
      <c r="HEF243" s="334"/>
      <c r="HEG243" s="334"/>
      <c r="HEH243" s="334"/>
      <c r="HEI243" s="334"/>
      <c r="HEJ243" s="334"/>
      <c r="HEK243" s="334"/>
      <c r="HEL243" s="334"/>
      <c r="HEM243" s="334"/>
      <c r="HEN243" s="334"/>
      <c r="HEO243" s="334"/>
      <c r="HEP243" s="334"/>
      <c r="HEQ243" s="334"/>
      <c r="HER243" s="334"/>
      <c r="HES243" s="334"/>
      <c r="HET243" s="334"/>
      <c r="HEU243" s="334"/>
      <c r="HEV243" s="334"/>
      <c r="HEW243" s="334"/>
      <c r="HEX243" s="334"/>
      <c r="HEY243" s="334"/>
      <c r="HEZ243" s="334"/>
      <c r="HFA243" s="334"/>
      <c r="HFB243" s="334"/>
      <c r="HFC243" s="334"/>
      <c r="HFD243" s="334"/>
      <c r="HFE243" s="334"/>
      <c r="HFF243" s="334"/>
      <c r="HFG243" s="334"/>
      <c r="HFH243" s="334"/>
      <c r="HFI243" s="334"/>
      <c r="HFJ243" s="334"/>
      <c r="HFK243" s="334"/>
      <c r="HFL243" s="334"/>
      <c r="HFM243" s="334"/>
      <c r="HFN243" s="334"/>
      <c r="HFO243" s="334"/>
      <c r="HFP243" s="334"/>
      <c r="HFQ243" s="334"/>
      <c r="HFR243" s="334"/>
      <c r="HFS243" s="334"/>
      <c r="HFT243" s="334"/>
      <c r="HFU243" s="334"/>
      <c r="HFV243" s="334"/>
      <c r="HFW243" s="334"/>
      <c r="HFX243" s="334"/>
      <c r="HFY243" s="334"/>
      <c r="HFZ243" s="334"/>
      <c r="HGA243" s="334"/>
      <c r="HGB243" s="334"/>
      <c r="HGC243" s="334"/>
      <c r="HGD243" s="334"/>
      <c r="HGE243" s="334"/>
      <c r="HGF243" s="334"/>
      <c r="HGG243" s="334"/>
      <c r="HGH243" s="334"/>
      <c r="HGI243" s="334"/>
      <c r="HGJ243" s="334"/>
      <c r="HGK243" s="334"/>
      <c r="HGL243" s="334"/>
      <c r="HGM243" s="334"/>
      <c r="HGN243" s="334"/>
      <c r="HGO243" s="334"/>
      <c r="HGP243" s="334"/>
      <c r="HGQ243" s="334"/>
      <c r="HGR243" s="334"/>
      <c r="HGS243" s="334"/>
      <c r="HGT243" s="334"/>
      <c r="HGU243" s="334"/>
      <c r="HGV243" s="334"/>
      <c r="HGW243" s="334"/>
      <c r="HGX243" s="334"/>
      <c r="HGY243" s="334"/>
      <c r="HGZ243" s="334"/>
      <c r="HHA243" s="334"/>
      <c r="HHB243" s="334"/>
      <c r="HHC243" s="334"/>
      <c r="HHD243" s="334"/>
      <c r="HHE243" s="334"/>
      <c r="HHF243" s="334"/>
      <c r="HHG243" s="334"/>
      <c r="HHH243" s="334"/>
      <c r="HHI243" s="334"/>
      <c r="HHJ243" s="334"/>
      <c r="HHK243" s="334"/>
      <c r="HHL243" s="334"/>
      <c r="HHM243" s="334"/>
      <c r="HHN243" s="334"/>
      <c r="HHO243" s="334"/>
      <c r="HHP243" s="334"/>
      <c r="HHQ243" s="334"/>
      <c r="HHR243" s="334"/>
      <c r="HHS243" s="334"/>
      <c r="HHT243" s="334"/>
      <c r="HHU243" s="334"/>
      <c r="HHV243" s="334"/>
      <c r="HHW243" s="334"/>
      <c r="HHX243" s="334"/>
      <c r="HHY243" s="334"/>
      <c r="HHZ243" s="334"/>
      <c r="HIA243" s="334"/>
      <c r="HIB243" s="334"/>
      <c r="HIC243" s="334"/>
      <c r="HID243" s="334"/>
      <c r="HIE243" s="334"/>
      <c r="HIF243" s="334"/>
      <c r="HIG243" s="334"/>
      <c r="HIH243" s="334"/>
      <c r="HII243" s="334"/>
      <c r="HIJ243" s="334"/>
      <c r="HIK243" s="334"/>
      <c r="HIL243" s="334"/>
      <c r="HIM243" s="334"/>
      <c r="HIN243" s="334"/>
      <c r="HIO243" s="334"/>
      <c r="HIP243" s="334"/>
      <c r="HIQ243" s="334"/>
      <c r="HIR243" s="334"/>
      <c r="HIS243" s="334"/>
      <c r="HIT243" s="334"/>
      <c r="HIU243" s="334"/>
      <c r="HIV243" s="334"/>
      <c r="HIW243" s="334"/>
      <c r="HIX243" s="334"/>
      <c r="HIY243" s="334"/>
      <c r="HIZ243" s="334"/>
      <c r="HJA243" s="334"/>
      <c r="HJB243" s="334"/>
      <c r="HJC243" s="334"/>
      <c r="HJD243" s="334"/>
      <c r="HJE243" s="334"/>
      <c r="HJF243" s="334"/>
      <c r="HJG243" s="334"/>
      <c r="HJH243" s="334"/>
      <c r="HJI243" s="334"/>
      <c r="HJJ243" s="334"/>
      <c r="HJK243" s="334"/>
      <c r="HJL243" s="334"/>
      <c r="HJM243" s="334"/>
      <c r="HJN243" s="334"/>
      <c r="HJO243" s="334"/>
      <c r="HJP243" s="334"/>
      <c r="HJQ243" s="334"/>
      <c r="HJR243" s="334"/>
      <c r="HJS243" s="334"/>
      <c r="HJT243" s="334"/>
      <c r="HJU243" s="334"/>
      <c r="HJV243" s="334"/>
      <c r="HJW243" s="334"/>
      <c r="HJX243" s="334"/>
      <c r="HJY243" s="334"/>
      <c r="HJZ243" s="334"/>
      <c r="HKA243" s="334"/>
      <c r="HKB243" s="334"/>
      <c r="HKC243" s="334"/>
      <c r="HKD243" s="334"/>
      <c r="HKE243" s="334"/>
      <c r="HKF243" s="334"/>
      <c r="HKG243" s="334"/>
      <c r="HKH243" s="334"/>
      <c r="HKI243" s="334"/>
      <c r="HKJ243" s="334"/>
      <c r="HKK243" s="334"/>
      <c r="HKL243" s="334"/>
      <c r="HKM243" s="334"/>
      <c r="HKN243" s="334"/>
      <c r="HKO243" s="334"/>
      <c r="HKP243" s="334"/>
      <c r="HKQ243" s="334"/>
      <c r="HKR243" s="334"/>
      <c r="HKS243" s="334"/>
      <c r="HKT243" s="334"/>
      <c r="HKU243" s="334"/>
      <c r="HKV243" s="334"/>
      <c r="HKW243" s="334"/>
      <c r="HKX243" s="334"/>
      <c r="HKY243" s="334"/>
      <c r="HKZ243" s="334"/>
      <c r="HLA243" s="334"/>
      <c r="HLB243" s="334"/>
      <c r="HLC243" s="334"/>
      <c r="HLD243" s="334"/>
      <c r="HLE243" s="334"/>
      <c r="HLF243" s="334"/>
      <c r="HLG243" s="334"/>
      <c r="HLH243" s="334"/>
      <c r="HLI243" s="334"/>
      <c r="HLJ243" s="334"/>
      <c r="HLK243" s="334"/>
      <c r="HLL243" s="334"/>
      <c r="HLM243" s="334"/>
      <c r="HLN243" s="334"/>
      <c r="HLO243" s="334"/>
      <c r="HLP243" s="334"/>
      <c r="HLQ243" s="334"/>
      <c r="HLR243" s="334"/>
      <c r="HLS243" s="334"/>
      <c r="HLT243" s="334"/>
      <c r="HLU243" s="334"/>
      <c r="HLV243" s="334"/>
      <c r="HLW243" s="334"/>
      <c r="HLX243" s="334"/>
      <c r="HLY243" s="334"/>
      <c r="HLZ243" s="334"/>
      <c r="HMA243" s="334"/>
      <c r="HMB243" s="334"/>
      <c r="HMC243" s="334"/>
      <c r="HMD243" s="334"/>
      <c r="HME243" s="334"/>
      <c r="HMF243" s="334"/>
      <c r="HMG243" s="334"/>
      <c r="HMH243" s="334"/>
      <c r="HMI243" s="334"/>
      <c r="HMJ243" s="334"/>
      <c r="HMK243" s="334"/>
      <c r="HML243" s="334"/>
      <c r="HMM243" s="334"/>
      <c r="HMN243" s="334"/>
      <c r="HMO243" s="334"/>
      <c r="HMP243" s="334"/>
      <c r="HMQ243" s="334"/>
      <c r="HMR243" s="334"/>
      <c r="HMS243" s="334"/>
      <c r="HMT243" s="334"/>
      <c r="HMU243" s="334"/>
      <c r="HMV243" s="334"/>
      <c r="HMW243" s="334"/>
      <c r="HMX243" s="334"/>
      <c r="HMY243" s="334"/>
      <c r="HMZ243" s="334"/>
      <c r="HNA243" s="334"/>
      <c r="HNB243" s="334"/>
      <c r="HNC243" s="334"/>
      <c r="HND243" s="334"/>
      <c r="HNE243" s="334"/>
      <c r="HNF243" s="334"/>
      <c r="HNG243" s="334"/>
      <c r="HNH243" s="334"/>
      <c r="HNI243" s="334"/>
      <c r="HNJ243" s="334"/>
      <c r="HNK243" s="334"/>
      <c r="HNL243" s="334"/>
      <c r="HNM243" s="334"/>
      <c r="HNN243" s="334"/>
      <c r="HNO243" s="334"/>
      <c r="HNP243" s="334"/>
      <c r="HNQ243" s="334"/>
      <c r="HNR243" s="334"/>
      <c r="HNS243" s="334"/>
      <c r="HNT243" s="334"/>
      <c r="HNU243" s="334"/>
      <c r="HNV243" s="334"/>
      <c r="HNW243" s="334"/>
      <c r="HNX243" s="334"/>
      <c r="HNY243" s="334"/>
      <c r="HNZ243" s="334"/>
      <c r="HOA243" s="334"/>
      <c r="HOB243" s="334"/>
      <c r="HOC243" s="334"/>
      <c r="HOD243" s="334"/>
      <c r="HOE243" s="334"/>
      <c r="HOF243" s="334"/>
      <c r="HOG243" s="334"/>
      <c r="HOH243" s="334"/>
      <c r="HOI243" s="334"/>
      <c r="HOJ243" s="334"/>
      <c r="HOK243" s="334"/>
      <c r="HOL243" s="334"/>
      <c r="HOM243" s="334"/>
      <c r="HON243" s="334"/>
      <c r="HOO243" s="334"/>
      <c r="HOP243" s="334"/>
      <c r="HOQ243" s="334"/>
      <c r="HOR243" s="334"/>
      <c r="HOS243" s="334"/>
      <c r="HOT243" s="334"/>
      <c r="HOU243" s="334"/>
      <c r="HOV243" s="334"/>
      <c r="HOW243" s="334"/>
      <c r="HOX243" s="334"/>
      <c r="HOY243" s="334"/>
      <c r="HOZ243" s="334"/>
      <c r="HPA243" s="334"/>
      <c r="HPB243" s="334"/>
      <c r="HPC243" s="334"/>
      <c r="HPD243" s="334"/>
      <c r="HPE243" s="334"/>
      <c r="HPF243" s="334"/>
      <c r="HPG243" s="334"/>
      <c r="HPH243" s="334"/>
      <c r="HPI243" s="334"/>
      <c r="HPJ243" s="334"/>
      <c r="HPK243" s="334"/>
      <c r="HPL243" s="334"/>
      <c r="HPM243" s="334"/>
      <c r="HPN243" s="334"/>
      <c r="HPO243" s="334"/>
      <c r="HPP243" s="334"/>
      <c r="HPQ243" s="334"/>
      <c r="HPR243" s="334"/>
      <c r="HPS243" s="334"/>
      <c r="HPT243" s="334"/>
      <c r="HPU243" s="334"/>
      <c r="HPV243" s="334"/>
      <c r="HPW243" s="334"/>
      <c r="HPX243" s="334"/>
      <c r="HPY243" s="334"/>
      <c r="HPZ243" s="334"/>
      <c r="HQA243" s="334"/>
      <c r="HQB243" s="334"/>
      <c r="HQC243" s="334"/>
      <c r="HQD243" s="334"/>
      <c r="HQE243" s="334"/>
      <c r="HQF243" s="334"/>
      <c r="HQG243" s="334"/>
      <c r="HQH243" s="334"/>
      <c r="HQI243" s="334"/>
      <c r="HQJ243" s="334"/>
      <c r="HQK243" s="334"/>
      <c r="HQL243" s="334"/>
      <c r="HQM243" s="334"/>
      <c r="HQN243" s="334"/>
      <c r="HQO243" s="334"/>
      <c r="HQP243" s="334"/>
      <c r="HQQ243" s="334"/>
      <c r="HQR243" s="334"/>
      <c r="HQS243" s="334"/>
      <c r="HQT243" s="334"/>
      <c r="HQU243" s="334"/>
      <c r="HQV243" s="334"/>
      <c r="HQW243" s="334"/>
      <c r="HQX243" s="334"/>
      <c r="HQY243" s="334"/>
      <c r="HQZ243" s="334"/>
      <c r="HRA243" s="334"/>
      <c r="HRB243" s="334"/>
      <c r="HRC243" s="334"/>
      <c r="HRD243" s="334"/>
      <c r="HRE243" s="334"/>
      <c r="HRF243" s="334"/>
      <c r="HRG243" s="334"/>
      <c r="HRH243" s="334"/>
      <c r="HRI243" s="334"/>
      <c r="HRJ243" s="334"/>
      <c r="HRK243" s="334"/>
      <c r="HRL243" s="334"/>
      <c r="HRM243" s="334"/>
      <c r="HRN243" s="334"/>
      <c r="HRO243" s="334"/>
      <c r="HRP243" s="334"/>
      <c r="HRQ243" s="334"/>
      <c r="HRR243" s="334"/>
      <c r="HRS243" s="334"/>
      <c r="HRT243" s="334"/>
      <c r="HRU243" s="334"/>
      <c r="HRV243" s="334"/>
      <c r="HRW243" s="334"/>
      <c r="HRX243" s="334"/>
      <c r="HRY243" s="334"/>
      <c r="HRZ243" s="334"/>
      <c r="HSA243" s="334"/>
      <c r="HSB243" s="334"/>
      <c r="HSC243" s="334"/>
      <c r="HSD243" s="334"/>
      <c r="HSE243" s="334"/>
      <c r="HSF243" s="334"/>
      <c r="HSG243" s="334"/>
      <c r="HSH243" s="334"/>
      <c r="HSI243" s="334"/>
      <c r="HSJ243" s="334"/>
      <c r="HSK243" s="334"/>
      <c r="HSL243" s="334"/>
      <c r="HSM243" s="334"/>
      <c r="HSN243" s="334"/>
      <c r="HSO243" s="334"/>
      <c r="HSP243" s="334"/>
      <c r="HSQ243" s="334"/>
      <c r="HSR243" s="334"/>
      <c r="HSS243" s="334"/>
      <c r="HST243" s="334"/>
      <c r="HSU243" s="334"/>
      <c r="HSV243" s="334"/>
      <c r="HSW243" s="334"/>
      <c r="HSX243" s="334"/>
      <c r="HSY243" s="334"/>
      <c r="HSZ243" s="334"/>
      <c r="HTA243" s="334"/>
      <c r="HTB243" s="334"/>
      <c r="HTC243" s="334"/>
      <c r="HTD243" s="334"/>
      <c r="HTE243" s="334"/>
      <c r="HTF243" s="334"/>
      <c r="HTG243" s="334"/>
      <c r="HTH243" s="334"/>
      <c r="HTI243" s="334"/>
      <c r="HTJ243" s="334"/>
      <c r="HTK243" s="334"/>
      <c r="HTL243" s="334"/>
      <c r="HTM243" s="334"/>
      <c r="HTN243" s="334"/>
      <c r="HTO243" s="334"/>
      <c r="HTP243" s="334"/>
      <c r="HTQ243" s="334"/>
      <c r="HTR243" s="334"/>
      <c r="HTS243" s="334"/>
      <c r="HTT243" s="334"/>
      <c r="HTU243" s="334"/>
      <c r="HTV243" s="334"/>
      <c r="HTW243" s="334"/>
      <c r="HTX243" s="334"/>
      <c r="HTY243" s="334"/>
      <c r="HTZ243" s="334"/>
      <c r="HUA243" s="334"/>
      <c r="HUB243" s="334"/>
      <c r="HUC243" s="334"/>
      <c r="HUD243" s="334"/>
      <c r="HUE243" s="334"/>
      <c r="HUF243" s="334"/>
      <c r="HUG243" s="334"/>
      <c r="HUH243" s="334"/>
      <c r="HUI243" s="334"/>
      <c r="HUJ243" s="334"/>
      <c r="HUK243" s="334"/>
      <c r="HUL243" s="334"/>
      <c r="HUM243" s="334"/>
      <c r="HUN243" s="334"/>
      <c r="HUO243" s="334"/>
      <c r="HUP243" s="334"/>
      <c r="HUQ243" s="334"/>
      <c r="HUR243" s="334"/>
      <c r="HUS243" s="334"/>
      <c r="HUT243" s="334"/>
      <c r="HUU243" s="334"/>
      <c r="HUV243" s="334"/>
      <c r="HUW243" s="334"/>
      <c r="HUX243" s="334"/>
      <c r="HUY243" s="334"/>
      <c r="HUZ243" s="334"/>
      <c r="HVA243" s="334"/>
      <c r="HVB243" s="334"/>
      <c r="HVC243" s="334"/>
      <c r="HVD243" s="334"/>
      <c r="HVE243" s="334"/>
      <c r="HVF243" s="334"/>
      <c r="HVG243" s="334"/>
      <c r="HVH243" s="334"/>
      <c r="HVI243" s="334"/>
      <c r="HVJ243" s="334"/>
      <c r="HVK243" s="334"/>
      <c r="HVL243" s="334"/>
      <c r="HVM243" s="334"/>
      <c r="HVN243" s="334"/>
      <c r="HVO243" s="334"/>
      <c r="HVP243" s="334"/>
      <c r="HVQ243" s="334"/>
      <c r="HVR243" s="334"/>
      <c r="HVS243" s="334"/>
      <c r="HVT243" s="334"/>
      <c r="HVU243" s="334"/>
      <c r="HVV243" s="334"/>
      <c r="HVW243" s="334"/>
      <c r="HVX243" s="334"/>
      <c r="HVY243" s="334"/>
      <c r="HVZ243" s="334"/>
      <c r="HWA243" s="334"/>
      <c r="HWB243" s="334"/>
      <c r="HWC243" s="334"/>
      <c r="HWD243" s="334"/>
      <c r="HWE243" s="334"/>
      <c r="HWF243" s="334"/>
      <c r="HWG243" s="334"/>
      <c r="HWH243" s="334"/>
      <c r="HWI243" s="334"/>
      <c r="HWJ243" s="334"/>
      <c r="HWK243" s="334"/>
      <c r="HWL243" s="334"/>
      <c r="HWM243" s="334"/>
      <c r="HWN243" s="334"/>
      <c r="HWO243" s="334"/>
      <c r="HWP243" s="334"/>
      <c r="HWQ243" s="334"/>
      <c r="HWR243" s="334"/>
      <c r="HWS243" s="334"/>
      <c r="HWT243" s="334"/>
      <c r="HWU243" s="334"/>
      <c r="HWV243" s="334"/>
      <c r="HWW243" s="334"/>
      <c r="HWX243" s="334"/>
      <c r="HWY243" s="334"/>
      <c r="HWZ243" s="334"/>
      <c r="HXA243" s="334"/>
      <c r="HXB243" s="334"/>
      <c r="HXC243" s="334"/>
      <c r="HXD243" s="334"/>
      <c r="HXE243" s="334"/>
      <c r="HXF243" s="334"/>
      <c r="HXG243" s="334"/>
      <c r="HXH243" s="334"/>
      <c r="HXI243" s="334"/>
      <c r="HXJ243" s="334"/>
      <c r="HXK243" s="334"/>
      <c r="HXL243" s="334"/>
      <c r="HXM243" s="334"/>
      <c r="HXN243" s="334"/>
      <c r="HXO243" s="334"/>
      <c r="HXP243" s="334"/>
      <c r="HXQ243" s="334"/>
      <c r="HXR243" s="334"/>
      <c r="HXS243" s="334"/>
      <c r="HXT243" s="334"/>
      <c r="HXU243" s="334"/>
      <c r="HXV243" s="334"/>
      <c r="HXW243" s="334"/>
      <c r="HXX243" s="334"/>
      <c r="HXY243" s="334"/>
      <c r="HXZ243" s="334"/>
      <c r="HYA243" s="334"/>
      <c r="HYB243" s="334"/>
      <c r="HYC243" s="334"/>
      <c r="HYD243" s="334"/>
      <c r="HYE243" s="334"/>
      <c r="HYF243" s="334"/>
      <c r="HYG243" s="334"/>
      <c r="HYH243" s="334"/>
      <c r="HYI243" s="334"/>
      <c r="HYJ243" s="334"/>
      <c r="HYK243" s="334"/>
      <c r="HYL243" s="334"/>
      <c r="HYM243" s="334"/>
      <c r="HYN243" s="334"/>
      <c r="HYO243" s="334"/>
      <c r="HYP243" s="334"/>
      <c r="HYQ243" s="334"/>
      <c r="HYR243" s="334"/>
      <c r="HYS243" s="334"/>
      <c r="HYT243" s="334"/>
      <c r="HYU243" s="334"/>
      <c r="HYV243" s="334"/>
      <c r="HYW243" s="334"/>
      <c r="HYX243" s="334"/>
      <c r="HYY243" s="334"/>
      <c r="HYZ243" s="334"/>
      <c r="HZA243" s="334"/>
      <c r="HZB243" s="334"/>
      <c r="HZC243" s="334"/>
      <c r="HZD243" s="334"/>
      <c r="HZE243" s="334"/>
      <c r="HZF243" s="334"/>
      <c r="HZG243" s="334"/>
      <c r="HZH243" s="334"/>
      <c r="HZI243" s="334"/>
      <c r="HZJ243" s="334"/>
      <c r="HZK243" s="334"/>
      <c r="HZL243" s="334"/>
      <c r="HZM243" s="334"/>
      <c r="HZN243" s="334"/>
      <c r="HZO243" s="334"/>
      <c r="HZP243" s="334"/>
      <c r="HZQ243" s="334"/>
      <c r="HZR243" s="334"/>
      <c r="HZS243" s="334"/>
      <c r="HZT243" s="334"/>
      <c r="HZU243" s="334"/>
      <c r="HZV243" s="334"/>
      <c r="HZW243" s="334"/>
      <c r="HZX243" s="334"/>
      <c r="HZY243" s="334"/>
      <c r="HZZ243" s="334"/>
      <c r="IAA243" s="334"/>
      <c r="IAB243" s="334"/>
      <c r="IAC243" s="334"/>
      <c r="IAD243" s="334"/>
      <c r="IAE243" s="334"/>
      <c r="IAF243" s="334"/>
      <c r="IAG243" s="334"/>
      <c r="IAH243" s="334"/>
      <c r="IAI243" s="334"/>
      <c r="IAJ243" s="334"/>
      <c r="IAK243" s="334"/>
      <c r="IAL243" s="334"/>
      <c r="IAM243" s="334"/>
      <c r="IAN243" s="334"/>
      <c r="IAO243" s="334"/>
      <c r="IAP243" s="334"/>
      <c r="IAQ243" s="334"/>
      <c r="IAR243" s="334"/>
      <c r="IAS243" s="334"/>
      <c r="IAT243" s="334"/>
      <c r="IAU243" s="334"/>
      <c r="IAV243" s="334"/>
      <c r="IAW243" s="334"/>
      <c r="IAX243" s="334"/>
      <c r="IAY243" s="334"/>
      <c r="IAZ243" s="334"/>
      <c r="IBA243" s="334"/>
      <c r="IBB243" s="334"/>
      <c r="IBC243" s="334"/>
      <c r="IBD243" s="334"/>
      <c r="IBE243" s="334"/>
      <c r="IBF243" s="334"/>
      <c r="IBG243" s="334"/>
      <c r="IBH243" s="334"/>
      <c r="IBI243" s="334"/>
      <c r="IBJ243" s="334"/>
      <c r="IBK243" s="334"/>
      <c r="IBL243" s="334"/>
      <c r="IBM243" s="334"/>
      <c r="IBN243" s="334"/>
      <c r="IBO243" s="334"/>
      <c r="IBP243" s="334"/>
      <c r="IBQ243" s="334"/>
      <c r="IBR243" s="334"/>
      <c r="IBS243" s="334"/>
      <c r="IBT243" s="334"/>
      <c r="IBU243" s="334"/>
      <c r="IBV243" s="334"/>
      <c r="IBW243" s="334"/>
      <c r="IBX243" s="334"/>
      <c r="IBY243" s="334"/>
      <c r="IBZ243" s="334"/>
      <c r="ICA243" s="334"/>
      <c r="ICB243" s="334"/>
      <c r="ICC243" s="334"/>
      <c r="ICD243" s="334"/>
      <c r="ICE243" s="334"/>
      <c r="ICF243" s="334"/>
      <c r="ICG243" s="334"/>
      <c r="ICH243" s="334"/>
      <c r="ICI243" s="334"/>
      <c r="ICJ243" s="334"/>
      <c r="ICK243" s="334"/>
      <c r="ICL243" s="334"/>
      <c r="ICM243" s="334"/>
      <c r="ICN243" s="334"/>
      <c r="ICO243" s="334"/>
      <c r="ICP243" s="334"/>
      <c r="ICQ243" s="334"/>
      <c r="ICR243" s="334"/>
      <c r="ICS243" s="334"/>
      <c r="ICT243" s="334"/>
      <c r="ICU243" s="334"/>
      <c r="ICV243" s="334"/>
      <c r="ICW243" s="334"/>
      <c r="ICX243" s="334"/>
      <c r="ICY243" s="334"/>
      <c r="ICZ243" s="334"/>
      <c r="IDA243" s="334"/>
      <c r="IDB243" s="334"/>
      <c r="IDC243" s="334"/>
      <c r="IDD243" s="334"/>
      <c r="IDE243" s="334"/>
      <c r="IDF243" s="334"/>
      <c r="IDG243" s="334"/>
      <c r="IDH243" s="334"/>
      <c r="IDI243" s="334"/>
      <c r="IDJ243" s="334"/>
      <c r="IDK243" s="334"/>
      <c r="IDL243" s="334"/>
      <c r="IDM243" s="334"/>
      <c r="IDN243" s="334"/>
      <c r="IDO243" s="334"/>
      <c r="IDP243" s="334"/>
      <c r="IDQ243" s="334"/>
      <c r="IDR243" s="334"/>
      <c r="IDS243" s="334"/>
      <c r="IDT243" s="334"/>
      <c r="IDU243" s="334"/>
      <c r="IDV243" s="334"/>
      <c r="IDW243" s="334"/>
      <c r="IDX243" s="334"/>
      <c r="IDY243" s="334"/>
      <c r="IDZ243" s="334"/>
      <c r="IEA243" s="334"/>
      <c r="IEB243" s="334"/>
      <c r="IEC243" s="334"/>
      <c r="IED243" s="334"/>
      <c r="IEE243" s="334"/>
      <c r="IEF243" s="334"/>
      <c r="IEG243" s="334"/>
      <c r="IEH243" s="334"/>
      <c r="IEI243" s="334"/>
      <c r="IEJ243" s="334"/>
      <c r="IEK243" s="334"/>
      <c r="IEL243" s="334"/>
      <c r="IEM243" s="334"/>
      <c r="IEN243" s="334"/>
      <c r="IEO243" s="334"/>
      <c r="IEP243" s="334"/>
      <c r="IEQ243" s="334"/>
      <c r="IER243" s="334"/>
      <c r="IES243" s="334"/>
      <c r="IET243" s="334"/>
      <c r="IEU243" s="334"/>
      <c r="IEV243" s="334"/>
      <c r="IEW243" s="334"/>
      <c r="IEX243" s="334"/>
      <c r="IEY243" s="334"/>
      <c r="IEZ243" s="334"/>
      <c r="IFA243" s="334"/>
      <c r="IFB243" s="334"/>
      <c r="IFC243" s="334"/>
      <c r="IFD243" s="334"/>
      <c r="IFE243" s="334"/>
      <c r="IFF243" s="334"/>
      <c r="IFG243" s="334"/>
      <c r="IFH243" s="334"/>
      <c r="IFI243" s="334"/>
      <c r="IFJ243" s="334"/>
      <c r="IFK243" s="334"/>
      <c r="IFL243" s="334"/>
      <c r="IFM243" s="334"/>
      <c r="IFN243" s="334"/>
      <c r="IFO243" s="334"/>
      <c r="IFP243" s="334"/>
      <c r="IFQ243" s="334"/>
      <c r="IFR243" s="334"/>
      <c r="IFS243" s="334"/>
      <c r="IFT243" s="334"/>
      <c r="IFU243" s="334"/>
      <c r="IFV243" s="334"/>
      <c r="IFW243" s="334"/>
      <c r="IFX243" s="334"/>
      <c r="IFY243" s="334"/>
      <c r="IFZ243" s="334"/>
      <c r="IGA243" s="334"/>
      <c r="IGB243" s="334"/>
      <c r="IGC243" s="334"/>
      <c r="IGD243" s="334"/>
      <c r="IGE243" s="334"/>
      <c r="IGF243" s="334"/>
      <c r="IGG243" s="334"/>
      <c r="IGH243" s="334"/>
      <c r="IGI243" s="334"/>
      <c r="IGJ243" s="334"/>
      <c r="IGK243" s="334"/>
      <c r="IGL243" s="334"/>
      <c r="IGM243" s="334"/>
      <c r="IGN243" s="334"/>
      <c r="IGO243" s="334"/>
      <c r="IGP243" s="334"/>
      <c r="IGQ243" s="334"/>
      <c r="IGR243" s="334"/>
      <c r="IGS243" s="334"/>
      <c r="IGT243" s="334"/>
      <c r="IGU243" s="334"/>
      <c r="IGV243" s="334"/>
      <c r="IGW243" s="334"/>
      <c r="IGX243" s="334"/>
      <c r="IGY243" s="334"/>
      <c r="IGZ243" s="334"/>
      <c r="IHA243" s="334"/>
      <c r="IHB243" s="334"/>
      <c r="IHC243" s="334"/>
      <c r="IHD243" s="334"/>
      <c r="IHE243" s="334"/>
      <c r="IHF243" s="334"/>
      <c r="IHG243" s="334"/>
      <c r="IHH243" s="334"/>
      <c r="IHI243" s="334"/>
      <c r="IHJ243" s="334"/>
      <c r="IHK243" s="334"/>
      <c r="IHL243" s="334"/>
      <c r="IHM243" s="334"/>
      <c r="IHN243" s="334"/>
      <c r="IHO243" s="334"/>
      <c r="IHP243" s="334"/>
      <c r="IHQ243" s="334"/>
      <c r="IHR243" s="334"/>
      <c r="IHS243" s="334"/>
      <c r="IHT243" s="334"/>
      <c r="IHU243" s="334"/>
      <c r="IHV243" s="334"/>
      <c r="IHW243" s="334"/>
      <c r="IHX243" s="334"/>
      <c r="IHY243" s="334"/>
      <c r="IHZ243" s="334"/>
      <c r="IIA243" s="334"/>
      <c r="IIB243" s="334"/>
      <c r="IIC243" s="334"/>
      <c r="IID243" s="334"/>
      <c r="IIE243" s="334"/>
      <c r="IIF243" s="334"/>
      <c r="IIG243" s="334"/>
      <c r="IIH243" s="334"/>
      <c r="III243" s="334"/>
      <c r="IIJ243" s="334"/>
      <c r="IIK243" s="334"/>
      <c r="IIL243" s="334"/>
      <c r="IIM243" s="334"/>
      <c r="IIN243" s="334"/>
      <c r="IIO243" s="334"/>
      <c r="IIP243" s="334"/>
      <c r="IIQ243" s="334"/>
      <c r="IIR243" s="334"/>
      <c r="IIS243" s="334"/>
      <c r="IIT243" s="334"/>
      <c r="IIU243" s="334"/>
      <c r="IIV243" s="334"/>
      <c r="IIW243" s="334"/>
      <c r="IIX243" s="334"/>
      <c r="IIY243" s="334"/>
      <c r="IIZ243" s="334"/>
      <c r="IJA243" s="334"/>
      <c r="IJB243" s="334"/>
      <c r="IJC243" s="334"/>
      <c r="IJD243" s="334"/>
      <c r="IJE243" s="334"/>
      <c r="IJF243" s="334"/>
      <c r="IJG243" s="334"/>
      <c r="IJH243" s="334"/>
      <c r="IJI243" s="334"/>
      <c r="IJJ243" s="334"/>
      <c r="IJK243" s="334"/>
      <c r="IJL243" s="334"/>
      <c r="IJM243" s="334"/>
      <c r="IJN243" s="334"/>
      <c r="IJO243" s="334"/>
      <c r="IJP243" s="334"/>
      <c r="IJQ243" s="334"/>
      <c r="IJR243" s="334"/>
      <c r="IJS243" s="334"/>
      <c r="IJT243" s="334"/>
      <c r="IJU243" s="334"/>
      <c r="IJV243" s="334"/>
      <c r="IJW243" s="334"/>
      <c r="IJX243" s="334"/>
      <c r="IJY243" s="334"/>
      <c r="IJZ243" s="334"/>
      <c r="IKA243" s="334"/>
      <c r="IKB243" s="334"/>
      <c r="IKC243" s="334"/>
      <c r="IKD243" s="334"/>
      <c r="IKE243" s="334"/>
      <c r="IKF243" s="334"/>
      <c r="IKG243" s="334"/>
      <c r="IKH243" s="334"/>
      <c r="IKI243" s="334"/>
      <c r="IKJ243" s="334"/>
      <c r="IKK243" s="334"/>
      <c r="IKL243" s="334"/>
      <c r="IKM243" s="334"/>
      <c r="IKN243" s="334"/>
      <c r="IKO243" s="334"/>
      <c r="IKP243" s="334"/>
      <c r="IKQ243" s="334"/>
      <c r="IKR243" s="334"/>
      <c r="IKS243" s="334"/>
      <c r="IKT243" s="334"/>
      <c r="IKU243" s="334"/>
      <c r="IKV243" s="334"/>
      <c r="IKW243" s="334"/>
      <c r="IKX243" s="334"/>
      <c r="IKY243" s="334"/>
      <c r="IKZ243" s="334"/>
      <c r="ILA243" s="334"/>
      <c r="ILB243" s="334"/>
      <c r="ILC243" s="334"/>
      <c r="ILD243" s="334"/>
      <c r="ILE243" s="334"/>
      <c r="ILF243" s="334"/>
      <c r="ILG243" s="334"/>
      <c r="ILH243" s="334"/>
      <c r="ILI243" s="334"/>
      <c r="ILJ243" s="334"/>
      <c r="ILK243" s="334"/>
      <c r="ILL243" s="334"/>
      <c r="ILM243" s="334"/>
      <c r="ILN243" s="334"/>
      <c r="ILO243" s="334"/>
      <c r="ILP243" s="334"/>
      <c r="ILQ243" s="334"/>
      <c r="ILR243" s="334"/>
      <c r="ILS243" s="334"/>
      <c r="ILT243" s="334"/>
      <c r="ILU243" s="334"/>
      <c r="ILV243" s="334"/>
      <c r="ILW243" s="334"/>
      <c r="ILX243" s="334"/>
      <c r="ILY243" s="334"/>
      <c r="ILZ243" s="334"/>
      <c r="IMA243" s="334"/>
      <c r="IMB243" s="334"/>
      <c r="IMC243" s="334"/>
      <c r="IMD243" s="334"/>
      <c r="IME243" s="334"/>
      <c r="IMF243" s="334"/>
      <c r="IMG243" s="334"/>
      <c r="IMH243" s="334"/>
      <c r="IMI243" s="334"/>
      <c r="IMJ243" s="334"/>
      <c r="IMK243" s="334"/>
      <c r="IML243" s="334"/>
      <c r="IMM243" s="334"/>
      <c r="IMN243" s="334"/>
      <c r="IMO243" s="334"/>
      <c r="IMP243" s="334"/>
      <c r="IMQ243" s="334"/>
      <c r="IMR243" s="334"/>
      <c r="IMS243" s="334"/>
      <c r="IMT243" s="334"/>
      <c r="IMU243" s="334"/>
      <c r="IMV243" s="334"/>
      <c r="IMW243" s="334"/>
      <c r="IMX243" s="334"/>
      <c r="IMY243" s="334"/>
      <c r="IMZ243" s="334"/>
      <c r="INA243" s="334"/>
      <c r="INB243" s="334"/>
      <c r="INC243" s="334"/>
      <c r="IND243" s="334"/>
      <c r="INE243" s="334"/>
      <c r="INF243" s="334"/>
      <c r="ING243" s="334"/>
      <c r="INH243" s="334"/>
      <c r="INI243" s="334"/>
      <c r="INJ243" s="334"/>
      <c r="INK243" s="334"/>
      <c r="INL243" s="334"/>
      <c r="INM243" s="334"/>
      <c r="INN243" s="334"/>
      <c r="INO243" s="334"/>
      <c r="INP243" s="334"/>
      <c r="INQ243" s="334"/>
      <c r="INR243" s="334"/>
      <c r="INS243" s="334"/>
      <c r="INT243" s="334"/>
      <c r="INU243" s="334"/>
      <c r="INV243" s="334"/>
      <c r="INW243" s="334"/>
      <c r="INX243" s="334"/>
      <c r="INY243" s="334"/>
      <c r="INZ243" s="334"/>
      <c r="IOA243" s="334"/>
      <c r="IOB243" s="334"/>
      <c r="IOC243" s="334"/>
      <c r="IOD243" s="334"/>
      <c r="IOE243" s="334"/>
      <c r="IOF243" s="334"/>
      <c r="IOG243" s="334"/>
      <c r="IOH243" s="334"/>
      <c r="IOI243" s="334"/>
      <c r="IOJ243" s="334"/>
      <c r="IOK243" s="334"/>
      <c r="IOL243" s="334"/>
      <c r="IOM243" s="334"/>
      <c r="ION243" s="334"/>
      <c r="IOO243" s="334"/>
      <c r="IOP243" s="334"/>
      <c r="IOQ243" s="334"/>
      <c r="IOR243" s="334"/>
      <c r="IOS243" s="334"/>
      <c r="IOT243" s="334"/>
      <c r="IOU243" s="334"/>
      <c r="IOV243" s="334"/>
      <c r="IOW243" s="334"/>
      <c r="IOX243" s="334"/>
      <c r="IOY243" s="334"/>
      <c r="IOZ243" s="334"/>
      <c r="IPA243" s="334"/>
      <c r="IPB243" s="334"/>
      <c r="IPC243" s="334"/>
      <c r="IPD243" s="334"/>
      <c r="IPE243" s="334"/>
      <c r="IPF243" s="334"/>
      <c r="IPG243" s="334"/>
      <c r="IPH243" s="334"/>
      <c r="IPI243" s="334"/>
      <c r="IPJ243" s="334"/>
      <c r="IPK243" s="334"/>
      <c r="IPL243" s="334"/>
      <c r="IPM243" s="334"/>
      <c r="IPN243" s="334"/>
      <c r="IPO243" s="334"/>
      <c r="IPP243" s="334"/>
      <c r="IPQ243" s="334"/>
      <c r="IPR243" s="334"/>
      <c r="IPS243" s="334"/>
      <c r="IPT243" s="334"/>
      <c r="IPU243" s="334"/>
      <c r="IPV243" s="334"/>
      <c r="IPW243" s="334"/>
      <c r="IPX243" s="334"/>
      <c r="IPY243" s="334"/>
      <c r="IPZ243" s="334"/>
      <c r="IQA243" s="334"/>
      <c r="IQB243" s="334"/>
      <c r="IQC243" s="334"/>
      <c r="IQD243" s="334"/>
      <c r="IQE243" s="334"/>
      <c r="IQF243" s="334"/>
      <c r="IQG243" s="334"/>
      <c r="IQH243" s="334"/>
      <c r="IQI243" s="334"/>
      <c r="IQJ243" s="334"/>
      <c r="IQK243" s="334"/>
      <c r="IQL243" s="334"/>
      <c r="IQM243" s="334"/>
      <c r="IQN243" s="334"/>
      <c r="IQO243" s="334"/>
      <c r="IQP243" s="334"/>
      <c r="IQQ243" s="334"/>
      <c r="IQR243" s="334"/>
      <c r="IQS243" s="334"/>
      <c r="IQT243" s="334"/>
      <c r="IQU243" s="334"/>
      <c r="IQV243" s="334"/>
      <c r="IQW243" s="334"/>
      <c r="IQX243" s="334"/>
      <c r="IQY243" s="334"/>
      <c r="IQZ243" s="334"/>
      <c r="IRA243" s="334"/>
      <c r="IRB243" s="334"/>
      <c r="IRC243" s="334"/>
      <c r="IRD243" s="334"/>
      <c r="IRE243" s="334"/>
      <c r="IRF243" s="334"/>
      <c r="IRG243" s="334"/>
      <c r="IRH243" s="334"/>
      <c r="IRI243" s="334"/>
      <c r="IRJ243" s="334"/>
      <c r="IRK243" s="334"/>
      <c r="IRL243" s="334"/>
      <c r="IRM243" s="334"/>
      <c r="IRN243" s="334"/>
      <c r="IRO243" s="334"/>
      <c r="IRP243" s="334"/>
      <c r="IRQ243" s="334"/>
      <c r="IRR243" s="334"/>
      <c r="IRS243" s="334"/>
      <c r="IRT243" s="334"/>
      <c r="IRU243" s="334"/>
      <c r="IRV243" s="334"/>
      <c r="IRW243" s="334"/>
      <c r="IRX243" s="334"/>
      <c r="IRY243" s="334"/>
      <c r="IRZ243" s="334"/>
      <c r="ISA243" s="334"/>
      <c r="ISB243" s="334"/>
      <c r="ISC243" s="334"/>
      <c r="ISD243" s="334"/>
      <c r="ISE243" s="334"/>
      <c r="ISF243" s="334"/>
      <c r="ISG243" s="334"/>
      <c r="ISH243" s="334"/>
      <c r="ISI243" s="334"/>
      <c r="ISJ243" s="334"/>
      <c r="ISK243" s="334"/>
      <c r="ISL243" s="334"/>
      <c r="ISM243" s="334"/>
      <c r="ISN243" s="334"/>
      <c r="ISO243" s="334"/>
      <c r="ISP243" s="334"/>
      <c r="ISQ243" s="334"/>
      <c r="ISR243" s="334"/>
      <c r="ISS243" s="334"/>
      <c r="IST243" s="334"/>
      <c r="ISU243" s="334"/>
      <c r="ISV243" s="334"/>
      <c r="ISW243" s="334"/>
      <c r="ISX243" s="334"/>
      <c r="ISY243" s="334"/>
      <c r="ISZ243" s="334"/>
      <c r="ITA243" s="334"/>
      <c r="ITB243" s="334"/>
      <c r="ITC243" s="334"/>
      <c r="ITD243" s="334"/>
      <c r="ITE243" s="334"/>
      <c r="ITF243" s="334"/>
      <c r="ITG243" s="334"/>
      <c r="ITH243" s="334"/>
      <c r="ITI243" s="334"/>
      <c r="ITJ243" s="334"/>
      <c r="ITK243" s="334"/>
      <c r="ITL243" s="334"/>
      <c r="ITM243" s="334"/>
      <c r="ITN243" s="334"/>
      <c r="ITO243" s="334"/>
      <c r="ITP243" s="334"/>
      <c r="ITQ243" s="334"/>
      <c r="ITR243" s="334"/>
      <c r="ITS243" s="334"/>
      <c r="ITT243" s="334"/>
      <c r="ITU243" s="334"/>
      <c r="ITV243" s="334"/>
      <c r="ITW243" s="334"/>
      <c r="ITX243" s="334"/>
      <c r="ITY243" s="334"/>
      <c r="ITZ243" s="334"/>
      <c r="IUA243" s="334"/>
      <c r="IUB243" s="334"/>
      <c r="IUC243" s="334"/>
      <c r="IUD243" s="334"/>
      <c r="IUE243" s="334"/>
      <c r="IUF243" s="334"/>
      <c r="IUG243" s="334"/>
      <c r="IUH243" s="334"/>
      <c r="IUI243" s="334"/>
      <c r="IUJ243" s="334"/>
      <c r="IUK243" s="334"/>
      <c r="IUL243" s="334"/>
      <c r="IUM243" s="334"/>
      <c r="IUN243" s="334"/>
      <c r="IUO243" s="334"/>
      <c r="IUP243" s="334"/>
      <c r="IUQ243" s="334"/>
      <c r="IUR243" s="334"/>
      <c r="IUS243" s="334"/>
      <c r="IUT243" s="334"/>
      <c r="IUU243" s="334"/>
      <c r="IUV243" s="334"/>
      <c r="IUW243" s="334"/>
      <c r="IUX243" s="334"/>
      <c r="IUY243" s="334"/>
      <c r="IUZ243" s="334"/>
      <c r="IVA243" s="334"/>
      <c r="IVB243" s="334"/>
      <c r="IVC243" s="334"/>
      <c r="IVD243" s="334"/>
      <c r="IVE243" s="334"/>
      <c r="IVF243" s="334"/>
      <c r="IVG243" s="334"/>
      <c r="IVH243" s="334"/>
      <c r="IVI243" s="334"/>
      <c r="IVJ243" s="334"/>
      <c r="IVK243" s="334"/>
      <c r="IVL243" s="334"/>
      <c r="IVM243" s="334"/>
      <c r="IVN243" s="334"/>
      <c r="IVO243" s="334"/>
      <c r="IVP243" s="334"/>
      <c r="IVQ243" s="334"/>
      <c r="IVR243" s="334"/>
      <c r="IVS243" s="334"/>
      <c r="IVT243" s="334"/>
      <c r="IVU243" s="334"/>
      <c r="IVV243" s="334"/>
      <c r="IVW243" s="334"/>
      <c r="IVX243" s="334"/>
      <c r="IVY243" s="334"/>
      <c r="IVZ243" s="334"/>
      <c r="IWA243" s="334"/>
      <c r="IWB243" s="334"/>
      <c r="IWC243" s="334"/>
      <c r="IWD243" s="334"/>
      <c r="IWE243" s="334"/>
      <c r="IWF243" s="334"/>
      <c r="IWG243" s="334"/>
      <c r="IWH243" s="334"/>
      <c r="IWI243" s="334"/>
      <c r="IWJ243" s="334"/>
      <c r="IWK243" s="334"/>
      <c r="IWL243" s="334"/>
      <c r="IWM243" s="334"/>
      <c r="IWN243" s="334"/>
      <c r="IWO243" s="334"/>
      <c r="IWP243" s="334"/>
      <c r="IWQ243" s="334"/>
      <c r="IWR243" s="334"/>
      <c r="IWS243" s="334"/>
      <c r="IWT243" s="334"/>
      <c r="IWU243" s="334"/>
      <c r="IWV243" s="334"/>
      <c r="IWW243" s="334"/>
      <c r="IWX243" s="334"/>
      <c r="IWY243" s="334"/>
      <c r="IWZ243" s="334"/>
      <c r="IXA243" s="334"/>
      <c r="IXB243" s="334"/>
      <c r="IXC243" s="334"/>
      <c r="IXD243" s="334"/>
      <c r="IXE243" s="334"/>
      <c r="IXF243" s="334"/>
      <c r="IXG243" s="334"/>
      <c r="IXH243" s="334"/>
      <c r="IXI243" s="334"/>
      <c r="IXJ243" s="334"/>
      <c r="IXK243" s="334"/>
      <c r="IXL243" s="334"/>
      <c r="IXM243" s="334"/>
      <c r="IXN243" s="334"/>
      <c r="IXO243" s="334"/>
      <c r="IXP243" s="334"/>
      <c r="IXQ243" s="334"/>
      <c r="IXR243" s="334"/>
      <c r="IXS243" s="334"/>
      <c r="IXT243" s="334"/>
      <c r="IXU243" s="334"/>
      <c r="IXV243" s="334"/>
      <c r="IXW243" s="334"/>
      <c r="IXX243" s="334"/>
      <c r="IXY243" s="334"/>
      <c r="IXZ243" s="334"/>
      <c r="IYA243" s="334"/>
      <c r="IYB243" s="334"/>
      <c r="IYC243" s="334"/>
      <c r="IYD243" s="334"/>
      <c r="IYE243" s="334"/>
      <c r="IYF243" s="334"/>
      <c r="IYG243" s="334"/>
      <c r="IYH243" s="334"/>
      <c r="IYI243" s="334"/>
      <c r="IYJ243" s="334"/>
      <c r="IYK243" s="334"/>
      <c r="IYL243" s="334"/>
      <c r="IYM243" s="334"/>
      <c r="IYN243" s="334"/>
      <c r="IYO243" s="334"/>
      <c r="IYP243" s="334"/>
      <c r="IYQ243" s="334"/>
      <c r="IYR243" s="334"/>
      <c r="IYS243" s="334"/>
      <c r="IYT243" s="334"/>
      <c r="IYU243" s="334"/>
      <c r="IYV243" s="334"/>
      <c r="IYW243" s="334"/>
      <c r="IYX243" s="334"/>
      <c r="IYY243" s="334"/>
      <c r="IYZ243" s="334"/>
      <c r="IZA243" s="334"/>
      <c r="IZB243" s="334"/>
      <c r="IZC243" s="334"/>
      <c r="IZD243" s="334"/>
      <c r="IZE243" s="334"/>
      <c r="IZF243" s="334"/>
      <c r="IZG243" s="334"/>
      <c r="IZH243" s="334"/>
      <c r="IZI243" s="334"/>
      <c r="IZJ243" s="334"/>
      <c r="IZK243" s="334"/>
      <c r="IZL243" s="334"/>
      <c r="IZM243" s="334"/>
      <c r="IZN243" s="334"/>
      <c r="IZO243" s="334"/>
      <c r="IZP243" s="334"/>
      <c r="IZQ243" s="334"/>
      <c r="IZR243" s="334"/>
      <c r="IZS243" s="334"/>
      <c r="IZT243" s="334"/>
      <c r="IZU243" s="334"/>
      <c r="IZV243" s="334"/>
      <c r="IZW243" s="334"/>
      <c r="IZX243" s="334"/>
      <c r="IZY243" s="334"/>
      <c r="IZZ243" s="334"/>
      <c r="JAA243" s="334"/>
      <c r="JAB243" s="334"/>
      <c r="JAC243" s="334"/>
      <c r="JAD243" s="334"/>
      <c r="JAE243" s="334"/>
      <c r="JAF243" s="334"/>
      <c r="JAG243" s="334"/>
      <c r="JAH243" s="334"/>
      <c r="JAI243" s="334"/>
      <c r="JAJ243" s="334"/>
      <c r="JAK243" s="334"/>
      <c r="JAL243" s="334"/>
      <c r="JAM243" s="334"/>
      <c r="JAN243" s="334"/>
      <c r="JAO243" s="334"/>
      <c r="JAP243" s="334"/>
      <c r="JAQ243" s="334"/>
      <c r="JAR243" s="334"/>
      <c r="JAS243" s="334"/>
      <c r="JAT243" s="334"/>
      <c r="JAU243" s="334"/>
      <c r="JAV243" s="334"/>
      <c r="JAW243" s="334"/>
      <c r="JAX243" s="334"/>
      <c r="JAY243" s="334"/>
      <c r="JAZ243" s="334"/>
      <c r="JBA243" s="334"/>
      <c r="JBB243" s="334"/>
      <c r="JBC243" s="334"/>
      <c r="JBD243" s="334"/>
      <c r="JBE243" s="334"/>
      <c r="JBF243" s="334"/>
      <c r="JBG243" s="334"/>
      <c r="JBH243" s="334"/>
      <c r="JBI243" s="334"/>
      <c r="JBJ243" s="334"/>
      <c r="JBK243" s="334"/>
      <c r="JBL243" s="334"/>
      <c r="JBM243" s="334"/>
      <c r="JBN243" s="334"/>
      <c r="JBO243" s="334"/>
      <c r="JBP243" s="334"/>
      <c r="JBQ243" s="334"/>
      <c r="JBR243" s="334"/>
      <c r="JBS243" s="334"/>
      <c r="JBT243" s="334"/>
      <c r="JBU243" s="334"/>
      <c r="JBV243" s="334"/>
      <c r="JBW243" s="334"/>
      <c r="JBX243" s="334"/>
      <c r="JBY243" s="334"/>
      <c r="JBZ243" s="334"/>
      <c r="JCA243" s="334"/>
      <c r="JCB243" s="334"/>
      <c r="JCC243" s="334"/>
      <c r="JCD243" s="334"/>
      <c r="JCE243" s="334"/>
      <c r="JCF243" s="334"/>
      <c r="JCG243" s="334"/>
      <c r="JCH243" s="334"/>
      <c r="JCI243" s="334"/>
      <c r="JCJ243" s="334"/>
      <c r="JCK243" s="334"/>
      <c r="JCL243" s="334"/>
      <c r="JCM243" s="334"/>
      <c r="JCN243" s="334"/>
      <c r="JCO243" s="334"/>
      <c r="JCP243" s="334"/>
      <c r="JCQ243" s="334"/>
      <c r="JCR243" s="334"/>
      <c r="JCS243" s="334"/>
      <c r="JCT243" s="334"/>
      <c r="JCU243" s="334"/>
      <c r="JCV243" s="334"/>
      <c r="JCW243" s="334"/>
      <c r="JCX243" s="334"/>
      <c r="JCY243" s="334"/>
      <c r="JCZ243" s="334"/>
      <c r="JDA243" s="334"/>
      <c r="JDB243" s="334"/>
      <c r="JDC243" s="334"/>
      <c r="JDD243" s="334"/>
      <c r="JDE243" s="334"/>
      <c r="JDF243" s="334"/>
      <c r="JDG243" s="334"/>
      <c r="JDH243" s="334"/>
      <c r="JDI243" s="334"/>
      <c r="JDJ243" s="334"/>
      <c r="JDK243" s="334"/>
      <c r="JDL243" s="334"/>
      <c r="JDM243" s="334"/>
      <c r="JDN243" s="334"/>
      <c r="JDO243" s="334"/>
      <c r="JDP243" s="334"/>
      <c r="JDQ243" s="334"/>
      <c r="JDR243" s="334"/>
      <c r="JDS243" s="334"/>
      <c r="JDT243" s="334"/>
      <c r="JDU243" s="334"/>
      <c r="JDV243" s="334"/>
      <c r="JDW243" s="334"/>
      <c r="JDX243" s="334"/>
      <c r="JDY243" s="334"/>
      <c r="JDZ243" s="334"/>
      <c r="JEA243" s="334"/>
      <c r="JEB243" s="334"/>
      <c r="JEC243" s="334"/>
      <c r="JED243" s="334"/>
      <c r="JEE243" s="334"/>
      <c r="JEF243" s="334"/>
      <c r="JEG243" s="334"/>
      <c r="JEH243" s="334"/>
      <c r="JEI243" s="334"/>
      <c r="JEJ243" s="334"/>
      <c r="JEK243" s="334"/>
      <c r="JEL243" s="334"/>
      <c r="JEM243" s="334"/>
      <c r="JEN243" s="334"/>
      <c r="JEO243" s="334"/>
      <c r="JEP243" s="334"/>
      <c r="JEQ243" s="334"/>
      <c r="JER243" s="334"/>
      <c r="JES243" s="334"/>
      <c r="JET243" s="334"/>
      <c r="JEU243" s="334"/>
      <c r="JEV243" s="334"/>
      <c r="JEW243" s="334"/>
      <c r="JEX243" s="334"/>
      <c r="JEY243" s="334"/>
      <c r="JEZ243" s="334"/>
      <c r="JFA243" s="334"/>
      <c r="JFB243" s="334"/>
      <c r="JFC243" s="334"/>
      <c r="JFD243" s="334"/>
      <c r="JFE243" s="334"/>
      <c r="JFF243" s="334"/>
      <c r="JFG243" s="334"/>
      <c r="JFH243" s="334"/>
      <c r="JFI243" s="334"/>
      <c r="JFJ243" s="334"/>
      <c r="JFK243" s="334"/>
      <c r="JFL243" s="334"/>
      <c r="JFM243" s="334"/>
      <c r="JFN243" s="334"/>
      <c r="JFO243" s="334"/>
      <c r="JFP243" s="334"/>
      <c r="JFQ243" s="334"/>
      <c r="JFR243" s="334"/>
      <c r="JFS243" s="334"/>
      <c r="JFT243" s="334"/>
      <c r="JFU243" s="334"/>
      <c r="JFV243" s="334"/>
      <c r="JFW243" s="334"/>
      <c r="JFX243" s="334"/>
      <c r="JFY243" s="334"/>
      <c r="JFZ243" s="334"/>
      <c r="JGA243" s="334"/>
      <c r="JGB243" s="334"/>
      <c r="JGC243" s="334"/>
      <c r="JGD243" s="334"/>
      <c r="JGE243" s="334"/>
      <c r="JGF243" s="334"/>
      <c r="JGG243" s="334"/>
      <c r="JGH243" s="334"/>
      <c r="JGI243" s="334"/>
      <c r="JGJ243" s="334"/>
      <c r="JGK243" s="334"/>
      <c r="JGL243" s="334"/>
      <c r="JGM243" s="334"/>
      <c r="JGN243" s="334"/>
      <c r="JGO243" s="334"/>
      <c r="JGP243" s="334"/>
      <c r="JGQ243" s="334"/>
      <c r="JGR243" s="334"/>
      <c r="JGS243" s="334"/>
      <c r="JGT243" s="334"/>
      <c r="JGU243" s="334"/>
      <c r="JGV243" s="334"/>
      <c r="JGW243" s="334"/>
      <c r="JGX243" s="334"/>
      <c r="JGY243" s="334"/>
      <c r="JGZ243" s="334"/>
      <c r="JHA243" s="334"/>
      <c r="JHB243" s="334"/>
      <c r="JHC243" s="334"/>
      <c r="JHD243" s="334"/>
      <c r="JHE243" s="334"/>
      <c r="JHF243" s="334"/>
      <c r="JHG243" s="334"/>
      <c r="JHH243" s="334"/>
      <c r="JHI243" s="334"/>
      <c r="JHJ243" s="334"/>
      <c r="JHK243" s="334"/>
      <c r="JHL243" s="334"/>
      <c r="JHM243" s="334"/>
      <c r="JHN243" s="334"/>
      <c r="JHO243" s="334"/>
      <c r="JHP243" s="334"/>
      <c r="JHQ243" s="334"/>
      <c r="JHR243" s="334"/>
      <c r="JHS243" s="334"/>
      <c r="JHT243" s="334"/>
      <c r="JHU243" s="334"/>
      <c r="JHV243" s="334"/>
      <c r="JHW243" s="334"/>
      <c r="JHX243" s="334"/>
      <c r="JHY243" s="334"/>
      <c r="JHZ243" s="334"/>
      <c r="JIA243" s="334"/>
      <c r="JIB243" s="334"/>
      <c r="JIC243" s="334"/>
      <c r="JID243" s="334"/>
      <c r="JIE243" s="334"/>
      <c r="JIF243" s="334"/>
      <c r="JIG243" s="334"/>
      <c r="JIH243" s="334"/>
      <c r="JII243" s="334"/>
      <c r="JIJ243" s="334"/>
      <c r="JIK243" s="334"/>
      <c r="JIL243" s="334"/>
      <c r="JIM243" s="334"/>
      <c r="JIN243" s="334"/>
      <c r="JIO243" s="334"/>
      <c r="JIP243" s="334"/>
      <c r="JIQ243" s="334"/>
      <c r="JIR243" s="334"/>
      <c r="JIS243" s="334"/>
      <c r="JIT243" s="334"/>
      <c r="JIU243" s="334"/>
      <c r="JIV243" s="334"/>
      <c r="JIW243" s="334"/>
      <c r="JIX243" s="334"/>
      <c r="JIY243" s="334"/>
      <c r="JIZ243" s="334"/>
      <c r="JJA243" s="334"/>
      <c r="JJB243" s="334"/>
      <c r="JJC243" s="334"/>
      <c r="JJD243" s="334"/>
      <c r="JJE243" s="334"/>
      <c r="JJF243" s="334"/>
      <c r="JJG243" s="334"/>
      <c r="JJH243" s="334"/>
      <c r="JJI243" s="334"/>
      <c r="JJJ243" s="334"/>
      <c r="JJK243" s="334"/>
      <c r="JJL243" s="334"/>
      <c r="JJM243" s="334"/>
      <c r="JJN243" s="334"/>
      <c r="JJO243" s="334"/>
      <c r="JJP243" s="334"/>
      <c r="JJQ243" s="334"/>
      <c r="JJR243" s="334"/>
      <c r="JJS243" s="334"/>
      <c r="JJT243" s="334"/>
      <c r="JJU243" s="334"/>
      <c r="JJV243" s="334"/>
      <c r="JJW243" s="334"/>
      <c r="JJX243" s="334"/>
      <c r="JJY243" s="334"/>
      <c r="JJZ243" s="334"/>
      <c r="JKA243" s="334"/>
      <c r="JKB243" s="334"/>
      <c r="JKC243" s="334"/>
      <c r="JKD243" s="334"/>
      <c r="JKE243" s="334"/>
      <c r="JKF243" s="334"/>
      <c r="JKG243" s="334"/>
      <c r="JKH243" s="334"/>
      <c r="JKI243" s="334"/>
      <c r="JKJ243" s="334"/>
      <c r="JKK243" s="334"/>
      <c r="JKL243" s="334"/>
      <c r="JKM243" s="334"/>
      <c r="JKN243" s="334"/>
      <c r="JKO243" s="334"/>
      <c r="JKP243" s="334"/>
      <c r="JKQ243" s="334"/>
      <c r="JKR243" s="334"/>
      <c r="JKS243" s="334"/>
      <c r="JKT243" s="334"/>
      <c r="JKU243" s="334"/>
      <c r="JKV243" s="334"/>
      <c r="JKW243" s="334"/>
      <c r="JKX243" s="334"/>
      <c r="JKY243" s="334"/>
      <c r="JKZ243" s="334"/>
      <c r="JLA243" s="334"/>
      <c r="JLB243" s="334"/>
      <c r="JLC243" s="334"/>
      <c r="JLD243" s="334"/>
      <c r="JLE243" s="334"/>
      <c r="JLF243" s="334"/>
      <c r="JLG243" s="334"/>
      <c r="JLH243" s="334"/>
      <c r="JLI243" s="334"/>
      <c r="JLJ243" s="334"/>
      <c r="JLK243" s="334"/>
      <c r="JLL243" s="334"/>
      <c r="JLM243" s="334"/>
      <c r="JLN243" s="334"/>
      <c r="JLO243" s="334"/>
      <c r="JLP243" s="334"/>
      <c r="JLQ243" s="334"/>
      <c r="JLR243" s="334"/>
      <c r="JLS243" s="334"/>
      <c r="JLT243" s="334"/>
      <c r="JLU243" s="334"/>
      <c r="JLV243" s="334"/>
      <c r="JLW243" s="334"/>
      <c r="JLX243" s="334"/>
      <c r="JLY243" s="334"/>
      <c r="JLZ243" s="334"/>
      <c r="JMA243" s="334"/>
      <c r="JMB243" s="334"/>
      <c r="JMC243" s="334"/>
      <c r="JMD243" s="334"/>
      <c r="JME243" s="334"/>
      <c r="JMF243" s="334"/>
      <c r="JMG243" s="334"/>
      <c r="JMH243" s="334"/>
      <c r="JMI243" s="334"/>
      <c r="JMJ243" s="334"/>
      <c r="JMK243" s="334"/>
      <c r="JML243" s="334"/>
      <c r="JMM243" s="334"/>
      <c r="JMN243" s="334"/>
      <c r="JMO243" s="334"/>
      <c r="JMP243" s="334"/>
      <c r="JMQ243" s="334"/>
      <c r="JMR243" s="334"/>
      <c r="JMS243" s="334"/>
      <c r="JMT243" s="334"/>
      <c r="JMU243" s="334"/>
      <c r="JMV243" s="334"/>
      <c r="JMW243" s="334"/>
      <c r="JMX243" s="334"/>
      <c r="JMY243" s="334"/>
      <c r="JMZ243" s="334"/>
      <c r="JNA243" s="334"/>
      <c r="JNB243" s="334"/>
      <c r="JNC243" s="334"/>
      <c r="JND243" s="334"/>
      <c r="JNE243" s="334"/>
      <c r="JNF243" s="334"/>
      <c r="JNG243" s="334"/>
      <c r="JNH243" s="334"/>
      <c r="JNI243" s="334"/>
      <c r="JNJ243" s="334"/>
      <c r="JNK243" s="334"/>
      <c r="JNL243" s="334"/>
      <c r="JNM243" s="334"/>
      <c r="JNN243" s="334"/>
      <c r="JNO243" s="334"/>
      <c r="JNP243" s="334"/>
      <c r="JNQ243" s="334"/>
      <c r="JNR243" s="334"/>
      <c r="JNS243" s="334"/>
      <c r="JNT243" s="334"/>
      <c r="JNU243" s="334"/>
      <c r="JNV243" s="334"/>
      <c r="JNW243" s="334"/>
      <c r="JNX243" s="334"/>
      <c r="JNY243" s="334"/>
      <c r="JNZ243" s="334"/>
      <c r="JOA243" s="334"/>
      <c r="JOB243" s="334"/>
      <c r="JOC243" s="334"/>
      <c r="JOD243" s="334"/>
      <c r="JOE243" s="334"/>
      <c r="JOF243" s="334"/>
      <c r="JOG243" s="334"/>
      <c r="JOH243" s="334"/>
      <c r="JOI243" s="334"/>
      <c r="JOJ243" s="334"/>
      <c r="JOK243" s="334"/>
      <c r="JOL243" s="334"/>
      <c r="JOM243" s="334"/>
      <c r="JON243" s="334"/>
      <c r="JOO243" s="334"/>
      <c r="JOP243" s="334"/>
      <c r="JOQ243" s="334"/>
      <c r="JOR243" s="334"/>
      <c r="JOS243" s="334"/>
      <c r="JOT243" s="334"/>
      <c r="JOU243" s="334"/>
      <c r="JOV243" s="334"/>
      <c r="JOW243" s="334"/>
      <c r="JOX243" s="334"/>
      <c r="JOY243" s="334"/>
      <c r="JOZ243" s="334"/>
      <c r="JPA243" s="334"/>
      <c r="JPB243" s="334"/>
      <c r="JPC243" s="334"/>
      <c r="JPD243" s="334"/>
      <c r="JPE243" s="334"/>
      <c r="JPF243" s="334"/>
      <c r="JPG243" s="334"/>
      <c r="JPH243" s="334"/>
      <c r="JPI243" s="334"/>
      <c r="JPJ243" s="334"/>
      <c r="JPK243" s="334"/>
      <c r="JPL243" s="334"/>
      <c r="JPM243" s="334"/>
      <c r="JPN243" s="334"/>
      <c r="JPO243" s="334"/>
      <c r="JPP243" s="334"/>
      <c r="JPQ243" s="334"/>
      <c r="JPR243" s="334"/>
      <c r="JPS243" s="334"/>
      <c r="JPT243" s="334"/>
      <c r="JPU243" s="334"/>
      <c r="JPV243" s="334"/>
      <c r="JPW243" s="334"/>
      <c r="JPX243" s="334"/>
      <c r="JPY243" s="334"/>
      <c r="JPZ243" s="334"/>
      <c r="JQA243" s="334"/>
      <c r="JQB243" s="334"/>
      <c r="JQC243" s="334"/>
      <c r="JQD243" s="334"/>
      <c r="JQE243" s="334"/>
      <c r="JQF243" s="334"/>
      <c r="JQG243" s="334"/>
      <c r="JQH243" s="334"/>
      <c r="JQI243" s="334"/>
      <c r="JQJ243" s="334"/>
      <c r="JQK243" s="334"/>
      <c r="JQL243" s="334"/>
      <c r="JQM243" s="334"/>
      <c r="JQN243" s="334"/>
      <c r="JQO243" s="334"/>
      <c r="JQP243" s="334"/>
      <c r="JQQ243" s="334"/>
      <c r="JQR243" s="334"/>
      <c r="JQS243" s="334"/>
      <c r="JQT243" s="334"/>
      <c r="JQU243" s="334"/>
      <c r="JQV243" s="334"/>
      <c r="JQW243" s="334"/>
      <c r="JQX243" s="334"/>
      <c r="JQY243" s="334"/>
      <c r="JQZ243" s="334"/>
      <c r="JRA243" s="334"/>
      <c r="JRB243" s="334"/>
      <c r="JRC243" s="334"/>
      <c r="JRD243" s="334"/>
      <c r="JRE243" s="334"/>
      <c r="JRF243" s="334"/>
      <c r="JRG243" s="334"/>
      <c r="JRH243" s="334"/>
      <c r="JRI243" s="334"/>
      <c r="JRJ243" s="334"/>
      <c r="JRK243" s="334"/>
      <c r="JRL243" s="334"/>
      <c r="JRM243" s="334"/>
      <c r="JRN243" s="334"/>
      <c r="JRO243" s="334"/>
      <c r="JRP243" s="334"/>
      <c r="JRQ243" s="334"/>
      <c r="JRR243" s="334"/>
      <c r="JRS243" s="334"/>
      <c r="JRT243" s="334"/>
      <c r="JRU243" s="334"/>
      <c r="JRV243" s="334"/>
      <c r="JRW243" s="334"/>
      <c r="JRX243" s="334"/>
      <c r="JRY243" s="334"/>
      <c r="JRZ243" s="334"/>
      <c r="JSA243" s="334"/>
      <c r="JSB243" s="334"/>
      <c r="JSC243" s="334"/>
      <c r="JSD243" s="334"/>
      <c r="JSE243" s="334"/>
      <c r="JSF243" s="334"/>
      <c r="JSG243" s="334"/>
      <c r="JSH243" s="334"/>
      <c r="JSI243" s="334"/>
      <c r="JSJ243" s="334"/>
      <c r="JSK243" s="334"/>
      <c r="JSL243" s="334"/>
      <c r="JSM243" s="334"/>
      <c r="JSN243" s="334"/>
      <c r="JSO243" s="334"/>
      <c r="JSP243" s="334"/>
      <c r="JSQ243" s="334"/>
      <c r="JSR243" s="334"/>
      <c r="JSS243" s="334"/>
      <c r="JST243" s="334"/>
      <c r="JSU243" s="334"/>
      <c r="JSV243" s="334"/>
      <c r="JSW243" s="334"/>
      <c r="JSX243" s="334"/>
      <c r="JSY243" s="334"/>
      <c r="JSZ243" s="334"/>
      <c r="JTA243" s="334"/>
      <c r="JTB243" s="334"/>
      <c r="JTC243" s="334"/>
      <c r="JTD243" s="334"/>
      <c r="JTE243" s="334"/>
      <c r="JTF243" s="334"/>
      <c r="JTG243" s="334"/>
      <c r="JTH243" s="334"/>
      <c r="JTI243" s="334"/>
      <c r="JTJ243" s="334"/>
      <c r="JTK243" s="334"/>
      <c r="JTL243" s="334"/>
      <c r="JTM243" s="334"/>
      <c r="JTN243" s="334"/>
      <c r="JTO243" s="334"/>
      <c r="JTP243" s="334"/>
      <c r="JTQ243" s="334"/>
      <c r="JTR243" s="334"/>
      <c r="JTS243" s="334"/>
      <c r="JTT243" s="334"/>
      <c r="JTU243" s="334"/>
      <c r="JTV243" s="334"/>
      <c r="JTW243" s="334"/>
      <c r="JTX243" s="334"/>
      <c r="JTY243" s="334"/>
      <c r="JTZ243" s="334"/>
      <c r="JUA243" s="334"/>
      <c r="JUB243" s="334"/>
      <c r="JUC243" s="334"/>
      <c r="JUD243" s="334"/>
      <c r="JUE243" s="334"/>
      <c r="JUF243" s="334"/>
      <c r="JUG243" s="334"/>
      <c r="JUH243" s="334"/>
      <c r="JUI243" s="334"/>
      <c r="JUJ243" s="334"/>
      <c r="JUK243" s="334"/>
      <c r="JUL243" s="334"/>
      <c r="JUM243" s="334"/>
      <c r="JUN243" s="334"/>
      <c r="JUO243" s="334"/>
      <c r="JUP243" s="334"/>
      <c r="JUQ243" s="334"/>
      <c r="JUR243" s="334"/>
      <c r="JUS243" s="334"/>
      <c r="JUT243" s="334"/>
      <c r="JUU243" s="334"/>
      <c r="JUV243" s="334"/>
      <c r="JUW243" s="334"/>
      <c r="JUX243" s="334"/>
      <c r="JUY243" s="334"/>
      <c r="JUZ243" s="334"/>
      <c r="JVA243" s="334"/>
      <c r="JVB243" s="334"/>
      <c r="JVC243" s="334"/>
      <c r="JVD243" s="334"/>
      <c r="JVE243" s="334"/>
      <c r="JVF243" s="334"/>
      <c r="JVG243" s="334"/>
      <c r="JVH243" s="334"/>
      <c r="JVI243" s="334"/>
      <c r="JVJ243" s="334"/>
      <c r="JVK243" s="334"/>
      <c r="JVL243" s="334"/>
      <c r="JVM243" s="334"/>
      <c r="JVN243" s="334"/>
      <c r="JVO243" s="334"/>
      <c r="JVP243" s="334"/>
      <c r="JVQ243" s="334"/>
      <c r="JVR243" s="334"/>
      <c r="JVS243" s="334"/>
      <c r="JVT243" s="334"/>
      <c r="JVU243" s="334"/>
      <c r="JVV243" s="334"/>
      <c r="JVW243" s="334"/>
      <c r="JVX243" s="334"/>
      <c r="JVY243" s="334"/>
      <c r="JVZ243" s="334"/>
      <c r="JWA243" s="334"/>
      <c r="JWB243" s="334"/>
      <c r="JWC243" s="334"/>
      <c r="JWD243" s="334"/>
      <c r="JWE243" s="334"/>
      <c r="JWF243" s="334"/>
      <c r="JWG243" s="334"/>
      <c r="JWH243" s="334"/>
      <c r="JWI243" s="334"/>
      <c r="JWJ243" s="334"/>
      <c r="JWK243" s="334"/>
      <c r="JWL243" s="334"/>
      <c r="JWM243" s="334"/>
      <c r="JWN243" s="334"/>
      <c r="JWO243" s="334"/>
      <c r="JWP243" s="334"/>
      <c r="JWQ243" s="334"/>
      <c r="JWR243" s="334"/>
      <c r="JWS243" s="334"/>
      <c r="JWT243" s="334"/>
      <c r="JWU243" s="334"/>
      <c r="JWV243" s="334"/>
      <c r="JWW243" s="334"/>
      <c r="JWX243" s="334"/>
      <c r="JWY243" s="334"/>
      <c r="JWZ243" s="334"/>
      <c r="JXA243" s="334"/>
      <c r="JXB243" s="334"/>
      <c r="JXC243" s="334"/>
      <c r="JXD243" s="334"/>
      <c r="JXE243" s="334"/>
      <c r="JXF243" s="334"/>
      <c r="JXG243" s="334"/>
      <c r="JXH243" s="334"/>
      <c r="JXI243" s="334"/>
      <c r="JXJ243" s="334"/>
      <c r="JXK243" s="334"/>
      <c r="JXL243" s="334"/>
      <c r="JXM243" s="334"/>
      <c r="JXN243" s="334"/>
      <c r="JXO243" s="334"/>
      <c r="JXP243" s="334"/>
      <c r="JXQ243" s="334"/>
      <c r="JXR243" s="334"/>
      <c r="JXS243" s="334"/>
      <c r="JXT243" s="334"/>
      <c r="JXU243" s="334"/>
      <c r="JXV243" s="334"/>
      <c r="JXW243" s="334"/>
      <c r="JXX243" s="334"/>
      <c r="JXY243" s="334"/>
      <c r="JXZ243" s="334"/>
      <c r="JYA243" s="334"/>
      <c r="JYB243" s="334"/>
      <c r="JYC243" s="334"/>
      <c r="JYD243" s="334"/>
      <c r="JYE243" s="334"/>
      <c r="JYF243" s="334"/>
      <c r="JYG243" s="334"/>
      <c r="JYH243" s="334"/>
      <c r="JYI243" s="334"/>
      <c r="JYJ243" s="334"/>
      <c r="JYK243" s="334"/>
      <c r="JYL243" s="334"/>
      <c r="JYM243" s="334"/>
      <c r="JYN243" s="334"/>
      <c r="JYO243" s="334"/>
      <c r="JYP243" s="334"/>
      <c r="JYQ243" s="334"/>
      <c r="JYR243" s="334"/>
      <c r="JYS243" s="334"/>
      <c r="JYT243" s="334"/>
      <c r="JYU243" s="334"/>
      <c r="JYV243" s="334"/>
      <c r="JYW243" s="334"/>
      <c r="JYX243" s="334"/>
      <c r="JYY243" s="334"/>
      <c r="JYZ243" s="334"/>
      <c r="JZA243" s="334"/>
      <c r="JZB243" s="334"/>
      <c r="JZC243" s="334"/>
      <c r="JZD243" s="334"/>
      <c r="JZE243" s="334"/>
      <c r="JZF243" s="334"/>
      <c r="JZG243" s="334"/>
      <c r="JZH243" s="334"/>
      <c r="JZI243" s="334"/>
      <c r="JZJ243" s="334"/>
      <c r="JZK243" s="334"/>
      <c r="JZL243" s="334"/>
      <c r="JZM243" s="334"/>
      <c r="JZN243" s="334"/>
      <c r="JZO243" s="334"/>
      <c r="JZP243" s="334"/>
      <c r="JZQ243" s="334"/>
      <c r="JZR243" s="334"/>
      <c r="JZS243" s="334"/>
      <c r="JZT243" s="334"/>
      <c r="JZU243" s="334"/>
      <c r="JZV243" s="334"/>
      <c r="JZW243" s="334"/>
      <c r="JZX243" s="334"/>
      <c r="JZY243" s="334"/>
      <c r="JZZ243" s="334"/>
      <c r="KAA243" s="334"/>
      <c r="KAB243" s="334"/>
      <c r="KAC243" s="334"/>
      <c r="KAD243" s="334"/>
      <c r="KAE243" s="334"/>
      <c r="KAF243" s="334"/>
      <c r="KAG243" s="334"/>
      <c r="KAH243" s="334"/>
      <c r="KAI243" s="334"/>
      <c r="KAJ243" s="334"/>
      <c r="KAK243" s="334"/>
      <c r="KAL243" s="334"/>
      <c r="KAM243" s="334"/>
      <c r="KAN243" s="334"/>
      <c r="KAO243" s="334"/>
      <c r="KAP243" s="334"/>
      <c r="KAQ243" s="334"/>
      <c r="KAR243" s="334"/>
      <c r="KAS243" s="334"/>
      <c r="KAT243" s="334"/>
      <c r="KAU243" s="334"/>
      <c r="KAV243" s="334"/>
      <c r="KAW243" s="334"/>
      <c r="KAX243" s="334"/>
      <c r="KAY243" s="334"/>
      <c r="KAZ243" s="334"/>
      <c r="KBA243" s="334"/>
      <c r="KBB243" s="334"/>
      <c r="KBC243" s="334"/>
      <c r="KBD243" s="334"/>
      <c r="KBE243" s="334"/>
      <c r="KBF243" s="334"/>
      <c r="KBG243" s="334"/>
      <c r="KBH243" s="334"/>
      <c r="KBI243" s="334"/>
      <c r="KBJ243" s="334"/>
      <c r="KBK243" s="334"/>
      <c r="KBL243" s="334"/>
      <c r="KBM243" s="334"/>
      <c r="KBN243" s="334"/>
      <c r="KBO243" s="334"/>
      <c r="KBP243" s="334"/>
      <c r="KBQ243" s="334"/>
      <c r="KBR243" s="334"/>
      <c r="KBS243" s="334"/>
      <c r="KBT243" s="334"/>
      <c r="KBU243" s="334"/>
      <c r="KBV243" s="334"/>
      <c r="KBW243" s="334"/>
      <c r="KBX243" s="334"/>
      <c r="KBY243" s="334"/>
      <c r="KBZ243" s="334"/>
      <c r="KCA243" s="334"/>
      <c r="KCB243" s="334"/>
      <c r="KCC243" s="334"/>
      <c r="KCD243" s="334"/>
      <c r="KCE243" s="334"/>
      <c r="KCF243" s="334"/>
      <c r="KCG243" s="334"/>
      <c r="KCH243" s="334"/>
      <c r="KCI243" s="334"/>
      <c r="KCJ243" s="334"/>
      <c r="KCK243" s="334"/>
      <c r="KCL243" s="334"/>
      <c r="KCM243" s="334"/>
      <c r="KCN243" s="334"/>
      <c r="KCO243" s="334"/>
      <c r="KCP243" s="334"/>
      <c r="KCQ243" s="334"/>
      <c r="KCR243" s="334"/>
      <c r="KCS243" s="334"/>
      <c r="KCT243" s="334"/>
      <c r="KCU243" s="334"/>
      <c r="KCV243" s="334"/>
      <c r="KCW243" s="334"/>
      <c r="KCX243" s="334"/>
      <c r="KCY243" s="334"/>
      <c r="KCZ243" s="334"/>
      <c r="KDA243" s="334"/>
      <c r="KDB243" s="334"/>
      <c r="KDC243" s="334"/>
      <c r="KDD243" s="334"/>
      <c r="KDE243" s="334"/>
      <c r="KDF243" s="334"/>
      <c r="KDG243" s="334"/>
      <c r="KDH243" s="334"/>
      <c r="KDI243" s="334"/>
      <c r="KDJ243" s="334"/>
      <c r="KDK243" s="334"/>
      <c r="KDL243" s="334"/>
      <c r="KDM243" s="334"/>
      <c r="KDN243" s="334"/>
      <c r="KDO243" s="334"/>
      <c r="KDP243" s="334"/>
      <c r="KDQ243" s="334"/>
      <c r="KDR243" s="334"/>
      <c r="KDS243" s="334"/>
      <c r="KDT243" s="334"/>
      <c r="KDU243" s="334"/>
      <c r="KDV243" s="334"/>
      <c r="KDW243" s="334"/>
      <c r="KDX243" s="334"/>
      <c r="KDY243" s="334"/>
      <c r="KDZ243" s="334"/>
      <c r="KEA243" s="334"/>
      <c r="KEB243" s="334"/>
      <c r="KEC243" s="334"/>
      <c r="KED243" s="334"/>
      <c r="KEE243" s="334"/>
      <c r="KEF243" s="334"/>
      <c r="KEG243" s="334"/>
      <c r="KEH243" s="334"/>
      <c r="KEI243" s="334"/>
      <c r="KEJ243" s="334"/>
      <c r="KEK243" s="334"/>
      <c r="KEL243" s="334"/>
      <c r="KEM243" s="334"/>
      <c r="KEN243" s="334"/>
      <c r="KEO243" s="334"/>
      <c r="KEP243" s="334"/>
      <c r="KEQ243" s="334"/>
      <c r="KER243" s="334"/>
      <c r="KES243" s="334"/>
      <c r="KET243" s="334"/>
      <c r="KEU243" s="334"/>
      <c r="KEV243" s="334"/>
      <c r="KEW243" s="334"/>
      <c r="KEX243" s="334"/>
      <c r="KEY243" s="334"/>
      <c r="KEZ243" s="334"/>
      <c r="KFA243" s="334"/>
      <c r="KFB243" s="334"/>
      <c r="KFC243" s="334"/>
      <c r="KFD243" s="334"/>
      <c r="KFE243" s="334"/>
      <c r="KFF243" s="334"/>
      <c r="KFG243" s="334"/>
      <c r="KFH243" s="334"/>
      <c r="KFI243" s="334"/>
      <c r="KFJ243" s="334"/>
      <c r="KFK243" s="334"/>
      <c r="KFL243" s="334"/>
      <c r="KFM243" s="334"/>
      <c r="KFN243" s="334"/>
      <c r="KFO243" s="334"/>
      <c r="KFP243" s="334"/>
      <c r="KFQ243" s="334"/>
      <c r="KFR243" s="334"/>
      <c r="KFS243" s="334"/>
      <c r="KFT243" s="334"/>
      <c r="KFU243" s="334"/>
      <c r="KFV243" s="334"/>
      <c r="KFW243" s="334"/>
      <c r="KFX243" s="334"/>
      <c r="KFY243" s="334"/>
      <c r="KFZ243" s="334"/>
      <c r="KGA243" s="334"/>
      <c r="KGB243" s="334"/>
      <c r="KGC243" s="334"/>
      <c r="KGD243" s="334"/>
      <c r="KGE243" s="334"/>
      <c r="KGF243" s="334"/>
      <c r="KGG243" s="334"/>
      <c r="KGH243" s="334"/>
      <c r="KGI243" s="334"/>
      <c r="KGJ243" s="334"/>
      <c r="KGK243" s="334"/>
      <c r="KGL243" s="334"/>
      <c r="KGM243" s="334"/>
      <c r="KGN243" s="334"/>
      <c r="KGO243" s="334"/>
      <c r="KGP243" s="334"/>
      <c r="KGQ243" s="334"/>
      <c r="KGR243" s="334"/>
      <c r="KGS243" s="334"/>
      <c r="KGT243" s="334"/>
      <c r="KGU243" s="334"/>
      <c r="KGV243" s="334"/>
      <c r="KGW243" s="334"/>
      <c r="KGX243" s="334"/>
      <c r="KGY243" s="334"/>
      <c r="KGZ243" s="334"/>
      <c r="KHA243" s="334"/>
      <c r="KHB243" s="334"/>
      <c r="KHC243" s="334"/>
      <c r="KHD243" s="334"/>
      <c r="KHE243" s="334"/>
      <c r="KHF243" s="334"/>
      <c r="KHG243" s="334"/>
      <c r="KHH243" s="334"/>
      <c r="KHI243" s="334"/>
      <c r="KHJ243" s="334"/>
      <c r="KHK243" s="334"/>
      <c r="KHL243" s="334"/>
      <c r="KHM243" s="334"/>
      <c r="KHN243" s="334"/>
      <c r="KHO243" s="334"/>
      <c r="KHP243" s="334"/>
      <c r="KHQ243" s="334"/>
      <c r="KHR243" s="334"/>
      <c r="KHS243" s="334"/>
      <c r="KHT243" s="334"/>
      <c r="KHU243" s="334"/>
      <c r="KHV243" s="334"/>
      <c r="KHW243" s="334"/>
      <c r="KHX243" s="334"/>
      <c r="KHY243" s="334"/>
      <c r="KHZ243" s="334"/>
      <c r="KIA243" s="334"/>
      <c r="KIB243" s="334"/>
      <c r="KIC243" s="334"/>
      <c r="KID243" s="334"/>
      <c r="KIE243" s="334"/>
      <c r="KIF243" s="334"/>
      <c r="KIG243" s="334"/>
      <c r="KIH243" s="334"/>
      <c r="KII243" s="334"/>
      <c r="KIJ243" s="334"/>
      <c r="KIK243" s="334"/>
      <c r="KIL243" s="334"/>
      <c r="KIM243" s="334"/>
      <c r="KIN243" s="334"/>
      <c r="KIO243" s="334"/>
      <c r="KIP243" s="334"/>
      <c r="KIQ243" s="334"/>
      <c r="KIR243" s="334"/>
      <c r="KIS243" s="334"/>
      <c r="KIT243" s="334"/>
      <c r="KIU243" s="334"/>
      <c r="KIV243" s="334"/>
      <c r="KIW243" s="334"/>
      <c r="KIX243" s="334"/>
      <c r="KIY243" s="334"/>
      <c r="KIZ243" s="334"/>
      <c r="KJA243" s="334"/>
      <c r="KJB243" s="334"/>
      <c r="KJC243" s="334"/>
      <c r="KJD243" s="334"/>
      <c r="KJE243" s="334"/>
      <c r="KJF243" s="334"/>
      <c r="KJG243" s="334"/>
      <c r="KJH243" s="334"/>
      <c r="KJI243" s="334"/>
      <c r="KJJ243" s="334"/>
      <c r="KJK243" s="334"/>
      <c r="KJL243" s="334"/>
      <c r="KJM243" s="334"/>
      <c r="KJN243" s="334"/>
      <c r="KJO243" s="334"/>
      <c r="KJP243" s="334"/>
      <c r="KJQ243" s="334"/>
      <c r="KJR243" s="334"/>
      <c r="KJS243" s="334"/>
      <c r="KJT243" s="334"/>
      <c r="KJU243" s="334"/>
      <c r="KJV243" s="334"/>
      <c r="KJW243" s="334"/>
      <c r="KJX243" s="334"/>
      <c r="KJY243" s="334"/>
      <c r="KJZ243" s="334"/>
      <c r="KKA243" s="334"/>
      <c r="KKB243" s="334"/>
      <c r="KKC243" s="334"/>
      <c r="KKD243" s="334"/>
      <c r="KKE243" s="334"/>
      <c r="KKF243" s="334"/>
      <c r="KKG243" s="334"/>
      <c r="KKH243" s="334"/>
      <c r="KKI243" s="334"/>
      <c r="KKJ243" s="334"/>
      <c r="KKK243" s="334"/>
      <c r="KKL243" s="334"/>
      <c r="KKM243" s="334"/>
      <c r="KKN243" s="334"/>
      <c r="KKO243" s="334"/>
      <c r="KKP243" s="334"/>
      <c r="KKQ243" s="334"/>
      <c r="KKR243" s="334"/>
      <c r="KKS243" s="334"/>
      <c r="KKT243" s="334"/>
      <c r="KKU243" s="334"/>
      <c r="KKV243" s="334"/>
      <c r="KKW243" s="334"/>
      <c r="KKX243" s="334"/>
      <c r="KKY243" s="334"/>
      <c r="KKZ243" s="334"/>
      <c r="KLA243" s="334"/>
      <c r="KLB243" s="334"/>
      <c r="KLC243" s="334"/>
      <c r="KLD243" s="334"/>
      <c r="KLE243" s="334"/>
      <c r="KLF243" s="334"/>
      <c r="KLG243" s="334"/>
      <c r="KLH243" s="334"/>
      <c r="KLI243" s="334"/>
      <c r="KLJ243" s="334"/>
      <c r="KLK243" s="334"/>
      <c r="KLL243" s="334"/>
      <c r="KLM243" s="334"/>
      <c r="KLN243" s="334"/>
      <c r="KLO243" s="334"/>
      <c r="KLP243" s="334"/>
      <c r="KLQ243" s="334"/>
      <c r="KLR243" s="334"/>
      <c r="KLS243" s="334"/>
      <c r="KLT243" s="334"/>
      <c r="KLU243" s="334"/>
      <c r="KLV243" s="334"/>
      <c r="KLW243" s="334"/>
      <c r="KLX243" s="334"/>
      <c r="KLY243" s="334"/>
      <c r="KLZ243" s="334"/>
      <c r="KMA243" s="334"/>
      <c r="KMB243" s="334"/>
      <c r="KMC243" s="334"/>
      <c r="KMD243" s="334"/>
      <c r="KME243" s="334"/>
      <c r="KMF243" s="334"/>
      <c r="KMG243" s="334"/>
      <c r="KMH243" s="334"/>
      <c r="KMI243" s="334"/>
      <c r="KMJ243" s="334"/>
      <c r="KMK243" s="334"/>
      <c r="KML243" s="334"/>
      <c r="KMM243" s="334"/>
      <c r="KMN243" s="334"/>
      <c r="KMO243" s="334"/>
      <c r="KMP243" s="334"/>
      <c r="KMQ243" s="334"/>
      <c r="KMR243" s="334"/>
      <c r="KMS243" s="334"/>
      <c r="KMT243" s="334"/>
      <c r="KMU243" s="334"/>
      <c r="KMV243" s="334"/>
      <c r="KMW243" s="334"/>
      <c r="KMX243" s="334"/>
      <c r="KMY243" s="334"/>
      <c r="KMZ243" s="334"/>
      <c r="KNA243" s="334"/>
      <c r="KNB243" s="334"/>
      <c r="KNC243" s="334"/>
      <c r="KND243" s="334"/>
      <c r="KNE243" s="334"/>
      <c r="KNF243" s="334"/>
      <c r="KNG243" s="334"/>
      <c r="KNH243" s="334"/>
      <c r="KNI243" s="334"/>
      <c r="KNJ243" s="334"/>
      <c r="KNK243" s="334"/>
      <c r="KNL243" s="334"/>
      <c r="KNM243" s="334"/>
      <c r="KNN243" s="334"/>
      <c r="KNO243" s="334"/>
      <c r="KNP243" s="334"/>
      <c r="KNQ243" s="334"/>
      <c r="KNR243" s="334"/>
      <c r="KNS243" s="334"/>
      <c r="KNT243" s="334"/>
      <c r="KNU243" s="334"/>
      <c r="KNV243" s="334"/>
      <c r="KNW243" s="334"/>
      <c r="KNX243" s="334"/>
      <c r="KNY243" s="334"/>
      <c r="KNZ243" s="334"/>
      <c r="KOA243" s="334"/>
      <c r="KOB243" s="334"/>
      <c r="KOC243" s="334"/>
      <c r="KOD243" s="334"/>
      <c r="KOE243" s="334"/>
      <c r="KOF243" s="334"/>
      <c r="KOG243" s="334"/>
      <c r="KOH243" s="334"/>
      <c r="KOI243" s="334"/>
      <c r="KOJ243" s="334"/>
      <c r="KOK243" s="334"/>
      <c r="KOL243" s="334"/>
      <c r="KOM243" s="334"/>
      <c r="KON243" s="334"/>
      <c r="KOO243" s="334"/>
      <c r="KOP243" s="334"/>
      <c r="KOQ243" s="334"/>
      <c r="KOR243" s="334"/>
      <c r="KOS243" s="334"/>
      <c r="KOT243" s="334"/>
      <c r="KOU243" s="334"/>
      <c r="KOV243" s="334"/>
      <c r="KOW243" s="334"/>
      <c r="KOX243" s="334"/>
      <c r="KOY243" s="334"/>
      <c r="KOZ243" s="334"/>
      <c r="KPA243" s="334"/>
      <c r="KPB243" s="334"/>
      <c r="KPC243" s="334"/>
      <c r="KPD243" s="334"/>
      <c r="KPE243" s="334"/>
      <c r="KPF243" s="334"/>
      <c r="KPG243" s="334"/>
      <c r="KPH243" s="334"/>
      <c r="KPI243" s="334"/>
      <c r="KPJ243" s="334"/>
      <c r="KPK243" s="334"/>
      <c r="KPL243" s="334"/>
      <c r="KPM243" s="334"/>
      <c r="KPN243" s="334"/>
      <c r="KPO243" s="334"/>
      <c r="KPP243" s="334"/>
      <c r="KPQ243" s="334"/>
      <c r="KPR243" s="334"/>
      <c r="KPS243" s="334"/>
      <c r="KPT243" s="334"/>
      <c r="KPU243" s="334"/>
      <c r="KPV243" s="334"/>
      <c r="KPW243" s="334"/>
      <c r="KPX243" s="334"/>
      <c r="KPY243" s="334"/>
      <c r="KPZ243" s="334"/>
      <c r="KQA243" s="334"/>
      <c r="KQB243" s="334"/>
      <c r="KQC243" s="334"/>
      <c r="KQD243" s="334"/>
      <c r="KQE243" s="334"/>
      <c r="KQF243" s="334"/>
      <c r="KQG243" s="334"/>
      <c r="KQH243" s="334"/>
      <c r="KQI243" s="334"/>
      <c r="KQJ243" s="334"/>
      <c r="KQK243" s="334"/>
      <c r="KQL243" s="334"/>
      <c r="KQM243" s="334"/>
      <c r="KQN243" s="334"/>
      <c r="KQO243" s="334"/>
      <c r="KQP243" s="334"/>
      <c r="KQQ243" s="334"/>
      <c r="KQR243" s="334"/>
      <c r="KQS243" s="334"/>
      <c r="KQT243" s="334"/>
      <c r="KQU243" s="334"/>
      <c r="KQV243" s="334"/>
      <c r="KQW243" s="334"/>
      <c r="KQX243" s="334"/>
      <c r="KQY243" s="334"/>
      <c r="KQZ243" s="334"/>
      <c r="KRA243" s="334"/>
      <c r="KRB243" s="334"/>
      <c r="KRC243" s="334"/>
      <c r="KRD243" s="334"/>
      <c r="KRE243" s="334"/>
      <c r="KRF243" s="334"/>
      <c r="KRG243" s="334"/>
      <c r="KRH243" s="334"/>
      <c r="KRI243" s="334"/>
      <c r="KRJ243" s="334"/>
      <c r="KRK243" s="334"/>
      <c r="KRL243" s="334"/>
      <c r="KRM243" s="334"/>
      <c r="KRN243" s="334"/>
      <c r="KRO243" s="334"/>
      <c r="KRP243" s="334"/>
      <c r="KRQ243" s="334"/>
      <c r="KRR243" s="334"/>
      <c r="KRS243" s="334"/>
      <c r="KRT243" s="334"/>
      <c r="KRU243" s="334"/>
      <c r="KRV243" s="334"/>
      <c r="KRW243" s="334"/>
      <c r="KRX243" s="334"/>
      <c r="KRY243" s="334"/>
      <c r="KRZ243" s="334"/>
      <c r="KSA243" s="334"/>
      <c r="KSB243" s="334"/>
      <c r="KSC243" s="334"/>
      <c r="KSD243" s="334"/>
      <c r="KSE243" s="334"/>
      <c r="KSF243" s="334"/>
      <c r="KSG243" s="334"/>
      <c r="KSH243" s="334"/>
      <c r="KSI243" s="334"/>
      <c r="KSJ243" s="334"/>
      <c r="KSK243" s="334"/>
      <c r="KSL243" s="334"/>
      <c r="KSM243" s="334"/>
      <c r="KSN243" s="334"/>
      <c r="KSO243" s="334"/>
      <c r="KSP243" s="334"/>
      <c r="KSQ243" s="334"/>
      <c r="KSR243" s="334"/>
      <c r="KSS243" s="334"/>
      <c r="KST243" s="334"/>
      <c r="KSU243" s="334"/>
      <c r="KSV243" s="334"/>
      <c r="KSW243" s="334"/>
      <c r="KSX243" s="334"/>
      <c r="KSY243" s="334"/>
      <c r="KSZ243" s="334"/>
      <c r="KTA243" s="334"/>
      <c r="KTB243" s="334"/>
      <c r="KTC243" s="334"/>
      <c r="KTD243" s="334"/>
      <c r="KTE243" s="334"/>
      <c r="KTF243" s="334"/>
      <c r="KTG243" s="334"/>
      <c r="KTH243" s="334"/>
      <c r="KTI243" s="334"/>
      <c r="KTJ243" s="334"/>
      <c r="KTK243" s="334"/>
      <c r="KTL243" s="334"/>
      <c r="KTM243" s="334"/>
      <c r="KTN243" s="334"/>
      <c r="KTO243" s="334"/>
      <c r="KTP243" s="334"/>
      <c r="KTQ243" s="334"/>
      <c r="KTR243" s="334"/>
      <c r="KTS243" s="334"/>
      <c r="KTT243" s="334"/>
      <c r="KTU243" s="334"/>
      <c r="KTV243" s="334"/>
      <c r="KTW243" s="334"/>
      <c r="KTX243" s="334"/>
      <c r="KTY243" s="334"/>
      <c r="KTZ243" s="334"/>
      <c r="KUA243" s="334"/>
      <c r="KUB243" s="334"/>
      <c r="KUC243" s="334"/>
      <c r="KUD243" s="334"/>
      <c r="KUE243" s="334"/>
      <c r="KUF243" s="334"/>
      <c r="KUG243" s="334"/>
      <c r="KUH243" s="334"/>
      <c r="KUI243" s="334"/>
      <c r="KUJ243" s="334"/>
      <c r="KUK243" s="334"/>
      <c r="KUL243" s="334"/>
      <c r="KUM243" s="334"/>
      <c r="KUN243" s="334"/>
      <c r="KUO243" s="334"/>
      <c r="KUP243" s="334"/>
      <c r="KUQ243" s="334"/>
      <c r="KUR243" s="334"/>
      <c r="KUS243" s="334"/>
      <c r="KUT243" s="334"/>
      <c r="KUU243" s="334"/>
      <c r="KUV243" s="334"/>
      <c r="KUW243" s="334"/>
      <c r="KUX243" s="334"/>
      <c r="KUY243" s="334"/>
      <c r="KUZ243" s="334"/>
      <c r="KVA243" s="334"/>
      <c r="KVB243" s="334"/>
      <c r="KVC243" s="334"/>
      <c r="KVD243" s="334"/>
      <c r="KVE243" s="334"/>
      <c r="KVF243" s="334"/>
      <c r="KVG243" s="334"/>
      <c r="KVH243" s="334"/>
      <c r="KVI243" s="334"/>
      <c r="KVJ243" s="334"/>
      <c r="KVK243" s="334"/>
      <c r="KVL243" s="334"/>
      <c r="KVM243" s="334"/>
      <c r="KVN243" s="334"/>
      <c r="KVO243" s="334"/>
      <c r="KVP243" s="334"/>
      <c r="KVQ243" s="334"/>
      <c r="KVR243" s="334"/>
      <c r="KVS243" s="334"/>
      <c r="KVT243" s="334"/>
      <c r="KVU243" s="334"/>
      <c r="KVV243" s="334"/>
      <c r="KVW243" s="334"/>
      <c r="KVX243" s="334"/>
      <c r="KVY243" s="334"/>
      <c r="KVZ243" s="334"/>
      <c r="KWA243" s="334"/>
      <c r="KWB243" s="334"/>
      <c r="KWC243" s="334"/>
      <c r="KWD243" s="334"/>
      <c r="KWE243" s="334"/>
      <c r="KWF243" s="334"/>
      <c r="KWG243" s="334"/>
      <c r="KWH243" s="334"/>
      <c r="KWI243" s="334"/>
      <c r="KWJ243" s="334"/>
      <c r="KWK243" s="334"/>
      <c r="KWL243" s="334"/>
      <c r="KWM243" s="334"/>
      <c r="KWN243" s="334"/>
      <c r="KWO243" s="334"/>
      <c r="KWP243" s="334"/>
      <c r="KWQ243" s="334"/>
      <c r="KWR243" s="334"/>
      <c r="KWS243" s="334"/>
      <c r="KWT243" s="334"/>
      <c r="KWU243" s="334"/>
      <c r="KWV243" s="334"/>
      <c r="KWW243" s="334"/>
      <c r="KWX243" s="334"/>
      <c r="KWY243" s="334"/>
      <c r="KWZ243" s="334"/>
      <c r="KXA243" s="334"/>
      <c r="KXB243" s="334"/>
      <c r="KXC243" s="334"/>
      <c r="KXD243" s="334"/>
      <c r="KXE243" s="334"/>
      <c r="KXF243" s="334"/>
      <c r="KXG243" s="334"/>
      <c r="KXH243" s="334"/>
      <c r="KXI243" s="334"/>
      <c r="KXJ243" s="334"/>
      <c r="KXK243" s="334"/>
      <c r="KXL243" s="334"/>
      <c r="KXM243" s="334"/>
      <c r="KXN243" s="334"/>
      <c r="KXO243" s="334"/>
      <c r="KXP243" s="334"/>
      <c r="KXQ243" s="334"/>
      <c r="KXR243" s="334"/>
      <c r="KXS243" s="334"/>
      <c r="KXT243" s="334"/>
      <c r="KXU243" s="334"/>
      <c r="KXV243" s="334"/>
      <c r="KXW243" s="334"/>
      <c r="KXX243" s="334"/>
      <c r="KXY243" s="334"/>
      <c r="KXZ243" s="334"/>
      <c r="KYA243" s="334"/>
      <c r="KYB243" s="334"/>
      <c r="KYC243" s="334"/>
      <c r="KYD243" s="334"/>
      <c r="KYE243" s="334"/>
      <c r="KYF243" s="334"/>
      <c r="KYG243" s="334"/>
      <c r="KYH243" s="334"/>
      <c r="KYI243" s="334"/>
      <c r="KYJ243" s="334"/>
      <c r="KYK243" s="334"/>
      <c r="KYL243" s="334"/>
      <c r="KYM243" s="334"/>
      <c r="KYN243" s="334"/>
      <c r="KYO243" s="334"/>
      <c r="KYP243" s="334"/>
      <c r="KYQ243" s="334"/>
      <c r="KYR243" s="334"/>
      <c r="KYS243" s="334"/>
      <c r="KYT243" s="334"/>
      <c r="KYU243" s="334"/>
      <c r="KYV243" s="334"/>
      <c r="KYW243" s="334"/>
      <c r="KYX243" s="334"/>
      <c r="KYY243" s="334"/>
      <c r="KYZ243" s="334"/>
      <c r="KZA243" s="334"/>
      <c r="KZB243" s="334"/>
      <c r="KZC243" s="334"/>
      <c r="KZD243" s="334"/>
      <c r="KZE243" s="334"/>
      <c r="KZF243" s="334"/>
      <c r="KZG243" s="334"/>
      <c r="KZH243" s="334"/>
      <c r="KZI243" s="334"/>
      <c r="KZJ243" s="334"/>
      <c r="KZK243" s="334"/>
      <c r="KZL243" s="334"/>
      <c r="KZM243" s="334"/>
      <c r="KZN243" s="334"/>
      <c r="KZO243" s="334"/>
      <c r="KZP243" s="334"/>
      <c r="KZQ243" s="334"/>
      <c r="KZR243" s="334"/>
      <c r="KZS243" s="334"/>
      <c r="KZT243" s="334"/>
      <c r="KZU243" s="334"/>
      <c r="KZV243" s="334"/>
      <c r="KZW243" s="334"/>
      <c r="KZX243" s="334"/>
      <c r="KZY243" s="334"/>
      <c r="KZZ243" s="334"/>
      <c r="LAA243" s="334"/>
      <c r="LAB243" s="334"/>
      <c r="LAC243" s="334"/>
      <c r="LAD243" s="334"/>
      <c r="LAE243" s="334"/>
      <c r="LAF243" s="334"/>
      <c r="LAG243" s="334"/>
      <c r="LAH243" s="334"/>
      <c r="LAI243" s="334"/>
      <c r="LAJ243" s="334"/>
      <c r="LAK243" s="334"/>
      <c r="LAL243" s="334"/>
      <c r="LAM243" s="334"/>
      <c r="LAN243" s="334"/>
      <c r="LAO243" s="334"/>
      <c r="LAP243" s="334"/>
      <c r="LAQ243" s="334"/>
      <c r="LAR243" s="334"/>
      <c r="LAS243" s="334"/>
      <c r="LAT243" s="334"/>
      <c r="LAU243" s="334"/>
      <c r="LAV243" s="334"/>
      <c r="LAW243" s="334"/>
      <c r="LAX243" s="334"/>
      <c r="LAY243" s="334"/>
      <c r="LAZ243" s="334"/>
      <c r="LBA243" s="334"/>
      <c r="LBB243" s="334"/>
      <c r="LBC243" s="334"/>
      <c r="LBD243" s="334"/>
      <c r="LBE243" s="334"/>
      <c r="LBF243" s="334"/>
      <c r="LBG243" s="334"/>
      <c r="LBH243" s="334"/>
      <c r="LBI243" s="334"/>
      <c r="LBJ243" s="334"/>
      <c r="LBK243" s="334"/>
      <c r="LBL243" s="334"/>
      <c r="LBM243" s="334"/>
      <c r="LBN243" s="334"/>
      <c r="LBO243" s="334"/>
      <c r="LBP243" s="334"/>
      <c r="LBQ243" s="334"/>
      <c r="LBR243" s="334"/>
      <c r="LBS243" s="334"/>
      <c r="LBT243" s="334"/>
      <c r="LBU243" s="334"/>
      <c r="LBV243" s="334"/>
      <c r="LBW243" s="334"/>
      <c r="LBX243" s="334"/>
      <c r="LBY243" s="334"/>
      <c r="LBZ243" s="334"/>
      <c r="LCA243" s="334"/>
      <c r="LCB243" s="334"/>
      <c r="LCC243" s="334"/>
      <c r="LCD243" s="334"/>
      <c r="LCE243" s="334"/>
      <c r="LCF243" s="334"/>
      <c r="LCG243" s="334"/>
      <c r="LCH243" s="334"/>
      <c r="LCI243" s="334"/>
      <c r="LCJ243" s="334"/>
      <c r="LCK243" s="334"/>
      <c r="LCL243" s="334"/>
      <c r="LCM243" s="334"/>
      <c r="LCN243" s="334"/>
      <c r="LCO243" s="334"/>
      <c r="LCP243" s="334"/>
      <c r="LCQ243" s="334"/>
      <c r="LCR243" s="334"/>
      <c r="LCS243" s="334"/>
      <c r="LCT243" s="334"/>
      <c r="LCU243" s="334"/>
      <c r="LCV243" s="334"/>
      <c r="LCW243" s="334"/>
      <c r="LCX243" s="334"/>
      <c r="LCY243" s="334"/>
      <c r="LCZ243" s="334"/>
      <c r="LDA243" s="334"/>
      <c r="LDB243" s="334"/>
      <c r="LDC243" s="334"/>
      <c r="LDD243" s="334"/>
      <c r="LDE243" s="334"/>
      <c r="LDF243" s="334"/>
      <c r="LDG243" s="334"/>
      <c r="LDH243" s="334"/>
      <c r="LDI243" s="334"/>
      <c r="LDJ243" s="334"/>
      <c r="LDK243" s="334"/>
      <c r="LDL243" s="334"/>
      <c r="LDM243" s="334"/>
      <c r="LDN243" s="334"/>
      <c r="LDO243" s="334"/>
      <c r="LDP243" s="334"/>
      <c r="LDQ243" s="334"/>
      <c r="LDR243" s="334"/>
      <c r="LDS243" s="334"/>
      <c r="LDT243" s="334"/>
      <c r="LDU243" s="334"/>
      <c r="LDV243" s="334"/>
      <c r="LDW243" s="334"/>
      <c r="LDX243" s="334"/>
      <c r="LDY243" s="334"/>
      <c r="LDZ243" s="334"/>
      <c r="LEA243" s="334"/>
      <c r="LEB243" s="334"/>
      <c r="LEC243" s="334"/>
      <c r="LED243" s="334"/>
      <c r="LEE243" s="334"/>
      <c r="LEF243" s="334"/>
      <c r="LEG243" s="334"/>
      <c r="LEH243" s="334"/>
      <c r="LEI243" s="334"/>
      <c r="LEJ243" s="334"/>
      <c r="LEK243" s="334"/>
      <c r="LEL243" s="334"/>
      <c r="LEM243" s="334"/>
      <c r="LEN243" s="334"/>
      <c r="LEO243" s="334"/>
      <c r="LEP243" s="334"/>
      <c r="LEQ243" s="334"/>
      <c r="LER243" s="334"/>
      <c r="LES243" s="334"/>
      <c r="LET243" s="334"/>
      <c r="LEU243" s="334"/>
      <c r="LEV243" s="334"/>
      <c r="LEW243" s="334"/>
      <c r="LEX243" s="334"/>
      <c r="LEY243" s="334"/>
      <c r="LEZ243" s="334"/>
      <c r="LFA243" s="334"/>
      <c r="LFB243" s="334"/>
      <c r="LFC243" s="334"/>
      <c r="LFD243" s="334"/>
      <c r="LFE243" s="334"/>
      <c r="LFF243" s="334"/>
      <c r="LFG243" s="334"/>
      <c r="LFH243" s="334"/>
      <c r="LFI243" s="334"/>
      <c r="LFJ243" s="334"/>
      <c r="LFK243" s="334"/>
      <c r="LFL243" s="334"/>
      <c r="LFM243" s="334"/>
      <c r="LFN243" s="334"/>
      <c r="LFO243" s="334"/>
      <c r="LFP243" s="334"/>
      <c r="LFQ243" s="334"/>
      <c r="LFR243" s="334"/>
      <c r="LFS243" s="334"/>
      <c r="LFT243" s="334"/>
      <c r="LFU243" s="334"/>
      <c r="LFV243" s="334"/>
      <c r="LFW243" s="334"/>
      <c r="LFX243" s="334"/>
      <c r="LFY243" s="334"/>
      <c r="LFZ243" s="334"/>
      <c r="LGA243" s="334"/>
      <c r="LGB243" s="334"/>
      <c r="LGC243" s="334"/>
      <c r="LGD243" s="334"/>
      <c r="LGE243" s="334"/>
      <c r="LGF243" s="334"/>
      <c r="LGG243" s="334"/>
      <c r="LGH243" s="334"/>
      <c r="LGI243" s="334"/>
      <c r="LGJ243" s="334"/>
      <c r="LGK243" s="334"/>
      <c r="LGL243" s="334"/>
      <c r="LGM243" s="334"/>
      <c r="LGN243" s="334"/>
      <c r="LGO243" s="334"/>
      <c r="LGP243" s="334"/>
      <c r="LGQ243" s="334"/>
      <c r="LGR243" s="334"/>
      <c r="LGS243" s="334"/>
      <c r="LGT243" s="334"/>
      <c r="LGU243" s="334"/>
      <c r="LGV243" s="334"/>
      <c r="LGW243" s="334"/>
      <c r="LGX243" s="334"/>
      <c r="LGY243" s="334"/>
      <c r="LGZ243" s="334"/>
      <c r="LHA243" s="334"/>
      <c r="LHB243" s="334"/>
      <c r="LHC243" s="334"/>
      <c r="LHD243" s="334"/>
      <c r="LHE243" s="334"/>
      <c r="LHF243" s="334"/>
      <c r="LHG243" s="334"/>
      <c r="LHH243" s="334"/>
      <c r="LHI243" s="334"/>
      <c r="LHJ243" s="334"/>
      <c r="LHK243" s="334"/>
      <c r="LHL243" s="334"/>
      <c r="LHM243" s="334"/>
      <c r="LHN243" s="334"/>
      <c r="LHO243" s="334"/>
      <c r="LHP243" s="334"/>
      <c r="LHQ243" s="334"/>
      <c r="LHR243" s="334"/>
      <c r="LHS243" s="334"/>
      <c r="LHT243" s="334"/>
      <c r="LHU243" s="334"/>
      <c r="LHV243" s="334"/>
      <c r="LHW243" s="334"/>
      <c r="LHX243" s="334"/>
      <c r="LHY243" s="334"/>
      <c r="LHZ243" s="334"/>
      <c r="LIA243" s="334"/>
      <c r="LIB243" s="334"/>
      <c r="LIC243" s="334"/>
      <c r="LID243" s="334"/>
      <c r="LIE243" s="334"/>
      <c r="LIF243" s="334"/>
      <c r="LIG243" s="334"/>
      <c r="LIH243" s="334"/>
      <c r="LII243" s="334"/>
      <c r="LIJ243" s="334"/>
      <c r="LIK243" s="334"/>
      <c r="LIL243" s="334"/>
      <c r="LIM243" s="334"/>
      <c r="LIN243" s="334"/>
      <c r="LIO243" s="334"/>
      <c r="LIP243" s="334"/>
      <c r="LIQ243" s="334"/>
      <c r="LIR243" s="334"/>
      <c r="LIS243" s="334"/>
      <c r="LIT243" s="334"/>
      <c r="LIU243" s="334"/>
      <c r="LIV243" s="334"/>
      <c r="LIW243" s="334"/>
      <c r="LIX243" s="334"/>
      <c r="LIY243" s="334"/>
      <c r="LIZ243" s="334"/>
      <c r="LJA243" s="334"/>
      <c r="LJB243" s="334"/>
      <c r="LJC243" s="334"/>
      <c r="LJD243" s="334"/>
      <c r="LJE243" s="334"/>
      <c r="LJF243" s="334"/>
      <c r="LJG243" s="334"/>
      <c r="LJH243" s="334"/>
      <c r="LJI243" s="334"/>
      <c r="LJJ243" s="334"/>
      <c r="LJK243" s="334"/>
      <c r="LJL243" s="334"/>
      <c r="LJM243" s="334"/>
      <c r="LJN243" s="334"/>
      <c r="LJO243" s="334"/>
      <c r="LJP243" s="334"/>
      <c r="LJQ243" s="334"/>
      <c r="LJR243" s="334"/>
      <c r="LJS243" s="334"/>
      <c r="LJT243" s="334"/>
      <c r="LJU243" s="334"/>
      <c r="LJV243" s="334"/>
      <c r="LJW243" s="334"/>
      <c r="LJX243" s="334"/>
      <c r="LJY243" s="334"/>
      <c r="LJZ243" s="334"/>
      <c r="LKA243" s="334"/>
      <c r="LKB243" s="334"/>
      <c r="LKC243" s="334"/>
      <c r="LKD243" s="334"/>
      <c r="LKE243" s="334"/>
      <c r="LKF243" s="334"/>
      <c r="LKG243" s="334"/>
      <c r="LKH243" s="334"/>
      <c r="LKI243" s="334"/>
      <c r="LKJ243" s="334"/>
      <c r="LKK243" s="334"/>
      <c r="LKL243" s="334"/>
      <c r="LKM243" s="334"/>
      <c r="LKN243" s="334"/>
      <c r="LKO243" s="334"/>
      <c r="LKP243" s="334"/>
      <c r="LKQ243" s="334"/>
      <c r="LKR243" s="334"/>
      <c r="LKS243" s="334"/>
      <c r="LKT243" s="334"/>
      <c r="LKU243" s="334"/>
      <c r="LKV243" s="334"/>
      <c r="LKW243" s="334"/>
      <c r="LKX243" s="334"/>
      <c r="LKY243" s="334"/>
      <c r="LKZ243" s="334"/>
      <c r="LLA243" s="334"/>
      <c r="LLB243" s="334"/>
      <c r="LLC243" s="334"/>
      <c r="LLD243" s="334"/>
      <c r="LLE243" s="334"/>
      <c r="LLF243" s="334"/>
      <c r="LLG243" s="334"/>
      <c r="LLH243" s="334"/>
      <c r="LLI243" s="334"/>
      <c r="LLJ243" s="334"/>
      <c r="LLK243" s="334"/>
      <c r="LLL243" s="334"/>
      <c r="LLM243" s="334"/>
      <c r="LLN243" s="334"/>
      <c r="LLO243" s="334"/>
      <c r="LLP243" s="334"/>
      <c r="LLQ243" s="334"/>
      <c r="LLR243" s="334"/>
      <c r="LLS243" s="334"/>
      <c r="LLT243" s="334"/>
      <c r="LLU243" s="334"/>
      <c r="LLV243" s="334"/>
      <c r="LLW243" s="334"/>
      <c r="LLX243" s="334"/>
      <c r="LLY243" s="334"/>
      <c r="LLZ243" s="334"/>
      <c r="LMA243" s="334"/>
      <c r="LMB243" s="334"/>
      <c r="LMC243" s="334"/>
      <c r="LMD243" s="334"/>
      <c r="LME243" s="334"/>
      <c r="LMF243" s="334"/>
      <c r="LMG243" s="334"/>
      <c r="LMH243" s="334"/>
      <c r="LMI243" s="334"/>
      <c r="LMJ243" s="334"/>
      <c r="LMK243" s="334"/>
      <c r="LML243" s="334"/>
      <c r="LMM243" s="334"/>
      <c r="LMN243" s="334"/>
      <c r="LMO243" s="334"/>
      <c r="LMP243" s="334"/>
      <c r="LMQ243" s="334"/>
      <c r="LMR243" s="334"/>
      <c r="LMS243" s="334"/>
      <c r="LMT243" s="334"/>
      <c r="LMU243" s="334"/>
      <c r="LMV243" s="334"/>
      <c r="LMW243" s="334"/>
      <c r="LMX243" s="334"/>
      <c r="LMY243" s="334"/>
      <c r="LMZ243" s="334"/>
      <c r="LNA243" s="334"/>
      <c r="LNB243" s="334"/>
      <c r="LNC243" s="334"/>
      <c r="LND243" s="334"/>
      <c r="LNE243" s="334"/>
      <c r="LNF243" s="334"/>
      <c r="LNG243" s="334"/>
      <c r="LNH243" s="334"/>
      <c r="LNI243" s="334"/>
      <c r="LNJ243" s="334"/>
      <c r="LNK243" s="334"/>
      <c r="LNL243" s="334"/>
      <c r="LNM243" s="334"/>
      <c r="LNN243" s="334"/>
      <c r="LNO243" s="334"/>
      <c r="LNP243" s="334"/>
      <c r="LNQ243" s="334"/>
      <c r="LNR243" s="334"/>
      <c r="LNS243" s="334"/>
      <c r="LNT243" s="334"/>
      <c r="LNU243" s="334"/>
      <c r="LNV243" s="334"/>
      <c r="LNW243" s="334"/>
      <c r="LNX243" s="334"/>
      <c r="LNY243" s="334"/>
      <c r="LNZ243" s="334"/>
      <c r="LOA243" s="334"/>
      <c r="LOB243" s="334"/>
      <c r="LOC243" s="334"/>
      <c r="LOD243" s="334"/>
      <c r="LOE243" s="334"/>
      <c r="LOF243" s="334"/>
      <c r="LOG243" s="334"/>
      <c r="LOH243" s="334"/>
      <c r="LOI243" s="334"/>
      <c r="LOJ243" s="334"/>
      <c r="LOK243" s="334"/>
      <c r="LOL243" s="334"/>
      <c r="LOM243" s="334"/>
      <c r="LON243" s="334"/>
      <c r="LOO243" s="334"/>
      <c r="LOP243" s="334"/>
      <c r="LOQ243" s="334"/>
      <c r="LOR243" s="334"/>
      <c r="LOS243" s="334"/>
      <c r="LOT243" s="334"/>
      <c r="LOU243" s="334"/>
      <c r="LOV243" s="334"/>
      <c r="LOW243" s="334"/>
      <c r="LOX243" s="334"/>
      <c r="LOY243" s="334"/>
      <c r="LOZ243" s="334"/>
      <c r="LPA243" s="334"/>
      <c r="LPB243" s="334"/>
      <c r="LPC243" s="334"/>
      <c r="LPD243" s="334"/>
      <c r="LPE243" s="334"/>
      <c r="LPF243" s="334"/>
      <c r="LPG243" s="334"/>
      <c r="LPH243" s="334"/>
      <c r="LPI243" s="334"/>
      <c r="LPJ243" s="334"/>
      <c r="LPK243" s="334"/>
      <c r="LPL243" s="334"/>
      <c r="LPM243" s="334"/>
      <c r="LPN243" s="334"/>
      <c r="LPO243" s="334"/>
      <c r="LPP243" s="334"/>
      <c r="LPQ243" s="334"/>
      <c r="LPR243" s="334"/>
      <c r="LPS243" s="334"/>
      <c r="LPT243" s="334"/>
      <c r="LPU243" s="334"/>
      <c r="LPV243" s="334"/>
      <c r="LPW243" s="334"/>
      <c r="LPX243" s="334"/>
      <c r="LPY243" s="334"/>
      <c r="LPZ243" s="334"/>
      <c r="LQA243" s="334"/>
      <c r="LQB243" s="334"/>
      <c r="LQC243" s="334"/>
      <c r="LQD243" s="334"/>
      <c r="LQE243" s="334"/>
      <c r="LQF243" s="334"/>
      <c r="LQG243" s="334"/>
      <c r="LQH243" s="334"/>
      <c r="LQI243" s="334"/>
      <c r="LQJ243" s="334"/>
      <c r="LQK243" s="334"/>
      <c r="LQL243" s="334"/>
      <c r="LQM243" s="334"/>
      <c r="LQN243" s="334"/>
      <c r="LQO243" s="334"/>
      <c r="LQP243" s="334"/>
      <c r="LQQ243" s="334"/>
      <c r="LQR243" s="334"/>
      <c r="LQS243" s="334"/>
      <c r="LQT243" s="334"/>
      <c r="LQU243" s="334"/>
      <c r="LQV243" s="334"/>
      <c r="LQW243" s="334"/>
      <c r="LQX243" s="334"/>
      <c r="LQY243" s="334"/>
      <c r="LQZ243" s="334"/>
      <c r="LRA243" s="334"/>
      <c r="LRB243" s="334"/>
      <c r="LRC243" s="334"/>
      <c r="LRD243" s="334"/>
      <c r="LRE243" s="334"/>
      <c r="LRF243" s="334"/>
      <c r="LRG243" s="334"/>
      <c r="LRH243" s="334"/>
      <c r="LRI243" s="334"/>
      <c r="LRJ243" s="334"/>
      <c r="LRK243" s="334"/>
      <c r="LRL243" s="334"/>
      <c r="LRM243" s="334"/>
      <c r="LRN243" s="334"/>
      <c r="LRO243" s="334"/>
      <c r="LRP243" s="334"/>
      <c r="LRQ243" s="334"/>
      <c r="LRR243" s="334"/>
      <c r="LRS243" s="334"/>
      <c r="LRT243" s="334"/>
      <c r="LRU243" s="334"/>
      <c r="LRV243" s="334"/>
      <c r="LRW243" s="334"/>
      <c r="LRX243" s="334"/>
      <c r="LRY243" s="334"/>
      <c r="LRZ243" s="334"/>
      <c r="LSA243" s="334"/>
      <c r="LSB243" s="334"/>
      <c r="LSC243" s="334"/>
      <c r="LSD243" s="334"/>
      <c r="LSE243" s="334"/>
      <c r="LSF243" s="334"/>
      <c r="LSG243" s="334"/>
      <c r="LSH243" s="334"/>
      <c r="LSI243" s="334"/>
      <c r="LSJ243" s="334"/>
      <c r="LSK243" s="334"/>
      <c r="LSL243" s="334"/>
      <c r="LSM243" s="334"/>
      <c r="LSN243" s="334"/>
      <c r="LSO243" s="334"/>
      <c r="LSP243" s="334"/>
      <c r="LSQ243" s="334"/>
      <c r="LSR243" s="334"/>
      <c r="LSS243" s="334"/>
      <c r="LST243" s="334"/>
      <c r="LSU243" s="334"/>
      <c r="LSV243" s="334"/>
      <c r="LSW243" s="334"/>
      <c r="LSX243" s="334"/>
      <c r="LSY243" s="334"/>
      <c r="LSZ243" s="334"/>
      <c r="LTA243" s="334"/>
      <c r="LTB243" s="334"/>
      <c r="LTC243" s="334"/>
      <c r="LTD243" s="334"/>
      <c r="LTE243" s="334"/>
      <c r="LTF243" s="334"/>
      <c r="LTG243" s="334"/>
      <c r="LTH243" s="334"/>
      <c r="LTI243" s="334"/>
      <c r="LTJ243" s="334"/>
      <c r="LTK243" s="334"/>
      <c r="LTL243" s="334"/>
      <c r="LTM243" s="334"/>
      <c r="LTN243" s="334"/>
      <c r="LTO243" s="334"/>
      <c r="LTP243" s="334"/>
      <c r="LTQ243" s="334"/>
      <c r="LTR243" s="334"/>
      <c r="LTS243" s="334"/>
      <c r="LTT243" s="334"/>
      <c r="LTU243" s="334"/>
      <c r="LTV243" s="334"/>
      <c r="LTW243" s="334"/>
      <c r="LTX243" s="334"/>
      <c r="LTY243" s="334"/>
      <c r="LTZ243" s="334"/>
      <c r="LUA243" s="334"/>
      <c r="LUB243" s="334"/>
      <c r="LUC243" s="334"/>
      <c r="LUD243" s="334"/>
      <c r="LUE243" s="334"/>
      <c r="LUF243" s="334"/>
      <c r="LUG243" s="334"/>
      <c r="LUH243" s="334"/>
      <c r="LUI243" s="334"/>
      <c r="LUJ243" s="334"/>
      <c r="LUK243" s="334"/>
      <c r="LUL243" s="334"/>
      <c r="LUM243" s="334"/>
      <c r="LUN243" s="334"/>
      <c r="LUO243" s="334"/>
      <c r="LUP243" s="334"/>
      <c r="LUQ243" s="334"/>
      <c r="LUR243" s="334"/>
      <c r="LUS243" s="334"/>
      <c r="LUT243" s="334"/>
      <c r="LUU243" s="334"/>
      <c r="LUV243" s="334"/>
      <c r="LUW243" s="334"/>
      <c r="LUX243" s="334"/>
      <c r="LUY243" s="334"/>
      <c r="LUZ243" s="334"/>
      <c r="LVA243" s="334"/>
      <c r="LVB243" s="334"/>
      <c r="LVC243" s="334"/>
      <c r="LVD243" s="334"/>
      <c r="LVE243" s="334"/>
      <c r="LVF243" s="334"/>
      <c r="LVG243" s="334"/>
      <c r="LVH243" s="334"/>
      <c r="LVI243" s="334"/>
      <c r="LVJ243" s="334"/>
      <c r="LVK243" s="334"/>
      <c r="LVL243" s="334"/>
      <c r="LVM243" s="334"/>
      <c r="LVN243" s="334"/>
      <c r="LVO243" s="334"/>
      <c r="LVP243" s="334"/>
      <c r="LVQ243" s="334"/>
      <c r="LVR243" s="334"/>
      <c r="LVS243" s="334"/>
      <c r="LVT243" s="334"/>
      <c r="LVU243" s="334"/>
      <c r="LVV243" s="334"/>
      <c r="LVW243" s="334"/>
      <c r="LVX243" s="334"/>
      <c r="LVY243" s="334"/>
      <c r="LVZ243" s="334"/>
      <c r="LWA243" s="334"/>
      <c r="LWB243" s="334"/>
      <c r="LWC243" s="334"/>
      <c r="LWD243" s="334"/>
      <c r="LWE243" s="334"/>
      <c r="LWF243" s="334"/>
      <c r="LWG243" s="334"/>
      <c r="LWH243" s="334"/>
      <c r="LWI243" s="334"/>
      <c r="LWJ243" s="334"/>
      <c r="LWK243" s="334"/>
      <c r="LWL243" s="334"/>
      <c r="LWM243" s="334"/>
      <c r="LWN243" s="334"/>
      <c r="LWO243" s="334"/>
      <c r="LWP243" s="334"/>
      <c r="LWQ243" s="334"/>
      <c r="LWR243" s="334"/>
      <c r="LWS243" s="334"/>
      <c r="LWT243" s="334"/>
      <c r="LWU243" s="334"/>
      <c r="LWV243" s="334"/>
      <c r="LWW243" s="334"/>
      <c r="LWX243" s="334"/>
      <c r="LWY243" s="334"/>
      <c r="LWZ243" s="334"/>
      <c r="LXA243" s="334"/>
      <c r="LXB243" s="334"/>
      <c r="LXC243" s="334"/>
      <c r="LXD243" s="334"/>
      <c r="LXE243" s="334"/>
      <c r="LXF243" s="334"/>
      <c r="LXG243" s="334"/>
      <c r="LXH243" s="334"/>
      <c r="LXI243" s="334"/>
      <c r="LXJ243" s="334"/>
      <c r="LXK243" s="334"/>
      <c r="LXL243" s="334"/>
      <c r="LXM243" s="334"/>
      <c r="LXN243" s="334"/>
      <c r="LXO243" s="334"/>
      <c r="LXP243" s="334"/>
      <c r="LXQ243" s="334"/>
      <c r="LXR243" s="334"/>
      <c r="LXS243" s="334"/>
      <c r="LXT243" s="334"/>
      <c r="LXU243" s="334"/>
      <c r="LXV243" s="334"/>
      <c r="LXW243" s="334"/>
      <c r="LXX243" s="334"/>
      <c r="LXY243" s="334"/>
      <c r="LXZ243" s="334"/>
      <c r="LYA243" s="334"/>
      <c r="LYB243" s="334"/>
      <c r="LYC243" s="334"/>
      <c r="LYD243" s="334"/>
      <c r="LYE243" s="334"/>
      <c r="LYF243" s="334"/>
      <c r="LYG243" s="334"/>
      <c r="LYH243" s="334"/>
      <c r="LYI243" s="334"/>
      <c r="LYJ243" s="334"/>
      <c r="LYK243" s="334"/>
      <c r="LYL243" s="334"/>
      <c r="LYM243" s="334"/>
      <c r="LYN243" s="334"/>
      <c r="LYO243" s="334"/>
      <c r="LYP243" s="334"/>
      <c r="LYQ243" s="334"/>
      <c r="LYR243" s="334"/>
      <c r="LYS243" s="334"/>
      <c r="LYT243" s="334"/>
      <c r="LYU243" s="334"/>
      <c r="LYV243" s="334"/>
      <c r="LYW243" s="334"/>
      <c r="LYX243" s="334"/>
      <c r="LYY243" s="334"/>
      <c r="LYZ243" s="334"/>
      <c r="LZA243" s="334"/>
      <c r="LZB243" s="334"/>
      <c r="LZC243" s="334"/>
      <c r="LZD243" s="334"/>
      <c r="LZE243" s="334"/>
      <c r="LZF243" s="334"/>
      <c r="LZG243" s="334"/>
      <c r="LZH243" s="334"/>
      <c r="LZI243" s="334"/>
      <c r="LZJ243" s="334"/>
      <c r="LZK243" s="334"/>
      <c r="LZL243" s="334"/>
      <c r="LZM243" s="334"/>
      <c r="LZN243" s="334"/>
      <c r="LZO243" s="334"/>
      <c r="LZP243" s="334"/>
      <c r="LZQ243" s="334"/>
      <c r="LZR243" s="334"/>
      <c r="LZS243" s="334"/>
      <c r="LZT243" s="334"/>
      <c r="LZU243" s="334"/>
      <c r="LZV243" s="334"/>
      <c r="LZW243" s="334"/>
      <c r="LZX243" s="334"/>
      <c r="LZY243" s="334"/>
      <c r="LZZ243" s="334"/>
      <c r="MAA243" s="334"/>
      <c r="MAB243" s="334"/>
      <c r="MAC243" s="334"/>
      <c r="MAD243" s="334"/>
      <c r="MAE243" s="334"/>
      <c r="MAF243" s="334"/>
      <c r="MAG243" s="334"/>
      <c r="MAH243" s="334"/>
      <c r="MAI243" s="334"/>
      <c r="MAJ243" s="334"/>
      <c r="MAK243" s="334"/>
      <c r="MAL243" s="334"/>
      <c r="MAM243" s="334"/>
      <c r="MAN243" s="334"/>
      <c r="MAO243" s="334"/>
      <c r="MAP243" s="334"/>
      <c r="MAQ243" s="334"/>
      <c r="MAR243" s="334"/>
      <c r="MAS243" s="334"/>
      <c r="MAT243" s="334"/>
      <c r="MAU243" s="334"/>
      <c r="MAV243" s="334"/>
      <c r="MAW243" s="334"/>
      <c r="MAX243" s="334"/>
      <c r="MAY243" s="334"/>
      <c r="MAZ243" s="334"/>
      <c r="MBA243" s="334"/>
      <c r="MBB243" s="334"/>
      <c r="MBC243" s="334"/>
      <c r="MBD243" s="334"/>
      <c r="MBE243" s="334"/>
      <c r="MBF243" s="334"/>
      <c r="MBG243" s="334"/>
      <c r="MBH243" s="334"/>
      <c r="MBI243" s="334"/>
      <c r="MBJ243" s="334"/>
      <c r="MBK243" s="334"/>
      <c r="MBL243" s="334"/>
      <c r="MBM243" s="334"/>
      <c r="MBN243" s="334"/>
      <c r="MBO243" s="334"/>
      <c r="MBP243" s="334"/>
      <c r="MBQ243" s="334"/>
      <c r="MBR243" s="334"/>
      <c r="MBS243" s="334"/>
      <c r="MBT243" s="334"/>
      <c r="MBU243" s="334"/>
      <c r="MBV243" s="334"/>
      <c r="MBW243" s="334"/>
      <c r="MBX243" s="334"/>
      <c r="MBY243" s="334"/>
      <c r="MBZ243" s="334"/>
      <c r="MCA243" s="334"/>
      <c r="MCB243" s="334"/>
      <c r="MCC243" s="334"/>
      <c r="MCD243" s="334"/>
      <c r="MCE243" s="334"/>
      <c r="MCF243" s="334"/>
      <c r="MCG243" s="334"/>
      <c r="MCH243" s="334"/>
      <c r="MCI243" s="334"/>
      <c r="MCJ243" s="334"/>
      <c r="MCK243" s="334"/>
      <c r="MCL243" s="334"/>
      <c r="MCM243" s="334"/>
      <c r="MCN243" s="334"/>
      <c r="MCO243" s="334"/>
      <c r="MCP243" s="334"/>
      <c r="MCQ243" s="334"/>
      <c r="MCR243" s="334"/>
      <c r="MCS243" s="334"/>
      <c r="MCT243" s="334"/>
      <c r="MCU243" s="334"/>
      <c r="MCV243" s="334"/>
      <c r="MCW243" s="334"/>
      <c r="MCX243" s="334"/>
      <c r="MCY243" s="334"/>
      <c r="MCZ243" s="334"/>
      <c r="MDA243" s="334"/>
      <c r="MDB243" s="334"/>
      <c r="MDC243" s="334"/>
      <c r="MDD243" s="334"/>
      <c r="MDE243" s="334"/>
      <c r="MDF243" s="334"/>
      <c r="MDG243" s="334"/>
      <c r="MDH243" s="334"/>
      <c r="MDI243" s="334"/>
      <c r="MDJ243" s="334"/>
      <c r="MDK243" s="334"/>
      <c r="MDL243" s="334"/>
      <c r="MDM243" s="334"/>
      <c r="MDN243" s="334"/>
      <c r="MDO243" s="334"/>
      <c r="MDP243" s="334"/>
      <c r="MDQ243" s="334"/>
      <c r="MDR243" s="334"/>
      <c r="MDS243" s="334"/>
      <c r="MDT243" s="334"/>
      <c r="MDU243" s="334"/>
      <c r="MDV243" s="334"/>
      <c r="MDW243" s="334"/>
      <c r="MDX243" s="334"/>
      <c r="MDY243" s="334"/>
      <c r="MDZ243" s="334"/>
      <c r="MEA243" s="334"/>
      <c r="MEB243" s="334"/>
      <c r="MEC243" s="334"/>
      <c r="MED243" s="334"/>
      <c r="MEE243" s="334"/>
      <c r="MEF243" s="334"/>
      <c r="MEG243" s="334"/>
      <c r="MEH243" s="334"/>
      <c r="MEI243" s="334"/>
      <c r="MEJ243" s="334"/>
      <c r="MEK243" s="334"/>
      <c r="MEL243" s="334"/>
      <c r="MEM243" s="334"/>
      <c r="MEN243" s="334"/>
      <c r="MEO243" s="334"/>
      <c r="MEP243" s="334"/>
      <c r="MEQ243" s="334"/>
      <c r="MER243" s="334"/>
      <c r="MES243" s="334"/>
      <c r="MET243" s="334"/>
      <c r="MEU243" s="334"/>
      <c r="MEV243" s="334"/>
      <c r="MEW243" s="334"/>
      <c r="MEX243" s="334"/>
      <c r="MEY243" s="334"/>
      <c r="MEZ243" s="334"/>
      <c r="MFA243" s="334"/>
      <c r="MFB243" s="334"/>
      <c r="MFC243" s="334"/>
      <c r="MFD243" s="334"/>
      <c r="MFE243" s="334"/>
      <c r="MFF243" s="334"/>
      <c r="MFG243" s="334"/>
      <c r="MFH243" s="334"/>
      <c r="MFI243" s="334"/>
      <c r="MFJ243" s="334"/>
      <c r="MFK243" s="334"/>
      <c r="MFL243" s="334"/>
      <c r="MFM243" s="334"/>
      <c r="MFN243" s="334"/>
      <c r="MFO243" s="334"/>
      <c r="MFP243" s="334"/>
      <c r="MFQ243" s="334"/>
      <c r="MFR243" s="334"/>
      <c r="MFS243" s="334"/>
      <c r="MFT243" s="334"/>
      <c r="MFU243" s="334"/>
      <c r="MFV243" s="334"/>
      <c r="MFW243" s="334"/>
      <c r="MFX243" s="334"/>
      <c r="MFY243" s="334"/>
      <c r="MFZ243" s="334"/>
      <c r="MGA243" s="334"/>
      <c r="MGB243" s="334"/>
      <c r="MGC243" s="334"/>
      <c r="MGD243" s="334"/>
      <c r="MGE243" s="334"/>
      <c r="MGF243" s="334"/>
      <c r="MGG243" s="334"/>
      <c r="MGH243" s="334"/>
      <c r="MGI243" s="334"/>
      <c r="MGJ243" s="334"/>
      <c r="MGK243" s="334"/>
      <c r="MGL243" s="334"/>
      <c r="MGM243" s="334"/>
      <c r="MGN243" s="334"/>
      <c r="MGO243" s="334"/>
      <c r="MGP243" s="334"/>
      <c r="MGQ243" s="334"/>
      <c r="MGR243" s="334"/>
      <c r="MGS243" s="334"/>
      <c r="MGT243" s="334"/>
      <c r="MGU243" s="334"/>
      <c r="MGV243" s="334"/>
      <c r="MGW243" s="334"/>
      <c r="MGX243" s="334"/>
      <c r="MGY243" s="334"/>
      <c r="MGZ243" s="334"/>
      <c r="MHA243" s="334"/>
      <c r="MHB243" s="334"/>
      <c r="MHC243" s="334"/>
      <c r="MHD243" s="334"/>
      <c r="MHE243" s="334"/>
      <c r="MHF243" s="334"/>
      <c r="MHG243" s="334"/>
      <c r="MHH243" s="334"/>
      <c r="MHI243" s="334"/>
      <c r="MHJ243" s="334"/>
      <c r="MHK243" s="334"/>
      <c r="MHL243" s="334"/>
      <c r="MHM243" s="334"/>
      <c r="MHN243" s="334"/>
      <c r="MHO243" s="334"/>
      <c r="MHP243" s="334"/>
      <c r="MHQ243" s="334"/>
      <c r="MHR243" s="334"/>
      <c r="MHS243" s="334"/>
      <c r="MHT243" s="334"/>
      <c r="MHU243" s="334"/>
      <c r="MHV243" s="334"/>
      <c r="MHW243" s="334"/>
      <c r="MHX243" s="334"/>
      <c r="MHY243" s="334"/>
      <c r="MHZ243" s="334"/>
      <c r="MIA243" s="334"/>
      <c r="MIB243" s="334"/>
      <c r="MIC243" s="334"/>
      <c r="MID243" s="334"/>
      <c r="MIE243" s="334"/>
      <c r="MIF243" s="334"/>
      <c r="MIG243" s="334"/>
      <c r="MIH243" s="334"/>
      <c r="MII243" s="334"/>
      <c r="MIJ243" s="334"/>
      <c r="MIK243" s="334"/>
      <c r="MIL243" s="334"/>
      <c r="MIM243" s="334"/>
      <c r="MIN243" s="334"/>
      <c r="MIO243" s="334"/>
      <c r="MIP243" s="334"/>
      <c r="MIQ243" s="334"/>
      <c r="MIR243" s="334"/>
      <c r="MIS243" s="334"/>
      <c r="MIT243" s="334"/>
      <c r="MIU243" s="334"/>
      <c r="MIV243" s="334"/>
      <c r="MIW243" s="334"/>
      <c r="MIX243" s="334"/>
      <c r="MIY243" s="334"/>
      <c r="MIZ243" s="334"/>
      <c r="MJA243" s="334"/>
      <c r="MJB243" s="334"/>
      <c r="MJC243" s="334"/>
      <c r="MJD243" s="334"/>
      <c r="MJE243" s="334"/>
      <c r="MJF243" s="334"/>
      <c r="MJG243" s="334"/>
      <c r="MJH243" s="334"/>
      <c r="MJI243" s="334"/>
      <c r="MJJ243" s="334"/>
      <c r="MJK243" s="334"/>
      <c r="MJL243" s="334"/>
      <c r="MJM243" s="334"/>
      <c r="MJN243" s="334"/>
      <c r="MJO243" s="334"/>
      <c r="MJP243" s="334"/>
      <c r="MJQ243" s="334"/>
      <c r="MJR243" s="334"/>
      <c r="MJS243" s="334"/>
      <c r="MJT243" s="334"/>
      <c r="MJU243" s="334"/>
      <c r="MJV243" s="334"/>
      <c r="MJW243" s="334"/>
      <c r="MJX243" s="334"/>
      <c r="MJY243" s="334"/>
      <c r="MJZ243" s="334"/>
      <c r="MKA243" s="334"/>
      <c r="MKB243" s="334"/>
      <c r="MKC243" s="334"/>
      <c r="MKD243" s="334"/>
      <c r="MKE243" s="334"/>
      <c r="MKF243" s="334"/>
      <c r="MKG243" s="334"/>
      <c r="MKH243" s="334"/>
      <c r="MKI243" s="334"/>
      <c r="MKJ243" s="334"/>
      <c r="MKK243" s="334"/>
      <c r="MKL243" s="334"/>
      <c r="MKM243" s="334"/>
      <c r="MKN243" s="334"/>
      <c r="MKO243" s="334"/>
      <c r="MKP243" s="334"/>
      <c r="MKQ243" s="334"/>
      <c r="MKR243" s="334"/>
      <c r="MKS243" s="334"/>
      <c r="MKT243" s="334"/>
      <c r="MKU243" s="334"/>
      <c r="MKV243" s="334"/>
      <c r="MKW243" s="334"/>
      <c r="MKX243" s="334"/>
      <c r="MKY243" s="334"/>
      <c r="MKZ243" s="334"/>
      <c r="MLA243" s="334"/>
      <c r="MLB243" s="334"/>
      <c r="MLC243" s="334"/>
      <c r="MLD243" s="334"/>
      <c r="MLE243" s="334"/>
      <c r="MLF243" s="334"/>
      <c r="MLG243" s="334"/>
      <c r="MLH243" s="334"/>
      <c r="MLI243" s="334"/>
      <c r="MLJ243" s="334"/>
      <c r="MLK243" s="334"/>
      <c r="MLL243" s="334"/>
      <c r="MLM243" s="334"/>
      <c r="MLN243" s="334"/>
      <c r="MLO243" s="334"/>
      <c r="MLP243" s="334"/>
      <c r="MLQ243" s="334"/>
      <c r="MLR243" s="334"/>
      <c r="MLS243" s="334"/>
      <c r="MLT243" s="334"/>
      <c r="MLU243" s="334"/>
      <c r="MLV243" s="334"/>
      <c r="MLW243" s="334"/>
      <c r="MLX243" s="334"/>
      <c r="MLY243" s="334"/>
      <c r="MLZ243" s="334"/>
      <c r="MMA243" s="334"/>
      <c r="MMB243" s="334"/>
      <c r="MMC243" s="334"/>
      <c r="MMD243" s="334"/>
      <c r="MME243" s="334"/>
      <c r="MMF243" s="334"/>
      <c r="MMG243" s="334"/>
      <c r="MMH243" s="334"/>
      <c r="MMI243" s="334"/>
      <c r="MMJ243" s="334"/>
      <c r="MMK243" s="334"/>
      <c r="MML243" s="334"/>
      <c r="MMM243" s="334"/>
      <c r="MMN243" s="334"/>
      <c r="MMO243" s="334"/>
      <c r="MMP243" s="334"/>
      <c r="MMQ243" s="334"/>
      <c r="MMR243" s="334"/>
      <c r="MMS243" s="334"/>
      <c r="MMT243" s="334"/>
      <c r="MMU243" s="334"/>
      <c r="MMV243" s="334"/>
      <c r="MMW243" s="334"/>
      <c r="MMX243" s="334"/>
      <c r="MMY243" s="334"/>
      <c r="MMZ243" s="334"/>
      <c r="MNA243" s="334"/>
      <c r="MNB243" s="334"/>
      <c r="MNC243" s="334"/>
      <c r="MND243" s="334"/>
      <c r="MNE243" s="334"/>
      <c r="MNF243" s="334"/>
      <c r="MNG243" s="334"/>
      <c r="MNH243" s="334"/>
      <c r="MNI243" s="334"/>
      <c r="MNJ243" s="334"/>
      <c r="MNK243" s="334"/>
      <c r="MNL243" s="334"/>
      <c r="MNM243" s="334"/>
      <c r="MNN243" s="334"/>
      <c r="MNO243" s="334"/>
      <c r="MNP243" s="334"/>
      <c r="MNQ243" s="334"/>
      <c r="MNR243" s="334"/>
      <c r="MNS243" s="334"/>
      <c r="MNT243" s="334"/>
      <c r="MNU243" s="334"/>
      <c r="MNV243" s="334"/>
      <c r="MNW243" s="334"/>
      <c r="MNX243" s="334"/>
      <c r="MNY243" s="334"/>
      <c r="MNZ243" s="334"/>
      <c r="MOA243" s="334"/>
      <c r="MOB243" s="334"/>
      <c r="MOC243" s="334"/>
      <c r="MOD243" s="334"/>
      <c r="MOE243" s="334"/>
      <c r="MOF243" s="334"/>
      <c r="MOG243" s="334"/>
      <c r="MOH243" s="334"/>
      <c r="MOI243" s="334"/>
      <c r="MOJ243" s="334"/>
      <c r="MOK243" s="334"/>
      <c r="MOL243" s="334"/>
      <c r="MOM243" s="334"/>
      <c r="MON243" s="334"/>
      <c r="MOO243" s="334"/>
      <c r="MOP243" s="334"/>
      <c r="MOQ243" s="334"/>
      <c r="MOR243" s="334"/>
      <c r="MOS243" s="334"/>
      <c r="MOT243" s="334"/>
      <c r="MOU243" s="334"/>
      <c r="MOV243" s="334"/>
      <c r="MOW243" s="334"/>
      <c r="MOX243" s="334"/>
      <c r="MOY243" s="334"/>
      <c r="MOZ243" s="334"/>
      <c r="MPA243" s="334"/>
      <c r="MPB243" s="334"/>
      <c r="MPC243" s="334"/>
      <c r="MPD243" s="334"/>
      <c r="MPE243" s="334"/>
      <c r="MPF243" s="334"/>
      <c r="MPG243" s="334"/>
      <c r="MPH243" s="334"/>
      <c r="MPI243" s="334"/>
      <c r="MPJ243" s="334"/>
      <c r="MPK243" s="334"/>
      <c r="MPL243" s="334"/>
      <c r="MPM243" s="334"/>
      <c r="MPN243" s="334"/>
      <c r="MPO243" s="334"/>
      <c r="MPP243" s="334"/>
      <c r="MPQ243" s="334"/>
      <c r="MPR243" s="334"/>
      <c r="MPS243" s="334"/>
      <c r="MPT243" s="334"/>
      <c r="MPU243" s="334"/>
      <c r="MPV243" s="334"/>
      <c r="MPW243" s="334"/>
      <c r="MPX243" s="334"/>
      <c r="MPY243" s="334"/>
      <c r="MPZ243" s="334"/>
      <c r="MQA243" s="334"/>
      <c r="MQB243" s="334"/>
      <c r="MQC243" s="334"/>
      <c r="MQD243" s="334"/>
      <c r="MQE243" s="334"/>
      <c r="MQF243" s="334"/>
      <c r="MQG243" s="334"/>
      <c r="MQH243" s="334"/>
      <c r="MQI243" s="334"/>
      <c r="MQJ243" s="334"/>
      <c r="MQK243" s="334"/>
      <c r="MQL243" s="334"/>
      <c r="MQM243" s="334"/>
      <c r="MQN243" s="334"/>
      <c r="MQO243" s="334"/>
      <c r="MQP243" s="334"/>
      <c r="MQQ243" s="334"/>
      <c r="MQR243" s="334"/>
      <c r="MQS243" s="334"/>
      <c r="MQT243" s="334"/>
      <c r="MQU243" s="334"/>
      <c r="MQV243" s="334"/>
      <c r="MQW243" s="334"/>
      <c r="MQX243" s="334"/>
      <c r="MQY243" s="334"/>
      <c r="MQZ243" s="334"/>
      <c r="MRA243" s="334"/>
      <c r="MRB243" s="334"/>
      <c r="MRC243" s="334"/>
      <c r="MRD243" s="334"/>
      <c r="MRE243" s="334"/>
      <c r="MRF243" s="334"/>
      <c r="MRG243" s="334"/>
      <c r="MRH243" s="334"/>
      <c r="MRI243" s="334"/>
      <c r="MRJ243" s="334"/>
      <c r="MRK243" s="334"/>
      <c r="MRL243" s="334"/>
      <c r="MRM243" s="334"/>
      <c r="MRN243" s="334"/>
      <c r="MRO243" s="334"/>
      <c r="MRP243" s="334"/>
      <c r="MRQ243" s="334"/>
      <c r="MRR243" s="334"/>
      <c r="MRS243" s="334"/>
      <c r="MRT243" s="334"/>
      <c r="MRU243" s="334"/>
      <c r="MRV243" s="334"/>
      <c r="MRW243" s="334"/>
      <c r="MRX243" s="334"/>
      <c r="MRY243" s="334"/>
      <c r="MRZ243" s="334"/>
      <c r="MSA243" s="334"/>
      <c r="MSB243" s="334"/>
      <c r="MSC243" s="334"/>
      <c r="MSD243" s="334"/>
      <c r="MSE243" s="334"/>
      <c r="MSF243" s="334"/>
      <c r="MSG243" s="334"/>
      <c r="MSH243" s="334"/>
      <c r="MSI243" s="334"/>
      <c r="MSJ243" s="334"/>
      <c r="MSK243" s="334"/>
      <c r="MSL243" s="334"/>
      <c r="MSM243" s="334"/>
      <c r="MSN243" s="334"/>
      <c r="MSO243" s="334"/>
      <c r="MSP243" s="334"/>
      <c r="MSQ243" s="334"/>
      <c r="MSR243" s="334"/>
      <c r="MSS243" s="334"/>
      <c r="MST243" s="334"/>
      <c r="MSU243" s="334"/>
      <c r="MSV243" s="334"/>
      <c r="MSW243" s="334"/>
      <c r="MSX243" s="334"/>
      <c r="MSY243" s="334"/>
      <c r="MSZ243" s="334"/>
      <c r="MTA243" s="334"/>
      <c r="MTB243" s="334"/>
      <c r="MTC243" s="334"/>
      <c r="MTD243" s="334"/>
      <c r="MTE243" s="334"/>
      <c r="MTF243" s="334"/>
      <c r="MTG243" s="334"/>
      <c r="MTH243" s="334"/>
      <c r="MTI243" s="334"/>
      <c r="MTJ243" s="334"/>
      <c r="MTK243" s="334"/>
      <c r="MTL243" s="334"/>
      <c r="MTM243" s="334"/>
      <c r="MTN243" s="334"/>
      <c r="MTO243" s="334"/>
      <c r="MTP243" s="334"/>
      <c r="MTQ243" s="334"/>
      <c r="MTR243" s="334"/>
      <c r="MTS243" s="334"/>
      <c r="MTT243" s="334"/>
      <c r="MTU243" s="334"/>
      <c r="MTV243" s="334"/>
      <c r="MTW243" s="334"/>
      <c r="MTX243" s="334"/>
      <c r="MTY243" s="334"/>
      <c r="MTZ243" s="334"/>
      <c r="MUA243" s="334"/>
      <c r="MUB243" s="334"/>
      <c r="MUC243" s="334"/>
      <c r="MUD243" s="334"/>
      <c r="MUE243" s="334"/>
      <c r="MUF243" s="334"/>
      <c r="MUG243" s="334"/>
      <c r="MUH243" s="334"/>
      <c r="MUI243" s="334"/>
      <c r="MUJ243" s="334"/>
      <c r="MUK243" s="334"/>
      <c r="MUL243" s="334"/>
      <c r="MUM243" s="334"/>
      <c r="MUN243" s="334"/>
      <c r="MUO243" s="334"/>
      <c r="MUP243" s="334"/>
      <c r="MUQ243" s="334"/>
      <c r="MUR243" s="334"/>
      <c r="MUS243" s="334"/>
      <c r="MUT243" s="334"/>
      <c r="MUU243" s="334"/>
      <c r="MUV243" s="334"/>
      <c r="MUW243" s="334"/>
      <c r="MUX243" s="334"/>
      <c r="MUY243" s="334"/>
      <c r="MUZ243" s="334"/>
      <c r="MVA243" s="334"/>
      <c r="MVB243" s="334"/>
      <c r="MVC243" s="334"/>
      <c r="MVD243" s="334"/>
      <c r="MVE243" s="334"/>
      <c r="MVF243" s="334"/>
      <c r="MVG243" s="334"/>
      <c r="MVH243" s="334"/>
      <c r="MVI243" s="334"/>
      <c r="MVJ243" s="334"/>
      <c r="MVK243" s="334"/>
      <c r="MVL243" s="334"/>
      <c r="MVM243" s="334"/>
      <c r="MVN243" s="334"/>
      <c r="MVO243" s="334"/>
      <c r="MVP243" s="334"/>
      <c r="MVQ243" s="334"/>
      <c r="MVR243" s="334"/>
      <c r="MVS243" s="334"/>
      <c r="MVT243" s="334"/>
      <c r="MVU243" s="334"/>
      <c r="MVV243" s="334"/>
      <c r="MVW243" s="334"/>
      <c r="MVX243" s="334"/>
      <c r="MVY243" s="334"/>
      <c r="MVZ243" s="334"/>
      <c r="MWA243" s="334"/>
      <c r="MWB243" s="334"/>
      <c r="MWC243" s="334"/>
      <c r="MWD243" s="334"/>
      <c r="MWE243" s="334"/>
      <c r="MWF243" s="334"/>
      <c r="MWG243" s="334"/>
      <c r="MWH243" s="334"/>
      <c r="MWI243" s="334"/>
      <c r="MWJ243" s="334"/>
      <c r="MWK243" s="334"/>
      <c r="MWL243" s="334"/>
      <c r="MWM243" s="334"/>
      <c r="MWN243" s="334"/>
      <c r="MWO243" s="334"/>
      <c r="MWP243" s="334"/>
      <c r="MWQ243" s="334"/>
      <c r="MWR243" s="334"/>
      <c r="MWS243" s="334"/>
      <c r="MWT243" s="334"/>
      <c r="MWU243" s="334"/>
      <c r="MWV243" s="334"/>
      <c r="MWW243" s="334"/>
      <c r="MWX243" s="334"/>
      <c r="MWY243" s="334"/>
      <c r="MWZ243" s="334"/>
      <c r="MXA243" s="334"/>
      <c r="MXB243" s="334"/>
      <c r="MXC243" s="334"/>
      <c r="MXD243" s="334"/>
      <c r="MXE243" s="334"/>
      <c r="MXF243" s="334"/>
      <c r="MXG243" s="334"/>
      <c r="MXH243" s="334"/>
      <c r="MXI243" s="334"/>
      <c r="MXJ243" s="334"/>
      <c r="MXK243" s="334"/>
      <c r="MXL243" s="334"/>
      <c r="MXM243" s="334"/>
      <c r="MXN243" s="334"/>
      <c r="MXO243" s="334"/>
      <c r="MXP243" s="334"/>
      <c r="MXQ243" s="334"/>
      <c r="MXR243" s="334"/>
      <c r="MXS243" s="334"/>
      <c r="MXT243" s="334"/>
      <c r="MXU243" s="334"/>
      <c r="MXV243" s="334"/>
      <c r="MXW243" s="334"/>
      <c r="MXX243" s="334"/>
      <c r="MXY243" s="334"/>
      <c r="MXZ243" s="334"/>
      <c r="MYA243" s="334"/>
      <c r="MYB243" s="334"/>
      <c r="MYC243" s="334"/>
      <c r="MYD243" s="334"/>
      <c r="MYE243" s="334"/>
      <c r="MYF243" s="334"/>
      <c r="MYG243" s="334"/>
      <c r="MYH243" s="334"/>
      <c r="MYI243" s="334"/>
      <c r="MYJ243" s="334"/>
      <c r="MYK243" s="334"/>
      <c r="MYL243" s="334"/>
      <c r="MYM243" s="334"/>
      <c r="MYN243" s="334"/>
      <c r="MYO243" s="334"/>
      <c r="MYP243" s="334"/>
      <c r="MYQ243" s="334"/>
      <c r="MYR243" s="334"/>
      <c r="MYS243" s="334"/>
      <c r="MYT243" s="334"/>
      <c r="MYU243" s="334"/>
      <c r="MYV243" s="334"/>
      <c r="MYW243" s="334"/>
      <c r="MYX243" s="334"/>
      <c r="MYY243" s="334"/>
      <c r="MYZ243" s="334"/>
      <c r="MZA243" s="334"/>
      <c r="MZB243" s="334"/>
      <c r="MZC243" s="334"/>
      <c r="MZD243" s="334"/>
      <c r="MZE243" s="334"/>
      <c r="MZF243" s="334"/>
      <c r="MZG243" s="334"/>
      <c r="MZH243" s="334"/>
      <c r="MZI243" s="334"/>
      <c r="MZJ243" s="334"/>
      <c r="MZK243" s="334"/>
      <c r="MZL243" s="334"/>
      <c r="MZM243" s="334"/>
      <c r="MZN243" s="334"/>
      <c r="MZO243" s="334"/>
      <c r="MZP243" s="334"/>
      <c r="MZQ243" s="334"/>
      <c r="MZR243" s="334"/>
      <c r="MZS243" s="334"/>
      <c r="MZT243" s="334"/>
      <c r="MZU243" s="334"/>
      <c r="MZV243" s="334"/>
      <c r="MZW243" s="334"/>
      <c r="MZX243" s="334"/>
      <c r="MZY243" s="334"/>
      <c r="MZZ243" s="334"/>
      <c r="NAA243" s="334"/>
      <c r="NAB243" s="334"/>
      <c r="NAC243" s="334"/>
      <c r="NAD243" s="334"/>
      <c r="NAE243" s="334"/>
      <c r="NAF243" s="334"/>
      <c r="NAG243" s="334"/>
      <c r="NAH243" s="334"/>
      <c r="NAI243" s="334"/>
      <c r="NAJ243" s="334"/>
      <c r="NAK243" s="334"/>
      <c r="NAL243" s="334"/>
      <c r="NAM243" s="334"/>
      <c r="NAN243" s="334"/>
      <c r="NAO243" s="334"/>
      <c r="NAP243" s="334"/>
      <c r="NAQ243" s="334"/>
      <c r="NAR243" s="334"/>
      <c r="NAS243" s="334"/>
      <c r="NAT243" s="334"/>
      <c r="NAU243" s="334"/>
      <c r="NAV243" s="334"/>
      <c r="NAW243" s="334"/>
      <c r="NAX243" s="334"/>
      <c r="NAY243" s="334"/>
      <c r="NAZ243" s="334"/>
      <c r="NBA243" s="334"/>
      <c r="NBB243" s="334"/>
      <c r="NBC243" s="334"/>
      <c r="NBD243" s="334"/>
      <c r="NBE243" s="334"/>
      <c r="NBF243" s="334"/>
      <c r="NBG243" s="334"/>
      <c r="NBH243" s="334"/>
      <c r="NBI243" s="334"/>
      <c r="NBJ243" s="334"/>
      <c r="NBK243" s="334"/>
      <c r="NBL243" s="334"/>
      <c r="NBM243" s="334"/>
      <c r="NBN243" s="334"/>
      <c r="NBO243" s="334"/>
      <c r="NBP243" s="334"/>
      <c r="NBQ243" s="334"/>
      <c r="NBR243" s="334"/>
      <c r="NBS243" s="334"/>
      <c r="NBT243" s="334"/>
      <c r="NBU243" s="334"/>
      <c r="NBV243" s="334"/>
      <c r="NBW243" s="334"/>
      <c r="NBX243" s="334"/>
      <c r="NBY243" s="334"/>
      <c r="NBZ243" s="334"/>
      <c r="NCA243" s="334"/>
      <c r="NCB243" s="334"/>
      <c r="NCC243" s="334"/>
      <c r="NCD243" s="334"/>
      <c r="NCE243" s="334"/>
      <c r="NCF243" s="334"/>
      <c r="NCG243" s="334"/>
      <c r="NCH243" s="334"/>
      <c r="NCI243" s="334"/>
      <c r="NCJ243" s="334"/>
      <c r="NCK243" s="334"/>
      <c r="NCL243" s="334"/>
      <c r="NCM243" s="334"/>
      <c r="NCN243" s="334"/>
      <c r="NCO243" s="334"/>
      <c r="NCP243" s="334"/>
      <c r="NCQ243" s="334"/>
      <c r="NCR243" s="334"/>
      <c r="NCS243" s="334"/>
      <c r="NCT243" s="334"/>
      <c r="NCU243" s="334"/>
      <c r="NCV243" s="334"/>
      <c r="NCW243" s="334"/>
      <c r="NCX243" s="334"/>
      <c r="NCY243" s="334"/>
      <c r="NCZ243" s="334"/>
      <c r="NDA243" s="334"/>
      <c r="NDB243" s="334"/>
      <c r="NDC243" s="334"/>
      <c r="NDD243" s="334"/>
      <c r="NDE243" s="334"/>
      <c r="NDF243" s="334"/>
      <c r="NDG243" s="334"/>
      <c r="NDH243" s="334"/>
      <c r="NDI243" s="334"/>
      <c r="NDJ243" s="334"/>
      <c r="NDK243" s="334"/>
      <c r="NDL243" s="334"/>
      <c r="NDM243" s="334"/>
      <c r="NDN243" s="334"/>
      <c r="NDO243" s="334"/>
      <c r="NDP243" s="334"/>
      <c r="NDQ243" s="334"/>
      <c r="NDR243" s="334"/>
      <c r="NDS243" s="334"/>
      <c r="NDT243" s="334"/>
      <c r="NDU243" s="334"/>
      <c r="NDV243" s="334"/>
      <c r="NDW243" s="334"/>
      <c r="NDX243" s="334"/>
      <c r="NDY243" s="334"/>
      <c r="NDZ243" s="334"/>
      <c r="NEA243" s="334"/>
      <c r="NEB243" s="334"/>
      <c r="NEC243" s="334"/>
      <c r="NED243" s="334"/>
      <c r="NEE243" s="334"/>
      <c r="NEF243" s="334"/>
      <c r="NEG243" s="334"/>
      <c r="NEH243" s="334"/>
      <c r="NEI243" s="334"/>
      <c r="NEJ243" s="334"/>
      <c r="NEK243" s="334"/>
      <c r="NEL243" s="334"/>
      <c r="NEM243" s="334"/>
      <c r="NEN243" s="334"/>
      <c r="NEO243" s="334"/>
      <c r="NEP243" s="334"/>
      <c r="NEQ243" s="334"/>
      <c r="NER243" s="334"/>
      <c r="NES243" s="334"/>
      <c r="NET243" s="334"/>
      <c r="NEU243" s="334"/>
      <c r="NEV243" s="334"/>
      <c r="NEW243" s="334"/>
      <c r="NEX243" s="334"/>
      <c r="NEY243" s="334"/>
      <c r="NEZ243" s="334"/>
      <c r="NFA243" s="334"/>
      <c r="NFB243" s="334"/>
      <c r="NFC243" s="334"/>
      <c r="NFD243" s="334"/>
      <c r="NFE243" s="334"/>
      <c r="NFF243" s="334"/>
      <c r="NFG243" s="334"/>
      <c r="NFH243" s="334"/>
      <c r="NFI243" s="334"/>
      <c r="NFJ243" s="334"/>
      <c r="NFK243" s="334"/>
      <c r="NFL243" s="334"/>
      <c r="NFM243" s="334"/>
      <c r="NFN243" s="334"/>
      <c r="NFO243" s="334"/>
      <c r="NFP243" s="334"/>
      <c r="NFQ243" s="334"/>
      <c r="NFR243" s="334"/>
      <c r="NFS243" s="334"/>
      <c r="NFT243" s="334"/>
      <c r="NFU243" s="334"/>
      <c r="NFV243" s="334"/>
      <c r="NFW243" s="334"/>
      <c r="NFX243" s="334"/>
      <c r="NFY243" s="334"/>
      <c r="NFZ243" s="334"/>
      <c r="NGA243" s="334"/>
      <c r="NGB243" s="334"/>
      <c r="NGC243" s="334"/>
      <c r="NGD243" s="334"/>
      <c r="NGE243" s="334"/>
      <c r="NGF243" s="334"/>
      <c r="NGG243" s="334"/>
      <c r="NGH243" s="334"/>
      <c r="NGI243" s="334"/>
      <c r="NGJ243" s="334"/>
      <c r="NGK243" s="334"/>
      <c r="NGL243" s="334"/>
      <c r="NGM243" s="334"/>
      <c r="NGN243" s="334"/>
      <c r="NGO243" s="334"/>
      <c r="NGP243" s="334"/>
      <c r="NGQ243" s="334"/>
      <c r="NGR243" s="334"/>
      <c r="NGS243" s="334"/>
      <c r="NGT243" s="334"/>
      <c r="NGU243" s="334"/>
      <c r="NGV243" s="334"/>
      <c r="NGW243" s="334"/>
      <c r="NGX243" s="334"/>
      <c r="NGY243" s="334"/>
      <c r="NGZ243" s="334"/>
      <c r="NHA243" s="334"/>
      <c r="NHB243" s="334"/>
      <c r="NHC243" s="334"/>
      <c r="NHD243" s="334"/>
      <c r="NHE243" s="334"/>
      <c r="NHF243" s="334"/>
      <c r="NHG243" s="334"/>
      <c r="NHH243" s="334"/>
      <c r="NHI243" s="334"/>
      <c r="NHJ243" s="334"/>
      <c r="NHK243" s="334"/>
      <c r="NHL243" s="334"/>
      <c r="NHM243" s="334"/>
      <c r="NHN243" s="334"/>
      <c r="NHO243" s="334"/>
      <c r="NHP243" s="334"/>
      <c r="NHQ243" s="334"/>
      <c r="NHR243" s="334"/>
      <c r="NHS243" s="334"/>
      <c r="NHT243" s="334"/>
      <c r="NHU243" s="334"/>
      <c r="NHV243" s="334"/>
      <c r="NHW243" s="334"/>
      <c r="NHX243" s="334"/>
      <c r="NHY243" s="334"/>
      <c r="NHZ243" s="334"/>
      <c r="NIA243" s="334"/>
      <c r="NIB243" s="334"/>
      <c r="NIC243" s="334"/>
      <c r="NID243" s="334"/>
      <c r="NIE243" s="334"/>
      <c r="NIF243" s="334"/>
      <c r="NIG243" s="334"/>
      <c r="NIH243" s="334"/>
      <c r="NII243" s="334"/>
      <c r="NIJ243" s="334"/>
      <c r="NIK243" s="334"/>
      <c r="NIL243" s="334"/>
      <c r="NIM243" s="334"/>
      <c r="NIN243" s="334"/>
      <c r="NIO243" s="334"/>
      <c r="NIP243" s="334"/>
      <c r="NIQ243" s="334"/>
      <c r="NIR243" s="334"/>
      <c r="NIS243" s="334"/>
      <c r="NIT243" s="334"/>
      <c r="NIU243" s="334"/>
      <c r="NIV243" s="334"/>
      <c r="NIW243" s="334"/>
      <c r="NIX243" s="334"/>
      <c r="NIY243" s="334"/>
      <c r="NIZ243" s="334"/>
      <c r="NJA243" s="334"/>
      <c r="NJB243" s="334"/>
      <c r="NJC243" s="334"/>
      <c r="NJD243" s="334"/>
      <c r="NJE243" s="334"/>
      <c r="NJF243" s="334"/>
      <c r="NJG243" s="334"/>
      <c r="NJH243" s="334"/>
      <c r="NJI243" s="334"/>
      <c r="NJJ243" s="334"/>
      <c r="NJK243" s="334"/>
      <c r="NJL243" s="334"/>
      <c r="NJM243" s="334"/>
      <c r="NJN243" s="334"/>
      <c r="NJO243" s="334"/>
      <c r="NJP243" s="334"/>
      <c r="NJQ243" s="334"/>
      <c r="NJR243" s="334"/>
      <c r="NJS243" s="334"/>
      <c r="NJT243" s="334"/>
      <c r="NJU243" s="334"/>
      <c r="NJV243" s="334"/>
      <c r="NJW243" s="334"/>
      <c r="NJX243" s="334"/>
      <c r="NJY243" s="334"/>
      <c r="NJZ243" s="334"/>
      <c r="NKA243" s="334"/>
      <c r="NKB243" s="334"/>
      <c r="NKC243" s="334"/>
      <c r="NKD243" s="334"/>
      <c r="NKE243" s="334"/>
      <c r="NKF243" s="334"/>
      <c r="NKG243" s="334"/>
      <c r="NKH243" s="334"/>
      <c r="NKI243" s="334"/>
      <c r="NKJ243" s="334"/>
      <c r="NKK243" s="334"/>
      <c r="NKL243" s="334"/>
      <c r="NKM243" s="334"/>
      <c r="NKN243" s="334"/>
      <c r="NKO243" s="334"/>
      <c r="NKP243" s="334"/>
      <c r="NKQ243" s="334"/>
      <c r="NKR243" s="334"/>
      <c r="NKS243" s="334"/>
      <c r="NKT243" s="334"/>
      <c r="NKU243" s="334"/>
      <c r="NKV243" s="334"/>
      <c r="NKW243" s="334"/>
      <c r="NKX243" s="334"/>
      <c r="NKY243" s="334"/>
      <c r="NKZ243" s="334"/>
      <c r="NLA243" s="334"/>
      <c r="NLB243" s="334"/>
      <c r="NLC243" s="334"/>
      <c r="NLD243" s="334"/>
      <c r="NLE243" s="334"/>
      <c r="NLF243" s="334"/>
      <c r="NLG243" s="334"/>
      <c r="NLH243" s="334"/>
      <c r="NLI243" s="334"/>
      <c r="NLJ243" s="334"/>
      <c r="NLK243" s="334"/>
      <c r="NLL243" s="334"/>
      <c r="NLM243" s="334"/>
      <c r="NLN243" s="334"/>
      <c r="NLO243" s="334"/>
      <c r="NLP243" s="334"/>
      <c r="NLQ243" s="334"/>
      <c r="NLR243" s="334"/>
      <c r="NLS243" s="334"/>
      <c r="NLT243" s="334"/>
      <c r="NLU243" s="334"/>
      <c r="NLV243" s="334"/>
      <c r="NLW243" s="334"/>
      <c r="NLX243" s="334"/>
      <c r="NLY243" s="334"/>
      <c r="NLZ243" s="334"/>
      <c r="NMA243" s="334"/>
      <c r="NMB243" s="334"/>
      <c r="NMC243" s="334"/>
      <c r="NMD243" s="334"/>
      <c r="NME243" s="334"/>
      <c r="NMF243" s="334"/>
      <c r="NMG243" s="334"/>
      <c r="NMH243" s="334"/>
      <c r="NMI243" s="334"/>
      <c r="NMJ243" s="334"/>
      <c r="NMK243" s="334"/>
      <c r="NML243" s="334"/>
      <c r="NMM243" s="334"/>
      <c r="NMN243" s="334"/>
      <c r="NMO243" s="334"/>
      <c r="NMP243" s="334"/>
      <c r="NMQ243" s="334"/>
      <c r="NMR243" s="334"/>
      <c r="NMS243" s="334"/>
      <c r="NMT243" s="334"/>
      <c r="NMU243" s="334"/>
      <c r="NMV243" s="334"/>
      <c r="NMW243" s="334"/>
      <c r="NMX243" s="334"/>
      <c r="NMY243" s="334"/>
      <c r="NMZ243" s="334"/>
      <c r="NNA243" s="334"/>
      <c r="NNB243" s="334"/>
      <c r="NNC243" s="334"/>
      <c r="NND243" s="334"/>
      <c r="NNE243" s="334"/>
      <c r="NNF243" s="334"/>
      <c r="NNG243" s="334"/>
      <c r="NNH243" s="334"/>
      <c r="NNI243" s="334"/>
      <c r="NNJ243" s="334"/>
      <c r="NNK243" s="334"/>
      <c r="NNL243" s="334"/>
      <c r="NNM243" s="334"/>
      <c r="NNN243" s="334"/>
      <c r="NNO243" s="334"/>
      <c r="NNP243" s="334"/>
      <c r="NNQ243" s="334"/>
      <c r="NNR243" s="334"/>
      <c r="NNS243" s="334"/>
      <c r="NNT243" s="334"/>
      <c r="NNU243" s="334"/>
      <c r="NNV243" s="334"/>
      <c r="NNW243" s="334"/>
      <c r="NNX243" s="334"/>
      <c r="NNY243" s="334"/>
      <c r="NNZ243" s="334"/>
      <c r="NOA243" s="334"/>
      <c r="NOB243" s="334"/>
      <c r="NOC243" s="334"/>
      <c r="NOD243" s="334"/>
      <c r="NOE243" s="334"/>
      <c r="NOF243" s="334"/>
      <c r="NOG243" s="334"/>
      <c r="NOH243" s="334"/>
      <c r="NOI243" s="334"/>
      <c r="NOJ243" s="334"/>
      <c r="NOK243" s="334"/>
      <c r="NOL243" s="334"/>
      <c r="NOM243" s="334"/>
      <c r="NON243" s="334"/>
      <c r="NOO243" s="334"/>
      <c r="NOP243" s="334"/>
      <c r="NOQ243" s="334"/>
      <c r="NOR243" s="334"/>
      <c r="NOS243" s="334"/>
      <c r="NOT243" s="334"/>
      <c r="NOU243" s="334"/>
      <c r="NOV243" s="334"/>
      <c r="NOW243" s="334"/>
      <c r="NOX243" s="334"/>
      <c r="NOY243" s="334"/>
      <c r="NOZ243" s="334"/>
      <c r="NPA243" s="334"/>
      <c r="NPB243" s="334"/>
      <c r="NPC243" s="334"/>
      <c r="NPD243" s="334"/>
      <c r="NPE243" s="334"/>
      <c r="NPF243" s="334"/>
      <c r="NPG243" s="334"/>
      <c r="NPH243" s="334"/>
      <c r="NPI243" s="334"/>
      <c r="NPJ243" s="334"/>
      <c r="NPK243" s="334"/>
      <c r="NPL243" s="334"/>
      <c r="NPM243" s="334"/>
      <c r="NPN243" s="334"/>
      <c r="NPO243" s="334"/>
      <c r="NPP243" s="334"/>
      <c r="NPQ243" s="334"/>
      <c r="NPR243" s="334"/>
      <c r="NPS243" s="334"/>
      <c r="NPT243" s="334"/>
      <c r="NPU243" s="334"/>
      <c r="NPV243" s="334"/>
      <c r="NPW243" s="334"/>
      <c r="NPX243" s="334"/>
      <c r="NPY243" s="334"/>
      <c r="NPZ243" s="334"/>
      <c r="NQA243" s="334"/>
      <c r="NQB243" s="334"/>
      <c r="NQC243" s="334"/>
      <c r="NQD243" s="334"/>
      <c r="NQE243" s="334"/>
      <c r="NQF243" s="334"/>
      <c r="NQG243" s="334"/>
      <c r="NQH243" s="334"/>
      <c r="NQI243" s="334"/>
      <c r="NQJ243" s="334"/>
      <c r="NQK243" s="334"/>
      <c r="NQL243" s="334"/>
      <c r="NQM243" s="334"/>
      <c r="NQN243" s="334"/>
      <c r="NQO243" s="334"/>
      <c r="NQP243" s="334"/>
      <c r="NQQ243" s="334"/>
      <c r="NQR243" s="334"/>
      <c r="NQS243" s="334"/>
      <c r="NQT243" s="334"/>
      <c r="NQU243" s="334"/>
      <c r="NQV243" s="334"/>
      <c r="NQW243" s="334"/>
      <c r="NQX243" s="334"/>
      <c r="NQY243" s="334"/>
      <c r="NQZ243" s="334"/>
      <c r="NRA243" s="334"/>
      <c r="NRB243" s="334"/>
      <c r="NRC243" s="334"/>
      <c r="NRD243" s="334"/>
      <c r="NRE243" s="334"/>
      <c r="NRF243" s="334"/>
      <c r="NRG243" s="334"/>
      <c r="NRH243" s="334"/>
      <c r="NRI243" s="334"/>
      <c r="NRJ243" s="334"/>
      <c r="NRK243" s="334"/>
      <c r="NRL243" s="334"/>
      <c r="NRM243" s="334"/>
      <c r="NRN243" s="334"/>
      <c r="NRO243" s="334"/>
      <c r="NRP243" s="334"/>
      <c r="NRQ243" s="334"/>
      <c r="NRR243" s="334"/>
      <c r="NRS243" s="334"/>
      <c r="NRT243" s="334"/>
      <c r="NRU243" s="334"/>
      <c r="NRV243" s="334"/>
      <c r="NRW243" s="334"/>
      <c r="NRX243" s="334"/>
      <c r="NRY243" s="334"/>
      <c r="NRZ243" s="334"/>
      <c r="NSA243" s="334"/>
      <c r="NSB243" s="334"/>
      <c r="NSC243" s="334"/>
      <c r="NSD243" s="334"/>
      <c r="NSE243" s="334"/>
      <c r="NSF243" s="334"/>
      <c r="NSG243" s="334"/>
      <c r="NSH243" s="334"/>
      <c r="NSI243" s="334"/>
      <c r="NSJ243" s="334"/>
      <c r="NSK243" s="334"/>
      <c r="NSL243" s="334"/>
      <c r="NSM243" s="334"/>
      <c r="NSN243" s="334"/>
      <c r="NSO243" s="334"/>
      <c r="NSP243" s="334"/>
      <c r="NSQ243" s="334"/>
      <c r="NSR243" s="334"/>
      <c r="NSS243" s="334"/>
      <c r="NST243" s="334"/>
      <c r="NSU243" s="334"/>
      <c r="NSV243" s="334"/>
      <c r="NSW243" s="334"/>
      <c r="NSX243" s="334"/>
      <c r="NSY243" s="334"/>
      <c r="NSZ243" s="334"/>
      <c r="NTA243" s="334"/>
      <c r="NTB243" s="334"/>
      <c r="NTC243" s="334"/>
      <c r="NTD243" s="334"/>
      <c r="NTE243" s="334"/>
      <c r="NTF243" s="334"/>
      <c r="NTG243" s="334"/>
      <c r="NTH243" s="334"/>
      <c r="NTI243" s="334"/>
      <c r="NTJ243" s="334"/>
      <c r="NTK243" s="334"/>
      <c r="NTL243" s="334"/>
      <c r="NTM243" s="334"/>
      <c r="NTN243" s="334"/>
      <c r="NTO243" s="334"/>
      <c r="NTP243" s="334"/>
      <c r="NTQ243" s="334"/>
      <c r="NTR243" s="334"/>
      <c r="NTS243" s="334"/>
      <c r="NTT243" s="334"/>
      <c r="NTU243" s="334"/>
      <c r="NTV243" s="334"/>
      <c r="NTW243" s="334"/>
      <c r="NTX243" s="334"/>
      <c r="NTY243" s="334"/>
      <c r="NTZ243" s="334"/>
      <c r="NUA243" s="334"/>
      <c r="NUB243" s="334"/>
      <c r="NUC243" s="334"/>
      <c r="NUD243" s="334"/>
      <c r="NUE243" s="334"/>
      <c r="NUF243" s="334"/>
      <c r="NUG243" s="334"/>
      <c r="NUH243" s="334"/>
      <c r="NUI243" s="334"/>
      <c r="NUJ243" s="334"/>
      <c r="NUK243" s="334"/>
      <c r="NUL243" s="334"/>
      <c r="NUM243" s="334"/>
      <c r="NUN243" s="334"/>
      <c r="NUO243" s="334"/>
      <c r="NUP243" s="334"/>
      <c r="NUQ243" s="334"/>
      <c r="NUR243" s="334"/>
      <c r="NUS243" s="334"/>
      <c r="NUT243" s="334"/>
      <c r="NUU243" s="334"/>
      <c r="NUV243" s="334"/>
      <c r="NUW243" s="334"/>
      <c r="NUX243" s="334"/>
      <c r="NUY243" s="334"/>
      <c r="NUZ243" s="334"/>
      <c r="NVA243" s="334"/>
      <c r="NVB243" s="334"/>
      <c r="NVC243" s="334"/>
      <c r="NVD243" s="334"/>
      <c r="NVE243" s="334"/>
      <c r="NVF243" s="334"/>
      <c r="NVG243" s="334"/>
      <c r="NVH243" s="334"/>
      <c r="NVI243" s="334"/>
      <c r="NVJ243" s="334"/>
      <c r="NVK243" s="334"/>
      <c r="NVL243" s="334"/>
      <c r="NVM243" s="334"/>
      <c r="NVN243" s="334"/>
      <c r="NVO243" s="334"/>
      <c r="NVP243" s="334"/>
      <c r="NVQ243" s="334"/>
      <c r="NVR243" s="334"/>
      <c r="NVS243" s="334"/>
      <c r="NVT243" s="334"/>
      <c r="NVU243" s="334"/>
      <c r="NVV243" s="334"/>
      <c r="NVW243" s="334"/>
      <c r="NVX243" s="334"/>
      <c r="NVY243" s="334"/>
      <c r="NVZ243" s="334"/>
      <c r="NWA243" s="334"/>
      <c r="NWB243" s="334"/>
      <c r="NWC243" s="334"/>
      <c r="NWD243" s="334"/>
      <c r="NWE243" s="334"/>
      <c r="NWF243" s="334"/>
      <c r="NWG243" s="334"/>
      <c r="NWH243" s="334"/>
      <c r="NWI243" s="334"/>
      <c r="NWJ243" s="334"/>
      <c r="NWK243" s="334"/>
      <c r="NWL243" s="334"/>
      <c r="NWM243" s="334"/>
      <c r="NWN243" s="334"/>
      <c r="NWO243" s="334"/>
      <c r="NWP243" s="334"/>
      <c r="NWQ243" s="334"/>
      <c r="NWR243" s="334"/>
      <c r="NWS243" s="334"/>
      <c r="NWT243" s="334"/>
      <c r="NWU243" s="334"/>
      <c r="NWV243" s="334"/>
      <c r="NWW243" s="334"/>
      <c r="NWX243" s="334"/>
      <c r="NWY243" s="334"/>
      <c r="NWZ243" s="334"/>
      <c r="NXA243" s="334"/>
      <c r="NXB243" s="334"/>
      <c r="NXC243" s="334"/>
      <c r="NXD243" s="334"/>
      <c r="NXE243" s="334"/>
      <c r="NXF243" s="334"/>
      <c r="NXG243" s="334"/>
      <c r="NXH243" s="334"/>
      <c r="NXI243" s="334"/>
      <c r="NXJ243" s="334"/>
      <c r="NXK243" s="334"/>
      <c r="NXL243" s="334"/>
      <c r="NXM243" s="334"/>
      <c r="NXN243" s="334"/>
      <c r="NXO243" s="334"/>
      <c r="NXP243" s="334"/>
      <c r="NXQ243" s="334"/>
      <c r="NXR243" s="334"/>
      <c r="NXS243" s="334"/>
      <c r="NXT243" s="334"/>
      <c r="NXU243" s="334"/>
      <c r="NXV243" s="334"/>
      <c r="NXW243" s="334"/>
      <c r="NXX243" s="334"/>
      <c r="NXY243" s="334"/>
      <c r="NXZ243" s="334"/>
      <c r="NYA243" s="334"/>
      <c r="NYB243" s="334"/>
      <c r="NYC243" s="334"/>
      <c r="NYD243" s="334"/>
      <c r="NYE243" s="334"/>
      <c r="NYF243" s="334"/>
      <c r="NYG243" s="334"/>
      <c r="NYH243" s="334"/>
      <c r="NYI243" s="334"/>
      <c r="NYJ243" s="334"/>
      <c r="NYK243" s="334"/>
      <c r="NYL243" s="334"/>
      <c r="NYM243" s="334"/>
      <c r="NYN243" s="334"/>
      <c r="NYO243" s="334"/>
      <c r="NYP243" s="334"/>
      <c r="NYQ243" s="334"/>
      <c r="NYR243" s="334"/>
      <c r="NYS243" s="334"/>
      <c r="NYT243" s="334"/>
      <c r="NYU243" s="334"/>
      <c r="NYV243" s="334"/>
      <c r="NYW243" s="334"/>
      <c r="NYX243" s="334"/>
      <c r="NYY243" s="334"/>
      <c r="NYZ243" s="334"/>
      <c r="NZA243" s="334"/>
      <c r="NZB243" s="334"/>
      <c r="NZC243" s="334"/>
      <c r="NZD243" s="334"/>
      <c r="NZE243" s="334"/>
      <c r="NZF243" s="334"/>
      <c r="NZG243" s="334"/>
      <c r="NZH243" s="334"/>
      <c r="NZI243" s="334"/>
      <c r="NZJ243" s="334"/>
      <c r="NZK243" s="334"/>
      <c r="NZL243" s="334"/>
      <c r="NZM243" s="334"/>
      <c r="NZN243" s="334"/>
      <c r="NZO243" s="334"/>
      <c r="NZP243" s="334"/>
      <c r="NZQ243" s="334"/>
      <c r="NZR243" s="334"/>
      <c r="NZS243" s="334"/>
      <c r="NZT243" s="334"/>
      <c r="NZU243" s="334"/>
      <c r="NZV243" s="334"/>
      <c r="NZW243" s="334"/>
      <c r="NZX243" s="334"/>
      <c r="NZY243" s="334"/>
      <c r="NZZ243" s="334"/>
      <c r="OAA243" s="334"/>
      <c r="OAB243" s="334"/>
      <c r="OAC243" s="334"/>
      <c r="OAD243" s="334"/>
      <c r="OAE243" s="334"/>
      <c r="OAF243" s="334"/>
      <c r="OAG243" s="334"/>
      <c r="OAH243" s="334"/>
      <c r="OAI243" s="334"/>
      <c r="OAJ243" s="334"/>
      <c r="OAK243" s="334"/>
      <c r="OAL243" s="334"/>
      <c r="OAM243" s="334"/>
      <c r="OAN243" s="334"/>
      <c r="OAO243" s="334"/>
      <c r="OAP243" s="334"/>
      <c r="OAQ243" s="334"/>
      <c r="OAR243" s="334"/>
      <c r="OAS243" s="334"/>
      <c r="OAT243" s="334"/>
      <c r="OAU243" s="334"/>
      <c r="OAV243" s="334"/>
      <c r="OAW243" s="334"/>
      <c r="OAX243" s="334"/>
      <c r="OAY243" s="334"/>
      <c r="OAZ243" s="334"/>
      <c r="OBA243" s="334"/>
      <c r="OBB243" s="334"/>
      <c r="OBC243" s="334"/>
      <c r="OBD243" s="334"/>
      <c r="OBE243" s="334"/>
      <c r="OBF243" s="334"/>
      <c r="OBG243" s="334"/>
      <c r="OBH243" s="334"/>
      <c r="OBI243" s="334"/>
      <c r="OBJ243" s="334"/>
      <c r="OBK243" s="334"/>
      <c r="OBL243" s="334"/>
      <c r="OBM243" s="334"/>
      <c r="OBN243" s="334"/>
      <c r="OBO243" s="334"/>
      <c r="OBP243" s="334"/>
      <c r="OBQ243" s="334"/>
      <c r="OBR243" s="334"/>
      <c r="OBS243" s="334"/>
      <c r="OBT243" s="334"/>
      <c r="OBU243" s="334"/>
      <c r="OBV243" s="334"/>
      <c r="OBW243" s="334"/>
      <c r="OBX243" s="334"/>
      <c r="OBY243" s="334"/>
      <c r="OBZ243" s="334"/>
      <c r="OCA243" s="334"/>
      <c r="OCB243" s="334"/>
      <c r="OCC243" s="334"/>
      <c r="OCD243" s="334"/>
      <c r="OCE243" s="334"/>
      <c r="OCF243" s="334"/>
      <c r="OCG243" s="334"/>
      <c r="OCH243" s="334"/>
      <c r="OCI243" s="334"/>
      <c r="OCJ243" s="334"/>
      <c r="OCK243" s="334"/>
      <c r="OCL243" s="334"/>
      <c r="OCM243" s="334"/>
      <c r="OCN243" s="334"/>
      <c r="OCO243" s="334"/>
      <c r="OCP243" s="334"/>
      <c r="OCQ243" s="334"/>
      <c r="OCR243" s="334"/>
      <c r="OCS243" s="334"/>
      <c r="OCT243" s="334"/>
      <c r="OCU243" s="334"/>
      <c r="OCV243" s="334"/>
      <c r="OCW243" s="334"/>
      <c r="OCX243" s="334"/>
      <c r="OCY243" s="334"/>
      <c r="OCZ243" s="334"/>
      <c r="ODA243" s="334"/>
      <c r="ODB243" s="334"/>
      <c r="ODC243" s="334"/>
      <c r="ODD243" s="334"/>
      <c r="ODE243" s="334"/>
      <c r="ODF243" s="334"/>
      <c r="ODG243" s="334"/>
      <c r="ODH243" s="334"/>
      <c r="ODI243" s="334"/>
      <c r="ODJ243" s="334"/>
      <c r="ODK243" s="334"/>
      <c r="ODL243" s="334"/>
      <c r="ODM243" s="334"/>
      <c r="ODN243" s="334"/>
      <c r="ODO243" s="334"/>
      <c r="ODP243" s="334"/>
      <c r="ODQ243" s="334"/>
      <c r="ODR243" s="334"/>
      <c r="ODS243" s="334"/>
      <c r="ODT243" s="334"/>
      <c r="ODU243" s="334"/>
      <c r="ODV243" s="334"/>
      <c r="ODW243" s="334"/>
      <c r="ODX243" s="334"/>
      <c r="ODY243" s="334"/>
      <c r="ODZ243" s="334"/>
      <c r="OEA243" s="334"/>
      <c r="OEB243" s="334"/>
      <c r="OEC243" s="334"/>
      <c r="OED243" s="334"/>
      <c r="OEE243" s="334"/>
      <c r="OEF243" s="334"/>
      <c r="OEG243" s="334"/>
      <c r="OEH243" s="334"/>
      <c r="OEI243" s="334"/>
      <c r="OEJ243" s="334"/>
      <c r="OEK243" s="334"/>
      <c r="OEL243" s="334"/>
      <c r="OEM243" s="334"/>
      <c r="OEN243" s="334"/>
      <c r="OEO243" s="334"/>
      <c r="OEP243" s="334"/>
      <c r="OEQ243" s="334"/>
      <c r="OER243" s="334"/>
      <c r="OES243" s="334"/>
      <c r="OET243" s="334"/>
      <c r="OEU243" s="334"/>
      <c r="OEV243" s="334"/>
      <c r="OEW243" s="334"/>
      <c r="OEX243" s="334"/>
      <c r="OEY243" s="334"/>
      <c r="OEZ243" s="334"/>
      <c r="OFA243" s="334"/>
      <c r="OFB243" s="334"/>
      <c r="OFC243" s="334"/>
      <c r="OFD243" s="334"/>
      <c r="OFE243" s="334"/>
      <c r="OFF243" s="334"/>
      <c r="OFG243" s="334"/>
      <c r="OFH243" s="334"/>
      <c r="OFI243" s="334"/>
      <c r="OFJ243" s="334"/>
      <c r="OFK243" s="334"/>
      <c r="OFL243" s="334"/>
      <c r="OFM243" s="334"/>
      <c r="OFN243" s="334"/>
      <c r="OFO243" s="334"/>
      <c r="OFP243" s="334"/>
      <c r="OFQ243" s="334"/>
      <c r="OFR243" s="334"/>
      <c r="OFS243" s="334"/>
      <c r="OFT243" s="334"/>
      <c r="OFU243" s="334"/>
      <c r="OFV243" s="334"/>
      <c r="OFW243" s="334"/>
      <c r="OFX243" s="334"/>
      <c r="OFY243" s="334"/>
      <c r="OFZ243" s="334"/>
      <c r="OGA243" s="334"/>
      <c r="OGB243" s="334"/>
      <c r="OGC243" s="334"/>
      <c r="OGD243" s="334"/>
      <c r="OGE243" s="334"/>
      <c r="OGF243" s="334"/>
      <c r="OGG243" s="334"/>
      <c r="OGH243" s="334"/>
      <c r="OGI243" s="334"/>
      <c r="OGJ243" s="334"/>
      <c r="OGK243" s="334"/>
      <c r="OGL243" s="334"/>
      <c r="OGM243" s="334"/>
      <c r="OGN243" s="334"/>
      <c r="OGO243" s="334"/>
      <c r="OGP243" s="334"/>
      <c r="OGQ243" s="334"/>
      <c r="OGR243" s="334"/>
      <c r="OGS243" s="334"/>
      <c r="OGT243" s="334"/>
      <c r="OGU243" s="334"/>
      <c r="OGV243" s="334"/>
      <c r="OGW243" s="334"/>
      <c r="OGX243" s="334"/>
      <c r="OGY243" s="334"/>
      <c r="OGZ243" s="334"/>
      <c r="OHA243" s="334"/>
      <c r="OHB243" s="334"/>
      <c r="OHC243" s="334"/>
      <c r="OHD243" s="334"/>
      <c r="OHE243" s="334"/>
      <c r="OHF243" s="334"/>
      <c r="OHG243" s="334"/>
      <c r="OHH243" s="334"/>
      <c r="OHI243" s="334"/>
      <c r="OHJ243" s="334"/>
      <c r="OHK243" s="334"/>
      <c r="OHL243" s="334"/>
      <c r="OHM243" s="334"/>
      <c r="OHN243" s="334"/>
      <c r="OHO243" s="334"/>
      <c r="OHP243" s="334"/>
      <c r="OHQ243" s="334"/>
      <c r="OHR243" s="334"/>
      <c r="OHS243" s="334"/>
      <c r="OHT243" s="334"/>
      <c r="OHU243" s="334"/>
      <c r="OHV243" s="334"/>
      <c r="OHW243" s="334"/>
      <c r="OHX243" s="334"/>
      <c r="OHY243" s="334"/>
      <c r="OHZ243" s="334"/>
      <c r="OIA243" s="334"/>
      <c r="OIB243" s="334"/>
      <c r="OIC243" s="334"/>
      <c r="OID243" s="334"/>
      <c r="OIE243" s="334"/>
      <c r="OIF243" s="334"/>
      <c r="OIG243" s="334"/>
      <c r="OIH243" s="334"/>
      <c r="OII243" s="334"/>
      <c r="OIJ243" s="334"/>
      <c r="OIK243" s="334"/>
      <c r="OIL243" s="334"/>
      <c r="OIM243" s="334"/>
      <c r="OIN243" s="334"/>
      <c r="OIO243" s="334"/>
      <c r="OIP243" s="334"/>
      <c r="OIQ243" s="334"/>
      <c r="OIR243" s="334"/>
      <c r="OIS243" s="334"/>
      <c r="OIT243" s="334"/>
      <c r="OIU243" s="334"/>
      <c r="OIV243" s="334"/>
      <c r="OIW243" s="334"/>
      <c r="OIX243" s="334"/>
      <c r="OIY243" s="334"/>
      <c r="OIZ243" s="334"/>
      <c r="OJA243" s="334"/>
      <c r="OJB243" s="334"/>
      <c r="OJC243" s="334"/>
      <c r="OJD243" s="334"/>
      <c r="OJE243" s="334"/>
      <c r="OJF243" s="334"/>
      <c r="OJG243" s="334"/>
      <c r="OJH243" s="334"/>
      <c r="OJI243" s="334"/>
      <c r="OJJ243" s="334"/>
      <c r="OJK243" s="334"/>
      <c r="OJL243" s="334"/>
      <c r="OJM243" s="334"/>
      <c r="OJN243" s="334"/>
      <c r="OJO243" s="334"/>
      <c r="OJP243" s="334"/>
      <c r="OJQ243" s="334"/>
      <c r="OJR243" s="334"/>
      <c r="OJS243" s="334"/>
      <c r="OJT243" s="334"/>
      <c r="OJU243" s="334"/>
      <c r="OJV243" s="334"/>
      <c r="OJW243" s="334"/>
      <c r="OJX243" s="334"/>
      <c r="OJY243" s="334"/>
      <c r="OJZ243" s="334"/>
      <c r="OKA243" s="334"/>
      <c r="OKB243" s="334"/>
      <c r="OKC243" s="334"/>
      <c r="OKD243" s="334"/>
      <c r="OKE243" s="334"/>
      <c r="OKF243" s="334"/>
      <c r="OKG243" s="334"/>
      <c r="OKH243" s="334"/>
      <c r="OKI243" s="334"/>
      <c r="OKJ243" s="334"/>
      <c r="OKK243" s="334"/>
      <c r="OKL243" s="334"/>
      <c r="OKM243" s="334"/>
      <c r="OKN243" s="334"/>
      <c r="OKO243" s="334"/>
      <c r="OKP243" s="334"/>
      <c r="OKQ243" s="334"/>
      <c r="OKR243" s="334"/>
      <c r="OKS243" s="334"/>
      <c r="OKT243" s="334"/>
      <c r="OKU243" s="334"/>
      <c r="OKV243" s="334"/>
      <c r="OKW243" s="334"/>
      <c r="OKX243" s="334"/>
      <c r="OKY243" s="334"/>
      <c r="OKZ243" s="334"/>
      <c r="OLA243" s="334"/>
      <c r="OLB243" s="334"/>
      <c r="OLC243" s="334"/>
      <c r="OLD243" s="334"/>
      <c r="OLE243" s="334"/>
      <c r="OLF243" s="334"/>
      <c r="OLG243" s="334"/>
      <c r="OLH243" s="334"/>
      <c r="OLI243" s="334"/>
      <c r="OLJ243" s="334"/>
      <c r="OLK243" s="334"/>
      <c r="OLL243" s="334"/>
      <c r="OLM243" s="334"/>
      <c r="OLN243" s="334"/>
      <c r="OLO243" s="334"/>
      <c r="OLP243" s="334"/>
      <c r="OLQ243" s="334"/>
      <c r="OLR243" s="334"/>
      <c r="OLS243" s="334"/>
      <c r="OLT243" s="334"/>
      <c r="OLU243" s="334"/>
      <c r="OLV243" s="334"/>
      <c r="OLW243" s="334"/>
      <c r="OLX243" s="334"/>
      <c r="OLY243" s="334"/>
      <c r="OLZ243" s="334"/>
      <c r="OMA243" s="334"/>
      <c r="OMB243" s="334"/>
      <c r="OMC243" s="334"/>
      <c r="OMD243" s="334"/>
      <c r="OME243" s="334"/>
      <c r="OMF243" s="334"/>
      <c r="OMG243" s="334"/>
      <c r="OMH243" s="334"/>
      <c r="OMI243" s="334"/>
      <c r="OMJ243" s="334"/>
      <c r="OMK243" s="334"/>
      <c r="OML243" s="334"/>
      <c r="OMM243" s="334"/>
      <c r="OMN243" s="334"/>
      <c r="OMO243" s="334"/>
      <c r="OMP243" s="334"/>
      <c r="OMQ243" s="334"/>
      <c r="OMR243" s="334"/>
      <c r="OMS243" s="334"/>
      <c r="OMT243" s="334"/>
      <c r="OMU243" s="334"/>
      <c r="OMV243" s="334"/>
      <c r="OMW243" s="334"/>
      <c r="OMX243" s="334"/>
      <c r="OMY243" s="334"/>
      <c r="OMZ243" s="334"/>
      <c r="ONA243" s="334"/>
      <c r="ONB243" s="334"/>
      <c r="ONC243" s="334"/>
      <c r="OND243" s="334"/>
      <c r="ONE243" s="334"/>
      <c r="ONF243" s="334"/>
      <c r="ONG243" s="334"/>
      <c r="ONH243" s="334"/>
      <c r="ONI243" s="334"/>
      <c r="ONJ243" s="334"/>
      <c r="ONK243" s="334"/>
      <c r="ONL243" s="334"/>
      <c r="ONM243" s="334"/>
      <c r="ONN243" s="334"/>
      <c r="ONO243" s="334"/>
      <c r="ONP243" s="334"/>
      <c r="ONQ243" s="334"/>
      <c r="ONR243" s="334"/>
      <c r="ONS243" s="334"/>
      <c r="ONT243" s="334"/>
      <c r="ONU243" s="334"/>
      <c r="ONV243" s="334"/>
      <c r="ONW243" s="334"/>
      <c r="ONX243" s="334"/>
      <c r="ONY243" s="334"/>
      <c r="ONZ243" s="334"/>
      <c r="OOA243" s="334"/>
      <c r="OOB243" s="334"/>
      <c r="OOC243" s="334"/>
      <c r="OOD243" s="334"/>
      <c r="OOE243" s="334"/>
      <c r="OOF243" s="334"/>
      <c r="OOG243" s="334"/>
      <c r="OOH243" s="334"/>
      <c r="OOI243" s="334"/>
      <c r="OOJ243" s="334"/>
      <c r="OOK243" s="334"/>
      <c r="OOL243" s="334"/>
      <c r="OOM243" s="334"/>
      <c r="OON243" s="334"/>
      <c r="OOO243" s="334"/>
      <c r="OOP243" s="334"/>
      <c r="OOQ243" s="334"/>
      <c r="OOR243" s="334"/>
      <c r="OOS243" s="334"/>
      <c r="OOT243" s="334"/>
      <c r="OOU243" s="334"/>
      <c r="OOV243" s="334"/>
      <c r="OOW243" s="334"/>
      <c r="OOX243" s="334"/>
      <c r="OOY243" s="334"/>
      <c r="OOZ243" s="334"/>
      <c r="OPA243" s="334"/>
      <c r="OPB243" s="334"/>
      <c r="OPC243" s="334"/>
      <c r="OPD243" s="334"/>
      <c r="OPE243" s="334"/>
      <c r="OPF243" s="334"/>
      <c r="OPG243" s="334"/>
      <c r="OPH243" s="334"/>
      <c r="OPI243" s="334"/>
      <c r="OPJ243" s="334"/>
      <c r="OPK243" s="334"/>
      <c r="OPL243" s="334"/>
      <c r="OPM243" s="334"/>
      <c r="OPN243" s="334"/>
      <c r="OPO243" s="334"/>
      <c r="OPP243" s="334"/>
      <c r="OPQ243" s="334"/>
      <c r="OPR243" s="334"/>
      <c r="OPS243" s="334"/>
      <c r="OPT243" s="334"/>
      <c r="OPU243" s="334"/>
      <c r="OPV243" s="334"/>
      <c r="OPW243" s="334"/>
      <c r="OPX243" s="334"/>
      <c r="OPY243" s="334"/>
      <c r="OPZ243" s="334"/>
      <c r="OQA243" s="334"/>
      <c r="OQB243" s="334"/>
      <c r="OQC243" s="334"/>
      <c r="OQD243" s="334"/>
      <c r="OQE243" s="334"/>
      <c r="OQF243" s="334"/>
      <c r="OQG243" s="334"/>
      <c r="OQH243" s="334"/>
      <c r="OQI243" s="334"/>
      <c r="OQJ243" s="334"/>
      <c r="OQK243" s="334"/>
      <c r="OQL243" s="334"/>
      <c r="OQM243" s="334"/>
      <c r="OQN243" s="334"/>
      <c r="OQO243" s="334"/>
      <c r="OQP243" s="334"/>
      <c r="OQQ243" s="334"/>
      <c r="OQR243" s="334"/>
      <c r="OQS243" s="334"/>
      <c r="OQT243" s="334"/>
      <c r="OQU243" s="334"/>
      <c r="OQV243" s="334"/>
      <c r="OQW243" s="334"/>
      <c r="OQX243" s="334"/>
      <c r="OQY243" s="334"/>
      <c r="OQZ243" s="334"/>
      <c r="ORA243" s="334"/>
      <c r="ORB243" s="334"/>
      <c r="ORC243" s="334"/>
      <c r="ORD243" s="334"/>
      <c r="ORE243" s="334"/>
      <c r="ORF243" s="334"/>
      <c r="ORG243" s="334"/>
      <c r="ORH243" s="334"/>
      <c r="ORI243" s="334"/>
      <c r="ORJ243" s="334"/>
      <c r="ORK243" s="334"/>
      <c r="ORL243" s="334"/>
      <c r="ORM243" s="334"/>
      <c r="ORN243" s="334"/>
      <c r="ORO243" s="334"/>
      <c r="ORP243" s="334"/>
      <c r="ORQ243" s="334"/>
      <c r="ORR243" s="334"/>
      <c r="ORS243" s="334"/>
      <c r="ORT243" s="334"/>
      <c r="ORU243" s="334"/>
      <c r="ORV243" s="334"/>
      <c r="ORW243" s="334"/>
      <c r="ORX243" s="334"/>
      <c r="ORY243" s="334"/>
      <c r="ORZ243" s="334"/>
      <c r="OSA243" s="334"/>
      <c r="OSB243" s="334"/>
      <c r="OSC243" s="334"/>
      <c r="OSD243" s="334"/>
      <c r="OSE243" s="334"/>
      <c r="OSF243" s="334"/>
      <c r="OSG243" s="334"/>
      <c r="OSH243" s="334"/>
      <c r="OSI243" s="334"/>
      <c r="OSJ243" s="334"/>
      <c r="OSK243" s="334"/>
      <c r="OSL243" s="334"/>
      <c r="OSM243" s="334"/>
      <c r="OSN243" s="334"/>
      <c r="OSO243" s="334"/>
      <c r="OSP243" s="334"/>
      <c r="OSQ243" s="334"/>
      <c r="OSR243" s="334"/>
      <c r="OSS243" s="334"/>
      <c r="OST243" s="334"/>
      <c r="OSU243" s="334"/>
      <c r="OSV243" s="334"/>
      <c r="OSW243" s="334"/>
      <c r="OSX243" s="334"/>
      <c r="OSY243" s="334"/>
      <c r="OSZ243" s="334"/>
      <c r="OTA243" s="334"/>
      <c r="OTB243" s="334"/>
      <c r="OTC243" s="334"/>
      <c r="OTD243" s="334"/>
      <c r="OTE243" s="334"/>
      <c r="OTF243" s="334"/>
      <c r="OTG243" s="334"/>
      <c r="OTH243" s="334"/>
      <c r="OTI243" s="334"/>
      <c r="OTJ243" s="334"/>
      <c r="OTK243" s="334"/>
      <c r="OTL243" s="334"/>
      <c r="OTM243" s="334"/>
      <c r="OTN243" s="334"/>
      <c r="OTO243" s="334"/>
      <c r="OTP243" s="334"/>
      <c r="OTQ243" s="334"/>
      <c r="OTR243" s="334"/>
      <c r="OTS243" s="334"/>
      <c r="OTT243" s="334"/>
      <c r="OTU243" s="334"/>
      <c r="OTV243" s="334"/>
      <c r="OTW243" s="334"/>
      <c r="OTX243" s="334"/>
      <c r="OTY243" s="334"/>
      <c r="OTZ243" s="334"/>
      <c r="OUA243" s="334"/>
      <c r="OUB243" s="334"/>
      <c r="OUC243" s="334"/>
      <c r="OUD243" s="334"/>
      <c r="OUE243" s="334"/>
      <c r="OUF243" s="334"/>
      <c r="OUG243" s="334"/>
      <c r="OUH243" s="334"/>
      <c r="OUI243" s="334"/>
      <c r="OUJ243" s="334"/>
      <c r="OUK243" s="334"/>
      <c r="OUL243" s="334"/>
      <c r="OUM243" s="334"/>
      <c r="OUN243" s="334"/>
      <c r="OUO243" s="334"/>
      <c r="OUP243" s="334"/>
      <c r="OUQ243" s="334"/>
      <c r="OUR243" s="334"/>
      <c r="OUS243" s="334"/>
      <c r="OUT243" s="334"/>
      <c r="OUU243" s="334"/>
      <c r="OUV243" s="334"/>
      <c r="OUW243" s="334"/>
      <c r="OUX243" s="334"/>
      <c r="OUY243" s="334"/>
      <c r="OUZ243" s="334"/>
      <c r="OVA243" s="334"/>
      <c r="OVB243" s="334"/>
      <c r="OVC243" s="334"/>
      <c r="OVD243" s="334"/>
      <c r="OVE243" s="334"/>
      <c r="OVF243" s="334"/>
      <c r="OVG243" s="334"/>
      <c r="OVH243" s="334"/>
      <c r="OVI243" s="334"/>
      <c r="OVJ243" s="334"/>
      <c r="OVK243" s="334"/>
      <c r="OVL243" s="334"/>
      <c r="OVM243" s="334"/>
      <c r="OVN243" s="334"/>
      <c r="OVO243" s="334"/>
      <c r="OVP243" s="334"/>
      <c r="OVQ243" s="334"/>
      <c r="OVR243" s="334"/>
      <c r="OVS243" s="334"/>
      <c r="OVT243" s="334"/>
      <c r="OVU243" s="334"/>
      <c r="OVV243" s="334"/>
      <c r="OVW243" s="334"/>
      <c r="OVX243" s="334"/>
      <c r="OVY243" s="334"/>
      <c r="OVZ243" s="334"/>
      <c r="OWA243" s="334"/>
      <c r="OWB243" s="334"/>
      <c r="OWC243" s="334"/>
      <c r="OWD243" s="334"/>
      <c r="OWE243" s="334"/>
      <c r="OWF243" s="334"/>
      <c r="OWG243" s="334"/>
      <c r="OWH243" s="334"/>
      <c r="OWI243" s="334"/>
      <c r="OWJ243" s="334"/>
      <c r="OWK243" s="334"/>
      <c r="OWL243" s="334"/>
      <c r="OWM243" s="334"/>
      <c r="OWN243" s="334"/>
      <c r="OWO243" s="334"/>
      <c r="OWP243" s="334"/>
      <c r="OWQ243" s="334"/>
      <c r="OWR243" s="334"/>
      <c r="OWS243" s="334"/>
      <c r="OWT243" s="334"/>
      <c r="OWU243" s="334"/>
      <c r="OWV243" s="334"/>
      <c r="OWW243" s="334"/>
      <c r="OWX243" s="334"/>
      <c r="OWY243" s="334"/>
      <c r="OWZ243" s="334"/>
      <c r="OXA243" s="334"/>
      <c r="OXB243" s="334"/>
      <c r="OXC243" s="334"/>
      <c r="OXD243" s="334"/>
      <c r="OXE243" s="334"/>
      <c r="OXF243" s="334"/>
      <c r="OXG243" s="334"/>
      <c r="OXH243" s="334"/>
      <c r="OXI243" s="334"/>
      <c r="OXJ243" s="334"/>
      <c r="OXK243" s="334"/>
      <c r="OXL243" s="334"/>
      <c r="OXM243" s="334"/>
      <c r="OXN243" s="334"/>
      <c r="OXO243" s="334"/>
      <c r="OXP243" s="334"/>
      <c r="OXQ243" s="334"/>
      <c r="OXR243" s="334"/>
      <c r="OXS243" s="334"/>
      <c r="OXT243" s="334"/>
      <c r="OXU243" s="334"/>
      <c r="OXV243" s="334"/>
      <c r="OXW243" s="334"/>
      <c r="OXX243" s="334"/>
      <c r="OXY243" s="334"/>
      <c r="OXZ243" s="334"/>
      <c r="OYA243" s="334"/>
      <c r="OYB243" s="334"/>
      <c r="OYC243" s="334"/>
      <c r="OYD243" s="334"/>
      <c r="OYE243" s="334"/>
      <c r="OYF243" s="334"/>
      <c r="OYG243" s="334"/>
      <c r="OYH243" s="334"/>
      <c r="OYI243" s="334"/>
      <c r="OYJ243" s="334"/>
      <c r="OYK243" s="334"/>
      <c r="OYL243" s="334"/>
      <c r="OYM243" s="334"/>
      <c r="OYN243" s="334"/>
      <c r="OYO243" s="334"/>
      <c r="OYP243" s="334"/>
      <c r="OYQ243" s="334"/>
      <c r="OYR243" s="334"/>
      <c r="OYS243" s="334"/>
      <c r="OYT243" s="334"/>
      <c r="OYU243" s="334"/>
      <c r="OYV243" s="334"/>
      <c r="OYW243" s="334"/>
      <c r="OYX243" s="334"/>
      <c r="OYY243" s="334"/>
      <c r="OYZ243" s="334"/>
      <c r="OZA243" s="334"/>
      <c r="OZB243" s="334"/>
      <c r="OZC243" s="334"/>
      <c r="OZD243" s="334"/>
      <c r="OZE243" s="334"/>
      <c r="OZF243" s="334"/>
      <c r="OZG243" s="334"/>
      <c r="OZH243" s="334"/>
      <c r="OZI243" s="334"/>
      <c r="OZJ243" s="334"/>
      <c r="OZK243" s="334"/>
      <c r="OZL243" s="334"/>
      <c r="OZM243" s="334"/>
      <c r="OZN243" s="334"/>
      <c r="OZO243" s="334"/>
      <c r="OZP243" s="334"/>
      <c r="OZQ243" s="334"/>
      <c r="OZR243" s="334"/>
      <c r="OZS243" s="334"/>
      <c r="OZT243" s="334"/>
      <c r="OZU243" s="334"/>
      <c r="OZV243" s="334"/>
      <c r="OZW243" s="334"/>
      <c r="OZX243" s="334"/>
      <c r="OZY243" s="334"/>
      <c r="OZZ243" s="334"/>
      <c r="PAA243" s="334"/>
      <c r="PAB243" s="334"/>
      <c r="PAC243" s="334"/>
      <c r="PAD243" s="334"/>
      <c r="PAE243" s="334"/>
      <c r="PAF243" s="334"/>
      <c r="PAG243" s="334"/>
      <c r="PAH243" s="334"/>
      <c r="PAI243" s="334"/>
      <c r="PAJ243" s="334"/>
      <c r="PAK243" s="334"/>
      <c r="PAL243" s="334"/>
      <c r="PAM243" s="334"/>
      <c r="PAN243" s="334"/>
      <c r="PAO243" s="334"/>
      <c r="PAP243" s="334"/>
      <c r="PAQ243" s="334"/>
      <c r="PAR243" s="334"/>
      <c r="PAS243" s="334"/>
      <c r="PAT243" s="334"/>
      <c r="PAU243" s="334"/>
      <c r="PAV243" s="334"/>
      <c r="PAW243" s="334"/>
      <c r="PAX243" s="334"/>
      <c r="PAY243" s="334"/>
      <c r="PAZ243" s="334"/>
      <c r="PBA243" s="334"/>
      <c r="PBB243" s="334"/>
      <c r="PBC243" s="334"/>
      <c r="PBD243" s="334"/>
      <c r="PBE243" s="334"/>
      <c r="PBF243" s="334"/>
      <c r="PBG243" s="334"/>
      <c r="PBH243" s="334"/>
      <c r="PBI243" s="334"/>
      <c r="PBJ243" s="334"/>
      <c r="PBK243" s="334"/>
      <c r="PBL243" s="334"/>
      <c r="PBM243" s="334"/>
      <c r="PBN243" s="334"/>
      <c r="PBO243" s="334"/>
      <c r="PBP243" s="334"/>
      <c r="PBQ243" s="334"/>
      <c r="PBR243" s="334"/>
      <c r="PBS243" s="334"/>
      <c r="PBT243" s="334"/>
      <c r="PBU243" s="334"/>
      <c r="PBV243" s="334"/>
      <c r="PBW243" s="334"/>
      <c r="PBX243" s="334"/>
      <c r="PBY243" s="334"/>
      <c r="PBZ243" s="334"/>
      <c r="PCA243" s="334"/>
      <c r="PCB243" s="334"/>
      <c r="PCC243" s="334"/>
      <c r="PCD243" s="334"/>
      <c r="PCE243" s="334"/>
      <c r="PCF243" s="334"/>
      <c r="PCG243" s="334"/>
      <c r="PCH243" s="334"/>
      <c r="PCI243" s="334"/>
      <c r="PCJ243" s="334"/>
      <c r="PCK243" s="334"/>
      <c r="PCL243" s="334"/>
      <c r="PCM243" s="334"/>
      <c r="PCN243" s="334"/>
      <c r="PCO243" s="334"/>
      <c r="PCP243" s="334"/>
      <c r="PCQ243" s="334"/>
      <c r="PCR243" s="334"/>
      <c r="PCS243" s="334"/>
      <c r="PCT243" s="334"/>
      <c r="PCU243" s="334"/>
      <c r="PCV243" s="334"/>
      <c r="PCW243" s="334"/>
      <c r="PCX243" s="334"/>
      <c r="PCY243" s="334"/>
      <c r="PCZ243" s="334"/>
      <c r="PDA243" s="334"/>
      <c r="PDB243" s="334"/>
      <c r="PDC243" s="334"/>
      <c r="PDD243" s="334"/>
      <c r="PDE243" s="334"/>
      <c r="PDF243" s="334"/>
      <c r="PDG243" s="334"/>
      <c r="PDH243" s="334"/>
      <c r="PDI243" s="334"/>
      <c r="PDJ243" s="334"/>
      <c r="PDK243" s="334"/>
      <c r="PDL243" s="334"/>
      <c r="PDM243" s="334"/>
      <c r="PDN243" s="334"/>
      <c r="PDO243" s="334"/>
      <c r="PDP243" s="334"/>
      <c r="PDQ243" s="334"/>
      <c r="PDR243" s="334"/>
      <c r="PDS243" s="334"/>
      <c r="PDT243" s="334"/>
      <c r="PDU243" s="334"/>
      <c r="PDV243" s="334"/>
      <c r="PDW243" s="334"/>
      <c r="PDX243" s="334"/>
      <c r="PDY243" s="334"/>
      <c r="PDZ243" s="334"/>
      <c r="PEA243" s="334"/>
      <c r="PEB243" s="334"/>
      <c r="PEC243" s="334"/>
      <c r="PED243" s="334"/>
      <c r="PEE243" s="334"/>
      <c r="PEF243" s="334"/>
      <c r="PEG243" s="334"/>
      <c r="PEH243" s="334"/>
      <c r="PEI243" s="334"/>
      <c r="PEJ243" s="334"/>
      <c r="PEK243" s="334"/>
      <c r="PEL243" s="334"/>
      <c r="PEM243" s="334"/>
      <c r="PEN243" s="334"/>
      <c r="PEO243" s="334"/>
      <c r="PEP243" s="334"/>
      <c r="PEQ243" s="334"/>
      <c r="PER243" s="334"/>
      <c r="PES243" s="334"/>
      <c r="PET243" s="334"/>
      <c r="PEU243" s="334"/>
      <c r="PEV243" s="334"/>
      <c r="PEW243" s="334"/>
      <c r="PEX243" s="334"/>
      <c r="PEY243" s="334"/>
      <c r="PEZ243" s="334"/>
      <c r="PFA243" s="334"/>
      <c r="PFB243" s="334"/>
      <c r="PFC243" s="334"/>
      <c r="PFD243" s="334"/>
      <c r="PFE243" s="334"/>
      <c r="PFF243" s="334"/>
      <c r="PFG243" s="334"/>
      <c r="PFH243" s="334"/>
      <c r="PFI243" s="334"/>
      <c r="PFJ243" s="334"/>
      <c r="PFK243" s="334"/>
      <c r="PFL243" s="334"/>
      <c r="PFM243" s="334"/>
      <c r="PFN243" s="334"/>
      <c r="PFO243" s="334"/>
      <c r="PFP243" s="334"/>
      <c r="PFQ243" s="334"/>
      <c r="PFR243" s="334"/>
      <c r="PFS243" s="334"/>
      <c r="PFT243" s="334"/>
      <c r="PFU243" s="334"/>
      <c r="PFV243" s="334"/>
      <c r="PFW243" s="334"/>
      <c r="PFX243" s="334"/>
      <c r="PFY243" s="334"/>
      <c r="PFZ243" s="334"/>
      <c r="PGA243" s="334"/>
      <c r="PGB243" s="334"/>
      <c r="PGC243" s="334"/>
      <c r="PGD243" s="334"/>
      <c r="PGE243" s="334"/>
      <c r="PGF243" s="334"/>
      <c r="PGG243" s="334"/>
      <c r="PGH243" s="334"/>
      <c r="PGI243" s="334"/>
      <c r="PGJ243" s="334"/>
      <c r="PGK243" s="334"/>
      <c r="PGL243" s="334"/>
      <c r="PGM243" s="334"/>
      <c r="PGN243" s="334"/>
      <c r="PGO243" s="334"/>
      <c r="PGP243" s="334"/>
      <c r="PGQ243" s="334"/>
      <c r="PGR243" s="334"/>
      <c r="PGS243" s="334"/>
      <c r="PGT243" s="334"/>
      <c r="PGU243" s="334"/>
      <c r="PGV243" s="334"/>
      <c r="PGW243" s="334"/>
      <c r="PGX243" s="334"/>
      <c r="PGY243" s="334"/>
      <c r="PGZ243" s="334"/>
      <c r="PHA243" s="334"/>
      <c r="PHB243" s="334"/>
      <c r="PHC243" s="334"/>
      <c r="PHD243" s="334"/>
      <c r="PHE243" s="334"/>
      <c r="PHF243" s="334"/>
      <c r="PHG243" s="334"/>
      <c r="PHH243" s="334"/>
      <c r="PHI243" s="334"/>
      <c r="PHJ243" s="334"/>
      <c r="PHK243" s="334"/>
      <c r="PHL243" s="334"/>
      <c r="PHM243" s="334"/>
      <c r="PHN243" s="334"/>
      <c r="PHO243" s="334"/>
      <c r="PHP243" s="334"/>
      <c r="PHQ243" s="334"/>
      <c r="PHR243" s="334"/>
      <c r="PHS243" s="334"/>
      <c r="PHT243" s="334"/>
      <c r="PHU243" s="334"/>
      <c r="PHV243" s="334"/>
      <c r="PHW243" s="334"/>
      <c r="PHX243" s="334"/>
      <c r="PHY243" s="334"/>
      <c r="PHZ243" s="334"/>
      <c r="PIA243" s="334"/>
      <c r="PIB243" s="334"/>
      <c r="PIC243" s="334"/>
      <c r="PID243" s="334"/>
      <c r="PIE243" s="334"/>
      <c r="PIF243" s="334"/>
      <c r="PIG243" s="334"/>
      <c r="PIH243" s="334"/>
      <c r="PII243" s="334"/>
      <c r="PIJ243" s="334"/>
      <c r="PIK243" s="334"/>
      <c r="PIL243" s="334"/>
      <c r="PIM243" s="334"/>
      <c r="PIN243" s="334"/>
      <c r="PIO243" s="334"/>
      <c r="PIP243" s="334"/>
      <c r="PIQ243" s="334"/>
      <c r="PIR243" s="334"/>
      <c r="PIS243" s="334"/>
      <c r="PIT243" s="334"/>
      <c r="PIU243" s="334"/>
      <c r="PIV243" s="334"/>
      <c r="PIW243" s="334"/>
      <c r="PIX243" s="334"/>
      <c r="PIY243" s="334"/>
      <c r="PIZ243" s="334"/>
      <c r="PJA243" s="334"/>
      <c r="PJB243" s="334"/>
      <c r="PJC243" s="334"/>
      <c r="PJD243" s="334"/>
      <c r="PJE243" s="334"/>
      <c r="PJF243" s="334"/>
      <c r="PJG243" s="334"/>
      <c r="PJH243" s="334"/>
      <c r="PJI243" s="334"/>
      <c r="PJJ243" s="334"/>
      <c r="PJK243" s="334"/>
      <c r="PJL243" s="334"/>
      <c r="PJM243" s="334"/>
      <c r="PJN243" s="334"/>
      <c r="PJO243" s="334"/>
      <c r="PJP243" s="334"/>
      <c r="PJQ243" s="334"/>
      <c r="PJR243" s="334"/>
      <c r="PJS243" s="334"/>
      <c r="PJT243" s="334"/>
      <c r="PJU243" s="334"/>
      <c r="PJV243" s="334"/>
      <c r="PJW243" s="334"/>
      <c r="PJX243" s="334"/>
      <c r="PJY243" s="334"/>
      <c r="PJZ243" s="334"/>
      <c r="PKA243" s="334"/>
      <c r="PKB243" s="334"/>
      <c r="PKC243" s="334"/>
      <c r="PKD243" s="334"/>
      <c r="PKE243" s="334"/>
      <c r="PKF243" s="334"/>
      <c r="PKG243" s="334"/>
      <c r="PKH243" s="334"/>
      <c r="PKI243" s="334"/>
      <c r="PKJ243" s="334"/>
      <c r="PKK243" s="334"/>
      <c r="PKL243" s="334"/>
      <c r="PKM243" s="334"/>
      <c r="PKN243" s="334"/>
      <c r="PKO243" s="334"/>
      <c r="PKP243" s="334"/>
      <c r="PKQ243" s="334"/>
      <c r="PKR243" s="334"/>
      <c r="PKS243" s="334"/>
      <c r="PKT243" s="334"/>
      <c r="PKU243" s="334"/>
      <c r="PKV243" s="334"/>
      <c r="PKW243" s="334"/>
      <c r="PKX243" s="334"/>
      <c r="PKY243" s="334"/>
      <c r="PKZ243" s="334"/>
      <c r="PLA243" s="334"/>
      <c r="PLB243" s="334"/>
      <c r="PLC243" s="334"/>
      <c r="PLD243" s="334"/>
      <c r="PLE243" s="334"/>
      <c r="PLF243" s="334"/>
      <c r="PLG243" s="334"/>
      <c r="PLH243" s="334"/>
      <c r="PLI243" s="334"/>
      <c r="PLJ243" s="334"/>
      <c r="PLK243" s="334"/>
      <c r="PLL243" s="334"/>
      <c r="PLM243" s="334"/>
      <c r="PLN243" s="334"/>
      <c r="PLO243" s="334"/>
      <c r="PLP243" s="334"/>
      <c r="PLQ243" s="334"/>
      <c r="PLR243" s="334"/>
      <c r="PLS243" s="334"/>
      <c r="PLT243" s="334"/>
      <c r="PLU243" s="334"/>
      <c r="PLV243" s="334"/>
      <c r="PLW243" s="334"/>
      <c r="PLX243" s="334"/>
      <c r="PLY243" s="334"/>
      <c r="PLZ243" s="334"/>
      <c r="PMA243" s="334"/>
      <c r="PMB243" s="334"/>
      <c r="PMC243" s="334"/>
      <c r="PMD243" s="334"/>
      <c r="PME243" s="334"/>
      <c r="PMF243" s="334"/>
      <c r="PMG243" s="334"/>
      <c r="PMH243" s="334"/>
      <c r="PMI243" s="334"/>
      <c r="PMJ243" s="334"/>
      <c r="PMK243" s="334"/>
      <c r="PML243" s="334"/>
      <c r="PMM243" s="334"/>
      <c r="PMN243" s="334"/>
      <c r="PMO243" s="334"/>
      <c r="PMP243" s="334"/>
      <c r="PMQ243" s="334"/>
      <c r="PMR243" s="334"/>
      <c r="PMS243" s="334"/>
      <c r="PMT243" s="334"/>
      <c r="PMU243" s="334"/>
      <c r="PMV243" s="334"/>
      <c r="PMW243" s="334"/>
      <c r="PMX243" s="334"/>
      <c r="PMY243" s="334"/>
      <c r="PMZ243" s="334"/>
      <c r="PNA243" s="334"/>
      <c r="PNB243" s="334"/>
      <c r="PNC243" s="334"/>
      <c r="PND243" s="334"/>
      <c r="PNE243" s="334"/>
      <c r="PNF243" s="334"/>
      <c r="PNG243" s="334"/>
      <c r="PNH243" s="334"/>
      <c r="PNI243" s="334"/>
      <c r="PNJ243" s="334"/>
      <c r="PNK243" s="334"/>
      <c r="PNL243" s="334"/>
      <c r="PNM243" s="334"/>
      <c r="PNN243" s="334"/>
      <c r="PNO243" s="334"/>
      <c r="PNP243" s="334"/>
      <c r="PNQ243" s="334"/>
      <c r="PNR243" s="334"/>
      <c r="PNS243" s="334"/>
      <c r="PNT243" s="334"/>
      <c r="PNU243" s="334"/>
      <c r="PNV243" s="334"/>
      <c r="PNW243" s="334"/>
      <c r="PNX243" s="334"/>
      <c r="PNY243" s="334"/>
      <c r="PNZ243" s="334"/>
      <c r="POA243" s="334"/>
      <c r="POB243" s="334"/>
      <c r="POC243" s="334"/>
      <c r="POD243" s="334"/>
      <c r="POE243" s="334"/>
      <c r="POF243" s="334"/>
      <c r="POG243" s="334"/>
      <c r="POH243" s="334"/>
      <c r="POI243" s="334"/>
      <c r="POJ243" s="334"/>
      <c r="POK243" s="334"/>
      <c r="POL243" s="334"/>
      <c r="POM243" s="334"/>
      <c r="PON243" s="334"/>
      <c r="POO243" s="334"/>
      <c r="POP243" s="334"/>
      <c r="POQ243" s="334"/>
      <c r="POR243" s="334"/>
      <c r="POS243" s="334"/>
      <c r="POT243" s="334"/>
      <c r="POU243" s="334"/>
      <c r="POV243" s="334"/>
      <c r="POW243" s="334"/>
      <c r="POX243" s="334"/>
      <c r="POY243" s="334"/>
      <c r="POZ243" s="334"/>
      <c r="PPA243" s="334"/>
      <c r="PPB243" s="334"/>
      <c r="PPC243" s="334"/>
      <c r="PPD243" s="334"/>
      <c r="PPE243" s="334"/>
      <c r="PPF243" s="334"/>
      <c r="PPG243" s="334"/>
      <c r="PPH243" s="334"/>
      <c r="PPI243" s="334"/>
      <c r="PPJ243" s="334"/>
      <c r="PPK243" s="334"/>
      <c r="PPL243" s="334"/>
      <c r="PPM243" s="334"/>
      <c r="PPN243" s="334"/>
      <c r="PPO243" s="334"/>
      <c r="PPP243" s="334"/>
      <c r="PPQ243" s="334"/>
      <c r="PPR243" s="334"/>
      <c r="PPS243" s="334"/>
      <c r="PPT243" s="334"/>
      <c r="PPU243" s="334"/>
      <c r="PPV243" s="334"/>
      <c r="PPW243" s="334"/>
      <c r="PPX243" s="334"/>
      <c r="PPY243" s="334"/>
      <c r="PPZ243" s="334"/>
      <c r="PQA243" s="334"/>
      <c r="PQB243" s="334"/>
      <c r="PQC243" s="334"/>
      <c r="PQD243" s="334"/>
      <c r="PQE243" s="334"/>
      <c r="PQF243" s="334"/>
      <c r="PQG243" s="334"/>
      <c r="PQH243" s="334"/>
      <c r="PQI243" s="334"/>
      <c r="PQJ243" s="334"/>
      <c r="PQK243" s="334"/>
      <c r="PQL243" s="334"/>
      <c r="PQM243" s="334"/>
      <c r="PQN243" s="334"/>
      <c r="PQO243" s="334"/>
      <c r="PQP243" s="334"/>
      <c r="PQQ243" s="334"/>
      <c r="PQR243" s="334"/>
      <c r="PQS243" s="334"/>
      <c r="PQT243" s="334"/>
      <c r="PQU243" s="334"/>
      <c r="PQV243" s="334"/>
      <c r="PQW243" s="334"/>
      <c r="PQX243" s="334"/>
      <c r="PQY243" s="334"/>
      <c r="PQZ243" s="334"/>
      <c r="PRA243" s="334"/>
      <c r="PRB243" s="334"/>
      <c r="PRC243" s="334"/>
      <c r="PRD243" s="334"/>
      <c r="PRE243" s="334"/>
      <c r="PRF243" s="334"/>
      <c r="PRG243" s="334"/>
      <c r="PRH243" s="334"/>
      <c r="PRI243" s="334"/>
      <c r="PRJ243" s="334"/>
      <c r="PRK243" s="334"/>
      <c r="PRL243" s="334"/>
      <c r="PRM243" s="334"/>
      <c r="PRN243" s="334"/>
      <c r="PRO243" s="334"/>
      <c r="PRP243" s="334"/>
      <c r="PRQ243" s="334"/>
      <c r="PRR243" s="334"/>
      <c r="PRS243" s="334"/>
      <c r="PRT243" s="334"/>
      <c r="PRU243" s="334"/>
      <c r="PRV243" s="334"/>
      <c r="PRW243" s="334"/>
      <c r="PRX243" s="334"/>
      <c r="PRY243" s="334"/>
      <c r="PRZ243" s="334"/>
      <c r="PSA243" s="334"/>
      <c r="PSB243" s="334"/>
      <c r="PSC243" s="334"/>
      <c r="PSD243" s="334"/>
      <c r="PSE243" s="334"/>
      <c r="PSF243" s="334"/>
      <c r="PSG243" s="334"/>
      <c r="PSH243" s="334"/>
      <c r="PSI243" s="334"/>
      <c r="PSJ243" s="334"/>
      <c r="PSK243" s="334"/>
      <c r="PSL243" s="334"/>
      <c r="PSM243" s="334"/>
      <c r="PSN243" s="334"/>
      <c r="PSO243" s="334"/>
      <c r="PSP243" s="334"/>
      <c r="PSQ243" s="334"/>
      <c r="PSR243" s="334"/>
      <c r="PSS243" s="334"/>
      <c r="PST243" s="334"/>
      <c r="PSU243" s="334"/>
      <c r="PSV243" s="334"/>
      <c r="PSW243" s="334"/>
      <c r="PSX243" s="334"/>
      <c r="PSY243" s="334"/>
      <c r="PSZ243" s="334"/>
      <c r="PTA243" s="334"/>
      <c r="PTB243" s="334"/>
      <c r="PTC243" s="334"/>
      <c r="PTD243" s="334"/>
      <c r="PTE243" s="334"/>
      <c r="PTF243" s="334"/>
      <c r="PTG243" s="334"/>
      <c r="PTH243" s="334"/>
      <c r="PTI243" s="334"/>
      <c r="PTJ243" s="334"/>
      <c r="PTK243" s="334"/>
      <c r="PTL243" s="334"/>
      <c r="PTM243" s="334"/>
      <c r="PTN243" s="334"/>
      <c r="PTO243" s="334"/>
      <c r="PTP243" s="334"/>
      <c r="PTQ243" s="334"/>
      <c r="PTR243" s="334"/>
      <c r="PTS243" s="334"/>
      <c r="PTT243" s="334"/>
      <c r="PTU243" s="334"/>
      <c r="PTV243" s="334"/>
      <c r="PTW243" s="334"/>
      <c r="PTX243" s="334"/>
      <c r="PTY243" s="334"/>
      <c r="PTZ243" s="334"/>
      <c r="PUA243" s="334"/>
      <c r="PUB243" s="334"/>
      <c r="PUC243" s="334"/>
      <c r="PUD243" s="334"/>
      <c r="PUE243" s="334"/>
      <c r="PUF243" s="334"/>
      <c r="PUG243" s="334"/>
      <c r="PUH243" s="334"/>
      <c r="PUI243" s="334"/>
      <c r="PUJ243" s="334"/>
      <c r="PUK243" s="334"/>
      <c r="PUL243" s="334"/>
      <c r="PUM243" s="334"/>
      <c r="PUN243" s="334"/>
      <c r="PUO243" s="334"/>
      <c r="PUP243" s="334"/>
      <c r="PUQ243" s="334"/>
      <c r="PUR243" s="334"/>
      <c r="PUS243" s="334"/>
      <c r="PUT243" s="334"/>
      <c r="PUU243" s="334"/>
      <c r="PUV243" s="334"/>
      <c r="PUW243" s="334"/>
      <c r="PUX243" s="334"/>
      <c r="PUY243" s="334"/>
      <c r="PUZ243" s="334"/>
      <c r="PVA243" s="334"/>
      <c r="PVB243" s="334"/>
      <c r="PVC243" s="334"/>
      <c r="PVD243" s="334"/>
      <c r="PVE243" s="334"/>
      <c r="PVF243" s="334"/>
      <c r="PVG243" s="334"/>
      <c r="PVH243" s="334"/>
      <c r="PVI243" s="334"/>
      <c r="PVJ243" s="334"/>
      <c r="PVK243" s="334"/>
      <c r="PVL243" s="334"/>
      <c r="PVM243" s="334"/>
      <c r="PVN243" s="334"/>
      <c r="PVO243" s="334"/>
      <c r="PVP243" s="334"/>
      <c r="PVQ243" s="334"/>
      <c r="PVR243" s="334"/>
      <c r="PVS243" s="334"/>
      <c r="PVT243" s="334"/>
      <c r="PVU243" s="334"/>
      <c r="PVV243" s="334"/>
      <c r="PVW243" s="334"/>
      <c r="PVX243" s="334"/>
      <c r="PVY243" s="334"/>
      <c r="PVZ243" s="334"/>
      <c r="PWA243" s="334"/>
      <c r="PWB243" s="334"/>
      <c r="PWC243" s="334"/>
      <c r="PWD243" s="334"/>
      <c r="PWE243" s="334"/>
      <c r="PWF243" s="334"/>
      <c r="PWG243" s="334"/>
      <c r="PWH243" s="334"/>
      <c r="PWI243" s="334"/>
      <c r="PWJ243" s="334"/>
      <c r="PWK243" s="334"/>
      <c r="PWL243" s="334"/>
      <c r="PWM243" s="334"/>
      <c r="PWN243" s="334"/>
      <c r="PWO243" s="334"/>
      <c r="PWP243" s="334"/>
      <c r="PWQ243" s="334"/>
      <c r="PWR243" s="334"/>
      <c r="PWS243" s="334"/>
      <c r="PWT243" s="334"/>
      <c r="PWU243" s="334"/>
      <c r="PWV243" s="334"/>
      <c r="PWW243" s="334"/>
      <c r="PWX243" s="334"/>
      <c r="PWY243" s="334"/>
      <c r="PWZ243" s="334"/>
      <c r="PXA243" s="334"/>
      <c r="PXB243" s="334"/>
      <c r="PXC243" s="334"/>
      <c r="PXD243" s="334"/>
      <c r="PXE243" s="334"/>
      <c r="PXF243" s="334"/>
      <c r="PXG243" s="334"/>
      <c r="PXH243" s="334"/>
      <c r="PXI243" s="334"/>
      <c r="PXJ243" s="334"/>
      <c r="PXK243" s="334"/>
      <c r="PXL243" s="334"/>
      <c r="PXM243" s="334"/>
      <c r="PXN243" s="334"/>
      <c r="PXO243" s="334"/>
      <c r="PXP243" s="334"/>
      <c r="PXQ243" s="334"/>
      <c r="PXR243" s="334"/>
      <c r="PXS243" s="334"/>
      <c r="PXT243" s="334"/>
      <c r="PXU243" s="334"/>
      <c r="PXV243" s="334"/>
      <c r="PXW243" s="334"/>
      <c r="PXX243" s="334"/>
      <c r="PXY243" s="334"/>
      <c r="PXZ243" s="334"/>
      <c r="PYA243" s="334"/>
      <c r="PYB243" s="334"/>
      <c r="PYC243" s="334"/>
      <c r="PYD243" s="334"/>
      <c r="PYE243" s="334"/>
      <c r="PYF243" s="334"/>
      <c r="PYG243" s="334"/>
      <c r="PYH243" s="334"/>
      <c r="PYI243" s="334"/>
      <c r="PYJ243" s="334"/>
      <c r="PYK243" s="334"/>
      <c r="PYL243" s="334"/>
      <c r="PYM243" s="334"/>
      <c r="PYN243" s="334"/>
      <c r="PYO243" s="334"/>
      <c r="PYP243" s="334"/>
      <c r="PYQ243" s="334"/>
      <c r="PYR243" s="334"/>
      <c r="PYS243" s="334"/>
      <c r="PYT243" s="334"/>
      <c r="PYU243" s="334"/>
      <c r="PYV243" s="334"/>
      <c r="PYW243" s="334"/>
      <c r="PYX243" s="334"/>
      <c r="PYY243" s="334"/>
      <c r="PYZ243" s="334"/>
      <c r="PZA243" s="334"/>
      <c r="PZB243" s="334"/>
      <c r="PZC243" s="334"/>
      <c r="PZD243" s="334"/>
      <c r="PZE243" s="334"/>
      <c r="PZF243" s="334"/>
      <c r="PZG243" s="334"/>
      <c r="PZH243" s="334"/>
      <c r="PZI243" s="334"/>
      <c r="PZJ243" s="334"/>
      <c r="PZK243" s="334"/>
      <c r="PZL243" s="334"/>
      <c r="PZM243" s="334"/>
      <c r="PZN243" s="334"/>
      <c r="PZO243" s="334"/>
      <c r="PZP243" s="334"/>
      <c r="PZQ243" s="334"/>
      <c r="PZR243" s="334"/>
      <c r="PZS243" s="334"/>
      <c r="PZT243" s="334"/>
      <c r="PZU243" s="334"/>
      <c r="PZV243" s="334"/>
      <c r="PZW243" s="334"/>
      <c r="PZX243" s="334"/>
      <c r="PZY243" s="334"/>
      <c r="PZZ243" s="334"/>
      <c r="QAA243" s="334"/>
      <c r="QAB243" s="334"/>
      <c r="QAC243" s="334"/>
      <c r="QAD243" s="334"/>
      <c r="QAE243" s="334"/>
      <c r="QAF243" s="334"/>
      <c r="QAG243" s="334"/>
      <c r="QAH243" s="334"/>
      <c r="QAI243" s="334"/>
      <c r="QAJ243" s="334"/>
      <c r="QAK243" s="334"/>
      <c r="QAL243" s="334"/>
      <c r="QAM243" s="334"/>
      <c r="QAN243" s="334"/>
      <c r="QAO243" s="334"/>
      <c r="QAP243" s="334"/>
      <c r="QAQ243" s="334"/>
      <c r="QAR243" s="334"/>
      <c r="QAS243" s="334"/>
      <c r="QAT243" s="334"/>
      <c r="QAU243" s="334"/>
      <c r="QAV243" s="334"/>
      <c r="QAW243" s="334"/>
      <c r="QAX243" s="334"/>
      <c r="QAY243" s="334"/>
      <c r="QAZ243" s="334"/>
      <c r="QBA243" s="334"/>
      <c r="QBB243" s="334"/>
      <c r="QBC243" s="334"/>
      <c r="QBD243" s="334"/>
      <c r="QBE243" s="334"/>
      <c r="QBF243" s="334"/>
      <c r="QBG243" s="334"/>
      <c r="QBH243" s="334"/>
      <c r="QBI243" s="334"/>
      <c r="QBJ243" s="334"/>
      <c r="QBK243" s="334"/>
      <c r="QBL243" s="334"/>
      <c r="QBM243" s="334"/>
      <c r="QBN243" s="334"/>
      <c r="QBO243" s="334"/>
      <c r="QBP243" s="334"/>
      <c r="QBQ243" s="334"/>
      <c r="QBR243" s="334"/>
      <c r="QBS243" s="334"/>
      <c r="QBT243" s="334"/>
      <c r="QBU243" s="334"/>
      <c r="QBV243" s="334"/>
      <c r="QBW243" s="334"/>
      <c r="QBX243" s="334"/>
      <c r="QBY243" s="334"/>
      <c r="QBZ243" s="334"/>
      <c r="QCA243" s="334"/>
      <c r="QCB243" s="334"/>
      <c r="QCC243" s="334"/>
      <c r="QCD243" s="334"/>
      <c r="QCE243" s="334"/>
      <c r="QCF243" s="334"/>
      <c r="QCG243" s="334"/>
      <c r="QCH243" s="334"/>
      <c r="QCI243" s="334"/>
      <c r="QCJ243" s="334"/>
      <c r="QCK243" s="334"/>
      <c r="QCL243" s="334"/>
      <c r="QCM243" s="334"/>
      <c r="QCN243" s="334"/>
      <c r="QCO243" s="334"/>
      <c r="QCP243" s="334"/>
      <c r="QCQ243" s="334"/>
      <c r="QCR243" s="334"/>
      <c r="QCS243" s="334"/>
      <c r="QCT243" s="334"/>
      <c r="QCU243" s="334"/>
      <c r="QCV243" s="334"/>
      <c r="QCW243" s="334"/>
      <c r="QCX243" s="334"/>
      <c r="QCY243" s="334"/>
      <c r="QCZ243" s="334"/>
      <c r="QDA243" s="334"/>
      <c r="QDB243" s="334"/>
      <c r="QDC243" s="334"/>
      <c r="QDD243" s="334"/>
      <c r="QDE243" s="334"/>
      <c r="QDF243" s="334"/>
      <c r="QDG243" s="334"/>
      <c r="QDH243" s="334"/>
      <c r="QDI243" s="334"/>
      <c r="QDJ243" s="334"/>
      <c r="QDK243" s="334"/>
      <c r="QDL243" s="334"/>
      <c r="QDM243" s="334"/>
      <c r="QDN243" s="334"/>
      <c r="QDO243" s="334"/>
      <c r="QDP243" s="334"/>
      <c r="QDQ243" s="334"/>
      <c r="QDR243" s="334"/>
      <c r="QDS243" s="334"/>
      <c r="QDT243" s="334"/>
      <c r="QDU243" s="334"/>
      <c r="QDV243" s="334"/>
      <c r="QDW243" s="334"/>
      <c r="QDX243" s="334"/>
      <c r="QDY243" s="334"/>
      <c r="QDZ243" s="334"/>
      <c r="QEA243" s="334"/>
      <c r="QEB243" s="334"/>
      <c r="QEC243" s="334"/>
      <c r="QED243" s="334"/>
      <c r="QEE243" s="334"/>
      <c r="QEF243" s="334"/>
      <c r="QEG243" s="334"/>
      <c r="QEH243" s="334"/>
      <c r="QEI243" s="334"/>
      <c r="QEJ243" s="334"/>
      <c r="QEK243" s="334"/>
      <c r="QEL243" s="334"/>
      <c r="QEM243" s="334"/>
      <c r="QEN243" s="334"/>
      <c r="QEO243" s="334"/>
      <c r="QEP243" s="334"/>
      <c r="QEQ243" s="334"/>
      <c r="QER243" s="334"/>
      <c r="QES243" s="334"/>
      <c r="QET243" s="334"/>
      <c r="QEU243" s="334"/>
      <c r="QEV243" s="334"/>
      <c r="QEW243" s="334"/>
      <c r="QEX243" s="334"/>
      <c r="QEY243" s="334"/>
      <c r="QEZ243" s="334"/>
      <c r="QFA243" s="334"/>
      <c r="QFB243" s="334"/>
      <c r="QFC243" s="334"/>
      <c r="QFD243" s="334"/>
      <c r="QFE243" s="334"/>
      <c r="QFF243" s="334"/>
      <c r="QFG243" s="334"/>
      <c r="QFH243" s="334"/>
      <c r="QFI243" s="334"/>
      <c r="QFJ243" s="334"/>
      <c r="QFK243" s="334"/>
      <c r="QFL243" s="334"/>
      <c r="QFM243" s="334"/>
      <c r="QFN243" s="334"/>
      <c r="QFO243" s="334"/>
      <c r="QFP243" s="334"/>
      <c r="QFQ243" s="334"/>
      <c r="QFR243" s="334"/>
      <c r="QFS243" s="334"/>
      <c r="QFT243" s="334"/>
      <c r="QFU243" s="334"/>
      <c r="QFV243" s="334"/>
      <c r="QFW243" s="334"/>
      <c r="QFX243" s="334"/>
      <c r="QFY243" s="334"/>
      <c r="QFZ243" s="334"/>
      <c r="QGA243" s="334"/>
      <c r="QGB243" s="334"/>
      <c r="QGC243" s="334"/>
      <c r="QGD243" s="334"/>
      <c r="QGE243" s="334"/>
      <c r="QGF243" s="334"/>
      <c r="QGG243" s="334"/>
      <c r="QGH243" s="334"/>
      <c r="QGI243" s="334"/>
      <c r="QGJ243" s="334"/>
      <c r="QGK243" s="334"/>
      <c r="QGL243" s="334"/>
      <c r="QGM243" s="334"/>
      <c r="QGN243" s="334"/>
      <c r="QGO243" s="334"/>
      <c r="QGP243" s="334"/>
      <c r="QGQ243" s="334"/>
      <c r="QGR243" s="334"/>
      <c r="QGS243" s="334"/>
      <c r="QGT243" s="334"/>
      <c r="QGU243" s="334"/>
      <c r="QGV243" s="334"/>
      <c r="QGW243" s="334"/>
      <c r="QGX243" s="334"/>
      <c r="QGY243" s="334"/>
      <c r="QGZ243" s="334"/>
      <c r="QHA243" s="334"/>
      <c r="QHB243" s="334"/>
      <c r="QHC243" s="334"/>
      <c r="QHD243" s="334"/>
      <c r="QHE243" s="334"/>
      <c r="QHF243" s="334"/>
      <c r="QHG243" s="334"/>
      <c r="QHH243" s="334"/>
      <c r="QHI243" s="334"/>
      <c r="QHJ243" s="334"/>
      <c r="QHK243" s="334"/>
      <c r="QHL243" s="334"/>
      <c r="QHM243" s="334"/>
      <c r="QHN243" s="334"/>
      <c r="QHO243" s="334"/>
      <c r="QHP243" s="334"/>
      <c r="QHQ243" s="334"/>
      <c r="QHR243" s="334"/>
      <c r="QHS243" s="334"/>
      <c r="QHT243" s="334"/>
      <c r="QHU243" s="334"/>
      <c r="QHV243" s="334"/>
      <c r="QHW243" s="334"/>
      <c r="QHX243" s="334"/>
      <c r="QHY243" s="334"/>
      <c r="QHZ243" s="334"/>
      <c r="QIA243" s="334"/>
      <c r="QIB243" s="334"/>
      <c r="QIC243" s="334"/>
      <c r="QID243" s="334"/>
      <c r="QIE243" s="334"/>
      <c r="QIF243" s="334"/>
      <c r="QIG243" s="334"/>
      <c r="QIH243" s="334"/>
      <c r="QII243" s="334"/>
      <c r="QIJ243" s="334"/>
      <c r="QIK243" s="334"/>
      <c r="QIL243" s="334"/>
      <c r="QIM243" s="334"/>
      <c r="QIN243" s="334"/>
      <c r="QIO243" s="334"/>
      <c r="QIP243" s="334"/>
      <c r="QIQ243" s="334"/>
      <c r="QIR243" s="334"/>
      <c r="QIS243" s="334"/>
      <c r="QIT243" s="334"/>
      <c r="QIU243" s="334"/>
      <c r="QIV243" s="334"/>
      <c r="QIW243" s="334"/>
      <c r="QIX243" s="334"/>
      <c r="QIY243" s="334"/>
      <c r="QIZ243" s="334"/>
      <c r="QJA243" s="334"/>
      <c r="QJB243" s="334"/>
      <c r="QJC243" s="334"/>
      <c r="QJD243" s="334"/>
      <c r="QJE243" s="334"/>
      <c r="QJF243" s="334"/>
      <c r="QJG243" s="334"/>
      <c r="QJH243" s="334"/>
      <c r="QJI243" s="334"/>
      <c r="QJJ243" s="334"/>
      <c r="QJK243" s="334"/>
      <c r="QJL243" s="334"/>
      <c r="QJM243" s="334"/>
      <c r="QJN243" s="334"/>
      <c r="QJO243" s="334"/>
      <c r="QJP243" s="334"/>
      <c r="QJQ243" s="334"/>
      <c r="QJR243" s="334"/>
      <c r="QJS243" s="334"/>
      <c r="QJT243" s="334"/>
      <c r="QJU243" s="334"/>
      <c r="QJV243" s="334"/>
      <c r="QJW243" s="334"/>
      <c r="QJX243" s="334"/>
      <c r="QJY243" s="334"/>
      <c r="QJZ243" s="334"/>
      <c r="QKA243" s="334"/>
      <c r="QKB243" s="334"/>
      <c r="QKC243" s="334"/>
      <c r="QKD243" s="334"/>
      <c r="QKE243" s="334"/>
      <c r="QKF243" s="334"/>
      <c r="QKG243" s="334"/>
      <c r="QKH243" s="334"/>
      <c r="QKI243" s="334"/>
      <c r="QKJ243" s="334"/>
      <c r="QKK243" s="334"/>
      <c r="QKL243" s="334"/>
      <c r="QKM243" s="334"/>
      <c r="QKN243" s="334"/>
      <c r="QKO243" s="334"/>
      <c r="QKP243" s="334"/>
      <c r="QKQ243" s="334"/>
      <c r="QKR243" s="334"/>
      <c r="QKS243" s="334"/>
      <c r="QKT243" s="334"/>
      <c r="QKU243" s="334"/>
      <c r="QKV243" s="334"/>
      <c r="QKW243" s="334"/>
      <c r="QKX243" s="334"/>
      <c r="QKY243" s="334"/>
      <c r="QKZ243" s="334"/>
      <c r="QLA243" s="334"/>
      <c r="QLB243" s="334"/>
      <c r="QLC243" s="334"/>
      <c r="QLD243" s="334"/>
      <c r="QLE243" s="334"/>
      <c r="QLF243" s="334"/>
      <c r="QLG243" s="334"/>
      <c r="QLH243" s="334"/>
      <c r="QLI243" s="334"/>
      <c r="QLJ243" s="334"/>
      <c r="QLK243" s="334"/>
      <c r="QLL243" s="334"/>
      <c r="QLM243" s="334"/>
      <c r="QLN243" s="334"/>
      <c r="QLO243" s="334"/>
      <c r="QLP243" s="334"/>
      <c r="QLQ243" s="334"/>
      <c r="QLR243" s="334"/>
      <c r="QLS243" s="334"/>
      <c r="QLT243" s="334"/>
      <c r="QLU243" s="334"/>
      <c r="QLV243" s="334"/>
      <c r="QLW243" s="334"/>
      <c r="QLX243" s="334"/>
      <c r="QLY243" s="334"/>
      <c r="QLZ243" s="334"/>
      <c r="QMA243" s="334"/>
      <c r="QMB243" s="334"/>
      <c r="QMC243" s="334"/>
      <c r="QMD243" s="334"/>
      <c r="QME243" s="334"/>
      <c r="QMF243" s="334"/>
      <c r="QMG243" s="334"/>
      <c r="QMH243" s="334"/>
      <c r="QMI243" s="334"/>
      <c r="QMJ243" s="334"/>
      <c r="QMK243" s="334"/>
      <c r="QML243" s="334"/>
      <c r="QMM243" s="334"/>
      <c r="QMN243" s="334"/>
      <c r="QMO243" s="334"/>
      <c r="QMP243" s="334"/>
      <c r="QMQ243" s="334"/>
      <c r="QMR243" s="334"/>
      <c r="QMS243" s="334"/>
      <c r="QMT243" s="334"/>
      <c r="QMU243" s="334"/>
      <c r="QMV243" s="334"/>
      <c r="QMW243" s="334"/>
      <c r="QMX243" s="334"/>
      <c r="QMY243" s="334"/>
      <c r="QMZ243" s="334"/>
      <c r="QNA243" s="334"/>
      <c r="QNB243" s="334"/>
      <c r="QNC243" s="334"/>
      <c r="QND243" s="334"/>
      <c r="QNE243" s="334"/>
      <c r="QNF243" s="334"/>
      <c r="QNG243" s="334"/>
      <c r="QNH243" s="334"/>
      <c r="QNI243" s="334"/>
      <c r="QNJ243" s="334"/>
      <c r="QNK243" s="334"/>
      <c r="QNL243" s="334"/>
      <c r="QNM243" s="334"/>
      <c r="QNN243" s="334"/>
      <c r="QNO243" s="334"/>
      <c r="QNP243" s="334"/>
      <c r="QNQ243" s="334"/>
      <c r="QNR243" s="334"/>
      <c r="QNS243" s="334"/>
      <c r="QNT243" s="334"/>
      <c r="QNU243" s="334"/>
      <c r="QNV243" s="334"/>
      <c r="QNW243" s="334"/>
      <c r="QNX243" s="334"/>
      <c r="QNY243" s="334"/>
      <c r="QNZ243" s="334"/>
      <c r="QOA243" s="334"/>
      <c r="QOB243" s="334"/>
      <c r="QOC243" s="334"/>
      <c r="QOD243" s="334"/>
      <c r="QOE243" s="334"/>
      <c r="QOF243" s="334"/>
      <c r="QOG243" s="334"/>
      <c r="QOH243" s="334"/>
      <c r="QOI243" s="334"/>
      <c r="QOJ243" s="334"/>
      <c r="QOK243" s="334"/>
      <c r="QOL243" s="334"/>
      <c r="QOM243" s="334"/>
      <c r="QON243" s="334"/>
      <c r="QOO243" s="334"/>
      <c r="QOP243" s="334"/>
      <c r="QOQ243" s="334"/>
      <c r="QOR243" s="334"/>
      <c r="QOS243" s="334"/>
      <c r="QOT243" s="334"/>
      <c r="QOU243" s="334"/>
      <c r="QOV243" s="334"/>
      <c r="QOW243" s="334"/>
      <c r="QOX243" s="334"/>
      <c r="QOY243" s="334"/>
      <c r="QOZ243" s="334"/>
      <c r="QPA243" s="334"/>
      <c r="QPB243" s="334"/>
      <c r="QPC243" s="334"/>
      <c r="QPD243" s="334"/>
      <c r="QPE243" s="334"/>
      <c r="QPF243" s="334"/>
      <c r="QPG243" s="334"/>
      <c r="QPH243" s="334"/>
      <c r="QPI243" s="334"/>
      <c r="QPJ243" s="334"/>
      <c r="QPK243" s="334"/>
      <c r="QPL243" s="334"/>
      <c r="QPM243" s="334"/>
      <c r="QPN243" s="334"/>
      <c r="QPO243" s="334"/>
      <c r="QPP243" s="334"/>
      <c r="QPQ243" s="334"/>
      <c r="QPR243" s="334"/>
      <c r="QPS243" s="334"/>
      <c r="QPT243" s="334"/>
      <c r="QPU243" s="334"/>
      <c r="QPV243" s="334"/>
      <c r="QPW243" s="334"/>
      <c r="QPX243" s="334"/>
      <c r="QPY243" s="334"/>
      <c r="QPZ243" s="334"/>
      <c r="QQA243" s="334"/>
      <c r="QQB243" s="334"/>
      <c r="QQC243" s="334"/>
      <c r="QQD243" s="334"/>
      <c r="QQE243" s="334"/>
      <c r="QQF243" s="334"/>
      <c r="QQG243" s="334"/>
      <c r="QQH243" s="334"/>
      <c r="QQI243" s="334"/>
      <c r="QQJ243" s="334"/>
      <c r="QQK243" s="334"/>
      <c r="QQL243" s="334"/>
      <c r="QQM243" s="334"/>
      <c r="QQN243" s="334"/>
      <c r="QQO243" s="334"/>
      <c r="QQP243" s="334"/>
      <c r="QQQ243" s="334"/>
      <c r="QQR243" s="334"/>
      <c r="QQS243" s="334"/>
      <c r="QQT243" s="334"/>
      <c r="QQU243" s="334"/>
      <c r="QQV243" s="334"/>
      <c r="QQW243" s="334"/>
      <c r="QQX243" s="334"/>
      <c r="QQY243" s="334"/>
      <c r="QQZ243" s="334"/>
      <c r="QRA243" s="334"/>
      <c r="QRB243" s="334"/>
      <c r="QRC243" s="334"/>
      <c r="QRD243" s="334"/>
      <c r="QRE243" s="334"/>
      <c r="QRF243" s="334"/>
      <c r="QRG243" s="334"/>
      <c r="QRH243" s="334"/>
      <c r="QRI243" s="334"/>
      <c r="QRJ243" s="334"/>
      <c r="QRK243" s="334"/>
      <c r="QRL243" s="334"/>
      <c r="QRM243" s="334"/>
      <c r="QRN243" s="334"/>
      <c r="QRO243" s="334"/>
      <c r="QRP243" s="334"/>
      <c r="QRQ243" s="334"/>
      <c r="QRR243" s="334"/>
      <c r="QRS243" s="334"/>
      <c r="QRT243" s="334"/>
      <c r="QRU243" s="334"/>
      <c r="QRV243" s="334"/>
      <c r="QRW243" s="334"/>
      <c r="QRX243" s="334"/>
      <c r="QRY243" s="334"/>
      <c r="QRZ243" s="334"/>
      <c r="QSA243" s="334"/>
      <c r="QSB243" s="334"/>
      <c r="QSC243" s="334"/>
      <c r="QSD243" s="334"/>
      <c r="QSE243" s="334"/>
      <c r="QSF243" s="334"/>
      <c r="QSG243" s="334"/>
      <c r="QSH243" s="334"/>
      <c r="QSI243" s="334"/>
      <c r="QSJ243" s="334"/>
      <c r="QSK243" s="334"/>
      <c r="QSL243" s="334"/>
      <c r="QSM243" s="334"/>
      <c r="QSN243" s="334"/>
      <c r="QSO243" s="334"/>
      <c r="QSP243" s="334"/>
      <c r="QSQ243" s="334"/>
      <c r="QSR243" s="334"/>
      <c r="QSS243" s="334"/>
      <c r="QST243" s="334"/>
      <c r="QSU243" s="334"/>
      <c r="QSV243" s="334"/>
      <c r="QSW243" s="334"/>
      <c r="QSX243" s="334"/>
      <c r="QSY243" s="334"/>
      <c r="QSZ243" s="334"/>
      <c r="QTA243" s="334"/>
      <c r="QTB243" s="334"/>
      <c r="QTC243" s="334"/>
      <c r="QTD243" s="334"/>
      <c r="QTE243" s="334"/>
      <c r="QTF243" s="334"/>
      <c r="QTG243" s="334"/>
      <c r="QTH243" s="334"/>
      <c r="QTI243" s="334"/>
      <c r="QTJ243" s="334"/>
      <c r="QTK243" s="334"/>
      <c r="QTL243" s="334"/>
      <c r="QTM243" s="334"/>
      <c r="QTN243" s="334"/>
      <c r="QTO243" s="334"/>
      <c r="QTP243" s="334"/>
      <c r="QTQ243" s="334"/>
      <c r="QTR243" s="334"/>
      <c r="QTS243" s="334"/>
      <c r="QTT243" s="334"/>
      <c r="QTU243" s="334"/>
      <c r="QTV243" s="334"/>
      <c r="QTW243" s="334"/>
      <c r="QTX243" s="334"/>
      <c r="QTY243" s="334"/>
      <c r="QTZ243" s="334"/>
      <c r="QUA243" s="334"/>
      <c r="QUB243" s="334"/>
      <c r="QUC243" s="334"/>
      <c r="QUD243" s="334"/>
      <c r="QUE243" s="334"/>
      <c r="QUF243" s="334"/>
      <c r="QUG243" s="334"/>
      <c r="QUH243" s="334"/>
      <c r="QUI243" s="334"/>
      <c r="QUJ243" s="334"/>
      <c r="QUK243" s="334"/>
      <c r="QUL243" s="334"/>
      <c r="QUM243" s="334"/>
      <c r="QUN243" s="334"/>
      <c r="QUO243" s="334"/>
      <c r="QUP243" s="334"/>
      <c r="QUQ243" s="334"/>
      <c r="QUR243" s="334"/>
      <c r="QUS243" s="334"/>
      <c r="QUT243" s="334"/>
      <c r="QUU243" s="334"/>
      <c r="QUV243" s="334"/>
      <c r="QUW243" s="334"/>
      <c r="QUX243" s="334"/>
      <c r="QUY243" s="334"/>
      <c r="QUZ243" s="334"/>
      <c r="QVA243" s="334"/>
      <c r="QVB243" s="334"/>
      <c r="QVC243" s="334"/>
      <c r="QVD243" s="334"/>
      <c r="QVE243" s="334"/>
      <c r="QVF243" s="334"/>
      <c r="QVG243" s="334"/>
      <c r="QVH243" s="334"/>
      <c r="QVI243" s="334"/>
      <c r="QVJ243" s="334"/>
      <c r="QVK243" s="334"/>
      <c r="QVL243" s="334"/>
      <c r="QVM243" s="334"/>
      <c r="QVN243" s="334"/>
      <c r="QVO243" s="334"/>
      <c r="QVP243" s="334"/>
      <c r="QVQ243" s="334"/>
      <c r="QVR243" s="334"/>
      <c r="QVS243" s="334"/>
      <c r="QVT243" s="334"/>
      <c r="QVU243" s="334"/>
      <c r="QVV243" s="334"/>
      <c r="QVW243" s="334"/>
      <c r="QVX243" s="334"/>
      <c r="QVY243" s="334"/>
      <c r="QVZ243" s="334"/>
      <c r="QWA243" s="334"/>
      <c r="QWB243" s="334"/>
      <c r="QWC243" s="334"/>
      <c r="QWD243" s="334"/>
      <c r="QWE243" s="334"/>
      <c r="QWF243" s="334"/>
      <c r="QWG243" s="334"/>
      <c r="QWH243" s="334"/>
      <c r="QWI243" s="334"/>
      <c r="QWJ243" s="334"/>
      <c r="QWK243" s="334"/>
      <c r="QWL243" s="334"/>
      <c r="QWM243" s="334"/>
      <c r="QWN243" s="334"/>
      <c r="QWO243" s="334"/>
      <c r="QWP243" s="334"/>
      <c r="QWQ243" s="334"/>
      <c r="QWR243" s="334"/>
      <c r="QWS243" s="334"/>
      <c r="QWT243" s="334"/>
      <c r="QWU243" s="334"/>
      <c r="QWV243" s="334"/>
      <c r="QWW243" s="334"/>
      <c r="QWX243" s="334"/>
      <c r="QWY243" s="334"/>
      <c r="QWZ243" s="334"/>
      <c r="QXA243" s="334"/>
      <c r="QXB243" s="334"/>
      <c r="QXC243" s="334"/>
      <c r="QXD243" s="334"/>
      <c r="QXE243" s="334"/>
      <c r="QXF243" s="334"/>
      <c r="QXG243" s="334"/>
      <c r="QXH243" s="334"/>
      <c r="QXI243" s="334"/>
      <c r="QXJ243" s="334"/>
      <c r="QXK243" s="334"/>
      <c r="QXL243" s="334"/>
      <c r="QXM243" s="334"/>
      <c r="QXN243" s="334"/>
      <c r="QXO243" s="334"/>
      <c r="QXP243" s="334"/>
      <c r="QXQ243" s="334"/>
      <c r="QXR243" s="334"/>
      <c r="QXS243" s="334"/>
      <c r="QXT243" s="334"/>
      <c r="QXU243" s="334"/>
      <c r="QXV243" s="334"/>
      <c r="QXW243" s="334"/>
      <c r="QXX243" s="334"/>
      <c r="QXY243" s="334"/>
      <c r="QXZ243" s="334"/>
      <c r="QYA243" s="334"/>
      <c r="QYB243" s="334"/>
      <c r="QYC243" s="334"/>
      <c r="QYD243" s="334"/>
      <c r="QYE243" s="334"/>
      <c r="QYF243" s="334"/>
      <c r="QYG243" s="334"/>
      <c r="QYH243" s="334"/>
      <c r="QYI243" s="334"/>
      <c r="QYJ243" s="334"/>
      <c r="QYK243" s="334"/>
      <c r="QYL243" s="334"/>
      <c r="QYM243" s="334"/>
      <c r="QYN243" s="334"/>
      <c r="QYO243" s="334"/>
      <c r="QYP243" s="334"/>
      <c r="QYQ243" s="334"/>
      <c r="QYR243" s="334"/>
      <c r="QYS243" s="334"/>
      <c r="QYT243" s="334"/>
      <c r="QYU243" s="334"/>
      <c r="QYV243" s="334"/>
      <c r="QYW243" s="334"/>
      <c r="QYX243" s="334"/>
      <c r="QYY243" s="334"/>
      <c r="QYZ243" s="334"/>
      <c r="QZA243" s="334"/>
      <c r="QZB243" s="334"/>
      <c r="QZC243" s="334"/>
      <c r="QZD243" s="334"/>
      <c r="QZE243" s="334"/>
      <c r="QZF243" s="334"/>
      <c r="QZG243" s="334"/>
      <c r="QZH243" s="334"/>
      <c r="QZI243" s="334"/>
      <c r="QZJ243" s="334"/>
      <c r="QZK243" s="334"/>
      <c r="QZL243" s="334"/>
      <c r="QZM243" s="334"/>
      <c r="QZN243" s="334"/>
      <c r="QZO243" s="334"/>
      <c r="QZP243" s="334"/>
      <c r="QZQ243" s="334"/>
      <c r="QZR243" s="334"/>
      <c r="QZS243" s="334"/>
      <c r="QZT243" s="334"/>
      <c r="QZU243" s="334"/>
      <c r="QZV243" s="334"/>
      <c r="QZW243" s="334"/>
      <c r="QZX243" s="334"/>
      <c r="QZY243" s="334"/>
      <c r="QZZ243" s="334"/>
      <c r="RAA243" s="334"/>
      <c r="RAB243" s="334"/>
      <c r="RAC243" s="334"/>
      <c r="RAD243" s="334"/>
      <c r="RAE243" s="334"/>
      <c r="RAF243" s="334"/>
      <c r="RAG243" s="334"/>
      <c r="RAH243" s="334"/>
      <c r="RAI243" s="334"/>
      <c r="RAJ243" s="334"/>
      <c r="RAK243" s="334"/>
      <c r="RAL243" s="334"/>
      <c r="RAM243" s="334"/>
      <c r="RAN243" s="334"/>
      <c r="RAO243" s="334"/>
      <c r="RAP243" s="334"/>
      <c r="RAQ243" s="334"/>
      <c r="RAR243" s="334"/>
      <c r="RAS243" s="334"/>
      <c r="RAT243" s="334"/>
      <c r="RAU243" s="334"/>
      <c r="RAV243" s="334"/>
      <c r="RAW243" s="334"/>
      <c r="RAX243" s="334"/>
      <c r="RAY243" s="334"/>
      <c r="RAZ243" s="334"/>
      <c r="RBA243" s="334"/>
      <c r="RBB243" s="334"/>
      <c r="RBC243" s="334"/>
      <c r="RBD243" s="334"/>
      <c r="RBE243" s="334"/>
      <c r="RBF243" s="334"/>
      <c r="RBG243" s="334"/>
      <c r="RBH243" s="334"/>
      <c r="RBI243" s="334"/>
      <c r="RBJ243" s="334"/>
      <c r="RBK243" s="334"/>
      <c r="RBL243" s="334"/>
      <c r="RBM243" s="334"/>
      <c r="RBN243" s="334"/>
      <c r="RBO243" s="334"/>
      <c r="RBP243" s="334"/>
      <c r="RBQ243" s="334"/>
      <c r="RBR243" s="334"/>
      <c r="RBS243" s="334"/>
      <c r="RBT243" s="334"/>
      <c r="RBU243" s="334"/>
      <c r="RBV243" s="334"/>
      <c r="RBW243" s="334"/>
      <c r="RBX243" s="334"/>
      <c r="RBY243" s="334"/>
      <c r="RBZ243" s="334"/>
      <c r="RCA243" s="334"/>
      <c r="RCB243" s="334"/>
      <c r="RCC243" s="334"/>
      <c r="RCD243" s="334"/>
      <c r="RCE243" s="334"/>
      <c r="RCF243" s="334"/>
      <c r="RCG243" s="334"/>
      <c r="RCH243" s="334"/>
      <c r="RCI243" s="334"/>
      <c r="RCJ243" s="334"/>
      <c r="RCK243" s="334"/>
      <c r="RCL243" s="334"/>
      <c r="RCM243" s="334"/>
      <c r="RCN243" s="334"/>
      <c r="RCO243" s="334"/>
      <c r="RCP243" s="334"/>
      <c r="RCQ243" s="334"/>
      <c r="RCR243" s="334"/>
      <c r="RCS243" s="334"/>
      <c r="RCT243" s="334"/>
      <c r="RCU243" s="334"/>
      <c r="RCV243" s="334"/>
      <c r="RCW243" s="334"/>
      <c r="RCX243" s="334"/>
      <c r="RCY243" s="334"/>
      <c r="RCZ243" s="334"/>
      <c r="RDA243" s="334"/>
      <c r="RDB243" s="334"/>
      <c r="RDC243" s="334"/>
      <c r="RDD243" s="334"/>
      <c r="RDE243" s="334"/>
      <c r="RDF243" s="334"/>
      <c r="RDG243" s="334"/>
      <c r="RDH243" s="334"/>
      <c r="RDI243" s="334"/>
      <c r="RDJ243" s="334"/>
      <c r="RDK243" s="334"/>
      <c r="RDL243" s="334"/>
      <c r="RDM243" s="334"/>
      <c r="RDN243" s="334"/>
      <c r="RDO243" s="334"/>
      <c r="RDP243" s="334"/>
      <c r="RDQ243" s="334"/>
      <c r="RDR243" s="334"/>
      <c r="RDS243" s="334"/>
      <c r="RDT243" s="334"/>
      <c r="RDU243" s="334"/>
      <c r="RDV243" s="334"/>
      <c r="RDW243" s="334"/>
      <c r="RDX243" s="334"/>
      <c r="RDY243" s="334"/>
      <c r="RDZ243" s="334"/>
      <c r="REA243" s="334"/>
      <c r="REB243" s="334"/>
      <c r="REC243" s="334"/>
      <c r="RED243" s="334"/>
      <c r="REE243" s="334"/>
      <c r="REF243" s="334"/>
      <c r="REG243" s="334"/>
      <c r="REH243" s="334"/>
      <c r="REI243" s="334"/>
      <c r="REJ243" s="334"/>
      <c r="REK243" s="334"/>
      <c r="REL243" s="334"/>
      <c r="REM243" s="334"/>
      <c r="REN243" s="334"/>
      <c r="REO243" s="334"/>
      <c r="REP243" s="334"/>
      <c r="REQ243" s="334"/>
      <c r="RER243" s="334"/>
      <c r="RES243" s="334"/>
      <c r="RET243" s="334"/>
      <c r="REU243" s="334"/>
      <c r="REV243" s="334"/>
      <c r="REW243" s="334"/>
      <c r="REX243" s="334"/>
      <c r="REY243" s="334"/>
      <c r="REZ243" s="334"/>
      <c r="RFA243" s="334"/>
      <c r="RFB243" s="334"/>
      <c r="RFC243" s="334"/>
      <c r="RFD243" s="334"/>
      <c r="RFE243" s="334"/>
      <c r="RFF243" s="334"/>
      <c r="RFG243" s="334"/>
      <c r="RFH243" s="334"/>
      <c r="RFI243" s="334"/>
      <c r="RFJ243" s="334"/>
      <c r="RFK243" s="334"/>
      <c r="RFL243" s="334"/>
      <c r="RFM243" s="334"/>
      <c r="RFN243" s="334"/>
      <c r="RFO243" s="334"/>
      <c r="RFP243" s="334"/>
      <c r="RFQ243" s="334"/>
      <c r="RFR243" s="334"/>
      <c r="RFS243" s="334"/>
      <c r="RFT243" s="334"/>
      <c r="RFU243" s="334"/>
      <c r="RFV243" s="334"/>
      <c r="RFW243" s="334"/>
      <c r="RFX243" s="334"/>
      <c r="RFY243" s="334"/>
      <c r="RFZ243" s="334"/>
      <c r="RGA243" s="334"/>
      <c r="RGB243" s="334"/>
      <c r="RGC243" s="334"/>
      <c r="RGD243" s="334"/>
      <c r="RGE243" s="334"/>
      <c r="RGF243" s="334"/>
      <c r="RGG243" s="334"/>
      <c r="RGH243" s="334"/>
      <c r="RGI243" s="334"/>
      <c r="RGJ243" s="334"/>
      <c r="RGK243" s="334"/>
      <c r="RGL243" s="334"/>
      <c r="RGM243" s="334"/>
      <c r="RGN243" s="334"/>
      <c r="RGO243" s="334"/>
      <c r="RGP243" s="334"/>
      <c r="RGQ243" s="334"/>
      <c r="RGR243" s="334"/>
      <c r="RGS243" s="334"/>
      <c r="RGT243" s="334"/>
      <c r="RGU243" s="334"/>
      <c r="RGV243" s="334"/>
      <c r="RGW243" s="334"/>
      <c r="RGX243" s="334"/>
      <c r="RGY243" s="334"/>
      <c r="RGZ243" s="334"/>
      <c r="RHA243" s="334"/>
      <c r="RHB243" s="334"/>
      <c r="RHC243" s="334"/>
      <c r="RHD243" s="334"/>
      <c r="RHE243" s="334"/>
      <c r="RHF243" s="334"/>
      <c r="RHG243" s="334"/>
      <c r="RHH243" s="334"/>
      <c r="RHI243" s="334"/>
      <c r="RHJ243" s="334"/>
      <c r="RHK243" s="334"/>
      <c r="RHL243" s="334"/>
      <c r="RHM243" s="334"/>
      <c r="RHN243" s="334"/>
      <c r="RHO243" s="334"/>
      <c r="RHP243" s="334"/>
      <c r="RHQ243" s="334"/>
      <c r="RHR243" s="334"/>
      <c r="RHS243" s="334"/>
      <c r="RHT243" s="334"/>
      <c r="RHU243" s="334"/>
      <c r="RHV243" s="334"/>
      <c r="RHW243" s="334"/>
      <c r="RHX243" s="334"/>
      <c r="RHY243" s="334"/>
      <c r="RHZ243" s="334"/>
      <c r="RIA243" s="334"/>
      <c r="RIB243" s="334"/>
      <c r="RIC243" s="334"/>
      <c r="RID243" s="334"/>
      <c r="RIE243" s="334"/>
      <c r="RIF243" s="334"/>
      <c r="RIG243" s="334"/>
      <c r="RIH243" s="334"/>
      <c r="RII243" s="334"/>
      <c r="RIJ243" s="334"/>
      <c r="RIK243" s="334"/>
      <c r="RIL243" s="334"/>
      <c r="RIM243" s="334"/>
      <c r="RIN243" s="334"/>
      <c r="RIO243" s="334"/>
      <c r="RIP243" s="334"/>
      <c r="RIQ243" s="334"/>
      <c r="RIR243" s="334"/>
      <c r="RIS243" s="334"/>
      <c r="RIT243" s="334"/>
      <c r="RIU243" s="334"/>
      <c r="RIV243" s="334"/>
      <c r="RIW243" s="334"/>
      <c r="RIX243" s="334"/>
      <c r="RIY243" s="334"/>
      <c r="RIZ243" s="334"/>
      <c r="RJA243" s="334"/>
      <c r="RJB243" s="334"/>
      <c r="RJC243" s="334"/>
      <c r="RJD243" s="334"/>
      <c r="RJE243" s="334"/>
      <c r="RJF243" s="334"/>
      <c r="RJG243" s="334"/>
      <c r="RJH243" s="334"/>
      <c r="RJI243" s="334"/>
      <c r="RJJ243" s="334"/>
      <c r="RJK243" s="334"/>
      <c r="RJL243" s="334"/>
      <c r="RJM243" s="334"/>
      <c r="RJN243" s="334"/>
      <c r="RJO243" s="334"/>
      <c r="RJP243" s="334"/>
      <c r="RJQ243" s="334"/>
      <c r="RJR243" s="334"/>
      <c r="RJS243" s="334"/>
      <c r="RJT243" s="334"/>
      <c r="RJU243" s="334"/>
      <c r="RJV243" s="334"/>
      <c r="RJW243" s="334"/>
      <c r="RJX243" s="334"/>
      <c r="RJY243" s="334"/>
      <c r="RJZ243" s="334"/>
      <c r="RKA243" s="334"/>
      <c r="RKB243" s="334"/>
      <c r="RKC243" s="334"/>
      <c r="RKD243" s="334"/>
      <c r="RKE243" s="334"/>
      <c r="RKF243" s="334"/>
      <c r="RKG243" s="334"/>
      <c r="RKH243" s="334"/>
      <c r="RKI243" s="334"/>
      <c r="RKJ243" s="334"/>
      <c r="RKK243" s="334"/>
      <c r="RKL243" s="334"/>
      <c r="RKM243" s="334"/>
      <c r="RKN243" s="334"/>
      <c r="RKO243" s="334"/>
      <c r="RKP243" s="334"/>
      <c r="RKQ243" s="334"/>
      <c r="RKR243" s="334"/>
      <c r="RKS243" s="334"/>
      <c r="RKT243" s="334"/>
      <c r="RKU243" s="334"/>
      <c r="RKV243" s="334"/>
      <c r="RKW243" s="334"/>
      <c r="RKX243" s="334"/>
      <c r="RKY243" s="334"/>
      <c r="RKZ243" s="334"/>
      <c r="RLA243" s="334"/>
      <c r="RLB243" s="334"/>
      <c r="RLC243" s="334"/>
      <c r="RLD243" s="334"/>
      <c r="RLE243" s="334"/>
      <c r="RLF243" s="334"/>
      <c r="RLG243" s="334"/>
      <c r="RLH243" s="334"/>
      <c r="RLI243" s="334"/>
      <c r="RLJ243" s="334"/>
      <c r="RLK243" s="334"/>
      <c r="RLL243" s="334"/>
      <c r="RLM243" s="334"/>
      <c r="RLN243" s="334"/>
      <c r="RLO243" s="334"/>
      <c r="RLP243" s="334"/>
      <c r="RLQ243" s="334"/>
      <c r="RLR243" s="334"/>
      <c r="RLS243" s="334"/>
      <c r="RLT243" s="334"/>
      <c r="RLU243" s="334"/>
      <c r="RLV243" s="334"/>
      <c r="RLW243" s="334"/>
      <c r="RLX243" s="334"/>
      <c r="RLY243" s="334"/>
      <c r="RLZ243" s="334"/>
      <c r="RMA243" s="334"/>
      <c r="RMB243" s="334"/>
      <c r="RMC243" s="334"/>
      <c r="RMD243" s="334"/>
      <c r="RME243" s="334"/>
      <c r="RMF243" s="334"/>
      <c r="RMG243" s="334"/>
      <c r="RMH243" s="334"/>
      <c r="RMI243" s="334"/>
      <c r="RMJ243" s="334"/>
      <c r="RMK243" s="334"/>
      <c r="RML243" s="334"/>
      <c r="RMM243" s="334"/>
      <c r="RMN243" s="334"/>
      <c r="RMO243" s="334"/>
      <c r="RMP243" s="334"/>
      <c r="RMQ243" s="334"/>
      <c r="RMR243" s="334"/>
      <c r="RMS243" s="334"/>
      <c r="RMT243" s="334"/>
      <c r="RMU243" s="334"/>
      <c r="RMV243" s="334"/>
      <c r="RMW243" s="334"/>
      <c r="RMX243" s="334"/>
      <c r="RMY243" s="334"/>
      <c r="RMZ243" s="334"/>
      <c r="RNA243" s="334"/>
      <c r="RNB243" s="334"/>
      <c r="RNC243" s="334"/>
      <c r="RND243" s="334"/>
      <c r="RNE243" s="334"/>
      <c r="RNF243" s="334"/>
      <c r="RNG243" s="334"/>
      <c r="RNH243" s="334"/>
      <c r="RNI243" s="334"/>
      <c r="RNJ243" s="334"/>
      <c r="RNK243" s="334"/>
      <c r="RNL243" s="334"/>
      <c r="RNM243" s="334"/>
      <c r="RNN243" s="334"/>
      <c r="RNO243" s="334"/>
      <c r="RNP243" s="334"/>
      <c r="RNQ243" s="334"/>
      <c r="RNR243" s="334"/>
      <c r="RNS243" s="334"/>
      <c r="RNT243" s="334"/>
      <c r="RNU243" s="334"/>
      <c r="RNV243" s="334"/>
      <c r="RNW243" s="334"/>
      <c r="RNX243" s="334"/>
      <c r="RNY243" s="334"/>
      <c r="RNZ243" s="334"/>
      <c r="ROA243" s="334"/>
      <c r="ROB243" s="334"/>
      <c r="ROC243" s="334"/>
      <c r="ROD243" s="334"/>
      <c r="ROE243" s="334"/>
      <c r="ROF243" s="334"/>
      <c r="ROG243" s="334"/>
      <c r="ROH243" s="334"/>
      <c r="ROI243" s="334"/>
      <c r="ROJ243" s="334"/>
      <c r="ROK243" s="334"/>
      <c r="ROL243" s="334"/>
      <c r="ROM243" s="334"/>
      <c r="RON243" s="334"/>
      <c r="ROO243" s="334"/>
      <c r="ROP243" s="334"/>
      <c r="ROQ243" s="334"/>
      <c r="ROR243" s="334"/>
      <c r="ROS243" s="334"/>
      <c r="ROT243" s="334"/>
      <c r="ROU243" s="334"/>
      <c r="ROV243" s="334"/>
      <c r="ROW243" s="334"/>
      <c r="ROX243" s="334"/>
      <c r="ROY243" s="334"/>
      <c r="ROZ243" s="334"/>
      <c r="RPA243" s="334"/>
      <c r="RPB243" s="334"/>
      <c r="RPC243" s="334"/>
      <c r="RPD243" s="334"/>
      <c r="RPE243" s="334"/>
      <c r="RPF243" s="334"/>
      <c r="RPG243" s="334"/>
      <c r="RPH243" s="334"/>
      <c r="RPI243" s="334"/>
      <c r="RPJ243" s="334"/>
      <c r="RPK243" s="334"/>
      <c r="RPL243" s="334"/>
      <c r="RPM243" s="334"/>
      <c r="RPN243" s="334"/>
      <c r="RPO243" s="334"/>
      <c r="RPP243" s="334"/>
      <c r="RPQ243" s="334"/>
      <c r="RPR243" s="334"/>
      <c r="RPS243" s="334"/>
      <c r="RPT243" s="334"/>
      <c r="RPU243" s="334"/>
      <c r="RPV243" s="334"/>
      <c r="RPW243" s="334"/>
      <c r="RPX243" s="334"/>
      <c r="RPY243" s="334"/>
      <c r="RPZ243" s="334"/>
      <c r="RQA243" s="334"/>
      <c r="RQB243" s="334"/>
      <c r="RQC243" s="334"/>
      <c r="RQD243" s="334"/>
      <c r="RQE243" s="334"/>
      <c r="RQF243" s="334"/>
      <c r="RQG243" s="334"/>
      <c r="RQH243" s="334"/>
      <c r="RQI243" s="334"/>
      <c r="RQJ243" s="334"/>
      <c r="RQK243" s="334"/>
      <c r="RQL243" s="334"/>
      <c r="RQM243" s="334"/>
      <c r="RQN243" s="334"/>
      <c r="RQO243" s="334"/>
      <c r="RQP243" s="334"/>
      <c r="RQQ243" s="334"/>
      <c r="RQR243" s="334"/>
      <c r="RQS243" s="334"/>
      <c r="RQT243" s="334"/>
      <c r="RQU243" s="334"/>
      <c r="RQV243" s="334"/>
      <c r="RQW243" s="334"/>
      <c r="RQX243" s="334"/>
      <c r="RQY243" s="334"/>
      <c r="RQZ243" s="334"/>
      <c r="RRA243" s="334"/>
      <c r="RRB243" s="334"/>
      <c r="RRC243" s="334"/>
      <c r="RRD243" s="334"/>
      <c r="RRE243" s="334"/>
      <c r="RRF243" s="334"/>
      <c r="RRG243" s="334"/>
      <c r="RRH243" s="334"/>
      <c r="RRI243" s="334"/>
      <c r="RRJ243" s="334"/>
      <c r="RRK243" s="334"/>
      <c r="RRL243" s="334"/>
      <c r="RRM243" s="334"/>
      <c r="RRN243" s="334"/>
      <c r="RRO243" s="334"/>
      <c r="RRP243" s="334"/>
      <c r="RRQ243" s="334"/>
      <c r="RRR243" s="334"/>
      <c r="RRS243" s="334"/>
      <c r="RRT243" s="334"/>
      <c r="RRU243" s="334"/>
      <c r="RRV243" s="334"/>
      <c r="RRW243" s="334"/>
      <c r="RRX243" s="334"/>
      <c r="RRY243" s="334"/>
      <c r="RRZ243" s="334"/>
      <c r="RSA243" s="334"/>
      <c r="RSB243" s="334"/>
      <c r="RSC243" s="334"/>
      <c r="RSD243" s="334"/>
      <c r="RSE243" s="334"/>
      <c r="RSF243" s="334"/>
      <c r="RSG243" s="334"/>
      <c r="RSH243" s="334"/>
      <c r="RSI243" s="334"/>
      <c r="RSJ243" s="334"/>
      <c r="RSK243" s="334"/>
      <c r="RSL243" s="334"/>
      <c r="RSM243" s="334"/>
      <c r="RSN243" s="334"/>
      <c r="RSO243" s="334"/>
      <c r="RSP243" s="334"/>
      <c r="RSQ243" s="334"/>
      <c r="RSR243" s="334"/>
      <c r="RSS243" s="334"/>
      <c r="RST243" s="334"/>
      <c r="RSU243" s="334"/>
      <c r="RSV243" s="334"/>
      <c r="RSW243" s="334"/>
      <c r="RSX243" s="334"/>
      <c r="RSY243" s="334"/>
      <c r="RSZ243" s="334"/>
      <c r="RTA243" s="334"/>
      <c r="RTB243" s="334"/>
      <c r="RTC243" s="334"/>
      <c r="RTD243" s="334"/>
      <c r="RTE243" s="334"/>
      <c r="RTF243" s="334"/>
      <c r="RTG243" s="334"/>
      <c r="RTH243" s="334"/>
      <c r="RTI243" s="334"/>
      <c r="RTJ243" s="334"/>
      <c r="RTK243" s="334"/>
      <c r="RTL243" s="334"/>
      <c r="RTM243" s="334"/>
      <c r="RTN243" s="334"/>
      <c r="RTO243" s="334"/>
      <c r="RTP243" s="334"/>
      <c r="RTQ243" s="334"/>
      <c r="RTR243" s="334"/>
      <c r="RTS243" s="334"/>
      <c r="RTT243" s="334"/>
      <c r="RTU243" s="334"/>
      <c r="RTV243" s="334"/>
      <c r="RTW243" s="334"/>
      <c r="RTX243" s="334"/>
      <c r="RTY243" s="334"/>
      <c r="RTZ243" s="334"/>
      <c r="RUA243" s="334"/>
      <c r="RUB243" s="334"/>
      <c r="RUC243" s="334"/>
      <c r="RUD243" s="334"/>
      <c r="RUE243" s="334"/>
      <c r="RUF243" s="334"/>
      <c r="RUG243" s="334"/>
      <c r="RUH243" s="334"/>
      <c r="RUI243" s="334"/>
      <c r="RUJ243" s="334"/>
      <c r="RUK243" s="334"/>
      <c r="RUL243" s="334"/>
      <c r="RUM243" s="334"/>
      <c r="RUN243" s="334"/>
      <c r="RUO243" s="334"/>
      <c r="RUP243" s="334"/>
      <c r="RUQ243" s="334"/>
      <c r="RUR243" s="334"/>
      <c r="RUS243" s="334"/>
      <c r="RUT243" s="334"/>
      <c r="RUU243" s="334"/>
      <c r="RUV243" s="334"/>
      <c r="RUW243" s="334"/>
      <c r="RUX243" s="334"/>
      <c r="RUY243" s="334"/>
      <c r="RUZ243" s="334"/>
      <c r="RVA243" s="334"/>
      <c r="RVB243" s="334"/>
      <c r="RVC243" s="334"/>
      <c r="RVD243" s="334"/>
      <c r="RVE243" s="334"/>
      <c r="RVF243" s="334"/>
      <c r="RVG243" s="334"/>
      <c r="RVH243" s="334"/>
      <c r="RVI243" s="334"/>
      <c r="RVJ243" s="334"/>
      <c r="RVK243" s="334"/>
      <c r="RVL243" s="334"/>
      <c r="RVM243" s="334"/>
      <c r="RVN243" s="334"/>
      <c r="RVO243" s="334"/>
      <c r="RVP243" s="334"/>
      <c r="RVQ243" s="334"/>
      <c r="RVR243" s="334"/>
      <c r="RVS243" s="334"/>
      <c r="RVT243" s="334"/>
      <c r="RVU243" s="334"/>
      <c r="RVV243" s="334"/>
      <c r="RVW243" s="334"/>
      <c r="RVX243" s="334"/>
      <c r="RVY243" s="334"/>
      <c r="RVZ243" s="334"/>
      <c r="RWA243" s="334"/>
      <c r="RWB243" s="334"/>
      <c r="RWC243" s="334"/>
      <c r="RWD243" s="334"/>
      <c r="RWE243" s="334"/>
      <c r="RWF243" s="334"/>
      <c r="RWG243" s="334"/>
      <c r="RWH243" s="334"/>
      <c r="RWI243" s="334"/>
      <c r="RWJ243" s="334"/>
      <c r="RWK243" s="334"/>
      <c r="RWL243" s="334"/>
      <c r="RWM243" s="334"/>
      <c r="RWN243" s="334"/>
      <c r="RWO243" s="334"/>
      <c r="RWP243" s="334"/>
      <c r="RWQ243" s="334"/>
      <c r="RWR243" s="334"/>
      <c r="RWS243" s="334"/>
      <c r="RWT243" s="334"/>
      <c r="RWU243" s="334"/>
      <c r="RWV243" s="334"/>
      <c r="RWW243" s="334"/>
      <c r="RWX243" s="334"/>
      <c r="RWY243" s="334"/>
      <c r="RWZ243" s="334"/>
      <c r="RXA243" s="334"/>
      <c r="RXB243" s="334"/>
      <c r="RXC243" s="334"/>
      <c r="RXD243" s="334"/>
      <c r="RXE243" s="334"/>
      <c r="RXF243" s="334"/>
      <c r="RXG243" s="334"/>
      <c r="RXH243" s="334"/>
      <c r="RXI243" s="334"/>
      <c r="RXJ243" s="334"/>
      <c r="RXK243" s="334"/>
      <c r="RXL243" s="334"/>
      <c r="RXM243" s="334"/>
      <c r="RXN243" s="334"/>
      <c r="RXO243" s="334"/>
      <c r="RXP243" s="334"/>
      <c r="RXQ243" s="334"/>
      <c r="RXR243" s="334"/>
      <c r="RXS243" s="334"/>
      <c r="RXT243" s="334"/>
      <c r="RXU243" s="334"/>
      <c r="RXV243" s="334"/>
      <c r="RXW243" s="334"/>
      <c r="RXX243" s="334"/>
      <c r="RXY243" s="334"/>
      <c r="RXZ243" s="334"/>
      <c r="RYA243" s="334"/>
      <c r="RYB243" s="334"/>
      <c r="RYC243" s="334"/>
      <c r="RYD243" s="334"/>
      <c r="RYE243" s="334"/>
      <c r="RYF243" s="334"/>
      <c r="RYG243" s="334"/>
      <c r="RYH243" s="334"/>
      <c r="RYI243" s="334"/>
      <c r="RYJ243" s="334"/>
      <c r="RYK243" s="334"/>
      <c r="RYL243" s="334"/>
      <c r="RYM243" s="334"/>
      <c r="RYN243" s="334"/>
      <c r="RYO243" s="334"/>
      <c r="RYP243" s="334"/>
      <c r="RYQ243" s="334"/>
      <c r="RYR243" s="334"/>
      <c r="RYS243" s="334"/>
      <c r="RYT243" s="334"/>
      <c r="RYU243" s="334"/>
      <c r="RYV243" s="334"/>
      <c r="RYW243" s="334"/>
      <c r="RYX243" s="334"/>
      <c r="RYY243" s="334"/>
      <c r="RYZ243" s="334"/>
      <c r="RZA243" s="334"/>
      <c r="RZB243" s="334"/>
      <c r="RZC243" s="334"/>
      <c r="RZD243" s="334"/>
      <c r="RZE243" s="334"/>
      <c r="RZF243" s="334"/>
      <c r="RZG243" s="334"/>
      <c r="RZH243" s="334"/>
      <c r="RZI243" s="334"/>
      <c r="RZJ243" s="334"/>
      <c r="RZK243" s="334"/>
      <c r="RZL243" s="334"/>
      <c r="RZM243" s="334"/>
      <c r="RZN243" s="334"/>
      <c r="RZO243" s="334"/>
      <c r="RZP243" s="334"/>
      <c r="RZQ243" s="334"/>
      <c r="RZR243" s="334"/>
      <c r="RZS243" s="334"/>
      <c r="RZT243" s="334"/>
      <c r="RZU243" s="334"/>
      <c r="RZV243" s="334"/>
      <c r="RZW243" s="334"/>
      <c r="RZX243" s="334"/>
      <c r="RZY243" s="334"/>
      <c r="RZZ243" s="334"/>
      <c r="SAA243" s="334"/>
      <c r="SAB243" s="334"/>
      <c r="SAC243" s="334"/>
      <c r="SAD243" s="334"/>
      <c r="SAE243" s="334"/>
      <c r="SAF243" s="334"/>
      <c r="SAG243" s="334"/>
      <c r="SAH243" s="334"/>
      <c r="SAI243" s="334"/>
      <c r="SAJ243" s="334"/>
      <c r="SAK243" s="334"/>
      <c r="SAL243" s="334"/>
      <c r="SAM243" s="334"/>
      <c r="SAN243" s="334"/>
      <c r="SAO243" s="334"/>
      <c r="SAP243" s="334"/>
      <c r="SAQ243" s="334"/>
      <c r="SAR243" s="334"/>
      <c r="SAS243" s="334"/>
      <c r="SAT243" s="334"/>
      <c r="SAU243" s="334"/>
      <c r="SAV243" s="334"/>
      <c r="SAW243" s="334"/>
      <c r="SAX243" s="334"/>
      <c r="SAY243" s="334"/>
      <c r="SAZ243" s="334"/>
      <c r="SBA243" s="334"/>
      <c r="SBB243" s="334"/>
      <c r="SBC243" s="334"/>
      <c r="SBD243" s="334"/>
      <c r="SBE243" s="334"/>
      <c r="SBF243" s="334"/>
      <c r="SBG243" s="334"/>
      <c r="SBH243" s="334"/>
      <c r="SBI243" s="334"/>
      <c r="SBJ243" s="334"/>
      <c r="SBK243" s="334"/>
      <c r="SBL243" s="334"/>
      <c r="SBM243" s="334"/>
      <c r="SBN243" s="334"/>
      <c r="SBO243" s="334"/>
      <c r="SBP243" s="334"/>
      <c r="SBQ243" s="334"/>
      <c r="SBR243" s="334"/>
      <c r="SBS243" s="334"/>
      <c r="SBT243" s="334"/>
      <c r="SBU243" s="334"/>
      <c r="SBV243" s="334"/>
      <c r="SBW243" s="334"/>
      <c r="SBX243" s="334"/>
      <c r="SBY243" s="334"/>
      <c r="SBZ243" s="334"/>
      <c r="SCA243" s="334"/>
      <c r="SCB243" s="334"/>
      <c r="SCC243" s="334"/>
      <c r="SCD243" s="334"/>
      <c r="SCE243" s="334"/>
      <c r="SCF243" s="334"/>
      <c r="SCG243" s="334"/>
      <c r="SCH243" s="334"/>
      <c r="SCI243" s="334"/>
      <c r="SCJ243" s="334"/>
      <c r="SCK243" s="334"/>
      <c r="SCL243" s="334"/>
      <c r="SCM243" s="334"/>
      <c r="SCN243" s="334"/>
      <c r="SCO243" s="334"/>
      <c r="SCP243" s="334"/>
      <c r="SCQ243" s="334"/>
      <c r="SCR243" s="334"/>
      <c r="SCS243" s="334"/>
      <c r="SCT243" s="334"/>
      <c r="SCU243" s="334"/>
      <c r="SCV243" s="334"/>
      <c r="SCW243" s="334"/>
      <c r="SCX243" s="334"/>
      <c r="SCY243" s="334"/>
      <c r="SCZ243" s="334"/>
      <c r="SDA243" s="334"/>
      <c r="SDB243" s="334"/>
      <c r="SDC243" s="334"/>
      <c r="SDD243" s="334"/>
      <c r="SDE243" s="334"/>
      <c r="SDF243" s="334"/>
      <c r="SDG243" s="334"/>
      <c r="SDH243" s="334"/>
      <c r="SDI243" s="334"/>
      <c r="SDJ243" s="334"/>
      <c r="SDK243" s="334"/>
      <c r="SDL243" s="334"/>
      <c r="SDM243" s="334"/>
      <c r="SDN243" s="334"/>
      <c r="SDO243" s="334"/>
      <c r="SDP243" s="334"/>
      <c r="SDQ243" s="334"/>
      <c r="SDR243" s="334"/>
      <c r="SDS243" s="334"/>
      <c r="SDT243" s="334"/>
      <c r="SDU243" s="334"/>
      <c r="SDV243" s="334"/>
      <c r="SDW243" s="334"/>
      <c r="SDX243" s="334"/>
      <c r="SDY243" s="334"/>
      <c r="SDZ243" s="334"/>
      <c r="SEA243" s="334"/>
      <c r="SEB243" s="334"/>
      <c r="SEC243" s="334"/>
      <c r="SED243" s="334"/>
      <c r="SEE243" s="334"/>
      <c r="SEF243" s="334"/>
      <c r="SEG243" s="334"/>
      <c r="SEH243" s="334"/>
      <c r="SEI243" s="334"/>
      <c r="SEJ243" s="334"/>
      <c r="SEK243" s="334"/>
      <c r="SEL243" s="334"/>
      <c r="SEM243" s="334"/>
      <c r="SEN243" s="334"/>
      <c r="SEO243" s="334"/>
      <c r="SEP243" s="334"/>
      <c r="SEQ243" s="334"/>
      <c r="SER243" s="334"/>
      <c r="SES243" s="334"/>
      <c r="SET243" s="334"/>
      <c r="SEU243" s="334"/>
      <c r="SEV243" s="334"/>
      <c r="SEW243" s="334"/>
      <c r="SEX243" s="334"/>
      <c r="SEY243" s="334"/>
      <c r="SEZ243" s="334"/>
      <c r="SFA243" s="334"/>
      <c r="SFB243" s="334"/>
      <c r="SFC243" s="334"/>
      <c r="SFD243" s="334"/>
      <c r="SFE243" s="334"/>
      <c r="SFF243" s="334"/>
      <c r="SFG243" s="334"/>
      <c r="SFH243" s="334"/>
      <c r="SFI243" s="334"/>
      <c r="SFJ243" s="334"/>
      <c r="SFK243" s="334"/>
      <c r="SFL243" s="334"/>
      <c r="SFM243" s="334"/>
      <c r="SFN243" s="334"/>
      <c r="SFO243" s="334"/>
      <c r="SFP243" s="334"/>
      <c r="SFQ243" s="334"/>
      <c r="SFR243" s="334"/>
      <c r="SFS243" s="334"/>
      <c r="SFT243" s="334"/>
      <c r="SFU243" s="334"/>
      <c r="SFV243" s="334"/>
      <c r="SFW243" s="334"/>
      <c r="SFX243" s="334"/>
      <c r="SFY243" s="334"/>
      <c r="SFZ243" s="334"/>
      <c r="SGA243" s="334"/>
      <c r="SGB243" s="334"/>
      <c r="SGC243" s="334"/>
      <c r="SGD243" s="334"/>
      <c r="SGE243" s="334"/>
      <c r="SGF243" s="334"/>
      <c r="SGG243" s="334"/>
      <c r="SGH243" s="334"/>
      <c r="SGI243" s="334"/>
      <c r="SGJ243" s="334"/>
      <c r="SGK243" s="334"/>
      <c r="SGL243" s="334"/>
      <c r="SGM243" s="334"/>
      <c r="SGN243" s="334"/>
      <c r="SGO243" s="334"/>
      <c r="SGP243" s="334"/>
      <c r="SGQ243" s="334"/>
      <c r="SGR243" s="334"/>
      <c r="SGS243" s="334"/>
      <c r="SGT243" s="334"/>
      <c r="SGU243" s="334"/>
      <c r="SGV243" s="334"/>
      <c r="SGW243" s="334"/>
      <c r="SGX243" s="334"/>
      <c r="SGY243" s="334"/>
      <c r="SGZ243" s="334"/>
      <c r="SHA243" s="334"/>
      <c r="SHB243" s="334"/>
      <c r="SHC243" s="334"/>
      <c r="SHD243" s="334"/>
      <c r="SHE243" s="334"/>
      <c r="SHF243" s="334"/>
      <c r="SHG243" s="334"/>
      <c r="SHH243" s="334"/>
      <c r="SHI243" s="334"/>
      <c r="SHJ243" s="334"/>
      <c r="SHK243" s="334"/>
      <c r="SHL243" s="334"/>
      <c r="SHM243" s="334"/>
      <c r="SHN243" s="334"/>
      <c r="SHO243" s="334"/>
      <c r="SHP243" s="334"/>
      <c r="SHQ243" s="334"/>
      <c r="SHR243" s="334"/>
      <c r="SHS243" s="334"/>
      <c r="SHT243" s="334"/>
      <c r="SHU243" s="334"/>
      <c r="SHV243" s="334"/>
      <c r="SHW243" s="334"/>
      <c r="SHX243" s="334"/>
      <c r="SHY243" s="334"/>
      <c r="SHZ243" s="334"/>
      <c r="SIA243" s="334"/>
      <c r="SIB243" s="334"/>
      <c r="SIC243" s="334"/>
      <c r="SID243" s="334"/>
      <c r="SIE243" s="334"/>
      <c r="SIF243" s="334"/>
      <c r="SIG243" s="334"/>
      <c r="SIH243" s="334"/>
      <c r="SII243" s="334"/>
      <c r="SIJ243" s="334"/>
      <c r="SIK243" s="334"/>
      <c r="SIL243" s="334"/>
      <c r="SIM243" s="334"/>
      <c r="SIN243" s="334"/>
      <c r="SIO243" s="334"/>
      <c r="SIP243" s="334"/>
      <c r="SIQ243" s="334"/>
      <c r="SIR243" s="334"/>
      <c r="SIS243" s="334"/>
      <c r="SIT243" s="334"/>
      <c r="SIU243" s="334"/>
      <c r="SIV243" s="334"/>
      <c r="SIW243" s="334"/>
      <c r="SIX243" s="334"/>
      <c r="SIY243" s="334"/>
      <c r="SIZ243" s="334"/>
      <c r="SJA243" s="334"/>
      <c r="SJB243" s="334"/>
      <c r="SJC243" s="334"/>
      <c r="SJD243" s="334"/>
      <c r="SJE243" s="334"/>
      <c r="SJF243" s="334"/>
      <c r="SJG243" s="334"/>
      <c r="SJH243" s="334"/>
      <c r="SJI243" s="334"/>
      <c r="SJJ243" s="334"/>
      <c r="SJK243" s="334"/>
      <c r="SJL243" s="334"/>
      <c r="SJM243" s="334"/>
      <c r="SJN243" s="334"/>
      <c r="SJO243" s="334"/>
      <c r="SJP243" s="334"/>
      <c r="SJQ243" s="334"/>
      <c r="SJR243" s="334"/>
      <c r="SJS243" s="334"/>
      <c r="SJT243" s="334"/>
      <c r="SJU243" s="334"/>
      <c r="SJV243" s="334"/>
      <c r="SJW243" s="334"/>
      <c r="SJX243" s="334"/>
      <c r="SJY243" s="334"/>
      <c r="SJZ243" s="334"/>
      <c r="SKA243" s="334"/>
      <c r="SKB243" s="334"/>
      <c r="SKC243" s="334"/>
      <c r="SKD243" s="334"/>
      <c r="SKE243" s="334"/>
      <c r="SKF243" s="334"/>
      <c r="SKG243" s="334"/>
      <c r="SKH243" s="334"/>
      <c r="SKI243" s="334"/>
      <c r="SKJ243" s="334"/>
      <c r="SKK243" s="334"/>
      <c r="SKL243" s="334"/>
      <c r="SKM243" s="334"/>
      <c r="SKN243" s="334"/>
      <c r="SKO243" s="334"/>
      <c r="SKP243" s="334"/>
      <c r="SKQ243" s="334"/>
      <c r="SKR243" s="334"/>
      <c r="SKS243" s="334"/>
      <c r="SKT243" s="334"/>
      <c r="SKU243" s="334"/>
      <c r="SKV243" s="334"/>
      <c r="SKW243" s="334"/>
      <c r="SKX243" s="334"/>
      <c r="SKY243" s="334"/>
      <c r="SKZ243" s="334"/>
      <c r="SLA243" s="334"/>
      <c r="SLB243" s="334"/>
      <c r="SLC243" s="334"/>
      <c r="SLD243" s="334"/>
      <c r="SLE243" s="334"/>
      <c r="SLF243" s="334"/>
      <c r="SLG243" s="334"/>
      <c r="SLH243" s="334"/>
      <c r="SLI243" s="334"/>
      <c r="SLJ243" s="334"/>
      <c r="SLK243" s="334"/>
      <c r="SLL243" s="334"/>
      <c r="SLM243" s="334"/>
      <c r="SLN243" s="334"/>
      <c r="SLO243" s="334"/>
      <c r="SLP243" s="334"/>
      <c r="SLQ243" s="334"/>
      <c r="SLR243" s="334"/>
      <c r="SLS243" s="334"/>
      <c r="SLT243" s="334"/>
      <c r="SLU243" s="334"/>
      <c r="SLV243" s="334"/>
      <c r="SLW243" s="334"/>
      <c r="SLX243" s="334"/>
      <c r="SLY243" s="334"/>
      <c r="SLZ243" s="334"/>
      <c r="SMA243" s="334"/>
      <c r="SMB243" s="334"/>
      <c r="SMC243" s="334"/>
      <c r="SMD243" s="334"/>
      <c r="SME243" s="334"/>
      <c r="SMF243" s="334"/>
      <c r="SMG243" s="334"/>
      <c r="SMH243" s="334"/>
      <c r="SMI243" s="334"/>
      <c r="SMJ243" s="334"/>
      <c r="SMK243" s="334"/>
      <c r="SML243" s="334"/>
      <c r="SMM243" s="334"/>
      <c r="SMN243" s="334"/>
      <c r="SMO243" s="334"/>
      <c r="SMP243" s="334"/>
      <c r="SMQ243" s="334"/>
      <c r="SMR243" s="334"/>
      <c r="SMS243" s="334"/>
      <c r="SMT243" s="334"/>
      <c r="SMU243" s="334"/>
      <c r="SMV243" s="334"/>
      <c r="SMW243" s="334"/>
      <c r="SMX243" s="334"/>
      <c r="SMY243" s="334"/>
      <c r="SMZ243" s="334"/>
      <c r="SNA243" s="334"/>
      <c r="SNB243" s="334"/>
      <c r="SNC243" s="334"/>
      <c r="SND243" s="334"/>
      <c r="SNE243" s="334"/>
      <c r="SNF243" s="334"/>
      <c r="SNG243" s="334"/>
      <c r="SNH243" s="334"/>
      <c r="SNI243" s="334"/>
      <c r="SNJ243" s="334"/>
      <c r="SNK243" s="334"/>
      <c r="SNL243" s="334"/>
      <c r="SNM243" s="334"/>
      <c r="SNN243" s="334"/>
      <c r="SNO243" s="334"/>
      <c r="SNP243" s="334"/>
      <c r="SNQ243" s="334"/>
      <c r="SNR243" s="334"/>
      <c r="SNS243" s="334"/>
      <c r="SNT243" s="334"/>
      <c r="SNU243" s="334"/>
      <c r="SNV243" s="334"/>
      <c r="SNW243" s="334"/>
      <c r="SNX243" s="334"/>
      <c r="SNY243" s="334"/>
      <c r="SNZ243" s="334"/>
      <c r="SOA243" s="334"/>
      <c r="SOB243" s="334"/>
      <c r="SOC243" s="334"/>
      <c r="SOD243" s="334"/>
      <c r="SOE243" s="334"/>
      <c r="SOF243" s="334"/>
      <c r="SOG243" s="334"/>
      <c r="SOH243" s="334"/>
      <c r="SOI243" s="334"/>
      <c r="SOJ243" s="334"/>
      <c r="SOK243" s="334"/>
      <c r="SOL243" s="334"/>
      <c r="SOM243" s="334"/>
      <c r="SON243" s="334"/>
      <c r="SOO243" s="334"/>
      <c r="SOP243" s="334"/>
      <c r="SOQ243" s="334"/>
      <c r="SOR243" s="334"/>
      <c r="SOS243" s="334"/>
      <c r="SOT243" s="334"/>
      <c r="SOU243" s="334"/>
      <c r="SOV243" s="334"/>
      <c r="SOW243" s="334"/>
      <c r="SOX243" s="334"/>
      <c r="SOY243" s="334"/>
      <c r="SOZ243" s="334"/>
      <c r="SPA243" s="334"/>
      <c r="SPB243" s="334"/>
      <c r="SPC243" s="334"/>
      <c r="SPD243" s="334"/>
      <c r="SPE243" s="334"/>
      <c r="SPF243" s="334"/>
      <c r="SPG243" s="334"/>
      <c r="SPH243" s="334"/>
      <c r="SPI243" s="334"/>
      <c r="SPJ243" s="334"/>
      <c r="SPK243" s="334"/>
      <c r="SPL243" s="334"/>
      <c r="SPM243" s="334"/>
      <c r="SPN243" s="334"/>
      <c r="SPO243" s="334"/>
      <c r="SPP243" s="334"/>
      <c r="SPQ243" s="334"/>
      <c r="SPR243" s="334"/>
      <c r="SPS243" s="334"/>
      <c r="SPT243" s="334"/>
      <c r="SPU243" s="334"/>
      <c r="SPV243" s="334"/>
      <c r="SPW243" s="334"/>
      <c r="SPX243" s="334"/>
      <c r="SPY243" s="334"/>
      <c r="SPZ243" s="334"/>
      <c r="SQA243" s="334"/>
      <c r="SQB243" s="334"/>
      <c r="SQC243" s="334"/>
      <c r="SQD243" s="334"/>
      <c r="SQE243" s="334"/>
      <c r="SQF243" s="334"/>
      <c r="SQG243" s="334"/>
      <c r="SQH243" s="334"/>
      <c r="SQI243" s="334"/>
      <c r="SQJ243" s="334"/>
      <c r="SQK243" s="334"/>
      <c r="SQL243" s="334"/>
      <c r="SQM243" s="334"/>
      <c r="SQN243" s="334"/>
      <c r="SQO243" s="334"/>
      <c r="SQP243" s="334"/>
      <c r="SQQ243" s="334"/>
      <c r="SQR243" s="334"/>
      <c r="SQS243" s="334"/>
      <c r="SQT243" s="334"/>
      <c r="SQU243" s="334"/>
      <c r="SQV243" s="334"/>
      <c r="SQW243" s="334"/>
      <c r="SQX243" s="334"/>
      <c r="SQY243" s="334"/>
      <c r="SQZ243" s="334"/>
      <c r="SRA243" s="334"/>
      <c r="SRB243" s="334"/>
      <c r="SRC243" s="334"/>
      <c r="SRD243" s="334"/>
      <c r="SRE243" s="334"/>
      <c r="SRF243" s="334"/>
      <c r="SRG243" s="334"/>
      <c r="SRH243" s="334"/>
      <c r="SRI243" s="334"/>
      <c r="SRJ243" s="334"/>
      <c r="SRK243" s="334"/>
      <c r="SRL243" s="334"/>
      <c r="SRM243" s="334"/>
      <c r="SRN243" s="334"/>
      <c r="SRO243" s="334"/>
      <c r="SRP243" s="334"/>
      <c r="SRQ243" s="334"/>
      <c r="SRR243" s="334"/>
      <c r="SRS243" s="334"/>
      <c r="SRT243" s="334"/>
      <c r="SRU243" s="334"/>
      <c r="SRV243" s="334"/>
      <c r="SRW243" s="334"/>
      <c r="SRX243" s="334"/>
      <c r="SRY243" s="334"/>
      <c r="SRZ243" s="334"/>
      <c r="SSA243" s="334"/>
      <c r="SSB243" s="334"/>
      <c r="SSC243" s="334"/>
      <c r="SSD243" s="334"/>
      <c r="SSE243" s="334"/>
      <c r="SSF243" s="334"/>
      <c r="SSG243" s="334"/>
      <c r="SSH243" s="334"/>
      <c r="SSI243" s="334"/>
      <c r="SSJ243" s="334"/>
      <c r="SSK243" s="334"/>
      <c r="SSL243" s="334"/>
      <c r="SSM243" s="334"/>
      <c r="SSN243" s="334"/>
      <c r="SSO243" s="334"/>
      <c r="SSP243" s="334"/>
      <c r="SSQ243" s="334"/>
      <c r="SSR243" s="334"/>
      <c r="SSS243" s="334"/>
      <c r="SST243" s="334"/>
      <c r="SSU243" s="334"/>
      <c r="SSV243" s="334"/>
      <c r="SSW243" s="334"/>
      <c r="SSX243" s="334"/>
      <c r="SSY243" s="334"/>
      <c r="SSZ243" s="334"/>
      <c r="STA243" s="334"/>
      <c r="STB243" s="334"/>
      <c r="STC243" s="334"/>
      <c r="STD243" s="334"/>
      <c r="STE243" s="334"/>
      <c r="STF243" s="334"/>
      <c r="STG243" s="334"/>
      <c r="STH243" s="334"/>
      <c r="STI243" s="334"/>
      <c r="STJ243" s="334"/>
      <c r="STK243" s="334"/>
      <c r="STL243" s="334"/>
      <c r="STM243" s="334"/>
      <c r="STN243" s="334"/>
      <c r="STO243" s="334"/>
      <c r="STP243" s="334"/>
      <c r="STQ243" s="334"/>
      <c r="STR243" s="334"/>
      <c r="STS243" s="334"/>
      <c r="STT243" s="334"/>
      <c r="STU243" s="334"/>
      <c r="STV243" s="334"/>
      <c r="STW243" s="334"/>
      <c r="STX243" s="334"/>
      <c r="STY243" s="334"/>
      <c r="STZ243" s="334"/>
      <c r="SUA243" s="334"/>
      <c r="SUB243" s="334"/>
      <c r="SUC243" s="334"/>
      <c r="SUD243" s="334"/>
      <c r="SUE243" s="334"/>
      <c r="SUF243" s="334"/>
      <c r="SUG243" s="334"/>
      <c r="SUH243" s="334"/>
      <c r="SUI243" s="334"/>
      <c r="SUJ243" s="334"/>
      <c r="SUK243" s="334"/>
      <c r="SUL243" s="334"/>
      <c r="SUM243" s="334"/>
      <c r="SUN243" s="334"/>
      <c r="SUO243" s="334"/>
      <c r="SUP243" s="334"/>
      <c r="SUQ243" s="334"/>
      <c r="SUR243" s="334"/>
      <c r="SUS243" s="334"/>
      <c r="SUT243" s="334"/>
      <c r="SUU243" s="334"/>
      <c r="SUV243" s="334"/>
      <c r="SUW243" s="334"/>
      <c r="SUX243" s="334"/>
      <c r="SUY243" s="334"/>
      <c r="SUZ243" s="334"/>
      <c r="SVA243" s="334"/>
      <c r="SVB243" s="334"/>
      <c r="SVC243" s="334"/>
      <c r="SVD243" s="334"/>
      <c r="SVE243" s="334"/>
      <c r="SVF243" s="334"/>
      <c r="SVG243" s="334"/>
      <c r="SVH243" s="334"/>
      <c r="SVI243" s="334"/>
      <c r="SVJ243" s="334"/>
      <c r="SVK243" s="334"/>
      <c r="SVL243" s="334"/>
      <c r="SVM243" s="334"/>
      <c r="SVN243" s="334"/>
      <c r="SVO243" s="334"/>
      <c r="SVP243" s="334"/>
      <c r="SVQ243" s="334"/>
      <c r="SVR243" s="334"/>
      <c r="SVS243" s="334"/>
      <c r="SVT243" s="334"/>
      <c r="SVU243" s="334"/>
      <c r="SVV243" s="334"/>
      <c r="SVW243" s="334"/>
      <c r="SVX243" s="334"/>
      <c r="SVY243" s="334"/>
      <c r="SVZ243" s="334"/>
      <c r="SWA243" s="334"/>
      <c r="SWB243" s="334"/>
      <c r="SWC243" s="334"/>
      <c r="SWD243" s="334"/>
      <c r="SWE243" s="334"/>
      <c r="SWF243" s="334"/>
      <c r="SWG243" s="334"/>
      <c r="SWH243" s="334"/>
      <c r="SWI243" s="334"/>
      <c r="SWJ243" s="334"/>
      <c r="SWK243" s="334"/>
      <c r="SWL243" s="334"/>
      <c r="SWM243" s="334"/>
      <c r="SWN243" s="334"/>
      <c r="SWO243" s="334"/>
      <c r="SWP243" s="334"/>
      <c r="SWQ243" s="334"/>
      <c r="SWR243" s="334"/>
      <c r="SWS243" s="334"/>
      <c r="SWT243" s="334"/>
      <c r="SWU243" s="334"/>
      <c r="SWV243" s="334"/>
      <c r="SWW243" s="334"/>
      <c r="SWX243" s="334"/>
      <c r="SWY243" s="334"/>
      <c r="SWZ243" s="334"/>
      <c r="SXA243" s="334"/>
      <c r="SXB243" s="334"/>
      <c r="SXC243" s="334"/>
      <c r="SXD243" s="334"/>
      <c r="SXE243" s="334"/>
      <c r="SXF243" s="334"/>
      <c r="SXG243" s="334"/>
      <c r="SXH243" s="334"/>
      <c r="SXI243" s="334"/>
      <c r="SXJ243" s="334"/>
      <c r="SXK243" s="334"/>
      <c r="SXL243" s="334"/>
      <c r="SXM243" s="334"/>
      <c r="SXN243" s="334"/>
      <c r="SXO243" s="334"/>
      <c r="SXP243" s="334"/>
      <c r="SXQ243" s="334"/>
      <c r="SXR243" s="334"/>
      <c r="SXS243" s="334"/>
      <c r="SXT243" s="334"/>
      <c r="SXU243" s="334"/>
      <c r="SXV243" s="334"/>
      <c r="SXW243" s="334"/>
      <c r="SXX243" s="334"/>
      <c r="SXY243" s="334"/>
      <c r="SXZ243" s="334"/>
      <c r="SYA243" s="334"/>
      <c r="SYB243" s="334"/>
      <c r="SYC243" s="334"/>
      <c r="SYD243" s="334"/>
      <c r="SYE243" s="334"/>
      <c r="SYF243" s="334"/>
      <c r="SYG243" s="334"/>
      <c r="SYH243" s="334"/>
      <c r="SYI243" s="334"/>
      <c r="SYJ243" s="334"/>
      <c r="SYK243" s="334"/>
      <c r="SYL243" s="334"/>
      <c r="SYM243" s="334"/>
      <c r="SYN243" s="334"/>
      <c r="SYO243" s="334"/>
      <c r="SYP243" s="334"/>
      <c r="SYQ243" s="334"/>
      <c r="SYR243" s="334"/>
      <c r="SYS243" s="334"/>
      <c r="SYT243" s="334"/>
      <c r="SYU243" s="334"/>
      <c r="SYV243" s="334"/>
      <c r="SYW243" s="334"/>
      <c r="SYX243" s="334"/>
      <c r="SYY243" s="334"/>
      <c r="SYZ243" s="334"/>
      <c r="SZA243" s="334"/>
      <c r="SZB243" s="334"/>
      <c r="SZC243" s="334"/>
      <c r="SZD243" s="334"/>
      <c r="SZE243" s="334"/>
      <c r="SZF243" s="334"/>
      <c r="SZG243" s="334"/>
      <c r="SZH243" s="334"/>
      <c r="SZI243" s="334"/>
      <c r="SZJ243" s="334"/>
      <c r="SZK243" s="334"/>
      <c r="SZL243" s="334"/>
      <c r="SZM243" s="334"/>
      <c r="SZN243" s="334"/>
      <c r="SZO243" s="334"/>
      <c r="SZP243" s="334"/>
      <c r="SZQ243" s="334"/>
      <c r="SZR243" s="334"/>
      <c r="SZS243" s="334"/>
      <c r="SZT243" s="334"/>
      <c r="SZU243" s="334"/>
      <c r="SZV243" s="334"/>
      <c r="SZW243" s="334"/>
      <c r="SZX243" s="334"/>
      <c r="SZY243" s="334"/>
      <c r="SZZ243" s="334"/>
      <c r="TAA243" s="334"/>
      <c r="TAB243" s="334"/>
      <c r="TAC243" s="334"/>
      <c r="TAD243" s="334"/>
      <c r="TAE243" s="334"/>
      <c r="TAF243" s="334"/>
      <c r="TAG243" s="334"/>
      <c r="TAH243" s="334"/>
      <c r="TAI243" s="334"/>
      <c r="TAJ243" s="334"/>
      <c r="TAK243" s="334"/>
      <c r="TAL243" s="334"/>
      <c r="TAM243" s="334"/>
      <c r="TAN243" s="334"/>
      <c r="TAO243" s="334"/>
      <c r="TAP243" s="334"/>
      <c r="TAQ243" s="334"/>
      <c r="TAR243" s="334"/>
      <c r="TAS243" s="334"/>
      <c r="TAT243" s="334"/>
      <c r="TAU243" s="334"/>
      <c r="TAV243" s="334"/>
      <c r="TAW243" s="334"/>
      <c r="TAX243" s="334"/>
      <c r="TAY243" s="334"/>
      <c r="TAZ243" s="334"/>
      <c r="TBA243" s="334"/>
      <c r="TBB243" s="334"/>
      <c r="TBC243" s="334"/>
      <c r="TBD243" s="334"/>
      <c r="TBE243" s="334"/>
      <c r="TBF243" s="334"/>
      <c r="TBG243" s="334"/>
      <c r="TBH243" s="334"/>
      <c r="TBI243" s="334"/>
      <c r="TBJ243" s="334"/>
      <c r="TBK243" s="334"/>
      <c r="TBL243" s="334"/>
      <c r="TBM243" s="334"/>
      <c r="TBN243" s="334"/>
      <c r="TBO243" s="334"/>
      <c r="TBP243" s="334"/>
      <c r="TBQ243" s="334"/>
      <c r="TBR243" s="334"/>
      <c r="TBS243" s="334"/>
      <c r="TBT243" s="334"/>
      <c r="TBU243" s="334"/>
      <c r="TBV243" s="334"/>
      <c r="TBW243" s="334"/>
      <c r="TBX243" s="334"/>
      <c r="TBY243" s="334"/>
      <c r="TBZ243" s="334"/>
      <c r="TCA243" s="334"/>
      <c r="TCB243" s="334"/>
      <c r="TCC243" s="334"/>
      <c r="TCD243" s="334"/>
      <c r="TCE243" s="334"/>
      <c r="TCF243" s="334"/>
      <c r="TCG243" s="334"/>
      <c r="TCH243" s="334"/>
      <c r="TCI243" s="334"/>
      <c r="TCJ243" s="334"/>
      <c r="TCK243" s="334"/>
      <c r="TCL243" s="334"/>
      <c r="TCM243" s="334"/>
      <c r="TCN243" s="334"/>
      <c r="TCO243" s="334"/>
      <c r="TCP243" s="334"/>
      <c r="TCQ243" s="334"/>
      <c r="TCR243" s="334"/>
      <c r="TCS243" s="334"/>
      <c r="TCT243" s="334"/>
      <c r="TCU243" s="334"/>
      <c r="TCV243" s="334"/>
      <c r="TCW243" s="334"/>
      <c r="TCX243" s="334"/>
      <c r="TCY243" s="334"/>
      <c r="TCZ243" s="334"/>
      <c r="TDA243" s="334"/>
      <c r="TDB243" s="334"/>
      <c r="TDC243" s="334"/>
      <c r="TDD243" s="334"/>
      <c r="TDE243" s="334"/>
      <c r="TDF243" s="334"/>
      <c r="TDG243" s="334"/>
      <c r="TDH243" s="334"/>
      <c r="TDI243" s="334"/>
      <c r="TDJ243" s="334"/>
      <c r="TDK243" s="334"/>
      <c r="TDL243" s="334"/>
      <c r="TDM243" s="334"/>
      <c r="TDN243" s="334"/>
      <c r="TDO243" s="334"/>
      <c r="TDP243" s="334"/>
      <c r="TDQ243" s="334"/>
      <c r="TDR243" s="334"/>
      <c r="TDS243" s="334"/>
      <c r="TDT243" s="334"/>
      <c r="TDU243" s="334"/>
      <c r="TDV243" s="334"/>
      <c r="TDW243" s="334"/>
      <c r="TDX243" s="334"/>
      <c r="TDY243" s="334"/>
      <c r="TDZ243" s="334"/>
      <c r="TEA243" s="334"/>
      <c r="TEB243" s="334"/>
      <c r="TEC243" s="334"/>
      <c r="TED243" s="334"/>
      <c r="TEE243" s="334"/>
      <c r="TEF243" s="334"/>
      <c r="TEG243" s="334"/>
      <c r="TEH243" s="334"/>
      <c r="TEI243" s="334"/>
      <c r="TEJ243" s="334"/>
      <c r="TEK243" s="334"/>
      <c r="TEL243" s="334"/>
      <c r="TEM243" s="334"/>
      <c r="TEN243" s="334"/>
      <c r="TEO243" s="334"/>
      <c r="TEP243" s="334"/>
      <c r="TEQ243" s="334"/>
      <c r="TER243" s="334"/>
      <c r="TES243" s="334"/>
      <c r="TET243" s="334"/>
      <c r="TEU243" s="334"/>
      <c r="TEV243" s="334"/>
      <c r="TEW243" s="334"/>
      <c r="TEX243" s="334"/>
      <c r="TEY243" s="334"/>
      <c r="TEZ243" s="334"/>
      <c r="TFA243" s="334"/>
      <c r="TFB243" s="334"/>
      <c r="TFC243" s="334"/>
      <c r="TFD243" s="334"/>
      <c r="TFE243" s="334"/>
      <c r="TFF243" s="334"/>
      <c r="TFG243" s="334"/>
      <c r="TFH243" s="334"/>
      <c r="TFI243" s="334"/>
      <c r="TFJ243" s="334"/>
      <c r="TFK243" s="334"/>
      <c r="TFL243" s="334"/>
      <c r="TFM243" s="334"/>
      <c r="TFN243" s="334"/>
      <c r="TFO243" s="334"/>
      <c r="TFP243" s="334"/>
      <c r="TFQ243" s="334"/>
      <c r="TFR243" s="334"/>
      <c r="TFS243" s="334"/>
      <c r="TFT243" s="334"/>
      <c r="TFU243" s="334"/>
      <c r="TFV243" s="334"/>
      <c r="TFW243" s="334"/>
      <c r="TFX243" s="334"/>
      <c r="TFY243" s="334"/>
      <c r="TFZ243" s="334"/>
      <c r="TGA243" s="334"/>
      <c r="TGB243" s="334"/>
      <c r="TGC243" s="334"/>
      <c r="TGD243" s="334"/>
      <c r="TGE243" s="334"/>
      <c r="TGF243" s="334"/>
      <c r="TGG243" s="334"/>
      <c r="TGH243" s="334"/>
      <c r="TGI243" s="334"/>
      <c r="TGJ243" s="334"/>
      <c r="TGK243" s="334"/>
      <c r="TGL243" s="334"/>
      <c r="TGM243" s="334"/>
      <c r="TGN243" s="334"/>
      <c r="TGO243" s="334"/>
      <c r="TGP243" s="334"/>
      <c r="TGQ243" s="334"/>
      <c r="TGR243" s="334"/>
      <c r="TGS243" s="334"/>
      <c r="TGT243" s="334"/>
      <c r="TGU243" s="334"/>
      <c r="TGV243" s="334"/>
      <c r="TGW243" s="334"/>
      <c r="TGX243" s="334"/>
      <c r="TGY243" s="334"/>
      <c r="TGZ243" s="334"/>
      <c r="THA243" s="334"/>
      <c r="THB243" s="334"/>
      <c r="THC243" s="334"/>
      <c r="THD243" s="334"/>
      <c r="THE243" s="334"/>
      <c r="THF243" s="334"/>
      <c r="THG243" s="334"/>
      <c r="THH243" s="334"/>
      <c r="THI243" s="334"/>
      <c r="THJ243" s="334"/>
      <c r="THK243" s="334"/>
      <c r="THL243" s="334"/>
      <c r="THM243" s="334"/>
      <c r="THN243" s="334"/>
      <c r="THO243" s="334"/>
      <c r="THP243" s="334"/>
      <c r="THQ243" s="334"/>
      <c r="THR243" s="334"/>
      <c r="THS243" s="334"/>
      <c r="THT243" s="334"/>
      <c r="THU243" s="334"/>
      <c r="THV243" s="334"/>
      <c r="THW243" s="334"/>
      <c r="THX243" s="334"/>
      <c r="THY243" s="334"/>
      <c r="THZ243" s="334"/>
      <c r="TIA243" s="334"/>
      <c r="TIB243" s="334"/>
      <c r="TIC243" s="334"/>
      <c r="TID243" s="334"/>
      <c r="TIE243" s="334"/>
      <c r="TIF243" s="334"/>
      <c r="TIG243" s="334"/>
      <c r="TIH243" s="334"/>
      <c r="TII243" s="334"/>
      <c r="TIJ243" s="334"/>
      <c r="TIK243" s="334"/>
      <c r="TIL243" s="334"/>
      <c r="TIM243" s="334"/>
      <c r="TIN243" s="334"/>
      <c r="TIO243" s="334"/>
      <c r="TIP243" s="334"/>
      <c r="TIQ243" s="334"/>
      <c r="TIR243" s="334"/>
      <c r="TIS243" s="334"/>
      <c r="TIT243" s="334"/>
      <c r="TIU243" s="334"/>
      <c r="TIV243" s="334"/>
      <c r="TIW243" s="334"/>
      <c r="TIX243" s="334"/>
      <c r="TIY243" s="334"/>
      <c r="TIZ243" s="334"/>
      <c r="TJA243" s="334"/>
      <c r="TJB243" s="334"/>
      <c r="TJC243" s="334"/>
      <c r="TJD243" s="334"/>
      <c r="TJE243" s="334"/>
      <c r="TJF243" s="334"/>
      <c r="TJG243" s="334"/>
      <c r="TJH243" s="334"/>
      <c r="TJI243" s="334"/>
      <c r="TJJ243" s="334"/>
      <c r="TJK243" s="334"/>
      <c r="TJL243" s="334"/>
      <c r="TJM243" s="334"/>
      <c r="TJN243" s="334"/>
      <c r="TJO243" s="334"/>
      <c r="TJP243" s="334"/>
      <c r="TJQ243" s="334"/>
      <c r="TJR243" s="334"/>
      <c r="TJS243" s="334"/>
      <c r="TJT243" s="334"/>
      <c r="TJU243" s="334"/>
      <c r="TJV243" s="334"/>
      <c r="TJW243" s="334"/>
      <c r="TJX243" s="334"/>
      <c r="TJY243" s="334"/>
      <c r="TJZ243" s="334"/>
      <c r="TKA243" s="334"/>
      <c r="TKB243" s="334"/>
      <c r="TKC243" s="334"/>
      <c r="TKD243" s="334"/>
      <c r="TKE243" s="334"/>
      <c r="TKF243" s="334"/>
      <c r="TKG243" s="334"/>
      <c r="TKH243" s="334"/>
      <c r="TKI243" s="334"/>
      <c r="TKJ243" s="334"/>
      <c r="TKK243" s="334"/>
      <c r="TKL243" s="334"/>
      <c r="TKM243" s="334"/>
      <c r="TKN243" s="334"/>
      <c r="TKO243" s="334"/>
      <c r="TKP243" s="334"/>
      <c r="TKQ243" s="334"/>
      <c r="TKR243" s="334"/>
      <c r="TKS243" s="334"/>
      <c r="TKT243" s="334"/>
      <c r="TKU243" s="334"/>
      <c r="TKV243" s="334"/>
      <c r="TKW243" s="334"/>
      <c r="TKX243" s="334"/>
      <c r="TKY243" s="334"/>
      <c r="TKZ243" s="334"/>
      <c r="TLA243" s="334"/>
      <c r="TLB243" s="334"/>
      <c r="TLC243" s="334"/>
      <c r="TLD243" s="334"/>
      <c r="TLE243" s="334"/>
      <c r="TLF243" s="334"/>
      <c r="TLG243" s="334"/>
      <c r="TLH243" s="334"/>
      <c r="TLI243" s="334"/>
      <c r="TLJ243" s="334"/>
      <c r="TLK243" s="334"/>
      <c r="TLL243" s="334"/>
      <c r="TLM243" s="334"/>
      <c r="TLN243" s="334"/>
      <c r="TLO243" s="334"/>
      <c r="TLP243" s="334"/>
      <c r="TLQ243" s="334"/>
      <c r="TLR243" s="334"/>
      <c r="TLS243" s="334"/>
      <c r="TLT243" s="334"/>
      <c r="TLU243" s="334"/>
      <c r="TLV243" s="334"/>
      <c r="TLW243" s="334"/>
      <c r="TLX243" s="334"/>
      <c r="TLY243" s="334"/>
      <c r="TLZ243" s="334"/>
      <c r="TMA243" s="334"/>
      <c r="TMB243" s="334"/>
      <c r="TMC243" s="334"/>
      <c r="TMD243" s="334"/>
      <c r="TME243" s="334"/>
      <c r="TMF243" s="334"/>
      <c r="TMG243" s="334"/>
      <c r="TMH243" s="334"/>
      <c r="TMI243" s="334"/>
      <c r="TMJ243" s="334"/>
      <c r="TMK243" s="334"/>
      <c r="TML243" s="334"/>
      <c r="TMM243" s="334"/>
      <c r="TMN243" s="334"/>
      <c r="TMO243" s="334"/>
      <c r="TMP243" s="334"/>
      <c r="TMQ243" s="334"/>
      <c r="TMR243" s="334"/>
      <c r="TMS243" s="334"/>
      <c r="TMT243" s="334"/>
      <c r="TMU243" s="334"/>
      <c r="TMV243" s="334"/>
      <c r="TMW243" s="334"/>
      <c r="TMX243" s="334"/>
      <c r="TMY243" s="334"/>
      <c r="TMZ243" s="334"/>
      <c r="TNA243" s="334"/>
      <c r="TNB243" s="334"/>
      <c r="TNC243" s="334"/>
      <c r="TND243" s="334"/>
      <c r="TNE243" s="334"/>
      <c r="TNF243" s="334"/>
      <c r="TNG243" s="334"/>
      <c r="TNH243" s="334"/>
      <c r="TNI243" s="334"/>
      <c r="TNJ243" s="334"/>
      <c r="TNK243" s="334"/>
      <c r="TNL243" s="334"/>
      <c r="TNM243" s="334"/>
      <c r="TNN243" s="334"/>
      <c r="TNO243" s="334"/>
      <c r="TNP243" s="334"/>
      <c r="TNQ243" s="334"/>
      <c r="TNR243" s="334"/>
      <c r="TNS243" s="334"/>
      <c r="TNT243" s="334"/>
      <c r="TNU243" s="334"/>
      <c r="TNV243" s="334"/>
      <c r="TNW243" s="334"/>
      <c r="TNX243" s="334"/>
      <c r="TNY243" s="334"/>
      <c r="TNZ243" s="334"/>
      <c r="TOA243" s="334"/>
      <c r="TOB243" s="334"/>
      <c r="TOC243" s="334"/>
      <c r="TOD243" s="334"/>
      <c r="TOE243" s="334"/>
      <c r="TOF243" s="334"/>
      <c r="TOG243" s="334"/>
      <c r="TOH243" s="334"/>
      <c r="TOI243" s="334"/>
      <c r="TOJ243" s="334"/>
      <c r="TOK243" s="334"/>
      <c r="TOL243" s="334"/>
      <c r="TOM243" s="334"/>
      <c r="TON243" s="334"/>
      <c r="TOO243" s="334"/>
      <c r="TOP243" s="334"/>
      <c r="TOQ243" s="334"/>
      <c r="TOR243" s="334"/>
      <c r="TOS243" s="334"/>
      <c r="TOT243" s="334"/>
      <c r="TOU243" s="334"/>
      <c r="TOV243" s="334"/>
      <c r="TOW243" s="334"/>
      <c r="TOX243" s="334"/>
      <c r="TOY243" s="334"/>
      <c r="TOZ243" s="334"/>
      <c r="TPA243" s="334"/>
      <c r="TPB243" s="334"/>
      <c r="TPC243" s="334"/>
      <c r="TPD243" s="334"/>
      <c r="TPE243" s="334"/>
      <c r="TPF243" s="334"/>
      <c r="TPG243" s="334"/>
      <c r="TPH243" s="334"/>
      <c r="TPI243" s="334"/>
      <c r="TPJ243" s="334"/>
      <c r="TPK243" s="334"/>
      <c r="TPL243" s="334"/>
      <c r="TPM243" s="334"/>
      <c r="TPN243" s="334"/>
      <c r="TPO243" s="334"/>
      <c r="TPP243" s="334"/>
      <c r="TPQ243" s="334"/>
      <c r="TPR243" s="334"/>
      <c r="TPS243" s="334"/>
      <c r="TPT243" s="334"/>
      <c r="TPU243" s="334"/>
      <c r="TPV243" s="334"/>
      <c r="TPW243" s="334"/>
      <c r="TPX243" s="334"/>
      <c r="TPY243" s="334"/>
      <c r="TPZ243" s="334"/>
      <c r="TQA243" s="334"/>
      <c r="TQB243" s="334"/>
      <c r="TQC243" s="334"/>
      <c r="TQD243" s="334"/>
      <c r="TQE243" s="334"/>
      <c r="TQF243" s="334"/>
      <c r="TQG243" s="334"/>
      <c r="TQH243" s="334"/>
      <c r="TQI243" s="334"/>
      <c r="TQJ243" s="334"/>
      <c r="TQK243" s="334"/>
      <c r="TQL243" s="334"/>
      <c r="TQM243" s="334"/>
      <c r="TQN243" s="334"/>
      <c r="TQO243" s="334"/>
      <c r="TQP243" s="334"/>
      <c r="TQQ243" s="334"/>
      <c r="TQR243" s="334"/>
      <c r="TQS243" s="334"/>
      <c r="TQT243" s="334"/>
      <c r="TQU243" s="334"/>
      <c r="TQV243" s="334"/>
      <c r="TQW243" s="334"/>
      <c r="TQX243" s="334"/>
      <c r="TQY243" s="334"/>
      <c r="TQZ243" s="334"/>
      <c r="TRA243" s="334"/>
      <c r="TRB243" s="334"/>
      <c r="TRC243" s="334"/>
      <c r="TRD243" s="334"/>
      <c r="TRE243" s="334"/>
      <c r="TRF243" s="334"/>
      <c r="TRG243" s="334"/>
      <c r="TRH243" s="334"/>
      <c r="TRI243" s="334"/>
      <c r="TRJ243" s="334"/>
      <c r="TRK243" s="334"/>
      <c r="TRL243" s="334"/>
      <c r="TRM243" s="334"/>
      <c r="TRN243" s="334"/>
      <c r="TRO243" s="334"/>
      <c r="TRP243" s="334"/>
      <c r="TRQ243" s="334"/>
      <c r="TRR243" s="334"/>
      <c r="TRS243" s="334"/>
      <c r="TRT243" s="334"/>
      <c r="TRU243" s="334"/>
      <c r="TRV243" s="334"/>
      <c r="TRW243" s="334"/>
      <c r="TRX243" s="334"/>
      <c r="TRY243" s="334"/>
      <c r="TRZ243" s="334"/>
      <c r="TSA243" s="334"/>
      <c r="TSB243" s="334"/>
      <c r="TSC243" s="334"/>
      <c r="TSD243" s="334"/>
      <c r="TSE243" s="334"/>
      <c r="TSF243" s="334"/>
      <c r="TSG243" s="334"/>
      <c r="TSH243" s="334"/>
      <c r="TSI243" s="334"/>
      <c r="TSJ243" s="334"/>
      <c r="TSK243" s="334"/>
      <c r="TSL243" s="334"/>
      <c r="TSM243" s="334"/>
      <c r="TSN243" s="334"/>
      <c r="TSO243" s="334"/>
      <c r="TSP243" s="334"/>
      <c r="TSQ243" s="334"/>
      <c r="TSR243" s="334"/>
      <c r="TSS243" s="334"/>
      <c r="TST243" s="334"/>
      <c r="TSU243" s="334"/>
      <c r="TSV243" s="334"/>
      <c r="TSW243" s="334"/>
      <c r="TSX243" s="334"/>
      <c r="TSY243" s="334"/>
      <c r="TSZ243" s="334"/>
      <c r="TTA243" s="334"/>
      <c r="TTB243" s="334"/>
      <c r="TTC243" s="334"/>
      <c r="TTD243" s="334"/>
      <c r="TTE243" s="334"/>
      <c r="TTF243" s="334"/>
      <c r="TTG243" s="334"/>
      <c r="TTH243" s="334"/>
      <c r="TTI243" s="334"/>
      <c r="TTJ243" s="334"/>
      <c r="TTK243" s="334"/>
      <c r="TTL243" s="334"/>
      <c r="TTM243" s="334"/>
      <c r="TTN243" s="334"/>
      <c r="TTO243" s="334"/>
      <c r="TTP243" s="334"/>
      <c r="TTQ243" s="334"/>
      <c r="TTR243" s="334"/>
      <c r="TTS243" s="334"/>
      <c r="TTT243" s="334"/>
      <c r="TTU243" s="334"/>
      <c r="TTV243" s="334"/>
      <c r="TTW243" s="334"/>
      <c r="TTX243" s="334"/>
      <c r="TTY243" s="334"/>
      <c r="TTZ243" s="334"/>
      <c r="TUA243" s="334"/>
      <c r="TUB243" s="334"/>
      <c r="TUC243" s="334"/>
      <c r="TUD243" s="334"/>
      <c r="TUE243" s="334"/>
      <c r="TUF243" s="334"/>
      <c r="TUG243" s="334"/>
      <c r="TUH243" s="334"/>
      <c r="TUI243" s="334"/>
      <c r="TUJ243" s="334"/>
      <c r="TUK243" s="334"/>
      <c r="TUL243" s="334"/>
      <c r="TUM243" s="334"/>
      <c r="TUN243" s="334"/>
      <c r="TUO243" s="334"/>
      <c r="TUP243" s="334"/>
      <c r="TUQ243" s="334"/>
      <c r="TUR243" s="334"/>
      <c r="TUS243" s="334"/>
      <c r="TUT243" s="334"/>
      <c r="TUU243" s="334"/>
      <c r="TUV243" s="334"/>
      <c r="TUW243" s="334"/>
      <c r="TUX243" s="334"/>
      <c r="TUY243" s="334"/>
      <c r="TUZ243" s="334"/>
      <c r="TVA243" s="334"/>
      <c r="TVB243" s="334"/>
      <c r="TVC243" s="334"/>
      <c r="TVD243" s="334"/>
      <c r="TVE243" s="334"/>
      <c r="TVF243" s="334"/>
      <c r="TVG243" s="334"/>
      <c r="TVH243" s="334"/>
      <c r="TVI243" s="334"/>
      <c r="TVJ243" s="334"/>
      <c r="TVK243" s="334"/>
      <c r="TVL243" s="334"/>
      <c r="TVM243" s="334"/>
      <c r="TVN243" s="334"/>
      <c r="TVO243" s="334"/>
      <c r="TVP243" s="334"/>
      <c r="TVQ243" s="334"/>
      <c r="TVR243" s="334"/>
      <c r="TVS243" s="334"/>
      <c r="TVT243" s="334"/>
      <c r="TVU243" s="334"/>
      <c r="TVV243" s="334"/>
      <c r="TVW243" s="334"/>
      <c r="TVX243" s="334"/>
      <c r="TVY243" s="334"/>
      <c r="TVZ243" s="334"/>
      <c r="TWA243" s="334"/>
      <c r="TWB243" s="334"/>
      <c r="TWC243" s="334"/>
      <c r="TWD243" s="334"/>
      <c r="TWE243" s="334"/>
      <c r="TWF243" s="334"/>
      <c r="TWG243" s="334"/>
      <c r="TWH243" s="334"/>
      <c r="TWI243" s="334"/>
      <c r="TWJ243" s="334"/>
      <c r="TWK243" s="334"/>
      <c r="TWL243" s="334"/>
      <c r="TWM243" s="334"/>
      <c r="TWN243" s="334"/>
      <c r="TWO243" s="334"/>
      <c r="TWP243" s="334"/>
      <c r="TWQ243" s="334"/>
      <c r="TWR243" s="334"/>
      <c r="TWS243" s="334"/>
      <c r="TWT243" s="334"/>
      <c r="TWU243" s="334"/>
      <c r="TWV243" s="334"/>
      <c r="TWW243" s="334"/>
      <c r="TWX243" s="334"/>
      <c r="TWY243" s="334"/>
      <c r="TWZ243" s="334"/>
      <c r="TXA243" s="334"/>
      <c r="TXB243" s="334"/>
      <c r="TXC243" s="334"/>
      <c r="TXD243" s="334"/>
      <c r="TXE243" s="334"/>
      <c r="TXF243" s="334"/>
      <c r="TXG243" s="334"/>
      <c r="TXH243" s="334"/>
      <c r="TXI243" s="334"/>
      <c r="TXJ243" s="334"/>
      <c r="TXK243" s="334"/>
      <c r="TXL243" s="334"/>
      <c r="TXM243" s="334"/>
      <c r="TXN243" s="334"/>
      <c r="TXO243" s="334"/>
      <c r="TXP243" s="334"/>
      <c r="TXQ243" s="334"/>
      <c r="TXR243" s="334"/>
      <c r="TXS243" s="334"/>
      <c r="TXT243" s="334"/>
      <c r="TXU243" s="334"/>
      <c r="TXV243" s="334"/>
      <c r="TXW243" s="334"/>
      <c r="TXX243" s="334"/>
      <c r="TXY243" s="334"/>
      <c r="TXZ243" s="334"/>
      <c r="TYA243" s="334"/>
      <c r="TYB243" s="334"/>
      <c r="TYC243" s="334"/>
      <c r="TYD243" s="334"/>
      <c r="TYE243" s="334"/>
      <c r="TYF243" s="334"/>
      <c r="TYG243" s="334"/>
      <c r="TYH243" s="334"/>
      <c r="TYI243" s="334"/>
      <c r="TYJ243" s="334"/>
      <c r="TYK243" s="334"/>
      <c r="TYL243" s="334"/>
      <c r="TYM243" s="334"/>
      <c r="TYN243" s="334"/>
      <c r="TYO243" s="334"/>
      <c r="TYP243" s="334"/>
      <c r="TYQ243" s="334"/>
      <c r="TYR243" s="334"/>
      <c r="TYS243" s="334"/>
      <c r="TYT243" s="334"/>
      <c r="TYU243" s="334"/>
      <c r="TYV243" s="334"/>
      <c r="TYW243" s="334"/>
      <c r="TYX243" s="334"/>
      <c r="TYY243" s="334"/>
      <c r="TYZ243" s="334"/>
      <c r="TZA243" s="334"/>
      <c r="TZB243" s="334"/>
      <c r="TZC243" s="334"/>
      <c r="TZD243" s="334"/>
      <c r="TZE243" s="334"/>
      <c r="TZF243" s="334"/>
      <c r="TZG243" s="334"/>
      <c r="TZH243" s="334"/>
      <c r="TZI243" s="334"/>
      <c r="TZJ243" s="334"/>
      <c r="TZK243" s="334"/>
      <c r="TZL243" s="334"/>
      <c r="TZM243" s="334"/>
      <c r="TZN243" s="334"/>
      <c r="TZO243" s="334"/>
      <c r="TZP243" s="334"/>
      <c r="TZQ243" s="334"/>
      <c r="TZR243" s="334"/>
      <c r="TZS243" s="334"/>
      <c r="TZT243" s="334"/>
      <c r="TZU243" s="334"/>
      <c r="TZV243" s="334"/>
      <c r="TZW243" s="334"/>
      <c r="TZX243" s="334"/>
      <c r="TZY243" s="334"/>
      <c r="TZZ243" s="334"/>
      <c r="UAA243" s="334"/>
      <c r="UAB243" s="334"/>
      <c r="UAC243" s="334"/>
      <c r="UAD243" s="334"/>
      <c r="UAE243" s="334"/>
      <c r="UAF243" s="334"/>
      <c r="UAG243" s="334"/>
      <c r="UAH243" s="334"/>
      <c r="UAI243" s="334"/>
      <c r="UAJ243" s="334"/>
      <c r="UAK243" s="334"/>
      <c r="UAL243" s="334"/>
      <c r="UAM243" s="334"/>
      <c r="UAN243" s="334"/>
      <c r="UAO243" s="334"/>
      <c r="UAP243" s="334"/>
      <c r="UAQ243" s="334"/>
      <c r="UAR243" s="334"/>
      <c r="UAS243" s="334"/>
      <c r="UAT243" s="334"/>
      <c r="UAU243" s="334"/>
      <c r="UAV243" s="334"/>
      <c r="UAW243" s="334"/>
      <c r="UAX243" s="334"/>
      <c r="UAY243" s="334"/>
      <c r="UAZ243" s="334"/>
      <c r="UBA243" s="334"/>
      <c r="UBB243" s="334"/>
      <c r="UBC243" s="334"/>
      <c r="UBD243" s="334"/>
      <c r="UBE243" s="334"/>
      <c r="UBF243" s="334"/>
      <c r="UBG243" s="334"/>
      <c r="UBH243" s="334"/>
      <c r="UBI243" s="334"/>
      <c r="UBJ243" s="334"/>
      <c r="UBK243" s="334"/>
      <c r="UBL243" s="334"/>
      <c r="UBM243" s="334"/>
      <c r="UBN243" s="334"/>
      <c r="UBO243" s="334"/>
      <c r="UBP243" s="334"/>
      <c r="UBQ243" s="334"/>
      <c r="UBR243" s="334"/>
      <c r="UBS243" s="334"/>
      <c r="UBT243" s="334"/>
      <c r="UBU243" s="334"/>
      <c r="UBV243" s="334"/>
      <c r="UBW243" s="334"/>
      <c r="UBX243" s="334"/>
      <c r="UBY243" s="334"/>
      <c r="UBZ243" s="334"/>
      <c r="UCA243" s="334"/>
      <c r="UCB243" s="334"/>
      <c r="UCC243" s="334"/>
      <c r="UCD243" s="334"/>
      <c r="UCE243" s="334"/>
      <c r="UCF243" s="334"/>
      <c r="UCG243" s="334"/>
      <c r="UCH243" s="334"/>
      <c r="UCI243" s="334"/>
      <c r="UCJ243" s="334"/>
      <c r="UCK243" s="334"/>
      <c r="UCL243" s="334"/>
      <c r="UCM243" s="334"/>
      <c r="UCN243" s="334"/>
      <c r="UCO243" s="334"/>
      <c r="UCP243" s="334"/>
      <c r="UCQ243" s="334"/>
      <c r="UCR243" s="334"/>
      <c r="UCS243" s="334"/>
      <c r="UCT243" s="334"/>
      <c r="UCU243" s="334"/>
      <c r="UCV243" s="334"/>
      <c r="UCW243" s="334"/>
      <c r="UCX243" s="334"/>
      <c r="UCY243" s="334"/>
      <c r="UCZ243" s="334"/>
      <c r="UDA243" s="334"/>
      <c r="UDB243" s="334"/>
      <c r="UDC243" s="334"/>
      <c r="UDD243" s="334"/>
      <c r="UDE243" s="334"/>
      <c r="UDF243" s="334"/>
      <c r="UDG243" s="334"/>
      <c r="UDH243" s="334"/>
      <c r="UDI243" s="334"/>
      <c r="UDJ243" s="334"/>
      <c r="UDK243" s="334"/>
      <c r="UDL243" s="334"/>
      <c r="UDM243" s="334"/>
      <c r="UDN243" s="334"/>
      <c r="UDO243" s="334"/>
      <c r="UDP243" s="334"/>
      <c r="UDQ243" s="334"/>
      <c r="UDR243" s="334"/>
      <c r="UDS243" s="334"/>
      <c r="UDT243" s="334"/>
      <c r="UDU243" s="334"/>
      <c r="UDV243" s="334"/>
      <c r="UDW243" s="334"/>
      <c r="UDX243" s="334"/>
      <c r="UDY243" s="334"/>
      <c r="UDZ243" s="334"/>
      <c r="UEA243" s="334"/>
      <c r="UEB243" s="334"/>
      <c r="UEC243" s="334"/>
      <c r="UED243" s="334"/>
      <c r="UEE243" s="334"/>
      <c r="UEF243" s="334"/>
      <c r="UEG243" s="334"/>
      <c r="UEH243" s="334"/>
      <c r="UEI243" s="334"/>
      <c r="UEJ243" s="334"/>
      <c r="UEK243" s="334"/>
      <c r="UEL243" s="334"/>
      <c r="UEM243" s="334"/>
      <c r="UEN243" s="334"/>
      <c r="UEO243" s="334"/>
      <c r="UEP243" s="334"/>
      <c r="UEQ243" s="334"/>
      <c r="UER243" s="334"/>
      <c r="UES243" s="334"/>
      <c r="UET243" s="334"/>
      <c r="UEU243" s="334"/>
      <c r="UEV243" s="334"/>
      <c r="UEW243" s="334"/>
      <c r="UEX243" s="334"/>
      <c r="UEY243" s="334"/>
      <c r="UEZ243" s="334"/>
      <c r="UFA243" s="334"/>
      <c r="UFB243" s="334"/>
      <c r="UFC243" s="334"/>
      <c r="UFD243" s="334"/>
      <c r="UFE243" s="334"/>
      <c r="UFF243" s="334"/>
      <c r="UFG243" s="334"/>
      <c r="UFH243" s="334"/>
      <c r="UFI243" s="334"/>
      <c r="UFJ243" s="334"/>
      <c r="UFK243" s="334"/>
      <c r="UFL243" s="334"/>
      <c r="UFM243" s="334"/>
      <c r="UFN243" s="334"/>
      <c r="UFO243" s="334"/>
      <c r="UFP243" s="334"/>
      <c r="UFQ243" s="334"/>
      <c r="UFR243" s="334"/>
      <c r="UFS243" s="334"/>
      <c r="UFT243" s="334"/>
      <c r="UFU243" s="334"/>
      <c r="UFV243" s="334"/>
      <c r="UFW243" s="334"/>
      <c r="UFX243" s="334"/>
      <c r="UFY243" s="334"/>
      <c r="UFZ243" s="334"/>
      <c r="UGA243" s="334"/>
      <c r="UGB243" s="334"/>
      <c r="UGC243" s="334"/>
      <c r="UGD243" s="334"/>
      <c r="UGE243" s="334"/>
      <c r="UGF243" s="334"/>
      <c r="UGG243" s="334"/>
      <c r="UGH243" s="334"/>
      <c r="UGI243" s="334"/>
      <c r="UGJ243" s="334"/>
      <c r="UGK243" s="334"/>
      <c r="UGL243" s="334"/>
      <c r="UGM243" s="334"/>
      <c r="UGN243" s="334"/>
      <c r="UGO243" s="334"/>
      <c r="UGP243" s="334"/>
      <c r="UGQ243" s="334"/>
      <c r="UGR243" s="334"/>
      <c r="UGS243" s="334"/>
      <c r="UGT243" s="334"/>
      <c r="UGU243" s="334"/>
      <c r="UGV243" s="334"/>
      <c r="UGW243" s="334"/>
      <c r="UGX243" s="334"/>
      <c r="UGY243" s="334"/>
      <c r="UGZ243" s="334"/>
      <c r="UHA243" s="334"/>
      <c r="UHB243" s="334"/>
      <c r="UHC243" s="334"/>
      <c r="UHD243" s="334"/>
      <c r="UHE243" s="334"/>
      <c r="UHF243" s="334"/>
      <c r="UHG243" s="334"/>
      <c r="UHH243" s="334"/>
      <c r="UHI243" s="334"/>
      <c r="UHJ243" s="334"/>
      <c r="UHK243" s="334"/>
      <c r="UHL243" s="334"/>
      <c r="UHM243" s="334"/>
      <c r="UHN243" s="334"/>
      <c r="UHO243" s="334"/>
      <c r="UHP243" s="334"/>
      <c r="UHQ243" s="334"/>
      <c r="UHR243" s="334"/>
      <c r="UHS243" s="334"/>
      <c r="UHT243" s="334"/>
      <c r="UHU243" s="334"/>
      <c r="UHV243" s="334"/>
      <c r="UHW243" s="334"/>
      <c r="UHX243" s="334"/>
      <c r="UHY243" s="334"/>
      <c r="UHZ243" s="334"/>
      <c r="UIA243" s="334"/>
      <c r="UIB243" s="334"/>
      <c r="UIC243" s="334"/>
      <c r="UID243" s="334"/>
      <c r="UIE243" s="334"/>
      <c r="UIF243" s="334"/>
      <c r="UIG243" s="334"/>
      <c r="UIH243" s="334"/>
      <c r="UII243" s="334"/>
      <c r="UIJ243" s="334"/>
      <c r="UIK243" s="334"/>
      <c r="UIL243" s="334"/>
      <c r="UIM243" s="334"/>
      <c r="UIN243" s="334"/>
      <c r="UIO243" s="334"/>
      <c r="UIP243" s="334"/>
      <c r="UIQ243" s="334"/>
      <c r="UIR243" s="334"/>
      <c r="UIS243" s="334"/>
      <c r="UIT243" s="334"/>
      <c r="UIU243" s="334"/>
      <c r="UIV243" s="334"/>
      <c r="UIW243" s="334"/>
      <c r="UIX243" s="334"/>
      <c r="UIY243" s="334"/>
      <c r="UIZ243" s="334"/>
      <c r="UJA243" s="334"/>
      <c r="UJB243" s="334"/>
      <c r="UJC243" s="334"/>
      <c r="UJD243" s="334"/>
      <c r="UJE243" s="334"/>
      <c r="UJF243" s="334"/>
      <c r="UJG243" s="334"/>
      <c r="UJH243" s="334"/>
      <c r="UJI243" s="334"/>
      <c r="UJJ243" s="334"/>
      <c r="UJK243" s="334"/>
      <c r="UJL243" s="334"/>
      <c r="UJM243" s="334"/>
      <c r="UJN243" s="334"/>
      <c r="UJO243" s="334"/>
      <c r="UJP243" s="334"/>
      <c r="UJQ243" s="334"/>
      <c r="UJR243" s="334"/>
      <c r="UJS243" s="334"/>
      <c r="UJT243" s="334"/>
      <c r="UJU243" s="334"/>
      <c r="UJV243" s="334"/>
      <c r="UJW243" s="334"/>
      <c r="UJX243" s="334"/>
      <c r="UJY243" s="334"/>
      <c r="UJZ243" s="334"/>
      <c r="UKA243" s="334"/>
      <c r="UKB243" s="334"/>
      <c r="UKC243" s="334"/>
      <c r="UKD243" s="334"/>
      <c r="UKE243" s="334"/>
      <c r="UKF243" s="334"/>
      <c r="UKG243" s="334"/>
      <c r="UKH243" s="334"/>
      <c r="UKI243" s="334"/>
      <c r="UKJ243" s="334"/>
      <c r="UKK243" s="334"/>
      <c r="UKL243" s="334"/>
      <c r="UKM243" s="334"/>
      <c r="UKN243" s="334"/>
      <c r="UKO243" s="334"/>
      <c r="UKP243" s="334"/>
      <c r="UKQ243" s="334"/>
      <c r="UKR243" s="334"/>
      <c r="UKS243" s="334"/>
      <c r="UKT243" s="334"/>
      <c r="UKU243" s="334"/>
      <c r="UKV243" s="334"/>
      <c r="UKW243" s="334"/>
      <c r="UKX243" s="334"/>
      <c r="UKY243" s="334"/>
      <c r="UKZ243" s="334"/>
      <c r="ULA243" s="334"/>
      <c r="ULB243" s="334"/>
      <c r="ULC243" s="334"/>
      <c r="ULD243" s="334"/>
      <c r="ULE243" s="334"/>
      <c r="ULF243" s="334"/>
      <c r="ULG243" s="334"/>
      <c r="ULH243" s="334"/>
      <c r="ULI243" s="334"/>
      <c r="ULJ243" s="334"/>
      <c r="ULK243" s="334"/>
      <c r="ULL243" s="334"/>
      <c r="ULM243" s="334"/>
      <c r="ULN243" s="334"/>
      <c r="ULO243" s="334"/>
      <c r="ULP243" s="334"/>
      <c r="ULQ243" s="334"/>
      <c r="ULR243" s="334"/>
      <c r="ULS243" s="334"/>
      <c r="ULT243" s="334"/>
      <c r="ULU243" s="334"/>
      <c r="ULV243" s="334"/>
      <c r="ULW243" s="334"/>
      <c r="ULX243" s="334"/>
      <c r="ULY243" s="334"/>
      <c r="ULZ243" s="334"/>
      <c r="UMA243" s="334"/>
      <c r="UMB243" s="334"/>
      <c r="UMC243" s="334"/>
      <c r="UMD243" s="334"/>
      <c r="UME243" s="334"/>
      <c r="UMF243" s="334"/>
      <c r="UMG243" s="334"/>
      <c r="UMH243" s="334"/>
      <c r="UMI243" s="334"/>
      <c r="UMJ243" s="334"/>
      <c r="UMK243" s="334"/>
      <c r="UML243" s="334"/>
      <c r="UMM243" s="334"/>
      <c r="UMN243" s="334"/>
      <c r="UMO243" s="334"/>
      <c r="UMP243" s="334"/>
      <c r="UMQ243" s="334"/>
      <c r="UMR243" s="334"/>
      <c r="UMS243" s="334"/>
      <c r="UMT243" s="334"/>
      <c r="UMU243" s="334"/>
      <c r="UMV243" s="334"/>
      <c r="UMW243" s="334"/>
      <c r="UMX243" s="334"/>
      <c r="UMY243" s="334"/>
      <c r="UMZ243" s="334"/>
      <c r="UNA243" s="334"/>
      <c r="UNB243" s="334"/>
      <c r="UNC243" s="334"/>
      <c r="UND243" s="334"/>
      <c r="UNE243" s="334"/>
      <c r="UNF243" s="334"/>
      <c r="UNG243" s="334"/>
      <c r="UNH243" s="334"/>
      <c r="UNI243" s="334"/>
      <c r="UNJ243" s="334"/>
      <c r="UNK243" s="334"/>
      <c r="UNL243" s="334"/>
      <c r="UNM243" s="334"/>
      <c r="UNN243" s="334"/>
      <c r="UNO243" s="334"/>
      <c r="UNP243" s="334"/>
      <c r="UNQ243" s="334"/>
      <c r="UNR243" s="334"/>
      <c r="UNS243" s="334"/>
      <c r="UNT243" s="334"/>
      <c r="UNU243" s="334"/>
      <c r="UNV243" s="334"/>
      <c r="UNW243" s="334"/>
      <c r="UNX243" s="334"/>
      <c r="UNY243" s="334"/>
      <c r="UNZ243" s="334"/>
      <c r="UOA243" s="334"/>
      <c r="UOB243" s="334"/>
      <c r="UOC243" s="334"/>
      <c r="UOD243" s="334"/>
      <c r="UOE243" s="334"/>
      <c r="UOF243" s="334"/>
      <c r="UOG243" s="334"/>
      <c r="UOH243" s="334"/>
      <c r="UOI243" s="334"/>
      <c r="UOJ243" s="334"/>
      <c r="UOK243" s="334"/>
      <c r="UOL243" s="334"/>
      <c r="UOM243" s="334"/>
      <c r="UON243" s="334"/>
      <c r="UOO243" s="334"/>
      <c r="UOP243" s="334"/>
      <c r="UOQ243" s="334"/>
      <c r="UOR243" s="334"/>
      <c r="UOS243" s="334"/>
      <c r="UOT243" s="334"/>
      <c r="UOU243" s="334"/>
      <c r="UOV243" s="334"/>
      <c r="UOW243" s="334"/>
      <c r="UOX243" s="334"/>
      <c r="UOY243" s="334"/>
      <c r="UOZ243" s="334"/>
      <c r="UPA243" s="334"/>
      <c r="UPB243" s="334"/>
      <c r="UPC243" s="334"/>
      <c r="UPD243" s="334"/>
      <c r="UPE243" s="334"/>
      <c r="UPF243" s="334"/>
      <c r="UPG243" s="334"/>
      <c r="UPH243" s="334"/>
      <c r="UPI243" s="334"/>
      <c r="UPJ243" s="334"/>
      <c r="UPK243" s="334"/>
      <c r="UPL243" s="334"/>
      <c r="UPM243" s="334"/>
      <c r="UPN243" s="334"/>
      <c r="UPO243" s="334"/>
      <c r="UPP243" s="334"/>
      <c r="UPQ243" s="334"/>
      <c r="UPR243" s="334"/>
      <c r="UPS243" s="334"/>
      <c r="UPT243" s="334"/>
      <c r="UPU243" s="334"/>
      <c r="UPV243" s="334"/>
      <c r="UPW243" s="334"/>
      <c r="UPX243" s="334"/>
      <c r="UPY243" s="334"/>
      <c r="UPZ243" s="334"/>
      <c r="UQA243" s="334"/>
      <c r="UQB243" s="334"/>
      <c r="UQC243" s="334"/>
      <c r="UQD243" s="334"/>
      <c r="UQE243" s="334"/>
      <c r="UQF243" s="334"/>
      <c r="UQG243" s="334"/>
      <c r="UQH243" s="334"/>
      <c r="UQI243" s="334"/>
      <c r="UQJ243" s="334"/>
      <c r="UQK243" s="334"/>
      <c r="UQL243" s="334"/>
      <c r="UQM243" s="334"/>
      <c r="UQN243" s="334"/>
      <c r="UQO243" s="334"/>
      <c r="UQP243" s="334"/>
      <c r="UQQ243" s="334"/>
      <c r="UQR243" s="334"/>
      <c r="UQS243" s="334"/>
      <c r="UQT243" s="334"/>
      <c r="UQU243" s="334"/>
      <c r="UQV243" s="334"/>
      <c r="UQW243" s="334"/>
      <c r="UQX243" s="334"/>
      <c r="UQY243" s="334"/>
      <c r="UQZ243" s="334"/>
      <c r="URA243" s="334"/>
      <c r="URB243" s="334"/>
      <c r="URC243" s="334"/>
      <c r="URD243" s="334"/>
      <c r="URE243" s="334"/>
      <c r="URF243" s="334"/>
      <c r="URG243" s="334"/>
      <c r="URH243" s="334"/>
      <c r="URI243" s="334"/>
      <c r="URJ243" s="334"/>
      <c r="URK243" s="334"/>
      <c r="URL243" s="334"/>
      <c r="URM243" s="334"/>
      <c r="URN243" s="334"/>
      <c r="URO243" s="334"/>
      <c r="URP243" s="334"/>
      <c r="URQ243" s="334"/>
      <c r="URR243" s="334"/>
      <c r="URS243" s="334"/>
      <c r="URT243" s="334"/>
      <c r="URU243" s="334"/>
      <c r="URV243" s="334"/>
      <c r="URW243" s="334"/>
      <c r="URX243" s="334"/>
      <c r="URY243" s="334"/>
      <c r="URZ243" s="334"/>
      <c r="USA243" s="334"/>
      <c r="USB243" s="334"/>
      <c r="USC243" s="334"/>
      <c r="USD243" s="334"/>
      <c r="USE243" s="334"/>
      <c r="USF243" s="334"/>
      <c r="USG243" s="334"/>
      <c r="USH243" s="334"/>
      <c r="USI243" s="334"/>
      <c r="USJ243" s="334"/>
      <c r="USK243" s="334"/>
      <c r="USL243" s="334"/>
      <c r="USM243" s="334"/>
      <c r="USN243" s="334"/>
      <c r="USO243" s="334"/>
      <c r="USP243" s="334"/>
      <c r="USQ243" s="334"/>
      <c r="USR243" s="334"/>
      <c r="USS243" s="334"/>
      <c r="UST243" s="334"/>
      <c r="USU243" s="334"/>
      <c r="USV243" s="334"/>
      <c r="USW243" s="334"/>
      <c r="USX243" s="334"/>
      <c r="USY243" s="334"/>
      <c r="USZ243" s="334"/>
      <c r="UTA243" s="334"/>
      <c r="UTB243" s="334"/>
      <c r="UTC243" s="334"/>
      <c r="UTD243" s="334"/>
      <c r="UTE243" s="334"/>
      <c r="UTF243" s="334"/>
      <c r="UTG243" s="334"/>
      <c r="UTH243" s="334"/>
      <c r="UTI243" s="334"/>
      <c r="UTJ243" s="334"/>
      <c r="UTK243" s="334"/>
      <c r="UTL243" s="334"/>
      <c r="UTM243" s="334"/>
      <c r="UTN243" s="334"/>
      <c r="UTO243" s="334"/>
      <c r="UTP243" s="334"/>
      <c r="UTQ243" s="334"/>
      <c r="UTR243" s="334"/>
      <c r="UTS243" s="334"/>
      <c r="UTT243" s="334"/>
      <c r="UTU243" s="334"/>
      <c r="UTV243" s="334"/>
      <c r="UTW243" s="334"/>
      <c r="UTX243" s="334"/>
      <c r="UTY243" s="334"/>
      <c r="UTZ243" s="334"/>
      <c r="UUA243" s="334"/>
      <c r="UUB243" s="334"/>
      <c r="UUC243" s="334"/>
      <c r="UUD243" s="334"/>
      <c r="UUE243" s="334"/>
      <c r="UUF243" s="334"/>
      <c r="UUG243" s="334"/>
      <c r="UUH243" s="334"/>
      <c r="UUI243" s="334"/>
      <c r="UUJ243" s="334"/>
      <c r="UUK243" s="334"/>
      <c r="UUL243" s="334"/>
      <c r="UUM243" s="334"/>
      <c r="UUN243" s="334"/>
      <c r="UUO243" s="334"/>
      <c r="UUP243" s="334"/>
      <c r="UUQ243" s="334"/>
      <c r="UUR243" s="334"/>
      <c r="UUS243" s="334"/>
      <c r="UUT243" s="334"/>
      <c r="UUU243" s="334"/>
      <c r="UUV243" s="334"/>
      <c r="UUW243" s="334"/>
      <c r="UUX243" s="334"/>
      <c r="UUY243" s="334"/>
      <c r="UUZ243" s="334"/>
      <c r="UVA243" s="334"/>
      <c r="UVB243" s="334"/>
      <c r="UVC243" s="334"/>
      <c r="UVD243" s="334"/>
      <c r="UVE243" s="334"/>
      <c r="UVF243" s="334"/>
      <c r="UVG243" s="334"/>
      <c r="UVH243" s="334"/>
      <c r="UVI243" s="334"/>
      <c r="UVJ243" s="334"/>
      <c r="UVK243" s="334"/>
      <c r="UVL243" s="334"/>
      <c r="UVM243" s="334"/>
      <c r="UVN243" s="334"/>
      <c r="UVO243" s="334"/>
      <c r="UVP243" s="334"/>
      <c r="UVQ243" s="334"/>
      <c r="UVR243" s="334"/>
      <c r="UVS243" s="334"/>
      <c r="UVT243" s="334"/>
      <c r="UVU243" s="334"/>
      <c r="UVV243" s="334"/>
      <c r="UVW243" s="334"/>
      <c r="UVX243" s="334"/>
      <c r="UVY243" s="334"/>
      <c r="UVZ243" s="334"/>
      <c r="UWA243" s="334"/>
      <c r="UWB243" s="334"/>
      <c r="UWC243" s="334"/>
      <c r="UWD243" s="334"/>
      <c r="UWE243" s="334"/>
      <c r="UWF243" s="334"/>
      <c r="UWG243" s="334"/>
      <c r="UWH243" s="334"/>
      <c r="UWI243" s="334"/>
      <c r="UWJ243" s="334"/>
      <c r="UWK243" s="334"/>
      <c r="UWL243" s="334"/>
      <c r="UWM243" s="334"/>
      <c r="UWN243" s="334"/>
      <c r="UWO243" s="334"/>
      <c r="UWP243" s="334"/>
      <c r="UWQ243" s="334"/>
      <c r="UWR243" s="334"/>
      <c r="UWS243" s="334"/>
      <c r="UWT243" s="334"/>
      <c r="UWU243" s="334"/>
      <c r="UWV243" s="334"/>
      <c r="UWW243" s="334"/>
      <c r="UWX243" s="334"/>
      <c r="UWY243" s="334"/>
      <c r="UWZ243" s="334"/>
      <c r="UXA243" s="334"/>
      <c r="UXB243" s="334"/>
      <c r="UXC243" s="334"/>
      <c r="UXD243" s="334"/>
      <c r="UXE243" s="334"/>
      <c r="UXF243" s="334"/>
      <c r="UXG243" s="334"/>
      <c r="UXH243" s="334"/>
      <c r="UXI243" s="334"/>
      <c r="UXJ243" s="334"/>
      <c r="UXK243" s="334"/>
      <c r="UXL243" s="334"/>
      <c r="UXM243" s="334"/>
      <c r="UXN243" s="334"/>
      <c r="UXO243" s="334"/>
      <c r="UXP243" s="334"/>
      <c r="UXQ243" s="334"/>
      <c r="UXR243" s="334"/>
      <c r="UXS243" s="334"/>
      <c r="UXT243" s="334"/>
      <c r="UXU243" s="334"/>
      <c r="UXV243" s="334"/>
      <c r="UXW243" s="334"/>
      <c r="UXX243" s="334"/>
      <c r="UXY243" s="334"/>
      <c r="UXZ243" s="334"/>
      <c r="UYA243" s="334"/>
      <c r="UYB243" s="334"/>
      <c r="UYC243" s="334"/>
      <c r="UYD243" s="334"/>
      <c r="UYE243" s="334"/>
      <c r="UYF243" s="334"/>
      <c r="UYG243" s="334"/>
      <c r="UYH243" s="334"/>
      <c r="UYI243" s="334"/>
      <c r="UYJ243" s="334"/>
      <c r="UYK243" s="334"/>
      <c r="UYL243" s="334"/>
      <c r="UYM243" s="334"/>
      <c r="UYN243" s="334"/>
      <c r="UYO243" s="334"/>
      <c r="UYP243" s="334"/>
      <c r="UYQ243" s="334"/>
      <c r="UYR243" s="334"/>
      <c r="UYS243" s="334"/>
      <c r="UYT243" s="334"/>
      <c r="UYU243" s="334"/>
      <c r="UYV243" s="334"/>
      <c r="UYW243" s="334"/>
      <c r="UYX243" s="334"/>
      <c r="UYY243" s="334"/>
      <c r="UYZ243" s="334"/>
      <c r="UZA243" s="334"/>
      <c r="UZB243" s="334"/>
      <c r="UZC243" s="334"/>
      <c r="UZD243" s="334"/>
      <c r="UZE243" s="334"/>
      <c r="UZF243" s="334"/>
      <c r="UZG243" s="334"/>
      <c r="UZH243" s="334"/>
      <c r="UZI243" s="334"/>
      <c r="UZJ243" s="334"/>
      <c r="UZK243" s="334"/>
      <c r="UZL243" s="334"/>
      <c r="UZM243" s="334"/>
      <c r="UZN243" s="334"/>
      <c r="UZO243" s="334"/>
      <c r="UZP243" s="334"/>
      <c r="UZQ243" s="334"/>
      <c r="UZR243" s="334"/>
      <c r="UZS243" s="334"/>
      <c r="UZT243" s="334"/>
      <c r="UZU243" s="334"/>
      <c r="UZV243" s="334"/>
      <c r="UZW243" s="334"/>
      <c r="UZX243" s="334"/>
      <c r="UZY243" s="334"/>
      <c r="UZZ243" s="334"/>
      <c r="VAA243" s="334"/>
      <c r="VAB243" s="334"/>
      <c r="VAC243" s="334"/>
      <c r="VAD243" s="334"/>
      <c r="VAE243" s="334"/>
      <c r="VAF243" s="334"/>
      <c r="VAG243" s="334"/>
      <c r="VAH243" s="334"/>
      <c r="VAI243" s="334"/>
      <c r="VAJ243" s="334"/>
      <c r="VAK243" s="334"/>
      <c r="VAL243" s="334"/>
      <c r="VAM243" s="334"/>
      <c r="VAN243" s="334"/>
      <c r="VAO243" s="334"/>
      <c r="VAP243" s="334"/>
      <c r="VAQ243" s="334"/>
      <c r="VAR243" s="334"/>
      <c r="VAS243" s="334"/>
      <c r="VAT243" s="334"/>
      <c r="VAU243" s="334"/>
      <c r="VAV243" s="334"/>
      <c r="VAW243" s="334"/>
      <c r="VAX243" s="334"/>
      <c r="VAY243" s="334"/>
      <c r="VAZ243" s="334"/>
      <c r="VBA243" s="334"/>
      <c r="VBB243" s="334"/>
      <c r="VBC243" s="334"/>
      <c r="VBD243" s="334"/>
      <c r="VBE243" s="334"/>
      <c r="VBF243" s="334"/>
      <c r="VBG243" s="334"/>
      <c r="VBH243" s="334"/>
      <c r="VBI243" s="334"/>
      <c r="VBJ243" s="334"/>
      <c r="VBK243" s="334"/>
      <c r="VBL243" s="334"/>
      <c r="VBM243" s="334"/>
      <c r="VBN243" s="334"/>
      <c r="VBO243" s="334"/>
      <c r="VBP243" s="334"/>
      <c r="VBQ243" s="334"/>
      <c r="VBR243" s="334"/>
      <c r="VBS243" s="334"/>
      <c r="VBT243" s="334"/>
      <c r="VBU243" s="334"/>
      <c r="VBV243" s="334"/>
      <c r="VBW243" s="334"/>
      <c r="VBX243" s="334"/>
      <c r="VBY243" s="334"/>
      <c r="VBZ243" s="334"/>
      <c r="VCA243" s="334"/>
      <c r="VCB243" s="334"/>
      <c r="VCC243" s="334"/>
      <c r="VCD243" s="334"/>
      <c r="VCE243" s="334"/>
      <c r="VCF243" s="334"/>
      <c r="VCG243" s="334"/>
      <c r="VCH243" s="334"/>
      <c r="VCI243" s="334"/>
      <c r="VCJ243" s="334"/>
      <c r="VCK243" s="334"/>
      <c r="VCL243" s="334"/>
      <c r="VCM243" s="334"/>
      <c r="VCN243" s="334"/>
      <c r="VCO243" s="334"/>
      <c r="VCP243" s="334"/>
      <c r="VCQ243" s="334"/>
      <c r="VCR243" s="334"/>
      <c r="VCS243" s="334"/>
      <c r="VCT243" s="334"/>
      <c r="VCU243" s="334"/>
      <c r="VCV243" s="334"/>
      <c r="VCW243" s="334"/>
      <c r="VCX243" s="334"/>
      <c r="VCY243" s="334"/>
      <c r="VCZ243" s="334"/>
      <c r="VDA243" s="334"/>
      <c r="VDB243" s="334"/>
      <c r="VDC243" s="334"/>
      <c r="VDD243" s="334"/>
      <c r="VDE243" s="334"/>
      <c r="VDF243" s="334"/>
      <c r="VDG243" s="334"/>
      <c r="VDH243" s="334"/>
      <c r="VDI243" s="334"/>
      <c r="VDJ243" s="334"/>
      <c r="VDK243" s="334"/>
      <c r="VDL243" s="334"/>
      <c r="VDM243" s="334"/>
      <c r="VDN243" s="334"/>
      <c r="VDO243" s="334"/>
      <c r="VDP243" s="334"/>
      <c r="VDQ243" s="334"/>
      <c r="VDR243" s="334"/>
      <c r="VDS243" s="334"/>
      <c r="VDT243" s="334"/>
      <c r="VDU243" s="334"/>
      <c r="VDV243" s="334"/>
      <c r="VDW243" s="334"/>
      <c r="VDX243" s="334"/>
      <c r="VDY243" s="334"/>
      <c r="VDZ243" s="334"/>
      <c r="VEA243" s="334"/>
      <c r="VEB243" s="334"/>
      <c r="VEC243" s="334"/>
      <c r="VED243" s="334"/>
      <c r="VEE243" s="334"/>
      <c r="VEF243" s="334"/>
      <c r="VEG243" s="334"/>
      <c r="VEH243" s="334"/>
      <c r="VEI243" s="334"/>
      <c r="VEJ243" s="334"/>
      <c r="VEK243" s="334"/>
      <c r="VEL243" s="334"/>
      <c r="VEM243" s="334"/>
      <c r="VEN243" s="334"/>
      <c r="VEO243" s="334"/>
      <c r="VEP243" s="334"/>
      <c r="VEQ243" s="334"/>
      <c r="VER243" s="334"/>
      <c r="VES243" s="334"/>
      <c r="VET243" s="334"/>
      <c r="VEU243" s="334"/>
      <c r="VEV243" s="334"/>
      <c r="VEW243" s="334"/>
      <c r="VEX243" s="334"/>
      <c r="VEY243" s="334"/>
      <c r="VEZ243" s="334"/>
      <c r="VFA243" s="334"/>
      <c r="VFB243" s="334"/>
      <c r="VFC243" s="334"/>
      <c r="VFD243" s="334"/>
      <c r="VFE243" s="334"/>
      <c r="VFF243" s="334"/>
      <c r="VFG243" s="334"/>
      <c r="VFH243" s="334"/>
      <c r="VFI243" s="334"/>
      <c r="VFJ243" s="334"/>
      <c r="VFK243" s="334"/>
      <c r="VFL243" s="334"/>
      <c r="VFM243" s="334"/>
      <c r="VFN243" s="334"/>
      <c r="VFO243" s="334"/>
      <c r="VFP243" s="334"/>
      <c r="VFQ243" s="334"/>
      <c r="VFR243" s="334"/>
      <c r="VFS243" s="334"/>
      <c r="VFT243" s="334"/>
      <c r="VFU243" s="334"/>
      <c r="VFV243" s="334"/>
      <c r="VFW243" s="334"/>
      <c r="VFX243" s="334"/>
      <c r="VFY243" s="334"/>
      <c r="VFZ243" s="334"/>
      <c r="VGA243" s="334"/>
      <c r="VGB243" s="334"/>
      <c r="VGC243" s="334"/>
      <c r="VGD243" s="334"/>
      <c r="VGE243" s="334"/>
      <c r="VGF243" s="334"/>
      <c r="VGG243" s="334"/>
      <c r="VGH243" s="334"/>
      <c r="VGI243" s="334"/>
      <c r="VGJ243" s="334"/>
      <c r="VGK243" s="334"/>
      <c r="VGL243" s="334"/>
      <c r="VGM243" s="334"/>
      <c r="VGN243" s="334"/>
      <c r="VGO243" s="334"/>
      <c r="VGP243" s="334"/>
      <c r="VGQ243" s="334"/>
      <c r="VGR243" s="334"/>
      <c r="VGS243" s="334"/>
      <c r="VGT243" s="334"/>
      <c r="VGU243" s="334"/>
      <c r="VGV243" s="334"/>
      <c r="VGW243" s="334"/>
      <c r="VGX243" s="334"/>
      <c r="VGY243" s="334"/>
      <c r="VGZ243" s="334"/>
      <c r="VHA243" s="334"/>
      <c r="VHB243" s="334"/>
      <c r="VHC243" s="334"/>
      <c r="VHD243" s="334"/>
      <c r="VHE243" s="334"/>
      <c r="VHF243" s="334"/>
      <c r="VHG243" s="334"/>
      <c r="VHH243" s="334"/>
      <c r="VHI243" s="334"/>
      <c r="VHJ243" s="334"/>
      <c r="VHK243" s="334"/>
      <c r="VHL243" s="334"/>
      <c r="VHM243" s="334"/>
      <c r="VHN243" s="334"/>
      <c r="VHO243" s="334"/>
      <c r="VHP243" s="334"/>
      <c r="VHQ243" s="334"/>
      <c r="VHR243" s="334"/>
      <c r="VHS243" s="334"/>
      <c r="VHT243" s="334"/>
      <c r="VHU243" s="334"/>
      <c r="VHV243" s="334"/>
      <c r="VHW243" s="334"/>
      <c r="VHX243" s="334"/>
      <c r="VHY243" s="334"/>
      <c r="VHZ243" s="334"/>
      <c r="VIA243" s="334"/>
      <c r="VIB243" s="334"/>
      <c r="VIC243" s="334"/>
      <c r="VID243" s="334"/>
      <c r="VIE243" s="334"/>
      <c r="VIF243" s="334"/>
      <c r="VIG243" s="334"/>
      <c r="VIH243" s="334"/>
      <c r="VII243" s="334"/>
      <c r="VIJ243" s="334"/>
      <c r="VIK243" s="334"/>
      <c r="VIL243" s="334"/>
      <c r="VIM243" s="334"/>
      <c r="VIN243" s="334"/>
      <c r="VIO243" s="334"/>
      <c r="VIP243" s="334"/>
      <c r="VIQ243" s="334"/>
      <c r="VIR243" s="334"/>
      <c r="VIS243" s="334"/>
      <c r="VIT243" s="334"/>
      <c r="VIU243" s="334"/>
      <c r="VIV243" s="334"/>
      <c r="VIW243" s="334"/>
      <c r="VIX243" s="334"/>
      <c r="VIY243" s="334"/>
      <c r="VIZ243" s="334"/>
      <c r="VJA243" s="334"/>
      <c r="VJB243" s="334"/>
      <c r="VJC243" s="334"/>
      <c r="VJD243" s="334"/>
      <c r="VJE243" s="334"/>
      <c r="VJF243" s="334"/>
      <c r="VJG243" s="334"/>
      <c r="VJH243" s="334"/>
      <c r="VJI243" s="334"/>
      <c r="VJJ243" s="334"/>
      <c r="VJK243" s="334"/>
      <c r="VJL243" s="334"/>
      <c r="VJM243" s="334"/>
      <c r="VJN243" s="334"/>
      <c r="VJO243" s="334"/>
      <c r="VJP243" s="334"/>
      <c r="VJQ243" s="334"/>
      <c r="VJR243" s="334"/>
      <c r="VJS243" s="334"/>
      <c r="VJT243" s="334"/>
      <c r="VJU243" s="334"/>
      <c r="VJV243" s="334"/>
      <c r="VJW243" s="334"/>
      <c r="VJX243" s="334"/>
      <c r="VJY243" s="334"/>
      <c r="VJZ243" s="334"/>
      <c r="VKA243" s="334"/>
      <c r="VKB243" s="334"/>
      <c r="VKC243" s="334"/>
      <c r="VKD243" s="334"/>
      <c r="VKE243" s="334"/>
      <c r="VKF243" s="334"/>
      <c r="VKG243" s="334"/>
      <c r="VKH243" s="334"/>
      <c r="VKI243" s="334"/>
      <c r="VKJ243" s="334"/>
      <c r="VKK243" s="334"/>
      <c r="VKL243" s="334"/>
      <c r="VKM243" s="334"/>
      <c r="VKN243" s="334"/>
      <c r="VKO243" s="334"/>
      <c r="VKP243" s="334"/>
      <c r="VKQ243" s="334"/>
      <c r="VKR243" s="334"/>
      <c r="VKS243" s="334"/>
      <c r="VKT243" s="334"/>
      <c r="VKU243" s="334"/>
      <c r="VKV243" s="334"/>
      <c r="VKW243" s="334"/>
      <c r="VKX243" s="334"/>
      <c r="VKY243" s="334"/>
      <c r="VKZ243" s="334"/>
      <c r="VLA243" s="334"/>
      <c r="VLB243" s="334"/>
      <c r="VLC243" s="334"/>
      <c r="VLD243" s="334"/>
      <c r="VLE243" s="334"/>
      <c r="VLF243" s="334"/>
      <c r="VLG243" s="334"/>
      <c r="VLH243" s="334"/>
      <c r="VLI243" s="334"/>
      <c r="VLJ243" s="334"/>
      <c r="VLK243" s="334"/>
      <c r="VLL243" s="334"/>
      <c r="VLM243" s="334"/>
      <c r="VLN243" s="334"/>
      <c r="VLO243" s="334"/>
      <c r="VLP243" s="334"/>
      <c r="VLQ243" s="334"/>
      <c r="VLR243" s="334"/>
      <c r="VLS243" s="334"/>
      <c r="VLT243" s="334"/>
      <c r="VLU243" s="334"/>
      <c r="VLV243" s="334"/>
      <c r="VLW243" s="334"/>
      <c r="VLX243" s="334"/>
      <c r="VLY243" s="334"/>
      <c r="VLZ243" s="334"/>
      <c r="VMA243" s="334"/>
      <c r="VMB243" s="334"/>
      <c r="VMC243" s="334"/>
      <c r="VMD243" s="334"/>
      <c r="VME243" s="334"/>
      <c r="VMF243" s="334"/>
      <c r="VMG243" s="334"/>
      <c r="VMH243" s="334"/>
      <c r="VMI243" s="334"/>
      <c r="VMJ243" s="334"/>
      <c r="VMK243" s="334"/>
      <c r="VML243" s="334"/>
      <c r="VMM243" s="334"/>
      <c r="VMN243" s="334"/>
      <c r="VMO243" s="334"/>
      <c r="VMP243" s="334"/>
      <c r="VMQ243" s="334"/>
      <c r="VMR243" s="334"/>
      <c r="VMS243" s="334"/>
      <c r="VMT243" s="334"/>
      <c r="VMU243" s="334"/>
      <c r="VMV243" s="334"/>
      <c r="VMW243" s="334"/>
      <c r="VMX243" s="334"/>
      <c r="VMY243" s="334"/>
      <c r="VMZ243" s="334"/>
      <c r="VNA243" s="334"/>
      <c r="VNB243" s="334"/>
      <c r="VNC243" s="334"/>
      <c r="VND243" s="334"/>
      <c r="VNE243" s="334"/>
      <c r="VNF243" s="334"/>
      <c r="VNG243" s="334"/>
      <c r="VNH243" s="334"/>
      <c r="VNI243" s="334"/>
      <c r="VNJ243" s="334"/>
      <c r="VNK243" s="334"/>
      <c r="VNL243" s="334"/>
      <c r="VNM243" s="334"/>
      <c r="VNN243" s="334"/>
      <c r="VNO243" s="334"/>
      <c r="VNP243" s="334"/>
      <c r="VNQ243" s="334"/>
      <c r="VNR243" s="334"/>
      <c r="VNS243" s="334"/>
      <c r="VNT243" s="334"/>
      <c r="VNU243" s="334"/>
      <c r="VNV243" s="334"/>
      <c r="VNW243" s="334"/>
      <c r="VNX243" s="334"/>
      <c r="VNY243" s="334"/>
      <c r="VNZ243" s="334"/>
      <c r="VOA243" s="334"/>
      <c r="VOB243" s="334"/>
      <c r="VOC243" s="334"/>
      <c r="VOD243" s="334"/>
      <c r="VOE243" s="334"/>
      <c r="VOF243" s="334"/>
      <c r="VOG243" s="334"/>
      <c r="VOH243" s="334"/>
      <c r="VOI243" s="334"/>
      <c r="VOJ243" s="334"/>
      <c r="VOK243" s="334"/>
      <c r="VOL243" s="334"/>
      <c r="VOM243" s="334"/>
      <c r="VON243" s="334"/>
      <c r="VOO243" s="334"/>
      <c r="VOP243" s="334"/>
      <c r="VOQ243" s="334"/>
      <c r="VOR243" s="334"/>
      <c r="VOS243" s="334"/>
      <c r="VOT243" s="334"/>
      <c r="VOU243" s="334"/>
      <c r="VOV243" s="334"/>
      <c r="VOW243" s="334"/>
      <c r="VOX243" s="334"/>
      <c r="VOY243" s="334"/>
      <c r="VOZ243" s="334"/>
      <c r="VPA243" s="334"/>
      <c r="VPB243" s="334"/>
      <c r="VPC243" s="334"/>
      <c r="VPD243" s="334"/>
      <c r="VPE243" s="334"/>
      <c r="VPF243" s="334"/>
      <c r="VPG243" s="334"/>
      <c r="VPH243" s="334"/>
      <c r="VPI243" s="334"/>
      <c r="VPJ243" s="334"/>
      <c r="VPK243" s="334"/>
      <c r="VPL243" s="334"/>
      <c r="VPM243" s="334"/>
      <c r="VPN243" s="334"/>
      <c r="VPO243" s="334"/>
      <c r="VPP243" s="334"/>
      <c r="VPQ243" s="334"/>
      <c r="VPR243" s="334"/>
      <c r="VPS243" s="334"/>
      <c r="VPT243" s="334"/>
      <c r="VPU243" s="334"/>
      <c r="VPV243" s="334"/>
      <c r="VPW243" s="334"/>
      <c r="VPX243" s="334"/>
      <c r="VPY243" s="334"/>
      <c r="VPZ243" s="334"/>
      <c r="VQA243" s="334"/>
      <c r="VQB243" s="334"/>
      <c r="VQC243" s="334"/>
      <c r="VQD243" s="334"/>
      <c r="VQE243" s="334"/>
      <c r="VQF243" s="334"/>
      <c r="VQG243" s="334"/>
      <c r="VQH243" s="334"/>
      <c r="VQI243" s="334"/>
      <c r="VQJ243" s="334"/>
      <c r="VQK243" s="334"/>
      <c r="VQL243" s="334"/>
      <c r="VQM243" s="334"/>
      <c r="VQN243" s="334"/>
      <c r="VQO243" s="334"/>
      <c r="VQP243" s="334"/>
      <c r="VQQ243" s="334"/>
      <c r="VQR243" s="334"/>
      <c r="VQS243" s="334"/>
      <c r="VQT243" s="334"/>
      <c r="VQU243" s="334"/>
      <c r="VQV243" s="334"/>
      <c r="VQW243" s="334"/>
      <c r="VQX243" s="334"/>
      <c r="VQY243" s="334"/>
      <c r="VQZ243" s="334"/>
      <c r="VRA243" s="334"/>
      <c r="VRB243" s="334"/>
      <c r="VRC243" s="334"/>
      <c r="VRD243" s="334"/>
      <c r="VRE243" s="334"/>
      <c r="VRF243" s="334"/>
      <c r="VRG243" s="334"/>
      <c r="VRH243" s="334"/>
      <c r="VRI243" s="334"/>
      <c r="VRJ243" s="334"/>
      <c r="VRK243" s="334"/>
      <c r="VRL243" s="334"/>
      <c r="VRM243" s="334"/>
      <c r="VRN243" s="334"/>
      <c r="VRO243" s="334"/>
      <c r="VRP243" s="334"/>
      <c r="VRQ243" s="334"/>
      <c r="VRR243" s="334"/>
      <c r="VRS243" s="334"/>
      <c r="VRT243" s="334"/>
      <c r="VRU243" s="334"/>
      <c r="VRV243" s="334"/>
      <c r="VRW243" s="334"/>
      <c r="VRX243" s="334"/>
      <c r="VRY243" s="334"/>
      <c r="VRZ243" s="334"/>
      <c r="VSA243" s="334"/>
      <c r="VSB243" s="334"/>
      <c r="VSC243" s="334"/>
      <c r="VSD243" s="334"/>
      <c r="VSE243" s="334"/>
      <c r="VSF243" s="334"/>
      <c r="VSG243" s="334"/>
      <c r="VSH243" s="334"/>
      <c r="VSI243" s="334"/>
      <c r="VSJ243" s="334"/>
      <c r="VSK243" s="334"/>
      <c r="VSL243" s="334"/>
      <c r="VSM243" s="334"/>
      <c r="VSN243" s="334"/>
      <c r="VSO243" s="334"/>
      <c r="VSP243" s="334"/>
      <c r="VSQ243" s="334"/>
      <c r="VSR243" s="334"/>
      <c r="VSS243" s="334"/>
      <c r="VST243" s="334"/>
      <c r="VSU243" s="334"/>
      <c r="VSV243" s="334"/>
      <c r="VSW243" s="334"/>
      <c r="VSX243" s="334"/>
      <c r="VSY243" s="334"/>
      <c r="VSZ243" s="334"/>
      <c r="VTA243" s="334"/>
      <c r="VTB243" s="334"/>
      <c r="VTC243" s="334"/>
      <c r="VTD243" s="334"/>
      <c r="VTE243" s="334"/>
      <c r="VTF243" s="334"/>
      <c r="VTG243" s="334"/>
      <c r="VTH243" s="334"/>
      <c r="VTI243" s="334"/>
      <c r="VTJ243" s="334"/>
      <c r="VTK243" s="334"/>
      <c r="VTL243" s="334"/>
      <c r="VTM243" s="334"/>
      <c r="VTN243" s="334"/>
      <c r="VTO243" s="334"/>
      <c r="VTP243" s="334"/>
      <c r="VTQ243" s="334"/>
      <c r="VTR243" s="334"/>
      <c r="VTS243" s="334"/>
      <c r="VTT243" s="334"/>
      <c r="VTU243" s="334"/>
      <c r="VTV243" s="334"/>
      <c r="VTW243" s="334"/>
      <c r="VTX243" s="334"/>
      <c r="VTY243" s="334"/>
      <c r="VTZ243" s="334"/>
      <c r="VUA243" s="334"/>
      <c r="VUB243" s="334"/>
      <c r="VUC243" s="334"/>
      <c r="VUD243" s="334"/>
      <c r="VUE243" s="334"/>
      <c r="VUF243" s="334"/>
      <c r="VUG243" s="334"/>
      <c r="VUH243" s="334"/>
      <c r="VUI243" s="334"/>
      <c r="VUJ243" s="334"/>
      <c r="VUK243" s="334"/>
      <c r="VUL243" s="334"/>
      <c r="VUM243" s="334"/>
      <c r="VUN243" s="334"/>
      <c r="VUO243" s="334"/>
      <c r="VUP243" s="334"/>
      <c r="VUQ243" s="334"/>
      <c r="VUR243" s="334"/>
      <c r="VUS243" s="334"/>
      <c r="VUT243" s="334"/>
      <c r="VUU243" s="334"/>
      <c r="VUV243" s="334"/>
      <c r="VUW243" s="334"/>
      <c r="VUX243" s="334"/>
      <c r="VUY243" s="334"/>
      <c r="VUZ243" s="334"/>
      <c r="VVA243" s="334"/>
      <c r="VVB243" s="334"/>
      <c r="VVC243" s="334"/>
      <c r="VVD243" s="334"/>
      <c r="VVE243" s="334"/>
      <c r="VVF243" s="334"/>
      <c r="VVG243" s="334"/>
      <c r="VVH243" s="334"/>
      <c r="VVI243" s="334"/>
      <c r="VVJ243" s="334"/>
      <c r="VVK243" s="334"/>
      <c r="VVL243" s="334"/>
      <c r="VVM243" s="334"/>
      <c r="VVN243" s="334"/>
      <c r="VVO243" s="334"/>
      <c r="VVP243" s="334"/>
      <c r="VVQ243" s="334"/>
      <c r="VVR243" s="334"/>
      <c r="VVS243" s="334"/>
      <c r="VVT243" s="334"/>
      <c r="VVU243" s="334"/>
      <c r="VVV243" s="334"/>
      <c r="VVW243" s="334"/>
      <c r="VVX243" s="334"/>
      <c r="VVY243" s="334"/>
      <c r="VVZ243" s="334"/>
      <c r="VWA243" s="334"/>
      <c r="VWB243" s="334"/>
      <c r="VWC243" s="334"/>
      <c r="VWD243" s="334"/>
      <c r="VWE243" s="334"/>
      <c r="VWF243" s="334"/>
      <c r="VWG243" s="334"/>
      <c r="VWH243" s="334"/>
      <c r="VWI243" s="334"/>
      <c r="VWJ243" s="334"/>
      <c r="VWK243" s="334"/>
      <c r="VWL243" s="334"/>
      <c r="VWM243" s="334"/>
      <c r="VWN243" s="334"/>
      <c r="VWO243" s="334"/>
      <c r="VWP243" s="334"/>
      <c r="VWQ243" s="334"/>
      <c r="VWR243" s="334"/>
      <c r="VWS243" s="334"/>
      <c r="VWT243" s="334"/>
      <c r="VWU243" s="334"/>
      <c r="VWV243" s="334"/>
      <c r="VWW243" s="334"/>
      <c r="VWX243" s="334"/>
      <c r="VWY243" s="334"/>
      <c r="VWZ243" s="334"/>
      <c r="VXA243" s="334"/>
      <c r="VXB243" s="334"/>
      <c r="VXC243" s="334"/>
      <c r="VXD243" s="334"/>
      <c r="VXE243" s="334"/>
      <c r="VXF243" s="334"/>
      <c r="VXG243" s="334"/>
      <c r="VXH243" s="334"/>
      <c r="VXI243" s="334"/>
      <c r="VXJ243" s="334"/>
      <c r="VXK243" s="334"/>
      <c r="VXL243" s="334"/>
      <c r="VXM243" s="334"/>
      <c r="VXN243" s="334"/>
      <c r="VXO243" s="334"/>
      <c r="VXP243" s="334"/>
      <c r="VXQ243" s="334"/>
      <c r="VXR243" s="334"/>
      <c r="VXS243" s="334"/>
      <c r="VXT243" s="334"/>
      <c r="VXU243" s="334"/>
      <c r="VXV243" s="334"/>
      <c r="VXW243" s="334"/>
      <c r="VXX243" s="334"/>
      <c r="VXY243" s="334"/>
      <c r="VXZ243" s="334"/>
      <c r="VYA243" s="334"/>
      <c r="VYB243" s="334"/>
      <c r="VYC243" s="334"/>
      <c r="VYD243" s="334"/>
      <c r="VYE243" s="334"/>
      <c r="VYF243" s="334"/>
      <c r="VYG243" s="334"/>
      <c r="VYH243" s="334"/>
      <c r="VYI243" s="334"/>
      <c r="VYJ243" s="334"/>
      <c r="VYK243" s="334"/>
      <c r="VYL243" s="334"/>
      <c r="VYM243" s="334"/>
      <c r="VYN243" s="334"/>
      <c r="VYO243" s="334"/>
      <c r="VYP243" s="334"/>
      <c r="VYQ243" s="334"/>
      <c r="VYR243" s="334"/>
      <c r="VYS243" s="334"/>
      <c r="VYT243" s="334"/>
      <c r="VYU243" s="334"/>
      <c r="VYV243" s="334"/>
      <c r="VYW243" s="334"/>
      <c r="VYX243" s="334"/>
      <c r="VYY243" s="334"/>
      <c r="VYZ243" s="334"/>
      <c r="VZA243" s="334"/>
      <c r="VZB243" s="334"/>
      <c r="VZC243" s="334"/>
      <c r="VZD243" s="334"/>
      <c r="VZE243" s="334"/>
      <c r="VZF243" s="334"/>
      <c r="VZG243" s="334"/>
      <c r="VZH243" s="334"/>
      <c r="VZI243" s="334"/>
      <c r="VZJ243" s="334"/>
      <c r="VZK243" s="334"/>
      <c r="VZL243" s="334"/>
      <c r="VZM243" s="334"/>
      <c r="VZN243" s="334"/>
      <c r="VZO243" s="334"/>
      <c r="VZP243" s="334"/>
      <c r="VZQ243" s="334"/>
      <c r="VZR243" s="334"/>
      <c r="VZS243" s="334"/>
      <c r="VZT243" s="334"/>
      <c r="VZU243" s="334"/>
      <c r="VZV243" s="334"/>
      <c r="VZW243" s="334"/>
      <c r="VZX243" s="334"/>
      <c r="VZY243" s="334"/>
      <c r="VZZ243" s="334"/>
      <c r="WAA243" s="334"/>
      <c r="WAB243" s="334"/>
      <c r="WAC243" s="334"/>
      <c r="WAD243" s="334"/>
      <c r="WAE243" s="334"/>
      <c r="WAF243" s="334"/>
      <c r="WAG243" s="334"/>
      <c r="WAH243" s="334"/>
      <c r="WAI243" s="334"/>
      <c r="WAJ243" s="334"/>
      <c r="WAK243" s="334"/>
      <c r="WAL243" s="334"/>
      <c r="WAM243" s="334"/>
      <c r="WAN243" s="334"/>
      <c r="WAO243" s="334"/>
      <c r="WAP243" s="334"/>
      <c r="WAQ243" s="334"/>
      <c r="WAR243" s="334"/>
      <c r="WAS243" s="334"/>
      <c r="WAT243" s="334"/>
      <c r="WAU243" s="334"/>
      <c r="WAV243" s="334"/>
      <c r="WAW243" s="334"/>
      <c r="WAX243" s="334"/>
      <c r="WAY243" s="334"/>
      <c r="WAZ243" s="334"/>
      <c r="WBA243" s="334"/>
      <c r="WBB243" s="334"/>
      <c r="WBC243" s="334"/>
      <c r="WBD243" s="334"/>
      <c r="WBE243" s="334"/>
      <c r="WBF243" s="334"/>
      <c r="WBG243" s="334"/>
      <c r="WBH243" s="334"/>
      <c r="WBI243" s="334"/>
      <c r="WBJ243" s="334"/>
      <c r="WBK243" s="334"/>
      <c r="WBL243" s="334"/>
      <c r="WBM243" s="334"/>
      <c r="WBN243" s="334"/>
      <c r="WBO243" s="334"/>
      <c r="WBP243" s="334"/>
      <c r="WBQ243" s="334"/>
      <c r="WBR243" s="334"/>
      <c r="WBS243" s="334"/>
      <c r="WBT243" s="334"/>
      <c r="WBU243" s="334"/>
      <c r="WBV243" s="334"/>
      <c r="WBW243" s="334"/>
      <c r="WBX243" s="334"/>
      <c r="WBY243" s="334"/>
      <c r="WBZ243" s="334"/>
      <c r="WCA243" s="334"/>
      <c r="WCB243" s="334"/>
      <c r="WCC243" s="334"/>
      <c r="WCD243" s="334"/>
      <c r="WCE243" s="334"/>
      <c r="WCF243" s="334"/>
      <c r="WCG243" s="334"/>
      <c r="WCH243" s="334"/>
      <c r="WCI243" s="334"/>
      <c r="WCJ243" s="334"/>
      <c r="WCK243" s="334"/>
      <c r="WCL243" s="334"/>
      <c r="WCM243" s="334"/>
      <c r="WCN243" s="334"/>
      <c r="WCO243" s="334"/>
      <c r="WCP243" s="334"/>
      <c r="WCQ243" s="334"/>
      <c r="WCR243" s="334"/>
      <c r="WCS243" s="334"/>
      <c r="WCT243" s="334"/>
      <c r="WCU243" s="334"/>
      <c r="WCV243" s="334"/>
      <c r="WCW243" s="334"/>
      <c r="WCX243" s="334"/>
      <c r="WCY243" s="334"/>
      <c r="WCZ243" s="334"/>
      <c r="WDA243" s="334"/>
      <c r="WDB243" s="334"/>
      <c r="WDC243" s="334"/>
      <c r="WDD243" s="334"/>
      <c r="WDE243" s="334"/>
      <c r="WDF243" s="334"/>
      <c r="WDG243" s="334"/>
      <c r="WDH243" s="334"/>
      <c r="WDI243" s="334"/>
      <c r="WDJ243" s="334"/>
      <c r="WDK243" s="334"/>
      <c r="WDL243" s="334"/>
      <c r="WDM243" s="334"/>
      <c r="WDN243" s="334"/>
      <c r="WDO243" s="334"/>
      <c r="WDP243" s="334"/>
      <c r="WDQ243" s="334"/>
      <c r="WDR243" s="334"/>
      <c r="WDS243" s="334"/>
      <c r="WDT243" s="334"/>
      <c r="WDU243" s="334"/>
      <c r="WDV243" s="334"/>
      <c r="WDW243" s="334"/>
      <c r="WDX243" s="334"/>
      <c r="WDY243" s="334"/>
      <c r="WDZ243" s="334"/>
      <c r="WEA243" s="334"/>
      <c r="WEB243" s="334"/>
      <c r="WEC243" s="334"/>
      <c r="WED243" s="334"/>
      <c r="WEE243" s="334"/>
      <c r="WEF243" s="334"/>
      <c r="WEG243" s="334"/>
      <c r="WEH243" s="334"/>
      <c r="WEI243" s="334"/>
      <c r="WEJ243" s="334"/>
      <c r="WEK243" s="334"/>
      <c r="WEL243" s="334"/>
      <c r="WEM243" s="334"/>
      <c r="WEN243" s="334"/>
      <c r="WEO243" s="334"/>
      <c r="WEP243" s="334"/>
      <c r="WEQ243" s="334"/>
      <c r="WER243" s="334"/>
      <c r="WES243" s="334"/>
      <c r="WET243" s="334"/>
      <c r="WEU243" s="334"/>
      <c r="WEV243" s="334"/>
      <c r="WEW243" s="334"/>
      <c r="WEX243" s="334"/>
      <c r="WEY243" s="334"/>
      <c r="WEZ243" s="334"/>
      <c r="WFA243" s="334"/>
      <c r="WFB243" s="334"/>
      <c r="WFC243" s="334"/>
      <c r="WFD243" s="334"/>
      <c r="WFE243" s="334"/>
      <c r="WFF243" s="334"/>
      <c r="WFG243" s="334"/>
      <c r="WFH243" s="334"/>
      <c r="WFI243" s="334"/>
      <c r="WFJ243" s="334"/>
      <c r="WFK243" s="334"/>
      <c r="WFL243" s="334"/>
      <c r="WFM243" s="334"/>
      <c r="WFN243" s="334"/>
      <c r="WFO243" s="334"/>
      <c r="WFP243" s="334"/>
      <c r="WFQ243" s="334"/>
      <c r="WFR243" s="334"/>
      <c r="WFS243" s="334"/>
      <c r="WFT243" s="334"/>
      <c r="WFU243" s="334"/>
      <c r="WFV243" s="334"/>
      <c r="WFW243" s="334"/>
      <c r="WFX243" s="334"/>
      <c r="WFY243" s="334"/>
      <c r="WFZ243" s="334"/>
      <c r="WGA243" s="334"/>
      <c r="WGB243" s="334"/>
      <c r="WGC243" s="334"/>
      <c r="WGD243" s="334"/>
      <c r="WGE243" s="334"/>
      <c r="WGF243" s="334"/>
      <c r="WGG243" s="334"/>
      <c r="WGH243" s="334"/>
      <c r="WGI243" s="334"/>
      <c r="WGJ243" s="334"/>
      <c r="WGK243" s="334"/>
      <c r="WGL243" s="334"/>
      <c r="WGM243" s="334"/>
      <c r="WGN243" s="334"/>
      <c r="WGO243" s="334"/>
      <c r="WGP243" s="334"/>
      <c r="WGQ243" s="334"/>
      <c r="WGR243" s="334"/>
      <c r="WGS243" s="334"/>
      <c r="WGT243" s="334"/>
      <c r="WGU243" s="334"/>
      <c r="WGV243" s="334"/>
      <c r="WGW243" s="334"/>
      <c r="WGX243" s="334"/>
      <c r="WGY243" s="334"/>
      <c r="WGZ243" s="334"/>
      <c r="WHA243" s="334"/>
      <c r="WHB243" s="334"/>
      <c r="WHC243" s="334"/>
      <c r="WHD243" s="334"/>
      <c r="WHE243" s="334"/>
      <c r="WHF243" s="334"/>
      <c r="WHG243" s="334"/>
      <c r="WHH243" s="334"/>
      <c r="WHI243" s="334"/>
      <c r="WHJ243" s="334"/>
      <c r="WHK243" s="334"/>
      <c r="WHL243" s="334"/>
      <c r="WHM243" s="334"/>
      <c r="WHN243" s="334"/>
      <c r="WHO243" s="334"/>
      <c r="WHP243" s="334"/>
      <c r="WHQ243" s="334"/>
      <c r="WHR243" s="334"/>
      <c r="WHS243" s="334"/>
      <c r="WHT243" s="334"/>
      <c r="WHU243" s="334"/>
      <c r="WHV243" s="334"/>
      <c r="WHW243" s="334"/>
      <c r="WHX243" s="334"/>
      <c r="WHY243" s="334"/>
      <c r="WHZ243" s="334"/>
      <c r="WIA243" s="334"/>
      <c r="WIB243" s="334"/>
      <c r="WIC243" s="334"/>
      <c r="WID243" s="334"/>
      <c r="WIE243" s="334"/>
      <c r="WIF243" s="334"/>
      <c r="WIG243" s="334"/>
      <c r="WIH243" s="334"/>
      <c r="WII243" s="334"/>
      <c r="WIJ243" s="334"/>
      <c r="WIK243" s="334"/>
      <c r="WIL243" s="334"/>
      <c r="WIM243" s="334"/>
      <c r="WIN243" s="334"/>
      <c r="WIO243" s="334"/>
      <c r="WIP243" s="334"/>
      <c r="WIQ243" s="334"/>
      <c r="WIR243" s="334"/>
      <c r="WIS243" s="334"/>
      <c r="WIT243" s="334"/>
      <c r="WIU243" s="334"/>
      <c r="WIV243" s="334"/>
      <c r="WIW243" s="334"/>
      <c r="WIX243" s="334"/>
      <c r="WIY243" s="334"/>
      <c r="WIZ243" s="334"/>
      <c r="WJA243" s="334"/>
      <c r="WJB243" s="334"/>
      <c r="WJC243" s="334"/>
      <c r="WJD243" s="334"/>
      <c r="WJE243" s="334"/>
      <c r="WJF243" s="334"/>
      <c r="WJG243" s="334"/>
      <c r="WJH243" s="334"/>
      <c r="WJI243" s="334"/>
      <c r="WJJ243" s="334"/>
      <c r="WJK243" s="334"/>
      <c r="WJL243" s="334"/>
      <c r="WJM243" s="334"/>
      <c r="WJN243" s="334"/>
      <c r="WJO243" s="334"/>
      <c r="WJP243" s="334"/>
      <c r="WJQ243" s="334"/>
      <c r="WJR243" s="334"/>
      <c r="WJS243" s="334"/>
      <c r="WJT243" s="334"/>
      <c r="WJU243" s="334"/>
      <c r="WJV243" s="334"/>
      <c r="WJW243" s="334"/>
      <c r="WJX243" s="334"/>
      <c r="WJY243" s="334"/>
      <c r="WJZ243" s="334"/>
      <c r="WKA243" s="334"/>
      <c r="WKB243" s="334"/>
      <c r="WKC243" s="334"/>
      <c r="WKD243" s="334"/>
      <c r="WKE243" s="334"/>
      <c r="WKF243" s="334"/>
      <c r="WKG243" s="334"/>
      <c r="WKH243" s="334"/>
      <c r="WKI243" s="334"/>
      <c r="WKJ243" s="334"/>
      <c r="WKK243" s="334"/>
      <c r="WKL243" s="334"/>
      <c r="WKM243" s="334"/>
      <c r="WKN243" s="334"/>
      <c r="WKO243" s="334"/>
      <c r="WKP243" s="334"/>
      <c r="WKQ243" s="334"/>
      <c r="WKR243" s="334"/>
      <c r="WKS243" s="334"/>
      <c r="WKT243" s="334"/>
      <c r="WKU243" s="334"/>
      <c r="WKV243" s="334"/>
      <c r="WKW243" s="334"/>
      <c r="WKX243" s="334"/>
      <c r="WKY243" s="334"/>
      <c r="WKZ243" s="334"/>
      <c r="WLA243" s="334"/>
      <c r="WLB243" s="334"/>
      <c r="WLC243" s="334"/>
      <c r="WLD243" s="334"/>
      <c r="WLE243" s="334"/>
      <c r="WLF243" s="334"/>
      <c r="WLG243" s="334"/>
      <c r="WLH243" s="334"/>
      <c r="WLI243" s="334"/>
      <c r="WLJ243" s="334"/>
      <c r="WLK243" s="334"/>
      <c r="WLL243" s="334"/>
      <c r="WLM243" s="334"/>
      <c r="WLN243" s="334"/>
      <c r="WLO243" s="334"/>
      <c r="WLP243" s="334"/>
      <c r="WLQ243" s="334"/>
      <c r="WLR243" s="334"/>
      <c r="WLS243" s="334"/>
      <c r="WLT243" s="334"/>
      <c r="WLU243" s="334"/>
      <c r="WLV243" s="334"/>
      <c r="WLW243" s="334"/>
      <c r="WLX243" s="334"/>
      <c r="WLY243" s="334"/>
      <c r="WLZ243" s="334"/>
      <c r="WMA243" s="334"/>
      <c r="WMB243" s="334"/>
      <c r="WMC243" s="334"/>
      <c r="WMD243" s="334"/>
      <c r="WME243" s="334"/>
      <c r="WMF243" s="334"/>
      <c r="WMG243" s="334"/>
      <c r="WMH243" s="334"/>
      <c r="WMI243" s="334"/>
      <c r="WMJ243" s="334"/>
      <c r="WMK243" s="334"/>
      <c r="WML243" s="334"/>
      <c r="WMM243" s="334"/>
      <c r="WMN243" s="334"/>
      <c r="WMO243" s="334"/>
      <c r="WMP243" s="334"/>
      <c r="WMQ243" s="334"/>
      <c r="WMR243" s="334"/>
      <c r="WMS243" s="334"/>
      <c r="WMT243" s="334"/>
      <c r="WMU243" s="334"/>
      <c r="WMV243" s="334"/>
      <c r="WMW243" s="334"/>
      <c r="WMX243" s="334"/>
      <c r="WMY243" s="334"/>
      <c r="WMZ243" s="334"/>
      <c r="WNA243" s="334"/>
      <c r="WNB243" s="334"/>
      <c r="WNC243" s="334"/>
      <c r="WND243" s="334"/>
      <c r="WNE243" s="334"/>
      <c r="WNF243" s="334"/>
      <c r="WNG243" s="334"/>
      <c r="WNH243" s="334"/>
      <c r="WNI243" s="334"/>
      <c r="WNJ243" s="334"/>
      <c r="WNK243" s="334"/>
      <c r="WNL243" s="334"/>
      <c r="WNM243" s="334"/>
      <c r="WNN243" s="334"/>
      <c r="WNO243" s="334"/>
      <c r="WNP243" s="334"/>
      <c r="WNQ243" s="334"/>
      <c r="WNR243" s="334"/>
      <c r="WNS243" s="334"/>
      <c r="WNT243" s="334"/>
      <c r="WNU243" s="334"/>
      <c r="WNV243" s="334"/>
      <c r="WNW243" s="334"/>
      <c r="WNX243" s="334"/>
      <c r="WNY243" s="334"/>
      <c r="WNZ243" s="334"/>
      <c r="WOA243" s="334"/>
      <c r="WOB243" s="334"/>
      <c r="WOC243" s="334"/>
      <c r="WOD243" s="334"/>
      <c r="WOE243" s="334"/>
      <c r="WOF243" s="334"/>
      <c r="WOG243" s="334"/>
      <c r="WOH243" s="334"/>
      <c r="WOI243" s="334"/>
      <c r="WOJ243" s="334"/>
      <c r="WOK243" s="334"/>
      <c r="WOL243" s="334"/>
      <c r="WOM243" s="334"/>
      <c r="WON243" s="334"/>
      <c r="WOO243" s="334"/>
      <c r="WOP243" s="334"/>
      <c r="WOQ243" s="334"/>
      <c r="WOR243" s="334"/>
      <c r="WOS243" s="334"/>
      <c r="WOT243" s="334"/>
      <c r="WOU243" s="334"/>
      <c r="WOV243" s="334"/>
      <c r="WOW243" s="334"/>
      <c r="WOX243" s="334"/>
      <c r="WOY243" s="334"/>
      <c r="WOZ243" s="334"/>
      <c r="WPA243" s="334"/>
      <c r="WPB243" s="334"/>
      <c r="WPC243" s="334"/>
      <c r="WPD243" s="334"/>
      <c r="WPE243" s="334"/>
      <c r="WPF243" s="334"/>
      <c r="WPG243" s="334"/>
      <c r="WPH243" s="334"/>
      <c r="WPI243" s="334"/>
      <c r="WPJ243" s="334"/>
      <c r="WPK243" s="334"/>
      <c r="WPL243" s="334"/>
      <c r="WPM243" s="334"/>
      <c r="WPN243" s="334"/>
      <c r="WPO243" s="334"/>
      <c r="WPP243" s="334"/>
      <c r="WPQ243" s="334"/>
      <c r="WPR243" s="334"/>
      <c r="WPS243" s="334"/>
      <c r="WPT243" s="334"/>
      <c r="WPU243" s="334"/>
      <c r="WPV243" s="334"/>
      <c r="WPW243" s="334"/>
      <c r="WPX243" s="334"/>
      <c r="WPY243" s="334"/>
      <c r="WPZ243" s="334"/>
      <c r="WQA243" s="334"/>
      <c r="WQB243" s="334"/>
      <c r="WQC243" s="334"/>
      <c r="WQD243" s="334"/>
      <c r="WQE243" s="334"/>
      <c r="WQF243" s="334"/>
      <c r="WQG243" s="334"/>
      <c r="WQH243" s="334"/>
      <c r="WQI243" s="334"/>
      <c r="WQJ243" s="334"/>
      <c r="WQK243" s="334"/>
      <c r="WQL243" s="334"/>
      <c r="WQM243" s="334"/>
      <c r="WQN243" s="334"/>
      <c r="WQO243" s="334"/>
      <c r="WQP243" s="334"/>
      <c r="WQQ243" s="334"/>
      <c r="WQR243" s="334"/>
      <c r="WQS243" s="334"/>
      <c r="WQT243" s="334"/>
      <c r="WQU243" s="334"/>
      <c r="WQV243" s="334"/>
      <c r="WQW243" s="334"/>
      <c r="WQX243" s="334"/>
      <c r="WQY243" s="334"/>
      <c r="WQZ243" s="334"/>
      <c r="WRA243" s="334"/>
      <c r="WRB243" s="334"/>
      <c r="WRC243" s="334"/>
      <c r="WRD243" s="334"/>
      <c r="WRE243" s="334"/>
      <c r="WRF243" s="334"/>
      <c r="WRG243" s="334"/>
      <c r="WRH243" s="334"/>
      <c r="WRI243" s="334"/>
      <c r="WRJ243" s="334"/>
      <c r="WRK243" s="334"/>
      <c r="WRL243" s="334"/>
      <c r="WRM243" s="334"/>
      <c r="WRN243" s="334"/>
      <c r="WRO243" s="334"/>
      <c r="WRP243" s="334"/>
      <c r="WRQ243" s="334"/>
      <c r="WRR243" s="334"/>
      <c r="WRS243" s="334"/>
      <c r="WRT243" s="334"/>
      <c r="WRU243" s="334"/>
      <c r="WRV243" s="334"/>
      <c r="WRW243" s="334"/>
      <c r="WRX243" s="334"/>
      <c r="WRY243" s="334"/>
      <c r="WRZ243" s="334"/>
      <c r="WSA243" s="334"/>
      <c r="WSB243" s="334"/>
      <c r="WSC243" s="334"/>
      <c r="WSD243" s="334"/>
      <c r="WSE243" s="334"/>
      <c r="WSF243" s="334"/>
      <c r="WSG243" s="334"/>
      <c r="WSH243" s="334"/>
      <c r="WSI243" s="334"/>
      <c r="WSJ243" s="334"/>
      <c r="WSK243" s="334"/>
      <c r="WSL243" s="334"/>
      <c r="WSM243" s="334"/>
      <c r="WSN243" s="334"/>
      <c r="WSO243" s="334"/>
      <c r="WSP243" s="334"/>
      <c r="WSQ243" s="334"/>
      <c r="WSR243" s="334"/>
      <c r="WSS243" s="334"/>
      <c r="WST243" s="334"/>
      <c r="WSU243" s="334"/>
      <c r="WSV243" s="334"/>
      <c r="WSW243" s="334"/>
      <c r="WSX243" s="334"/>
      <c r="WSY243" s="334"/>
      <c r="WSZ243" s="334"/>
      <c r="WTA243" s="334"/>
      <c r="WTB243" s="334"/>
      <c r="WTC243" s="334"/>
      <c r="WTD243" s="334"/>
      <c r="WTE243" s="334"/>
      <c r="WTF243" s="334"/>
      <c r="WTG243" s="334"/>
      <c r="WTH243" s="334"/>
      <c r="WTI243" s="334"/>
      <c r="WTJ243" s="334"/>
      <c r="WTK243" s="334"/>
      <c r="WTL243" s="334"/>
      <c r="WTM243" s="334"/>
      <c r="WTN243" s="334"/>
      <c r="WTO243" s="334"/>
      <c r="WTP243" s="334"/>
      <c r="WTQ243" s="334"/>
      <c r="WTR243" s="334"/>
      <c r="WTS243" s="334"/>
      <c r="WTT243" s="334"/>
      <c r="WTU243" s="334"/>
      <c r="WTV243" s="334"/>
      <c r="WTW243" s="334"/>
      <c r="WTX243" s="334"/>
      <c r="WTY243" s="334"/>
      <c r="WTZ243" s="334"/>
      <c r="WUA243" s="334"/>
      <c r="WUB243" s="334"/>
      <c r="WUC243" s="334"/>
      <c r="WUD243" s="334"/>
      <c r="WUE243" s="334"/>
      <c r="WUF243" s="334"/>
      <c r="WUG243" s="334"/>
      <c r="WUH243" s="334"/>
      <c r="WUI243" s="334"/>
      <c r="WUJ243" s="334"/>
      <c r="WUK243" s="334"/>
      <c r="WUL243" s="334"/>
      <c r="WUM243" s="334"/>
      <c r="WUN243" s="334"/>
      <c r="WUO243" s="334"/>
      <c r="WUP243" s="334"/>
      <c r="WUQ243" s="334"/>
      <c r="WUR243" s="334"/>
      <c r="WUS243" s="334"/>
      <c r="WUT243" s="334"/>
      <c r="WUU243" s="334"/>
      <c r="WUV243" s="334"/>
      <c r="WUW243" s="334"/>
      <c r="WUX243" s="334"/>
      <c r="WUY243" s="334"/>
      <c r="WUZ243" s="334"/>
      <c r="WVA243" s="334"/>
      <c r="WVB243" s="334"/>
      <c r="WVC243" s="334"/>
      <c r="WVD243" s="334"/>
      <c r="WVE243" s="334"/>
      <c r="WVF243" s="334"/>
      <c r="WVG243" s="334"/>
      <c r="WVH243" s="334"/>
      <c r="WVI243" s="334"/>
      <c r="WVJ243" s="334"/>
      <c r="WVK243" s="334"/>
      <c r="WVL243" s="334"/>
      <c r="WVM243" s="334"/>
      <c r="WVN243" s="334"/>
      <c r="WVO243" s="334"/>
      <c r="WVP243" s="334"/>
      <c r="WVQ243" s="334"/>
      <c r="WVR243" s="334"/>
      <c r="WVS243" s="334"/>
      <c r="WVT243" s="334"/>
      <c r="WVU243" s="334"/>
      <c r="WVV243" s="334"/>
      <c r="WVW243" s="334"/>
      <c r="WVX243" s="334"/>
      <c r="WVY243" s="334"/>
      <c r="WVZ243" s="334"/>
      <c r="WWA243" s="334"/>
      <c r="WWB243" s="334"/>
      <c r="WWC243" s="334"/>
      <c r="WWD243" s="334"/>
      <c r="WWE243" s="334"/>
      <c r="WWF243" s="334"/>
      <c r="WWG243" s="334"/>
      <c r="WWH243" s="334"/>
      <c r="WWI243" s="334"/>
      <c r="WWJ243" s="334"/>
      <c r="WWK243" s="334"/>
      <c r="WWL243" s="334"/>
      <c r="WWM243" s="334"/>
      <c r="WWN243" s="334"/>
      <c r="WWO243" s="334"/>
      <c r="WWP243" s="334"/>
      <c r="WWQ243" s="334"/>
      <c r="WWR243" s="334"/>
      <c r="WWS243" s="334"/>
      <c r="WWT243" s="334"/>
      <c r="WWU243" s="334"/>
      <c r="WWV243" s="334"/>
      <c r="WWW243" s="334"/>
      <c r="WWX243" s="334"/>
      <c r="WWY243" s="334"/>
      <c r="WWZ243" s="334"/>
      <c r="WXA243" s="334"/>
      <c r="WXB243" s="334"/>
      <c r="WXC243" s="334"/>
      <c r="WXD243" s="334"/>
      <c r="WXE243" s="334"/>
      <c r="WXF243" s="334"/>
      <c r="WXG243" s="334"/>
      <c r="WXH243" s="334"/>
      <c r="WXI243" s="334"/>
      <c r="WXJ243" s="334"/>
      <c r="WXK243" s="334"/>
      <c r="WXL243" s="334"/>
      <c r="WXM243" s="334"/>
      <c r="WXN243" s="334"/>
      <c r="WXO243" s="334"/>
      <c r="WXP243" s="334"/>
      <c r="WXQ243" s="334"/>
      <c r="WXR243" s="334"/>
      <c r="WXS243" s="334"/>
      <c r="WXT243" s="334"/>
      <c r="WXU243" s="334"/>
      <c r="WXV243" s="334"/>
      <c r="WXW243" s="334"/>
      <c r="WXX243" s="334"/>
      <c r="WXY243" s="334"/>
      <c r="WXZ243" s="334"/>
      <c r="WYA243" s="334"/>
      <c r="WYB243" s="334"/>
      <c r="WYC243" s="334"/>
      <c r="WYD243" s="334"/>
      <c r="WYE243" s="334"/>
      <c r="WYF243" s="334"/>
      <c r="WYG243" s="334"/>
      <c r="WYH243" s="334"/>
      <c r="WYI243" s="334"/>
      <c r="WYJ243" s="334"/>
      <c r="WYK243" s="334"/>
      <c r="WYL243" s="334"/>
      <c r="WYM243" s="334"/>
      <c r="WYN243" s="334"/>
      <c r="WYO243" s="334"/>
      <c r="WYP243" s="334"/>
      <c r="WYQ243" s="334"/>
      <c r="WYR243" s="334"/>
      <c r="WYS243" s="334"/>
      <c r="WYT243" s="334"/>
      <c r="WYU243" s="334"/>
      <c r="WYV243" s="334"/>
      <c r="WYW243" s="334"/>
      <c r="WYX243" s="334"/>
      <c r="WYY243" s="334"/>
      <c r="WYZ243" s="334"/>
      <c r="WZA243" s="334"/>
      <c r="WZB243" s="334"/>
      <c r="WZC243" s="334"/>
      <c r="WZD243" s="334"/>
      <c r="WZE243" s="334"/>
      <c r="WZF243" s="334"/>
      <c r="WZG243" s="334"/>
      <c r="WZH243" s="334"/>
      <c r="WZI243" s="334"/>
      <c r="WZJ243" s="334"/>
      <c r="WZK243" s="334"/>
      <c r="WZL243" s="334"/>
      <c r="WZM243" s="334"/>
      <c r="WZN243" s="334"/>
      <c r="WZO243" s="334"/>
      <c r="WZP243" s="334"/>
      <c r="WZQ243" s="334"/>
      <c r="WZR243" s="334"/>
      <c r="WZS243" s="334"/>
      <c r="WZT243" s="334"/>
      <c r="WZU243" s="334"/>
      <c r="WZV243" s="334"/>
      <c r="WZW243" s="334"/>
      <c r="WZX243" s="334"/>
      <c r="WZY243" s="334"/>
      <c r="WZZ243" s="334"/>
      <c r="XAA243" s="334"/>
      <c r="XAB243" s="334"/>
      <c r="XAC243" s="334"/>
      <c r="XAD243" s="334"/>
      <c r="XAE243" s="334"/>
      <c r="XAF243" s="334"/>
      <c r="XAG243" s="334"/>
      <c r="XAH243" s="334"/>
      <c r="XAI243" s="334"/>
      <c r="XAJ243" s="334"/>
      <c r="XAK243" s="334"/>
      <c r="XAL243" s="334"/>
      <c r="XAM243" s="334"/>
      <c r="XAN243" s="334"/>
      <c r="XAO243" s="334"/>
      <c r="XAP243" s="334"/>
      <c r="XAQ243" s="334"/>
      <c r="XAR243" s="334"/>
      <c r="XAS243" s="334"/>
      <c r="XAT243" s="334"/>
      <c r="XAU243" s="334"/>
      <c r="XAV243" s="334"/>
      <c r="XAW243" s="334"/>
      <c r="XAX243" s="334"/>
      <c r="XAY243" s="334"/>
      <c r="XAZ243" s="334"/>
      <c r="XBA243" s="334"/>
      <c r="XBB243" s="334"/>
      <c r="XBC243" s="334"/>
      <c r="XBD243" s="334"/>
      <c r="XBE243" s="334"/>
      <c r="XBF243" s="334"/>
      <c r="XBG243" s="334"/>
      <c r="XBH243" s="334"/>
      <c r="XBI243" s="334"/>
      <c r="XBJ243" s="334"/>
      <c r="XBK243" s="334"/>
      <c r="XBL243" s="334"/>
      <c r="XBM243" s="334"/>
      <c r="XBN243" s="334"/>
      <c r="XBO243" s="334"/>
      <c r="XBP243" s="334"/>
      <c r="XBQ243" s="334"/>
      <c r="XBR243" s="334"/>
      <c r="XBS243" s="334"/>
      <c r="XBT243" s="334"/>
      <c r="XBU243" s="334"/>
      <c r="XBV243" s="334"/>
      <c r="XBW243" s="334"/>
      <c r="XBX243" s="334"/>
      <c r="XBY243" s="334"/>
      <c r="XBZ243" s="334"/>
      <c r="XCA243" s="334"/>
      <c r="XCB243" s="334"/>
      <c r="XCC243" s="334"/>
      <c r="XCD243" s="334"/>
      <c r="XCE243" s="334"/>
      <c r="XCF243" s="334"/>
      <c r="XCG243" s="334"/>
      <c r="XCH243" s="334"/>
      <c r="XCI243" s="334"/>
      <c r="XCJ243" s="334"/>
      <c r="XCK243" s="334"/>
      <c r="XCL243" s="334"/>
      <c r="XCM243" s="334"/>
      <c r="XCN243" s="334"/>
      <c r="XCO243" s="334"/>
      <c r="XCP243" s="334"/>
      <c r="XCQ243" s="334"/>
      <c r="XCR243" s="334"/>
      <c r="XCS243" s="334"/>
      <c r="XCT243" s="334"/>
      <c r="XCU243" s="334"/>
      <c r="XCV243" s="334"/>
      <c r="XCW243" s="334"/>
      <c r="XCX243" s="334"/>
      <c r="XCY243" s="334"/>
      <c r="XCZ243" s="334"/>
      <c r="XDA243" s="334"/>
      <c r="XDB243" s="334"/>
      <c r="XDC243" s="334"/>
      <c r="XDD243" s="334"/>
      <c r="XDE243" s="334"/>
      <c r="XDF243" s="334"/>
      <c r="XDG243" s="334"/>
      <c r="XDH243" s="334"/>
      <c r="XDI243" s="334"/>
      <c r="XDJ243" s="334"/>
      <c r="XDK243" s="334"/>
      <c r="XDL243" s="334"/>
      <c r="XDM243" s="334"/>
      <c r="XDN243" s="334"/>
      <c r="XDO243" s="334"/>
      <c r="XDP243" s="334"/>
      <c r="XDQ243" s="334"/>
      <c r="XDR243" s="334"/>
      <c r="XDS243" s="334"/>
      <c r="XDT243" s="334"/>
      <c r="XDU243" s="334"/>
      <c r="XDV243" s="334"/>
      <c r="XDW243" s="334"/>
      <c r="XDX243" s="334"/>
      <c r="XDY243" s="334"/>
      <c r="XDZ243" s="334"/>
      <c r="XEA243" s="334"/>
      <c r="XEB243" s="334"/>
      <c r="XEC243" s="334"/>
      <c r="XED243" s="334"/>
      <c r="XEE243" s="334"/>
      <c r="XEF243" s="334"/>
      <c r="XEG243" s="334"/>
      <c r="XEH243" s="334"/>
      <c r="XEI243" s="334"/>
      <c r="XEJ243" s="334"/>
      <c r="XEK243" s="334"/>
      <c r="XEL243" s="334"/>
      <c r="XEM243" s="334"/>
      <c r="XEN243" s="334"/>
      <c r="XEO243" s="334"/>
      <c r="XEP243" s="334"/>
      <c r="XEQ243" s="334"/>
      <c r="XER243" s="334"/>
      <c r="XES243" s="334"/>
      <c r="XET243" s="334"/>
      <c r="XEU243" s="334"/>
      <c r="XEV243" s="334"/>
      <c r="XEW243" s="334"/>
      <c r="XEX243" s="334"/>
      <c r="XEY243" s="334"/>
      <c r="XEZ243" s="334"/>
      <c r="XFA243" s="334"/>
      <c r="XFB243" s="334"/>
      <c r="XFC243" s="334"/>
      <c r="XFD243" s="334"/>
    </row>
    <row r="244" spans="1:16384" s="331" customFormat="1" ht="12.2" customHeight="1">
      <c r="B244" s="336"/>
      <c r="C244" s="337"/>
      <c r="D244" s="336"/>
      <c r="E244" s="336"/>
      <c r="F244" s="356"/>
      <c r="G244" s="335">
        <v>1</v>
      </c>
      <c r="H244" s="334" t="s">
        <v>1666</v>
      </c>
      <c r="I244" s="356"/>
      <c r="J244" s="356"/>
      <c r="K244" s="356"/>
      <c r="L244" s="356"/>
      <c r="AMH244" s="332"/>
      <c r="AMI244" s="332"/>
      <c r="AMJ244" s="332"/>
      <c r="AMK244" s="332"/>
    </row>
    <row r="245" spans="1:16384" s="331" customFormat="1" ht="12.2" customHeight="1">
      <c r="B245" s="336"/>
      <c r="C245" s="337"/>
      <c r="D245" s="336"/>
      <c r="E245" s="336"/>
      <c r="F245" s="356"/>
      <c r="G245" s="335" t="s">
        <v>2127</v>
      </c>
      <c r="H245" s="334" t="s">
        <v>1668</v>
      </c>
      <c r="I245" s="356"/>
      <c r="J245" s="356"/>
      <c r="K245" s="356"/>
      <c r="L245" s="356"/>
      <c r="AMH245" s="332"/>
      <c r="AMI245" s="332"/>
      <c r="AMJ245" s="332"/>
      <c r="AMK245" s="332"/>
    </row>
    <row r="246" spans="1:16384" s="331" customFormat="1" ht="12.2" customHeight="1" thickBot="1">
      <c r="B246" s="336"/>
      <c r="C246" s="337"/>
      <c r="D246" s="336"/>
      <c r="E246" s="336"/>
      <c r="F246" s="356"/>
      <c r="G246" s="335" t="s">
        <v>1669</v>
      </c>
      <c r="H246" s="334" t="s">
        <v>1670</v>
      </c>
      <c r="I246" s="356"/>
      <c r="J246" s="356"/>
      <c r="K246" s="356"/>
      <c r="L246" s="356"/>
      <c r="AMH246" s="332"/>
      <c r="AMI246" s="332"/>
      <c r="AMJ246" s="332"/>
      <c r="AMK246" s="332"/>
    </row>
    <row r="247" spans="1:16384" s="331" customFormat="1" ht="15.75" customHeight="1" thickTop="1" thickBot="1">
      <c r="B247" s="344" t="s">
        <v>2128</v>
      </c>
      <c r="C247" s="345"/>
      <c r="D247" s="346"/>
      <c r="E247" s="346"/>
      <c r="F247" s="347"/>
      <c r="G247" s="347"/>
      <c r="H247" s="347"/>
      <c r="I247" s="347"/>
      <c r="J247" s="347"/>
      <c r="K247" s="347"/>
      <c r="L247" s="348"/>
      <c r="AMH247" s="332"/>
      <c r="AMI247" s="332"/>
      <c r="AMJ247" s="332"/>
      <c r="AMK247" s="332"/>
    </row>
    <row r="248" spans="1:16384" s="331" customFormat="1" ht="15.75" customHeight="1" thickTop="1" thickBot="1">
      <c r="B248" s="349"/>
      <c r="C248" s="350" t="s">
        <v>2129</v>
      </c>
      <c r="D248" s="352" t="s">
        <v>1680</v>
      </c>
      <c r="E248" s="352" t="s">
        <v>1680</v>
      </c>
      <c r="F248" s="351"/>
      <c r="G248" s="351" t="s">
        <v>1681</v>
      </c>
      <c r="H248" s="351"/>
      <c r="I248" s="351"/>
      <c r="J248" s="351"/>
      <c r="K248" s="351"/>
      <c r="L248" s="355"/>
      <c r="AMH248" s="332"/>
      <c r="AMI248" s="332"/>
      <c r="AMJ248" s="332"/>
      <c r="AMK248" s="332"/>
    </row>
    <row r="249" spans="1:16384" s="331" customFormat="1" ht="15.75" customHeight="1" thickTop="1" thickBot="1">
      <c r="B249" s="349"/>
      <c r="C249" s="350" t="s">
        <v>2130</v>
      </c>
      <c r="D249" s="352" t="s">
        <v>2131</v>
      </c>
      <c r="E249" s="352"/>
      <c r="F249" s="351"/>
      <c r="G249" s="351">
        <v>1</v>
      </c>
      <c r="H249" s="351"/>
      <c r="I249" s="351"/>
      <c r="J249" s="351"/>
      <c r="K249" s="351"/>
      <c r="L249" s="355"/>
      <c r="AMH249" s="332"/>
      <c r="AMI249" s="332"/>
      <c r="AMJ249" s="332"/>
      <c r="AMK249" s="332"/>
    </row>
    <row r="250" spans="1:16384" s="331" customFormat="1" ht="15.75" customHeight="1" thickTop="1" thickBot="1">
      <c r="B250" s="349"/>
      <c r="C250" s="350" t="s">
        <v>2132</v>
      </c>
      <c r="D250" s="352" t="s">
        <v>2133</v>
      </c>
      <c r="E250" s="352"/>
      <c r="F250" s="351"/>
      <c r="G250" s="351">
        <v>1</v>
      </c>
      <c r="H250" s="351"/>
      <c r="I250" s="351"/>
      <c r="J250" s="351"/>
      <c r="K250" s="351"/>
      <c r="L250" s="355"/>
      <c r="AMH250" s="332"/>
      <c r="AMI250" s="332"/>
      <c r="AMJ250" s="332"/>
      <c r="AMK250" s="332"/>
    </row>
    <row r="251" spans="1:16384" s="331" customFormat="1" ht="15.75" customHeight="1" thickTop="1" thickBot="1">
      <c r="B251" s="349"/>
      <c r="C251" s="350" t="s">
        <v>2134</v>
      </c>
      <c r="D251" s="352" t="s">
        <v>2135</v>
      </c>
      <c r="E251" s="352"/>
      <c r="F251" s="351"/>
      <c r="G251" s="351">
        <v>0</v>
      </c>
      <c r="H251" s="351"/>
      <c r="I251" s="351"/>
      <c r="J251" s="351"/>
      <c r="K251" s="351"/>
      <c r="L251" s="355"/>
      <c r="AMH251" s="332"/>
      <c r="AMI251" s="332"/>
      <c r="AMJ251" s="332"/>
      <c r="AMK251" s="332"/>
    </row>
    <row r="252" spans="1:16384" s="331" customFormat="1" ht="15.75" customHeight="1" thickTop="1" thickBot="1">
      <c r="B252" s="349"/>
      <c r="C252" s="350" t="s">
        <v>2136</v>
      </c>
      <c r="D252" s="352" t="s">
        <v>2137</v>
      </c>
      <c r="E252" s="352"/>
      <c r="F252" s="351"/>
      <c r="G252" s="351">
        <v>1</v>
      </c>
      <c r="H252" s="351"/>
      <c r="I252" s="351"/>
      <c r="J252" s="351"/>
      <c r="K252" s="351"/>
      <c r="L252" s="355"/>
      <c r="AMH252" s="332"/>
      <c r="AMI252" s="332"/>
      <c r="AMJ252" s="332"/>
      <c r="AMK252" s="332"/>
    </row>
    <row r="253" spans="1:16384" s="331" customFormat="1" ht="15.75" customHeight="1" thickTop="1" thickBot="1">
      <c r="B253" s="349"/>
      <c r="C253" s="350" t="s">
        <v>2138</v>
      </c>
      <c r="D253" s="352" t="s">
        <v>2139</v>
      </c>
      <c r="E253" s="352"/>
      <c r="F253" s="351"/>
      <c r="G253" s="351">
        <v>1</v>
      </c>
      <c r="H253" s="351"/>
      <c r="I253" s="351"/>
      <c r="J253" s="351"/>
      <c r="K253" s="351"/>
      <c r="L253" s="355"/>
      <c r="AMH253" s="332"/>
      <c r="AMI253" s="332"/>
      <c r="AMJ253" s="332"/>
      <c r="AMK253" s="332"/>
    </row>
    <row r="254" spans="1:16384" s="331" customFormat="1" ht="15.75" customHeight="1" thickTop="1" thickBot="1">
      <c r="B254" s="349"/>
      <c r="C254" s="350" t="s">
        <v>2140</v>
      </c>
      <c r="D254" s="352" t="s">
        <v>2141</v>
      </c>
      <c r="E254" s="352"/>
      <c r="F254" s="351"/>
      <c r="G254" s="351">
        <v>1</v>
      </c>
      <c r="H254" s="351"/>
      <c r="I254" s="351"/>
      <c r="J254" s="351"/>
      <c r="K254" s="351"/>
      <c r="L254" s="355"/>
      <c r="AMH254" s="332"/>
      <c r="AMI254" s="332"/>
      <c r="AMJ254" s="332"/>
      <c r="AMK254" s="332"/>
    </row>
    <row r="255" spans="1:16384" s="331" customFormat="1" ht="15.75" customHeight="1" thickTop="1" thickBot="1">
      <c r="B255" s="349"/>
      <c r="C255" s="350" t="s">
        <v>2142</v>
      </c>
      <c r="D255" s="352" t="s">
        <v>2143</v>
      </c>
      <c r="E255" s="352"/>
      <c r="F255" s="351"/>
      <c r="G255" s="351">
        <v>1</v>
      </c>
      <c r="H255" s="351"/>
      <c r="I255" s="351"/>
      <c r="J255" s="351"/>
      <c r="K255" s="351"/>
      <c r="L255" s="355" t="s">
        <v>2144</v>
      </c>
      <c r="AMH255" s="332"/>
      <c r="AMI255" s="332"/>
      <c r="AMJ255" s="332"/>
      <c r="AMK255" s="332"/>
    </row>
    <row r="256" spans="1:16384" s="331" customFormat="1" ht="15.75" customHeight="1" thickTop="1" thickBot="1">
      <c r="B256" s="349"/>
      <c r="C256" s="350" t="s">
        <v>2145</v>
      </c>
      <c r="D256" s="352" t="s">
        <v>2146</v>
      </c>
      <c r="E256" s="352"/>
      <c r="F256" s="351"/>
      <c r="G256" s="351">
        <v>0</v>
      </c>
      <c r="H256" s="351"/>
      <c r="I256" s="351"/>
      <c r="J256" s="351"/>
      <c r="K256" s="351" t="s">
        <v>194</v>
      </c>
      <c r="L256" s="355" t="s">
        <v>2548</v>
      </c>
      <c r="AMH256" s="332"/>
      <c r="AMI256" s="332"/>
      <c r="AMJ256" s="332"/>
      <c r="AMK256" s="332"/>
    </row>
    <row r="257" spans="2:1025" s="331" customFormat="1" ht="15.75" customHeight="1" thickTop="1" thickBot="1">
      <c r="B257" s="349"/>
      <c r="C257" s="350" t="s">
        <v>2147</v>
      </c>
      <c r="D257" s="352" t="s">
        <v>2148</v>
      </c>
      <c r="E257" s="352"/>
      <c r="F257" s="351"/>
      <c r="G257" s="351">
        <v>1</v>
      </c>
      <c r="H257" s="351"/>
      <c r="I257" s="351"/>
      <c r="J257" s="351"/>
      <c r="K257" s="351"/>
      <c r="L257" s="355" t="s">
        <v>2149</v>
      </c>
      <c r="AMH257" s="332"/>
      <c r="AMI257" s="332"/>
      <c r="AMJ257" s="332"/>
      <c r="AMK257" s="332"/>
    </row>
    <row r="258" spans="2:1025" s="331" customFormat="1" ht="15.75" customHeight="1" thickTop="1" thickBot="1">
      <c r="B258" s="349"/>
      <c r="C258" s="350" t="s">
        <v>2150</v>
      </c>
      <c r="D258" s="352" t="s">
        <v>2151</v>
      </c>
      <c r="E258" s="352"/>
      <c r="F258" s="351"/>
      <c r="G258" s="351">
        <v>1</v>
      </c>
      <c r="H258" s="351"/>
      <c r="I258" s="351"/>
      <c r="J258" s="351"/>
      <c r="K258" s="351"/>
      <c r="L258" s="355" t="s">
        <v>2152</v>
      </c>
      <c r="AMH258" s="332"/>
      <c r="AMI258" s="332"/>
      <c r="AMJ258" s="332"/>
      <c r="AMK258" s="332"/>
    </row>
    <row r="259" spans="2:1025" s="331" customFormat="1" ht="15.75" customHeight="1" thickTop="1" thickBot="1">
      <c r="B259" s="349"/>
      <c r="C259" s="350" t="s">
        <v>2153</v>
      </c>
      <c r="D259" s="352" t="s">
        <v>2154</v>
      </c>
      <c r="E259" s="352"/>
      <c r="F259" s="351"/>
      <c r="G259" s="351">
        <v>1</v>
      </c>
      <c r="H259" s="351"/>
      <c r="I259" s="351"/>
      <c r="J259" s="351"/>
      <c r="K259" s="351"/>
      <c r="L259" s="355" t="s">
        <v>2155</v>
      </c>
      <c r="AMH259" s="332"/>
      <c r="AMI259" s="332"/>
      <c r="AMJ259" s="332"/>
      <c r="AMK259" s="332"/>
    </row>
    <row r="260" spans="2:1025" s="331" customFormat="1" ht="15.75" customHeight="1" thickTop="1" thickBot="1">
      <c r="B260" s="349"/>
      <c r="C260" s="350" t="s">
        <v>2156</v>
      </c>
      <c r="D260" s="352" t="s">
        <v>2157</v>
      </c>
      <c r="E260" s="352"/>
      <c r="F260" s="351"/>
      <c r="G260" s="351">
        <v>1</v>
      </c>
      <c r="H260" s="351"/>
      <c r="I260" s="351"/>
      <c r="J260" s="351"/>
      <c r="K260" s="351"/>
      <c r="L260" s="355" t="s">
        <v>2158</v>
      </c>
      <c r="AMH260" s="332"/>
      <c r="AMI260" s="332"/>
      <c r="AMJ260" s="332"/>
      <c r="AMK260" s="332"/>
    </row>
    <row r="261" spans="2:1025" s="331" customFormat="1" ht="15.75" customHeight="1" thickTop="1" thickBot="1">
      <c r="B261" s="349"/>
      <c r="C261" s="350" t="s">
        <v>2159</v>
      </c>
      <c r="D261" s="352" t="s">
        <v>2160</v>
      </c>
      <c r="E261" s="352"/>
      <c r="F261" s="351"/>
      <c r="G261" s="351">
        <v>1</v>
      </c>
      <c r="H261" s="351"/>
      <c r="I261" s="351"/>
      <c r="J261" s="351"/>
      <c r="K261" s="351" t="s">
        <v>194</v>
      </c>
      <c r="L261" s="355" t="s">
        <v>2161</v>
      </c>
      <c r="AMH261" s="332"/>
      <c r="AMI261" s="332"/>
      <c r="AMJ261" s="332"/>
      <c r="AMK261" s="332"/>
    </row>
    <row r="262" spans="2:1025" s="331" customFormat="1" ht="15.75" customHeight="1" thickTop="1" thickBot="1">
      <c r="B262" s="349"/>
      <c r="C262" s="350" t="s">
        <v>2162</v>
      </c>
      <c r="D262" s="352" t="s">
        <v>2163</v>
      </c>
      <c r="E262" s="352"/>
      <c r="F262" s="351"/>
      <c r="G262" s="351">
        <v>1</v>
      </c>
      <c r="H262" s="351"/>
      <c r="I262" s="351"/>
      <c r="J262" s="351"/>
      <c r="K262" s="351" t="s">
        <v>194</v>
      </c>
      <c r="L262" s="355" t="s">
        <v>2161</v>
      </c>
      <c r="AMH262" s="332"/>
      <c r="AMI262" s="332"/>
      <c r="AMJ262" s="332"/>
      <c r="AMK262" s="332"/>
    </row>
    <row r="263" spans="2:1025" s="331" customFormat="1" ht="15.75" customHeight="1" thickTop="1" thickBot="1">
      <c r="B263" s="349"/>
      <c r="C263" s="350" t="s">
        <v>2164</v>
      </c>
      <c r="D263" s="352" t="s">
        <v>2165</v>
      </c>
      <c r="E263" s="352"/>
      <c r="F263" s="351"/>
      <c r="G263" s="351">
        <v>1</v>
      </c>
      <c r="H263" s="351"/>
      <c r="I263" s="351"/>
      <c r="J263" s="351"/>
      <c r="K263" s="351" t="s">
        <v>194</v>
      </c>
      <c r="L263" s="355" t="s">
        <v>2166</v>
      </c>
      <c r="AMH263" s="332"/>
      <c r="AMI263" s="332"/>
      <c r="AMJ263" s="332"/>
      <c r="AMK263" s="332"/>
    </row>
    <row r="264" spans="2:1025" s="331" customFormat="1" ht="15.75" customHeight="1" thickTop="1" thickBot="1">
      <c r="B264" s="349"/>
      <c r="C264" s="350" t="s">
        <v>2167</v>
      </c>
      <c r="D264" s="352" t="s">
        <v>2168</v>
      </c>
      <c r="E264" s="352"/>
      <c r="F264" s="351"/>
      <c r="G264" s="351">
        <v>1</v>
      </c>
      <c r="H264" s="351"/>
      <c r="I264" s="351"/>
      <c r="J264" s="351"/>
      <c r="K264" s="351"/>
      <c r="L264" s="355" t="s">
        <v>2169</v>
      </c>
      <c r="AMH264" s="332"/>
      <c r="AMI264" s="332"/>
      <c r="AMJ264" s="332"/>
      <c r="AMK264" s="332"/>
    </row>
    <row r="265" spans="2:1025" s="331" customFormat="1" ht="15.75" customHeight="1" thickTop="1" thickBot="1">
      <c r="B265" s="357"/>
      <c r="C265" s="350" t="s">
        <v>2170</v>
      </c>
      <c r="D265" s="352" t="s">
        <v>2171</v>
      </c>
      <c r="E265" s="352"/>
      <c r="F265" s="351"/>
      <c r="G265" s="351">
        <v>1</v>
      </c>
      <c r="H265" s="351"/>
      <c r="I265" s="351"/>
      <c r="J265" s="351"/>
      <c r="K265" s="351"/>
      <c r="L265" s="355" t="s">
        <v>2172</v>
      </c>
      <c r="AMH265" s="332"/>
      <c r="AMI265" s="332"/>
      <c r="AMJ265" s="332"/>
      <c r="AMK265" s="332"/>
    </row>
    <row r="266" spans="2:1025" s="331" customFormat="1" ht="15.75" customHeight="1" thickTop="1" thickBot="1">
      <c r="B266" s="349"/>
      <c r="C266" s="350" t="s">
        <v>2173</v>
      </c>
      <c r="D266" s="352" t="s">
        <v>2174</v>
      </c>
      <c r="E266" s="352"/>
      <c r="F266" s="351"/>
      <c r="G266" s="351">
        <v>1</v>
      </c>
      <c r="H266" s="351"/>
      <c r="I266" s="351"/>
      <c r="J266" s="351"/>
      <c r="K266" s="351"/>
      <c r="L266" s="355" t="s">
        <v>2175</v>
      </c>
      <c r="AMH266" s="332"/>
      <c r="AMI266" s="332"/>
      <c r="AMJ266" s="332"/>
      <c r="AMK266" s="332"/>
    </row>
    <row r="267" spans="2:1025" s="331" customFormat="1" ht="15.75" customHeight="1" thickTop="1" thickBot="1">
      <c r="B267" s="354"/>
      <c r="C267" s="350" t="s">
        <v>2170</v>
      </c>
      <c r="D267" s="352" t="s">
        <v>2176</v>
      </c>
      <c r="E267" s="352"/>
      <c r="F267" s="351"/>
      <c r="G267" s="351">
        <v>1</v>
      </c>
      <c r="H267" s="351"/>
      <c r="I267" s="351"/>
      <c r="J267" s="351"/>
      <c r="K267" s="351"/>
      <c r="L267" s="355" t="s">
        <v>2177</v>
      </c>
      <c r="AMH267" s="332"/>
      <c r="AMI267" s="332"/>
      <c r="AMJ267" s="332"/>
      <c r="AMK267" s="332"/>
    </row>
    <row r="268" spans="2:1025" s="331" customFormat="1" ht="15.75" customHeight="1" thickTop="1" thickBot="1">
      <c r="B268" s="344" t="s">
        <v>2178</v>
      </c>
      <c r="C268" s="345"/>
      <c r="D268" s="346"/>
      <c r="E268" s="346"/>
      <c r="F268" s="347"/>
      <c r="G268" s="347"/>
      <c r="H268" s="347"/>
      <c r="I268" s="347"/>
      <c r="J268" s="347"/>
      <c r="K268" s="347"/>
      <c r="L268" s="348"/>
      <c r="AMH268" s="332"/>
      <c r="AMI268" s="332"/>
      <c r="AMJ268" s="332"/>
      <c r="AMK268" s="332"/>
    </row>
    <row r="269" spans="2:1025" s="331" customFormat="1" ht="15.75" customHeight="1" thickTop="1" thickBot="1">
      <c r="B269" s="349"/>
      <c r="C269" s="350" t="s">
        <v>2129</v>
      </c>
      <c r="D269" s="352" t="s">
        <v>1680</v>
      </c>
      <c r="E269" s="352" t="s">
        <v>1680</v>
      </c>
      <c r="F269" s="351"/>
      <c r="G269" s="351" t="s">
        <v>1681</v>
      </c>
      <c r="H269" s="351"/>
      <c r="I269" s="351"/>
      <c r="J269" s="351"/>
      <c r="K269" s="351"/>
      <c r="L269" s="351"/>
      <c r="AMH269" s="332"/>
      <c r="AMI269" s="332"/>
      <c r="AMJ269" s="332"/>
      <c r="AMK269" s="332"/>
    </row>
    <row r="270" spans="2:1025" s="331" customFormat="1" ht="15.75" customHeight="1" thickTop="1" thickBot="1">
      <c r="B270" s="349"/>
      <c r="C270" s="350" t="s">
        <v>2132</v>
      </c>
      <c r="D270" s="352" t="s">
        <v>2179</v>
      </c>
      <c r="E270" s="352"/>
      <c r="F270" s="351"/>
      <c r="G270" s="351">
        <v>0</v>
      </c>
      <c r="H270" s="351"/>
      <c r="I270" s="351"/>
      <c r="J270" s="351"/>
      <c r="K270" s="351"/>
      <c r="L270" s="355" t="s">
        <v>2180</v>
      </c>
      <c r="AMH270" s="332"/>
      <c r="AMI270" s="332"/>
      <c r="AMJ270" s="332"/>
      <c r="AMK270" s="332"/>
    </row>
    <row r="271" spans="2:1025" s="331" customFormat="1" ht="15.75" customHeight="1" thickTop="1" thickBot="1">
      <c r="B271" s="349"/>
      <c r="C271" s="350" t="s">
        <v>2134</v>
      </c>
      <c r="D271" s="352" t="s">
        <v>2181</v>
      </c>
      <c r="E271" s="352"/>
      <c r="F271" s="351"/>
      <c r="G271" s="351">
        <v>0</v>
      </c>
      <c r="H271" s="351"/>
      <c r="I271" s="351"/>
      <c r="J271" s="351"/>
      <c r="K271" s="351"/>
      <c r="L271" s="355" t="s">
        <v>2180</v>
      </c>
      <c r="AMH271" s="332"/>
      <c r="AMI271" s="332"/>
      <c r="AMJ271" s="332"/>
      <c r="AMK271" s="332"/>
    </row>
    <row r="272" spans="2:1025" s="331" customFormat="1" ht="15.75" customHeight="1" thickTop="1" thickBot="1">
      <c r="B272" s="349"/>
      <c r="C272" s="350" t="s">
        <v>2182</v>
      </c>
      <c r="D272" s="352" t="s">
        <v>1680</v>
      </c>
      <c r="E272" s="352" t="s">
        <v>1680</v>
      </c>
      <c r="F272" s="351"/>
      <c r="G272" s="351" t="s">
        <v>1681</v>
      </c>
      <c r="H272" s="351"/>
      <c r="I272" s="351"/>
      <c r="J272" s="351"/>
      <c r="K272" s="351"/>
      <c r="L272" s="351"/>
      <c r="AMH272" s="332"/>
      <c r="AMI272" s="332"/>
      <c r="AMJ272" s="332"/>
      <c r="AMK272" s="332"/>
    </row>
    <row r="273" spans="2:1025" s="331" customFormat="1" ht="15.75" customHeight="1" thickTop="1" thickBot="1">
      <c r="B273" s="349"/>
      <c r="C273" s="350" t="s">
        <v>2142</v>
      </c>
      <c r="D273" s="352" t="s">
        <v>2183</v>
      </c>
      <c r="E273" s="352"/>
      <c r="F273" s="351"/>
      <c r="G273" s="351">
        <v>1</v>
      </c>
      <c r="H273" s="351"/>
      <c r="I273" s="351"/>
      <c r="J273" s="351"/>
      <c r="K273" s="351"/>
      <c r="L273" s="351"/>
      <c r="AMH273" s="332"/>
      <c r="AMI273" s="332"/>
      <c r="AMJ273" s="332"/>
      <c r="AMK273" s="332"/>
    </row>
    <row r="274" spans="2:1025" s="331" customFormat="1" ht="15.75" customHeight="1" thickTop="1" thickBot="1">
      <c r="B274" s="349"/>
      <c r="C274" s="350" t="s">
        <v>2145</v>
      </c>
      <c r="D274" s="352" t="s">
        <v>2184</v>
      </c>
      <c r="E274" s="352"/>
      <c r="F274" s="351"/>
      <c r="G274" s="351">
        <v>0</v>
      </c>
      <c r="H274" s="351"/>
      <c r="I274" s="351"/>
      <c r="J274" s="351"/>
      <c r="K274" s="351" t="s">
        <v>194</v>
      </c>
      <c r="L274" s="351" t="s">
        <v>2549</v>
      </c>
      <c r="AMH274" s="332"/>
      <c r="AMI274" s="332"/>
      <c r="AMJ274" s="332"/>
      <c r="AMK274" s="332"/>
    </row>
    <row r="275" spans="2:1025" s="331" customFormat="1" ht="15.75" customHeight="1" thickTop="1" thickBot="1">
      <c r="B275" s="349"/>
      <c r="C275" s="350" t="s">
        <v>2147</v>
      </c>
      <c r="D275" s="352" t="s">
        <v>2185</v>
      </c>
      <c r="E275" s="352"/>
      <c r="F275" s="351"/>
      <c r="G275" s="351">
        <v>1</v>
      </c>
      <c r="H275" s="351"/>
      <c r="I275" s="351"/>
      <c r="J275" s="351"/>
      <c r="K275" s="351"/>
      <c r="L275" s="351"/>
      <c r="AMH275" s="332"/>
      <c r="AMI275" s="332"/>
      <c r="AMJ275" s="332"/>
      <c r="AMK275" s="332"/>
    </row>
    <row r="276" spans="2:1025" s="331" customFormat="1" ht="15.75" customHeight="1" thickTop="1" thickBot="1">
      <c r="B276" s="349"/>
      <c r="C276" s="350" t="s">
        <v>2150</v>
      </c>
      <c r="D276" s="352" t="s">
        <v>2186</v>
      </c>
      <c r="E276" s="352"/>
      <c r="F276" s="351"/>
      <c r="G276" s="351">
        <v>1</v>
      </c>
      <c r="H276" s="351"/>
      <c r="I276" s="351"/>
      <c r="J276" s="351"/>
      <c r="K276" s="351"/>
      <c r="L276" s="351"/>
      <c r="AMH276" s="332"/>
      <c r="AMI276" s="332"/>
      <c r="AMJ276" s="332"/>
      <c r="AMK276" s="332"/>
    </row>
    <row r="277" spans="2:1025" s="331" customFormat="1" ht="15.75" customHeight="1" thickTop="1" thickBot="1">
      <c r="B277" s="349"/>
      <c r="C277" s="350" t="s">
        <v>2153</v>
      </c>
      <c r="D277" s="352" t="s">
        <v>2187</v>
      </c>
      <c r="E277" s="352"/>
      <c r="F277" s="351"/>
      <c r="G277" s="351">
        <v>1</v>
      </c>
      <c r="H277" s="351"/>
      <c r="I277" s="351"/>
      <c r="J277" s="351"/>
      <c r="K277" s="351"/>
      <c r="L277" s="351"/>
      <c r="AMH277" s="332"/>
      <c r="AMI277" s="332"/>
      <c r="AMJ277" s="332"/>
      <c r="AMK277" s="332"/>
    </row>
    <row r="278" spans="2:1025" s="331" customFormat="1" ht="15.75" customHeight="1" thickTop="1" thickBot="1">
      <c r="B278" s="349"/>
      <c r="C278" s="350" t="s">
        <v>2156</v>
      </c>
      <c r="D278" s="352" t="s">
        <v>2188</v>
      </c>
      <c r="E278" s="352"/>
      <c r="F278" s="351"/>
      <c r="G278" s="351">
        <v>1</v>
      </c>
      <c r="H278" s="351"/>
      <c r="I278" s="351"/>
      <c r="J278" s="351"/>
      <c r="K278" s="351"/>
      <c r="L278" s="351"/>
      <c r="AMH278" s="332"/>
      <c r="AMI278" s="332"/>
      <c r="AMJ278" s="332"/>
      <c r="AMK278" s="332"/>
    </row>
    <row r="279" spans="2:1025" s="331" customFormat="1" ht="15.75" customHeight="1" thickTop="1" thickBot="1">
      <c r="B279" s="349"/>
      <c r="C279" s="350" t="s">
        <v>2159</v>
      </c>
      <c r="D279" s="352" t="s">
        <v>2189</v>
      </c>
      <c r="E279" s="352"/>
      <c r="F279" s="351"/>
      <c r="G279" s="351">
        <v>1</v>
      </c>
      <c r="H279" s="351"/>
      <c r="I279" s="351"/>
      <c r="J279" s="351"/>
      <c r="K279" s="351"/>
      <c r="L279" s="351"/>
      <c r="AMH279" s="332"/>
      <c r="AMI279" s="332"/>
      <c r="AMJ279" s="332"/>
      <c r="AMK279" s="332"/>
    </row>
    <row r="280" spans="2:1025" s="331" customFormat="1" ht="15.75" customHeight="1" thickTop="1" thickBot="1">
      <c r="B280" s="349"/>
      <c r="C280" s="350" t="s">
        <v>2162</v>
      </c>
      <c r="D280" s="352" t="s">
        <v>2190</v>
      </c>
      <c r="E280" s="352"/>
      <c r="F280" s="351"/>
      <c r="G280" s="351">
        <v>1</v>
      </c>
      <c r="H280" s="351"/>
      <c r="I280" s="351"/>
      <c r="J280" s="351"/>
      <c r="K280" s="351"/>
      <c r="L280" s="351"/>
      <c r="AMH280" s="332"/>
      <c r="AMI280" s="332"/>
      <c r="AMJ280" s="332"/>
      <c r="AMK280" s="332"/>
    </row>
    <row r="281" spans="2:1025" s="331" customFormat="1" ht="15.75" customHeight="1" thickTop="1" thickBot="1">
      <c r="B281" s="349"/>
      <c r="C281" s="350" t="s">
        <v>2164</v>
      </c>
      <c r="D281" s="352" t="s">
        <v>2191</v>
      </c>
      <c r="E281" s="352"/>
      <c r="F281" s="351"/>
      <c r="G281" s="351">
        <v>1</v>
      </c>
      <c r="H281" s="351"/>
      <c r="I281" s="351"/>
      <c r="J281" s="351"/>
      <c r="K281" s="351"/>
      <c r="L281" s="351"/>
      <c r="AMH281" s="332"/>
      <c r="AMI281" s="332"/>
      <c r="AMJ281" s="332"/>
      <c r="AMK281" s="332"/>
    </row>
    <row r="282" spans="2:1025" s="331" customFormat="1" ht="15.75" customHeight="1" thickTop="1" thickBot="1">
      <c r="B282" s="349"/>
      <c r="C282" s="350" t="s">
        <v>2167</v>
      </c>
      <c r="D282" s="352" t="s">
        <v>2192</v>
      </c>
      <c r="E282" s="352"/>
      <c r="F282" s="351"/>
      <c r="G282" s="351">
        <v>1</v>
      </c>
      <c r="H282" s="351"/>
      <c r="I282" s="351"/>
      <c r="J282" s="351"/>
      <c r="K282" s="351"/>
      <c r="L282" s="351"/>
      <c r="AMH282" s="332"/>
      <c r="AMI282" s="332"/>
      <c r="AMJ282" s="332"/>
      <c r="AMK282" s="332"/>
    </row>
    <row r="283" spans="2:1025" s="331" customFormat="1" ht="15.75" customHeight="1" thickTop="1" thickBot="1">
      <c r="B283" s="357"/>
      <c r="C283" s="350" t="s">
        <v>2170</v>
      </c>
      <c r="D283" s="352" t="s">
        <v>2193</v>
      </c>
      <c r="E283" s="352"/>
      <c r="F283" s="351"/>
      <c r="G283" s="351">
        <v>1</v>
      </c>
      <c r="H283" s="351"/>
      <c r="I283" s="351"/>
      <c r="J283" s="351"/>
      <c r="K283" s="351"/>
      <c r="L283" s="351"/>
      <c r="AMH283" s="332"/>
      <c r="AMI283" s="332"/>
      <c r="AMJ283" s="332"/>
      <c r="AMK283" s="332"/>
    </row>
    <row r="284" spans="2:1025" s="331" customFormat="1" ht="15.75" customHeight="1" thickTop="1" thickBot="1">
      <c r="B284" s="349"/>
      <c r="C284" s="350" t="s">
        <v>2173</v>
      </c>
      <c r="D284" s="352" t="s">
        <v>2194</v>
      </c>
      <c r="E284" s="352"/>
      <c r="F284" s="351"/>
      <c r="G284" s="351">
        <v>1</v>
      </c>
      <c r="H284" s="351"/>
      <c r="I284" s="351"/>
      <c r="J284" s="351"/>
      <c r="K284" s="351"/>
      <c r="L284" s="351"/>
      <c r="AMH284" s="332"/>
      <c r="AMI284" s="332"/>
      <c r="AMJ284" s="332"/>
      <c r="AMK284" s="332"/>
    </row>
    <row r="285" spans="2:1025" s="331" customFormat="1" ht="15.75" customHeight="1" thickTop="1" thickBot="1">
      <c r="B285" s="354"/>
      <c r="C285" s="350" t="s">
        <v>2170</v>
      </c>
      <c r="D285" s="352" t="s">
        <v>2195</v>
      </c>
      <c r="E285" s="352"/>
      <c r="F285" s="351"/>
      <c r="G285" s="351">
        <v>1</v>
      </c>
      <c r="H285" s="351"/>
      <c r="I285" s="351"/>
      <c r="J285" s="351"/>
      <c r="K285" s="351"/>
      <c r="L285" s="351"/>
      <c r="AMH285" s="332"/>
      <c r="AMI285" s="332"/>
      <c r="AMJ285" s="332"/>
      <c r="AMK285" s="332"/>
    </row>
    <row r="286" spans="2:1025" s="331" customFormat="1" ht="15.75" customHeight="1" thickTop="1" thickBot="1">
      <c r="B286" s="344" t="s">
        <v>2196</v>
      </c>
      <c r="C286" s="345"/>
      <c r="D286" s="346"/>
      <c r="E286" s="346"/>
      <c r="F286" s="347"/>
      <c r="G286" s="347"/>
      <c r="H286" s="347"/>
      <c r="I286" s="347"/>
      <c r="J286" s="347"/>
      <c r="K286" s="347"/>
      <c r="L286" s="348"/>
      <c r="AMH286" s="332"/>
      <c r="AMI286" s="332"/>
      <c r="AMJ286" s="332"/>
      <c r="AMK286" s="332"/>
    </row>
    <row r="287" spans="2:1025" s="331" customFormat="1" ht="15.75" customHeight="1" thickTop="1" thickBot="1">
      <c r="B287" s="349"/>
      <c r="C287" s="350" t="s">
        <v>2198</v>
      </c>
      <c r="D287" s="352" t="s">
        <v>1680</v>
      </c>
      <c r="E287" s="352" t="s">
        <v>1680</v>
      </c>
      <c r="F287" s="351"/>
      <c r="G287" s="351" t="s">
        <v>1681</v>
      </c>
      <c r="H287" s="351"/>
      <c r="I287" s="351"/>
      <c r="J287" s="351"/>
      <c r="K287" s="351"/>
      <c r="L287" s="351"/>
      <c r="AMH287" s="332"/>
      <c r="AMI287" s="332"/>
      <c r="AMJ287" s="332"/>
      <c r="AMK287" s="332"/>
    </row>
    <row r="288" spans="2:1025" s="331" customFormat="1" ht="15.75" customHeight="1" thickTop="1" thickBot="1">
      <c r="B288" s="349"/>
      <c r="C288" s="350" t="s">
        <v>2199</v>
      </c>
      <c r="D288" s="352" t="s">
        <v>2200</v>
      </c>
      <c r="E288" s="352"/>
      <c r="F288" s="351"/>
      <c r="G288" s="351" t="s">
        <v>2201</v>
      </c>
      <c r="H288" s="351"/>
      <c r="I288" s="351"/>
      <c r="J288" s="351"/>
      <c r="K288" s="351"/>
      <c r="L288" s="351"/>
      <c r="AMH288" s="332"/>
      <c r="AMI288" s="332"/>
      <c r="AMJ288" s="332"/>
      <c r="AMK288" s="332"/>
    </row>
    <row r="289" spans="2:1025" s="331" customFormat="1" ht="15.75" customHeight="1" thickTop="1" thickBot="1">
      <c r="B289" s="349"/>
      <c r="C289" s="350" t="s">
        <v>2202</v>
      </c>
      <c r="D289" s="352" t="s">
        <v>1680</v>
      </c>
      <c r="E289" s="352" t="s">
        <v>1680</v>
      </c>
      <c r="F289" s="351"/>
      <c r="G289" s="351" t="s">
        <v>1681</v>
      </c>
      <c r="H289" s="351"/>
      <c r="I289" s="351"/>
      <c r="J289" s="351"/>
      <c r="K289" s="351"/>
      <c r="L289" s="351"/>
      <c r="AMH289" s="332"/>
      <c r="AMI289" s="332"/>
      <c r="AMJ289" s="332"/>
      <c r="AMK289" s="332"/>
    </row>
    <row r="290" spans="2:1025" s="331" customFormat="1" ht="15.75" customHeight="1" thickTop="1" thickBot="1">
      <c r="B290" s="349"/>
      <c r="C290" s="350" t="s">
        <v>1711</v>
      </c>
      <c r="D290" s="352" t="s">
        <v>2203</v>
      </c>
      <c r="E290" s="352"/>
      <c r="F290" s="351"/>
      <c r="G290" s="351">
        <v>0</v>
      </c>
      <c r="H290" s="351"/>
      <c r="I290" s="351"/>
      <c r="J290" s="351"/>
      <c r="K290" s="351"/>
      <c r="L290" s="351"/>
      <c r="AMH290" s="332"/>
      <c r="AMI290" s="332"/>
      <c r="AMJ290" s="332"/>
      <c r="AMK290" s="332"/>
    </row>
    <row r="291" spans="2:1025" s="331" customFormat="1" ht="15.75" customHeight="1" thickTop="1" thickBot="1">
      <c r="B291" s="349"/>
      <c r="C291" s="350" t="s">
        <v>2204</v>
      </c>
      <c r="D291" s="352" t="s">
        <v>2205</v>
      </c>
      <c r="E291" s="352"/>
      <c r="F291" s="351"/>
      <c r="G291" s="351" t="s">
        <v>2206</v>
      </c>
      <c r="H291" s="351"/>
      <c r="I291" s="351"/>
      <c r="J291" s="351"/>
      <c r="K291" s="351"/>
      <c r="L291" s="351"/>
      <c r="AMH291" s="332"/>
      <c r="AMI291" s="332"/>
      <c r="AMJ291" s="332"/>
      <c r="AMK291" s="332"/>
    </row>
    <row r="292" spans="2:1025" s="331" customFormat="1" ht="15.75" customHeight="1" thickTop="1" thickBot="1">
      <c r="B292" s="344" t="s">
        <v>2207</v>
      </c>
      <c r="C292" s="345"/>
      <c r="D292" s="346"/>
      <c r="E292" s="346"/>
      <c r="F292" s="347"/>
      <c r="G292" s="347"/>
      <c r="H292" s="347"/>
      <c r="I292" s="347"/>
      <c r="J292" s="347"/>
      <c r="K292" s="347"/>
      <c r="L292" s="348"/>
      <c r="AMH292" s="332"/>
      <c r="AMI292" s="332"/>
      <c r="AMJ292" s="332"/>
      <c r="AMK292" s="332"/>
    </row>
    <row r="293" spans="2:1025" s="331" customFormat="1" ht="15.75" customHeight="1" thickTop="1" thickBot="1">
      <c r="B293" s="349"/>
      <c r="C293" s="350" t="s">
        <v>2208</v>
      </c>
      <c r="D293" s="352" t="s">
        <v>2209</v>
      </c>
      <c r="E293" s="352"/>
      <c r="F293" s="351"/>
      <c r="G293" s="351">
        <v>0</v>
      </c>
      <c r="H293" s="351"/>
      <c r="I293" s="351"/>
      <c r="J293" s="351"/>
      <c r="K293" s="351"/>
      <c r="L293" s="355" t="s">
        <v>2210</v>
      </c>
      <c r="AMH293" s="332"/>
      <c r="AMI293" s="332"/>
      <c r="AMJ293" s="332"/>
      <c r="AMK293" s="332"/>
    </row>
    <row r="294" spans="2:1025" s="331" customFormat="1" ht="15.75" customHeight="1" thickTop="1" thickBot="1">
      <c r="B294" s="344" t="s">
        <v>2211</v>
      </c>
      <c r="C294" s="345"/>
      <c r="D294" s="346"/>
      <c r="E294" s="346"/>
      <c r="F294" s="347"/>
      <c r="G294" s="347"/>
      <c r="H294" s="347"/>
      <c r="I294" s="347"/>
      <c r="J294" s="347"/>
      <c r="K294" s="347"/>
      <c r="L294" s="348"/>
      <c r="AMH294" s="332"/>
      <c r="AMI294" s="332"/>
      <c r="AMJ294" s="332"/>
      <c r="AMK294" s="332"/>
    </row>
    <row r="295" spans="2:1025" s="331" customFormat="1" ht="15.75" customHeight="1" thickTop="1" thickBot="1">
      <c r="B295" s="349"/>
      <c r="C295" s="350" t="s">
        <v>2208</v>
      </c>
      <c r="D295" s="352" t="s">
        <v>2212</v>
      </c>
      <c r="E295" s="352"/>
      <c r="F295" s="351"/>
      <c r="G295" s="351">
        <v>0</v>
      </c>
      <c r="H295" s="351"/>
      <c r="I295" s="351"/>
      <c r="J295" s="351"/>
      <c r="K295" s="351"/>
      <c r="L295" s="355" t="s">
        <v>2210</v>
      </c>
      <c r="AMH295" s="332"/>
      <c r="AMI295" s="332"/>
      <c r="AMJ295" s="332"/>
      <c r="AMK295" s="332"/>
    </row>
    <row r="296" spans="2:1025" s="331" customFormat="1" ht="15.75" customHeight="1" thickTop="1" thickBot="1">
      <c r="B296" s="344" t="s">
        <v>2213</v>
      </c>
      <c r="C296" s="345"/>
      <c r="D296" s="346"/>
      <c r="E296" s="346"/>
      <c r="F296" s="347"/>
      <c r="G296" s="347"/>
      <c r="H296" s="347"/>
      <c r="I296" s="347"/>
      <c r="J296" s="347"/>
      <c r="K296" s="347"/>
      <c r="L296" s="348"/>
      <c r="AMH296" s="332"/>
      <c r="AMI296" s="332"/>
      <c r="AMJ296" s="332"/>
      <c r="AMK296" s="332"/>
    </row>
    <row r="297" spans="2:1025" s="331" customFormat="1" ht="15.75" customHeight="1" thickTop="1" thickBot="1">
      <c r="B297" s="349"/>
      <c r="C297" s="350" t="s">
        <v>2215</v>
      </c>
      <c r="D297" s="352" t="s">
        <v>1680</v>
      </c>
      <c r="E297" s="352" t="s">
        <v>1680</v>
      </c>
      <c r="F297" s="351"/>
      <c r="G297" s="351" t="s">
        <v>1681</v>
      </c>
      <c r="H297" s="351"/>
      <c r="I297" s="351"/>
      <c r="J297" s="351"/>
      <c r="K297" s="351"/>
      <c r="L297" s="355"/>
      <c r="AMH297" s="332"/>
      <c r="AMI297" s="332"/>
      <c r="AMJ297" s="332"/>
      <c r="AMK297" s="332"/>
    </row>
    <row r="298" spans="2:1025" s="331" customFormat="1" ht="15.75" customHeight="1" thickTop="1" thickBot="1">
      <c r="B298" s="349"/>
      <c r="C298" s="350" t="s">
        <v>2216</v>
      </c>
      <c r="D298" s="352" t="s">
        <v>2217</v>
      </c>
      <c r="E298" s="352"/>
      <c r="F298" s="351"/>
      <c r="G298" s="351">
        <v>0</v>
      </c>
      <c r="H298" s="351"/>
      <c r="I298" s="351"/>
      <c r="J298" s="351"/>
      <c r="K298" s="351"/>
      <c r="L298" s="355"/>
      <c r="AMH298" s="332"/>
      <c r="AMI298" s="332"/>
      <c r="AMJ298" s="332"/>
      <c r="AMK298" s="332"/>
    </row>
    <row r="299" spans="2:1025" s="331" customFormat="1" ht="15.75" customHeight="1" thickTop="1" thickBot="1">
      <c r="B299" s="349"/>
      <c r="C299" s="350" t="s">
        <v>1686</v>
      </c>
      <c r="D299" s="352" t="s">
        <v>2218</v>
      </c>
      <c r="E299" s="352"/>
      <c r="F299" s="351"/>
      <c r="G299" s="351">
        <v>0</v>
      </c>
      <c r="H299" s="351"/>
      <c r="I299" s="351"/>
      <c r="J299" s="351"/>
      <c r="K299" s="351"/>
      <c r="L299" s="355"/>
      <c r="AMH299" s="332"/>
      <c r="AMI299" s="332"/>
      <c r="AMJ299" s="332"/>
      <c r="AMK299" s="332"/>
    </row>
    <row r="300" spans="2:1025" s="331" customFormat="1" ht="15.75" customHeight="1" thickTop="1" thickBot="1">
      <c r="B300" s="349"/>
      <c r="C300" s="350" t="s">
        <v>2219</v>
      </c>
      <c r="D300" s="352" t="s">
        <v>2220</v>
      </c>
      <c r="E300" s="352"/>
      <c r="F300" s="351"/>
      <c r="G300" s="351" t="s">
        <v>2987</v>
      </c>
      <c r="H300" s="351"/>
      <c r="I300" s="351"/>
      <c r="J300" s="351"/>
      <c r="K300" s="351"/>
      <c r="L300" s="355"/>
      <c r="AMH300" s="332"/>
      <c r="AMI300" s="332"/>
      <c r="AMJ300" s="332"/>
      <c r="AMK300" s="332"/>
    </row>
    <row r="301" spans="2:1025" s="331" customFormat="1" ht="15.75" customHeight="1" thickTop="1" thickBot="1">
      <c r="B301" s="349"/>
      <c r="C301" s="350" t="s">
        <v>2182</v>
      </c>
      <c r="D301" s="352" t="s">
        <v>1680</v>
      </c>
      <c r="E301" s="352" t="s">
        <v>1680</v>
      </c>
      <c r="F301" s="351"/>
      <c r="G301" s="351" t="s">
        <v>1681</v>
      </c>
      <c r="H301" s="351"/>
      <c r="I301" s="351"/>
      <c r="J301" s="351"/>
      <c r="K301" s="351"/>
      <c r="L301" s="355"/>
      <c r="AMH301" s="332"/>
      <c r="AMI301" s="332"/>
      <c r="AMJ301" s="332"/>
      <c r="AMK301" s="332"/>
    </row>
    <row r="302" spans="2:1025" s="331" customFormat="1" ht="15.75" customHeight="1" thickTop="1" thickBot="1">
      <c r="B302" s="349"/>
      <c r="C302" s="350" t="s">
        <v>2222</v>
      </c>
      <c r="D302" s="353" t="s">
        <v>2223</v>
      </c>
      <c r="E302" s="352"/>
      <c r="F302" s="351"/>
      <c r="G302" s="351">
        <v>0</v>
      </c>
      <c r="H302" s="351"/>
      <c r="I302" s="351"/>
      <c r="J302" s="351"/>
      <c r="K302" s="351"/>
      <c r="L302" s="355"/>
      <c r="AMH302" s="332"/>
      <c r="AMI302" s="332"/>
      <c r="AMJ302" s="332"/>
      <c r="AMK302" s="332"/>
    </row>
    <row r="303" spans="2:1025" s="331" customFormat="1" ht="15.75" customHeight="1" thickTop="1" thickBot="1">
      <c r="B303" s="349"/>
      <c r="C303" s="350" t="s">
        <v>1708</v>
      </c>
      <c r="D303" s="352" t="s">
        <v>2224</v>
      </c>
      <c r="E303" s="352"/>
      <c r="F303" s="351"/>
      <c r="G303" s="351">
        <v>0</v>
      </c>
      <c r="H303" s="351"/>
      <c r="I303" s="351"/>
      <c r="J303" s="351"/>
      <c r="K303" s="351"/>
      <c r="L303" s="355"/>
      <c r="AMH303" s="332"/>
      <c r="AMI303" s="332"/>
      <c r="AMJ303" s="332"/>
      <c r="AMK303" s="332"/>
    </row>
    <row r="304" spans="2:1025" s="331" customFormat="1" ht="15.75" customHeight="1" thickTop="1" thickBot="1">
      <c r="B304" s="349"/>
      <c r="C304" s="350" t="s">
        <v>2225</v>
      </c>
      <c r="D304" s="352" t="s">
        <v>2226</v>
      </c>
      <c r="E304" s="352"/>
      <c r="F304" s="351"/>
      <c r="G304" s="351" t="s">
        <v>2987</v>
      </c>
      <c r="H304" s="351"/>
      <c r="I304" s="351"/>
      <c r="J304" s="351"/>
      <c r="K304" s="351"/>
      <c r="L304" s="355"/>
      <c r="AMH304" s="332"/>
      <c r="AMI304" s="332"/>
      <c r="AMJ304" s="332"/>
      <c r="AMK304" s="332"/>
    </row>
    <row r="305" spans="2:1025" s="331" customFormat="1" ht="15.75" customHeight="1" thickTop="1" thickBot="1">
      <c r="B305" s="344" t="s">
        <v>2227</v>
      </c>
      <c r="C305" s="345"/>
      <c r="D305" s="346"/>
      <c r="E305" s="346"/>
      <c r="F305" s="347"/>
      <c r="G305" s="347"/>
      <c r="H305" s="347"/>
      <c r="I305" s="347"/>
      <c r="J305" s="347"/>
      <c r="K305" s="347"/>
      <c r="L305" s="348"/>
      <c r="AMH305" s="332"/>
      <c r="AMI305" s="332"/>
      <c r="AMJ305" s="332"/>
      <c r="AMK305" s="332"/>
    </row>
    <row r="306" spans="2:1025" s="331" customFormat="1" ht="15.75" customHeight="1" thickTop="1" thickBot="1">
      <c r="B306" s="349"/>
      <c r="C306" s="350" t="s">
        <v>1679</v>
      </c>
      <c r="D306" s="352" t="s">
        <v>1680</v>
      </c>
      <c r="E306" s="352" t="s">
        <v>1680</v>
      </c>
      <c r="F306" s="351"/>
      <c r="G306" s="351" t="s">
        <v>1681</v>
      </c>
      <c r="H306" s="351"/>
      <c r="I306" s="351"/>
      <c r="J306" s="351"/>
      <c r="K306" s="351"/>
      <c r="L306" s="351"/>
      <c r="AMH306" s="332"/>
      <c r="AMI306" s="332"/>
      <c r="AMJ306" s="332"/>
      <c r="AMK306" s="332"/>
    </row>
    <row r="307" spans="2:1025" s="331" customFormat="1" ht="15.75" customHeight="1" thickTop="1" thickBot="1">
      <c r="B307" s="349"/>
      <c r="C307" s="350" t="s">
        <v>2228</v>
      </c>
      <c r="D307" s="352" t="s">
        <v>2229</v>
      </c>
      <c r="E307" s="352"/>
      <c r="F307" s="351"/>
      <c r="G307" s="351">
        <v>0</v>
      </c>
      <c r="H307" s="351"/>
      <c r="I307" s="351"/>
      <c r="J307" s="351"/>
      <c r="K307" s="351"/>
      <c r="L307" s="351"/>
      <c r="AMH307" s="332"/>
      <c r="AMI307" s="332"/>
      <c r="AMJ307" s="332"/>
      <c r="AMK307" s="332"/>
    </row>
    <row r="308" spans="2:1025" s="331" customFormat="1" ht="15.75" customHeight="1" thickTop="1" thickBot="1">
      <c r="B308" s="349"/>
      <c r="C308" s="350" t="s">
        <v>2216</v>
      </c>
      <c r="D308" s="352" t="s">
        <v>2230</v>
      </c>
      <c r="E308" s="352"/>
      <c r="F308" s="351"/>
      <c r="G308" s="351">
        <v>0</v>
      </c>
      <c r="H308" s="351"/>
      <c r="I308" s="351"/>
      <c r="J308" s="351"/>
      <c r="K308" s="351"/>
      <c r="L308" s="351"/>
      <c r="AMH308" s="332"/>
      <c r="AMI308" s="332"/>
      <c r="AMJ308" s="332"/>
      <c r="AMK308" s="332"/>
    </row>
    <row r="309" spans="2:1025" s="331" customFormat="1" ht="15.75" customHeight="1" thickTop="1" thickBot="1">
      <c r="B309" s="349"/>
      <c r="C309" s="350" t="s">
        <v>2231</v>
      </c>
      <c r="D309" s="352" t="s">
        <v>2232</v>
      </c>
      <c r="E309" s="352"/>
      <c r="F309" s="351"/>
      <c r="G309" s="351">
        <v>0</v>
      </c>
      <c r="H309" s="351"/>
      <c r="I309" s="351"/>
      <c r="J309" s="351"/>
      <c r="K309" s="351"/>
      <c r="L309" s="351"/>
      <c r="AMH309" s="332"/>
      <c r="AMI309" s="332"/>
      <c r="AMJ309" s="332"/>
      <c r="AMK309" s="332"/>
    </row>
    <row r="310" spans="2:1025" s="331" customFormat="1" ht="15.75" customHeight="1" thickTop="1" thickBot="1">
      <c r="B310" s="349"/>
      <c r="C310" s="350" t="s">
        <v>2233</v>
      </c>
      <c r="D310" s="352" t="s">
        <v>2234</v>
      </c>
      <c r="E310" s="352"/>
      <c r="F310" s="351"/>
      <c r="G310" s="351">
        <v>0</v>
      </c>
      <c r="H310" s="351"/>
      <c r="I310" s="351"/>
      <c r="J310" s="351"/>
      <c r="K310" s="351"/>
      <c r="L310" s="351"/>
      <c r="AMH310" s="332"/>
      <c r="AMI310" s="332"/>
      <c r="AMJ310" s="332"/>
      <c r="AMK310" s="332"/>
    </row>
    <row r="311" spans="2:1025" s="331" customFormat="1" ht="15.75" customHeight="1" thickTop="1" thickBot="1">
      <c r="B311" s="349"/>
      <c r="C311" s="350" t="s">
        <v>2235</v>
      </c>
      <c r="D311" s="353" t="s">
        <v>2236</v>
      </c>
      <c r="E311" s="352"/>
      <c r="F311" s="351"/>
      <c r="G311" s="351">
        <v>0</v>
      </c>
      <c r="H311" s="351"/>
      <c r="I311" s="351"/>
      <c r="J311" s="351"/>
      <c r="K311" s="351"/>
      <c r="L311" s="351"/>
      <c r="AMH311" s="332"/>
      <c r="AMI311" s="332"/>
      <c r="AMJ311" s="332"/>
      <c r="AMK311" s="332"/>
    </row>
    <row r="312" spans="2:1025" s="331" customFormat="1" ht="15.75" customHeight="1" thickTop="1" thickBot="1">
      <c r="B312" s="349"/>
      <c r="C312" s="350" t="s">
        <v>2237</v>
      </c>
      <c r="D312" s="352" t="s">
        <v>2238</v>
      </c>
      <c r="E312" s="352"/>
      <c r="F312" s="351"/>
      <c r="G312" s="351">
        <v>0</v>
      </c>
      <c r="H312" s="351"/>
      <c r="I312" s="351"/>
      <c r="J312" s="351"/>
      <c r="K312" s="351"/>
      <c r="L312" s="351"/>
      <c r="AMH312" s="332"/>
      <c r="AMI312" s="332"/>
      <c r="AMJ312" s="332"/>
      <c r="AMK312" s="332"/>
    </row>
    <row r="313" spans="2:1025" s="331" customFormat="1" ht="15.75" customHeight="1" thickTop="1" thickBot="1">
      <c r="B313" s="349"/>
      <c r="C313" s="350" t="s">
        <v>2199</v>
      </c>
      <c r="D313" s="352" t="s">
        <v>2239</v>
      </c>
      <c r="E313" s="352"/>
      <c r="F313" s="351"/>
      <c r="G313" s="351" t="s">
        <v>2988</v>
      </c>
      <c r="H313" s="351"/>
      <c r="I313" s="351"/>
      <c r="J313" s="351"/>
      <c r="K313" s="351"/>
      <c r="L313" s="351"/>
      <c r="AMH313" s="332"/>
      <c r="AMI313" s="332"/>
      <c r="AMJ313" s="332"/>
      <c r="AMK313" s="332"/>
    </row>
    <row r="314" spans="2:1025" s="331" customFormat="1" ht="15.75" customHeight="1" thickTop="1" thickBot="1">
      <c r="B314" s="349"/>
      <c r="C314" s="350" t="s">
        <v>2240</v>
      </c>
      <c r="D314" s="352" t="s">
        <v>1680</v>
      </c>
      <c r="E314" s="352" t="s">
        <v>1680</v>
      </c>
      <c r="F314" s="351"/>
      <c r="G314" s="351" t="s">
        <v>1681</v>
      </c>
      <c r="H314" s="351"/>
      <c r="I314" s="351"/>
      <c r="J314" s="351"/>
      <c r="K314" s="351"/>
      <c r="L314" s="351"/>
      <c r="AMH314" s="332"/>
      <c r="AMI314" s="332"/>
      <c r="AMJ314" s="332"/>
      <c r="AMK314" s="332"/>
    </row>
    <row r="315" spans="2:1025" s="331" customFormat="1" ht="15.75" customHeight="1" thickTop="1" thickBot="1">
      <c r="B315" s="349"/>
      <c r="C315" s="350" t="s">
        <v>2241</v>
      </c>
      <c r="D315" s="353" t="s">
        <v>2242</v>
      </c>
      <c r="E315" s="352"/>
      <c r="F315" s="351"/>
      <c r="G315" s="351" t="s">
        <v>2989</v>
      </c>
      <c r="H315" s="351"/>
      <c r="I315" s="351"/>
      <c r="J315" s="351"/>
      <c r="K315" s="351"/>
      <c r="L315" s="351"/>
      <c r="AMH315" s="332"/>
      <c r="AMI315" s="332"/>
      <c r="AMJ315" s="332"/>
      <c r="AMK315" s="332"/>
    </row>
    <row r="316" spans="2:1025" s="331" customFormat="1" ht="15.75" customHeight="1" thickTop="1" thickBot="1">
      <c r="B316" s="349"/>
      <c r="C316" s="350" t="s">
        <v>2245</v>
      </c>
      <c r="D316" s="352" t="s">
        <v>2246</v>
      </c>
      <c r="E316" s="352"/>
      <c r="F316" s="351"/>
      <c r="G316" s="351">
        <v>1</v>
      </c>
      <c r="H316" s="351"/>
      <c r="I316" s="351"/>
      <c r="J316" s="351"/>
      <c r="K316" s="351"/>
      <c r="L316" s="351"/>
      <c r="AMH316" s="332"/>
      <c r="AMI316" s="332"/>
      <c r="AMJ316" s="332"/>
      <c r="AMK316" s="332"/>
    </row>
    <row r="317" spans="2:1025" s="331" customFormat="1" ht="15.75" customHeight="1" thickTop="1" thickBot="1">
      <c r="B317" s="349"/>
      <c r="C317" s="350" t="s">
        <v>2248</v>
      </c>
      <c r="D317" s="352" t="s">
        <v>2249</v>
      </c>
      <c r="E317" s="352"/>
      <c r="F317" s="351"/>
      <c r="G317" s="351">
        <v>1</v>
      </c>
      <c r="H317" s="351"/>
      <c r="I317" s="351"/>
      <c r="J317" s="351"/>
      <c r="K317" s="351"/>
      <c r="L317" s="351"/>
      <c r="AMH317" s="332"/>
      <c r="AMI317" s="332"/>
      <c r="AMJ317" s="332"/>
      <c r="AMK317" s="332"/>
    </row>
    <row r="318" spans="2:1025" s="331" customFormat="1" ht="15.75" customHeight="1" thickTop="1" thickBot="1">
      <c r="B318" s="344" t="s">
        <v>2250</v>
      </c>
      <c r="C318" s="345"/>
      <c r="D318" s="346"/>
      <c r="E318" s="346"/>
      <c r="F318" s="347"/>
      <c r="G318" s="347"/>
      <c r="H318" s="347"/>
      <c r="I318" s="347"/>
      <c r="J318" s="347"/>
      <c r="K318" s="347"/>
      <c r="L318" s="348"/>
      <c r="AMH318" s="332"/>
      <c r="AMI318" s="332"/>
      <c r="AMJ318" s="332"/>
      <c r="AMK318" s="332"/>
    </row>
    <row r="319" spans="2:1025" s="331" customFormat="1" ht="15.75" customHeight="1" thickTop="1" thickBot="1">
      <c r="B319" s="349"/>
      <c r="C319" s="350" t="s">
        <v>2198</v>
      </c>
      <c r="D319" s="352" t="s">
        <v>1680</v>
      </c>
      <c r="E319" s="352" t="s">
        <v>1680</v>
      </c>
      <c r="F319" s="351"/>
      <c r="G319" s="351" t="s">
        <v>1681</v>
      </c>
      <c r="H319" s="351"/>
      <c r="I319" s="351"/>
      <c r="J319" s="351"/>
      <c r="K319" s="351"/>
      <c r="L319" s="351"/>
      <c r="AMH319" s="332"/>
      <c r="AMI319" s="332"/>
      <c r="AMJ319" s="332"/>
      <c r="AMK319" s="332"/>
    </row>
    <row r="320" spans="2:1025" s="331" customFormat="1" ht="15.75" customHeight="1" thickTop="1" thickBot="1">
      <c r="B320" s="349"/>
      <c r="C320" s="350" t="s">
        <v>2199</v>
      </c>
      <c r="D320" s="352" t="s">
        <v>2251</v>
      </c>
      <c r="E320" s="352"/>
      <c r="F320" s="351"/>
      <c r="G320" s="351" t="s">
        <v>2530</v>
      </c>
      <c r="H320" s="351"/>
      <c r="I320" s="351"/>
      <c r="J320" s="351"/>
      <c r="K320" s="351"/>
      <c r="L320" s="351"/>
      <c r="AMH320" s="332"/>
      <c r="AMI320" s="332"/>
      <c r="AMJ320" s="332"/>
      <c r="AMK320" s="332"/>
    </row>
    <row r="321" spans="2:1025" s="331" customFormat="1" ht="15.75" customHeight="1" thickTop="1" thickBot="1">
      <c r="B321" s="349"/>
      <c r="C321" s="350" t="s">
        <v>2240</v>
      </c>
      <c r="D321" s="352" t="s">
        <v>1680</v>
      </c>
      <c r="E321" s="352" t="s">
        <v>1680</v>
      </c>
      <c r="F321" s="351"/>
      <c r="G321" s="351" t="s">
        <v>1681</v>
      </c>
      <c r="H321" s="351"/>
      <c r="I321" s="351"/>
      <c r="J321" s="351"/>
      <c r="K321" s="351"/>
      <c r="L321" s="351"/>
      <c r="AMH321" s="332"/>
      <c r="AMI321" s="332"/>
      <c r="AMJ321" s="332"/>
      <c r="AMK321" s="332"/>
    </row>
    <row r="322" spans="2:1025" s="331" customFormat="1" ht="15.75" customHeight="1" thickTop="1" thickBot="1">
      <c r="B322" s="349"/>
      <c r="C322" s="350" t="s">
        <v>2241</v>
      </c>
      <c r="D322" s="352" t="s">
        <v>2252</v>
      </c>
      <c r="E322" s="352"/>
      <c r="F322" s="351"/>
      <c r="G322" s="351">
        <v>0</v>
      </c>
      <c r="H322" s="351"/>
      <c r="I322" s="351"/>
      <c r="J322" s="351"/>
      <c r="K322" s="351"/>
      <c r="L322" s="351"/>
      <c r="AMH322" s="332"/>
      <c r="AMI322" s="332"/>
      <c r="AMJ322" s="332"/>
      <c r="AMK322" s="332"/>
    </row>
    <row r="323" spans="2:1025" s="331" customFormat="1" ht="15.75" customHeight="1" thickTop="1" thickBot="1">
      <c r="B323" s="349"/>
      <c r="C323" s="350" t="s">
        <v>2204</v>
      </c>
      <c r="D323" s="352" t="s">
        <v>2253</v>
      </c>
      <c r="E323" s="352"/>
      <c r="F323" s="351"/>
      <c r="G323" s="351" t="s">
        <v>2531</v>
      </c>
      <c r="H323" s="351"/>
      <c r="I323" s="351"/>
      <c r="J323" s="351"/>
      <c r="K323" s="351"/>
      <c r="L323" s="351"/>
      <c r="AMH323" s="332"/>
      <c r="AMI323" s="332"/>
      <c r="AMJ323" s="332"/>
      <c r="AMK323" s="332"/>
    </row>
    <row r="324" spans="2:1025" s="331" customFormat="1" ht="15.75" customHeight="1" thickTop="1" thickBot="1">
      <c r="B324" s="344" t="s">
        <v>2254</v>
      </c>
      <c r="C324" s="345"/>
      <c r="D324" s="346"/>
      <c r="E324" s="346"/>
      <c r="F324" s="347"/>
      <c r="G324" s="347"/>
      <c r="H324" s="347"/>
      <c r="I324" s="347"/>
      <c r="J324" s="347"/>
      <c r="K324" s="347"/>
      <c r="L324" s="348"/>
      <c r="AMH324" s="332"/>
      <c r="AMI324" s="332"/>
      <c r="AMJ324" s="332"/>
      <c r="AMK324" s="332"/>
    </row>
    <row r="325" spans="2:1025" s="331" customFormat="1" ht="15.75" customHeight="1" thickTop="1" thickBot="1">
      <c r="B325" s="349"/>
      <c r="C325" s="350" t="s">
        <v>2256</v>
      </c>
      <c r="D325" s="353" t="s">
        <v>1680</v>
      </c>
      <c r="E325" s="352" t="s">
        <v>1680</v>
      </c>
      <c r="F325" s="351"/>
      <c r="G325" s="351" t="s">
        <v>1681</v>
      </c>
      <c r="H325" s="351"/>
      <c r="I325" s="351"/>
      <c r="J325" s="351"/>
      <c r="K325" s="351"/>
      <c r="L325" s="351"/>
      <c r="AMH325" s="332"/>
      <c r="AMI325" s="332"/>
      <c r="AMJ325" s="332"/>
      <c r="AMK325" s="332"/>
    </row>
    <row r="326" spans="2:1025" s="331" customFormat="1" ht="15.75" customHeight="1" thickTop="1" thickBot="1">
      <c r="B326" s="349"/>
      <c r="C326" s="350" t="s">
        <v>2257</v>
      </c>
      <c r="D326" s="352" t="s">
        <v>2258</v>
      </c>
      <c r="E326" s="352"/>
      <c r="F326" s="351"/>
      <c r="G326" s="351">
        <v>0</v>
      </c>
      <c r="H326" s="351"/>
      <c r="I326" s="351"/>
      <c r="J326" s="351"/>
      <c r="K326" s="351"/>
      <c r="L326" s="351"/>
      <c r="AMH326" s="332"/>
      <c r="AMI326" s="332"/>
      <c r="AMJ326" s="332"/>
      <c r="AMK326" s="332"/>
    </row>
    <row r="327" spans="2:1025" s="331" customFormat="1" ht="15.75" customHeight="1" thickTop="1" thickBot="1">
      <c r="B327" s="349"/>
      <c r="C327" s="350" t="s">
        <v>2259</v>
      </c>
      <c r="D327" s="353" t="s">
        <v>1680</v>
      </c>
      <c r="E327" s="352" t="s">
        <v>1680</v>
      </c>
      <c r="F327" s="351"/>
      <c r="G327" s="351" t="s">
        <v>1681</v>
      </c>
      <c r="H327" s="351"/>
      <c r="I327" s="351"/>
      <c r="J327" s="351"/>
      <c r="K327" s="351"/>
      <c r="L327" s="351"/>
      <c r="AMH327" s="332"/>
      <c r="AMI327" s="332"/>
      <c r="AMJ327" s="332"/>
      <c r="AMK327" s="332"/>
    </row>
    <row r="328" spans="2:1025" s="331" customFormat="1" ht="15.75" customHeight="1" thickTop="1" thickBot="1">
      <c r="B328" s="349"/>
      <c r="C328" s="350" t="s">
        <v>2260</v>
      </c>
      <c r="D328" s="352" t="s">
        <v>2261</v>
      </c>
      <c r="E328" s="352"/>
      <c r="F328" s="351"/>
      <c r="G328" s="351" t="s">
        <v>2262</v>
      </c>
      <c r="H328" s="351"/>
      <c r="I328" s="351"/>
      <c r="J328" s="351"/>
      <c r="K328" s="351"/>
      <c r="L328" s="351"/>
      <c r="AMH328" s="332"/>
      <c r="AMI328" s="332"/>
      <c r="AMJ328" s="332"/>
      <c r="AMK328" s="332"/>
    </row>
    <row r="329" spans="2:1025" s="331" customFormat="1" ht="15.75" customHeight="1" thickTop="1" thickBot="1">
      <c r="B329" s="349"/>
      <c r="C329" s="350" t="s">
        <v>2263</v>
      </c>
      <c r="D329" s="353" t="s">
        <v>1680</v>
      </c>
      <c r="E329" s="352" t="s">
        <v>1680</v>
      </c>
      <c r="F329" s="351"/>
      <c r="G329" s="351" t="s">
        <v>1681</v>
      </c>
      <c r="H329" s="351"/>
      <c r="I329" s="351"/>
      <c r="J329" s="351"/>
      <c r="K329" s="351"/>
      <c r="L329" s="351"/>
      <c r="AMH329" s="332"/>
      <c r="AMI329" s="332"/>
      <c r="AMJ329" s="332"/>
      <c r="AMK329" s="332"/>
    </row>
    <row r="330" spans="2:1025" s="331" customFormat="1" ht="15.75" customHeight="1" thickTop="1" thickBot="1">
      <c r="B330" s="358"/>
      <c r="C330" s="350" t="s">
        <v>1724</v>
      </c>
      <c r="D330" s="352" t="s">
        <v>2264</v>
      </c>
      <c r="E330" s="352"/>
      <c r="F330" s="351"/>
      <c r="G330" s="351">
        <v>0</v>
      </c>
      <c r="H330" s="351"/>
      <c r="I330" s="351">
        <v>0</v>
      </c>
      <c r="J330" s="351"/>
      <c r="K330" s="351"/>
      <c r="L330" s="351"/>
      <c r="AMH330" s="332"/>
      <c r="AMI330" s="332"/>
      <c r="AMJ330" s="332"/>
      <c r="AMK330" s="332"/>
    </row>
    <row r="331" spans="2:1025" s="331" customFormat="1" ht="12.2" customHeight="1" thickTop="1" thickBot="1">
      <c r="B331" s="336"/>
      <c r="C331" s="337"/>
      <c r="D331" s="336"/>
      <c r="E331" s="336"/>
      <c r="F331" s="356"/>
      <c r="G331" s="356"/>
      <c r="H331" s="356"/>
      <c r="I331" s="356"/>
      <c r="J331" s="356"/>
      <c r="K331" s="356"/>
      <c r="L331" s="356"/>
      <c r="AMH331" s="332"/>
      <c r="AMI331" s="332"/>
      <c r="AMJ331" s="332"/>
      <c r="AMK331" s="332"/>
    </row>
    <row r="332" spans="2:1025" s="331" customFormat="1" ht="15.75" customHeight="1" thickTop="1" thickBot="1">
      <c r="B332" s="344" t="s">
        <v>2265</v>
      </c>
      <c r="C332" s="345"/>
      <c r="D332" s="346"/>
      <c r="E332" s="346"/>
      <c r="F332" s="347"/>
      <c r="G332" s="347"/>
      <c r="H332" s="347"/>
      <c r="I332" s="347"/>
      <c r="J332" s="347"/>
      <c r="K332" s="347"/>
      <c r="L332" s="348"/>
      <c r="AMH332" s="332"/>
      <c r="AMI332" s="332"/>
      <c r="AMJ332" s="332"/>
      <c r="AMK332" s="332"/>
    </row>
    <row r="333" spans="2:1025" s="331" customFormat="1" ht="15.75" customHeight="1" thickTop="1" thickBot="1">
      <c r="B333" s="354"/>
      <c r="C333" s="350">
        <v>0</v>
      </c>
      <c r="D333" s="352" t="s">
        <v>195</v>
      </c>
      <c r="E333" s="352" t="s">
        <v>2266</v>
      </c>
      <c r="F333" s="351">
        <v>0</v>
      </c>
      <c r="G333" s="351"/>
      <c r="H333" s="351"/>
      <c r="I333" s="351"/>
      <c r="J333" s="351"/>
      <c r="K333" s="351"/>
      <c r="L333" s="351"/>
      <c r="AMH333" s="332"/>
      <c r="AMI333" s="332"/>
      <c r="AMJ333" s="332"/>
      <c r="AMK333" s="332"/>
    </row>
    <row r="334" spans="2:1025" s="331" customFormat="1" ht="15.75" customHeight="1" thickTop="1" thickBot="1">
      <c r="B334" s="344" t="s">
        <v>196</v>
      </c>
      <c r="C334" s="345"/>
      <c r="D334" s="346"/>
      <c r="E334" s="346"/>
      <c r="F334" s="347"/>
      <c r="G334" s="347"/>
      <c r="H334" s="347"/>
      <c r="I334" s="347"/>
      <c r="J334" s="347"/>
      <c r="K334" s="347"/>
      <c r="L334" s="348"/>
      <c r="AMH334" s="332"/>
      <c r="AMI334" s="332"/>
      <c r="AMJ334" s="332"/>
      <c r="AMK334" s="332"/>
    </row>
    <row r="335" spans="2:1025" s="331" customFormat="1" ht="15.75" customHeight="1" thickTop="1" thickBot="1">
      <c r="B335" s="349"/>
      <c r="C335" s="350" t="s">
        <v>2267</v>
      </c>
      <c r="D335" s="352" t="s">
        <v>1680</v>
      </c>
      <c r="E335" s="352" t="s">
        <v>1680</v>
      </c>
      <c r="F335" s="351" t="s">
        <v>1681</v>
      </c>
      <c r="G335" s="351"/>
      <c r="H335" s="351"/>
      <c r="I335" s="351"/>
      <c r="J335" s="351"/>
      <c r="K335" s="351"/>
      <c r="L335" s="351"/>
      <c r="AMH335" s="332"/>
      <c r="AMI335" s="332"/>
      <c r="AMJ335" s="332"/>
      <c r="AMK335" s="332"/>
    </row>
    <row r="336" spans="2:1025" s="331" customFormat="1" ht="15.75" customHeight="1" thickTop="1" thickBot="1">
      <c r="B336" s="349"/>
      <c r="C336" s="350" t="s">
        <v>2268</v>
      </c>
      <c r="D336" s="352" t="s">
        <v>2269</v>
      </c>
      <c r="E336" s="352" t="s">
        <v>2270</v>
      </c>
      <c r="F336" s="351">
        <v>0</v>
      </c>
      <c r="G336" s="351"/>
      <c r="H336" s="351"/>
      <c r="I336" s="351"/>
      <c r="J336" s="351"/>
      <c r="K336" s="351"/>
      <c r="L336" s="351"/>
      <c r="AMH336" s="332"/>
      <c r="AMI336" s="332"/>
      <c r="AMJ336" s="332"/>
      <c r="AMK336" s="332"/>
    </row>
    <row r="337" spans="2:1025" s="331" customFormat="1" ht="15.75" customHeight="1" thickTop="1" thickBot="1">
      <c r="B337" s="349"/>
      <c r="C337" s="350" t="s">
        <v>2272</v>
      </c>
      <c r="D337" s="352" t="s">
        <v>2273</v>
      </c>
      <c r="E337" s="352" t="s">
        <v>2274</v>
      </c>
      <c r="F337" s="351">
        <v>0</v>
      </c>
      <c r="G337" s="351"/>
      <c r="H337" s="351"/>
      <c r="I337" s="351"/>
      <c r="J337" s="351"/>
      <c r="K337" s="351"/>
      <c r="L337" s="351"/>
      <c r="AMH337" s="332"/>
      <c r="AMI337" s="332"/>
      <c r="AMJ337" s="332"/>
      <c r="AMK337" s="332"/>
    </row>
    <row r="338" spans="2:1025" s="331" customFormat="1" ht="15.75" customHeight="1" thickTop="1" thickBot="1">
      <c r="B338" s="349"/>
      <c r="C338" s="350" t="s">
        <v>2275</v>
      </c>
      <c r="D338" s="352" t="s">
        <v>197</v>
      </c>
      <c r="E338" s="352" t="s">
        <v>2276</v>
      </c>
      <c r="F338" s="351">
        <v>0</v>
      </c>
      <c r="G338" s="351"/>
      <c r="H338" s="351"/>
      <c r="I338" s="351"/>
      <c r="J338" s="351"/>
      <c r="K338" s="351"/>
      <c r="L338" s="351"/>
      <c r="AMH338" s="332"/>
      <c r="AMI338" s="332"/>
      <c r="AMJ338" s="332"/>
      <c r="AMK338" s="332"/>
    </row>
    <row r="339" spans="2:1025" s="331" customFormat="1" ht="15.75" customHeight="1" thickTop="1" thickBot="1">
      <c r="B339" s="349"/>
      <c r="C339" s="350" t="s">
        <v>2277</v>
      </c>
      <c r="D339" s="352" t="s">
        <v>198</v>
      </c>
      <c r="E339" s="352" t="s">
        <v>2278</v>
      </c>
      <c r="F339" s="351">
        <v>0</v>
      </c>
      <c r="G339" s="351"/>
      <c r="H339" s="351"/>
      <c r="I339" s="351"/>
      <c r="J339" s="351"/>
      <c r="K339" s="351"/>
      <c r="L339" s="351"/>
      <c r="AMH339" s="332"/>
      <c r="AMI339" s="332"/>
      <c r="AMJ339" s="332"/>
      <c r="AMK339" s="332"/>
    </row>
    <row r="340" spans="2:1025" s="331" customFormat="1" ht="15.75" customHeight="1" thickTop="1" thickBot="1">
      <c r="B340" s="349"/>
      <c r="C340" s="350" t="s">
        <v>1714</v>
      </c>
      <c r="D340" s="352" t="s">
        <v>1680</v>
      </c>
      <c r="E340" s="352" t="s">
        <v>1680</v>
      </c>
      <c r="F340" s="351" t="s">
        <v>1681</v>
      </c>
      <c r="G340" s="351"/>
      <c r="H340" s="351"/>
      <c r="I340" s="351"/>
      <c r="J340" s="351"/>
      <c r="K340" s="351"/>
      <c r="L340" s="351"/>
      <c r="AMH340" s="332"/>
      <c r="AMI340" s="332"/>
      <c r="AMJ340" s="332"/>
      <c r="AMK340" s="332"/>
    </row>
    <row r="341" spans="2:1025" s="331" customFormat="1" ht="15.75" customHeight="1" thickTop="1" thickBot="1">
      <c r="B341" s="349"/>
      <c r="C341" s="350" t="s">
        <v>2279</v>
      </c>
      <c r="D341" s="352" t="s">
        <v>199</v>
      </c>
      <c r="E341" s="352" t="s">
        <v>2280</v>
      </c>
      <c r="F341" s="351">
        <v>1</v>
      </c>
      <c r="G341" s="351"/>
      <c r="H341" s="351"/>
      <c r="I341" s="351"/>
      <c r="J341" s="351"/>
      <c r="K341" s="351"/>
      <c r="L341" s="351"/>
      <c r="AMH341" s="332"/>
      <c r="AMI341" s="332"/>
      <c r="AMJ341" s="332"/>
      <c r="AMK341" s="332"/>
    </row>
    <row r="342" spans="2:1025" s="331" customFormat="1" ht="15.75" customHeight="1" thickTop="1" thickBot="1">
      <c r="B342" s="349"/>
      <c r="C342" s="350" t="s">
        <v>2281</v>
      </c>
      <c r="D342" s="352" t="s">
        <v>2282</v>
      </c>
      <c r="E342" s="353" t="s">
        <v>2283</v>
      </c>
      <c r="F342" s="351">
        <v>1</v>
      </c>
      <c r="G342" s="351"/>
      <c r="H342" s="351"/>
      <c r="I342" s="351"/>
      <c r="J342" s="351"/>
      <c r="K342" s="351"/>
      <c r="L342" s="351"/>
      <c r="AMH342" s="332"/>
      <c r="AMI342" s="332"/>
      <c r="AMJ342" s="332"/>
      <c r="AMK342" s="332"/>
    </row>
    <row r="343" spans="2:1025" s="331" customFormat="1" ht="15.75" customHeight="1" thickTop="1" thickBot="1">
      <c r="B343" s="349"/>
      <c r="C343" s="350" t="s">
        <v>2284</v>
      </c>
      <c r="D343" s="352" t="s">
        <v>2285</v>
      </c>
      <c r="E343" s="352" t="s">
        <v>2286</v>
      </c>
      <c r="F343" s="351">
        <v>1</v>
      </c>
      <c r="G343" s="351"/>
      <c r="H343" s="351"/>
      <c r="I343" s="351"/>
      <c r="J343" s="351"/>
      <c r="K343" s="351"/>
      <c r="L343" s="351"/>
      <c r="AMH343" s="332"/>
      <c r="AMI343" s="332"/>
      <c r="AMJ343" s="332"/>
      <c r="AMK343" s="332"/>
    </row>
    <row r="344" spans="2:1025" s="331" customFormat="1" ht="15.75" customHeight="1" thickTop="1" thickBot="1">
      <c r="B344" s="349"/>
      <c r="C344" s="350" t="s">
        <v>2287</v>
      </c>
      <c r="D344" s="352" t="s">
        <v>2288</v>
      </c>
      <c r="E344" s="352" t="s">
        <v>2289</v>
      </c>
      <c r="F344" s="351">
        <v>1</v>
      </c>
      <c r="G344" s="351"/>
      <c r="H344" s="351"/>
      <c r="I344" s="351"/>
      <c r="J344" s="351"/>
      <c r="K344" s="351"/>
      <c r="L344" s="351"/>
      <c r="AMH344" s="332"/>
      <c r="AMI344" s="332"/>
      <c r="AMJ344" s="332"/>
      <c r="AMK344" s="332"/>
    </row>
    <row r="345" spans="2:1025" s="331" customFormat="1" ht="15.75" customHeight="1" thickTop="1" thickBot="1">
      <c r="B345" s="349"/>
      <c r="C345" s="350" t="s">
        <v>2290</v>
      </c>
      <c r="D345" s="352" t="s">
        <v>2291</v>
      </c>
      <c r="E345" s="352" t="s">
        <v>2292</v>
      </c>
      <c r="F345" s="351">
        <v>1</v>
      </c>
      <c r="G345" s="351"/>
      <c r="H345" s="351"/>
      <c r="I345" s="351"/>
      <c r="J345" s="351"/>
      <c r="K345" s="351"/>
      <c r="L345" s="351"/>
      <c r="AMH345" s="332"/>
      <c r="AMI345" s="332"/>
      <c r="AMJ345" s="332"/>
      <c r="AMK345" s="332"/>
    </row>
    <row r="346" spans="2:1025" s="331" customFormat="1" ht="15.75" customHeight="1" thickTop="1" thickBot="1">
      <c r="B346" s="354"/>
      <c r="C346" s="350">
        <v>0</v>
      </c>
      <c r="D346" s="352" t="s">
        <v>200</v>
      </c>
      <c r="E346" s="352" t="s">
        <v>2293</v>
      </c>
      <c r="F346" s="351">
        <v>1</v>
      </c>
      <c r="G346" s="351"/>
      <c r="H346" s="351"/>
      <c r="I346" s="351"/>
      <c r="J346" s="351"/>
      <c r="K346" s="351"/>
      <c r="L346" s="351"/>
      <c r="AMH346" s="332"/>
      <c r="AMI346" s="332"/>
      <c r="AMJ346" s="332"/>
      <c r="AMK346" s="332"/>
    </row>
    <row r="347" spans="2:1025" s="331" customFormat="1" ht="12.2" customHeight="1" thickTop="1">
      <c r="B347" s="359" t="s">
        <v>2294</v>
      </c>
      <c r="C347" s="330"/>
      <c r="D347" s="329"/>
      <c r="E347" s="329"/>
      <c r="F347" s="329"/>
      <c r="G347" s="336"/>
      <c r="H347" s="329"/>
      <c r="I347" s="329"/>
      <c r="J347" s="329"/>
      <c r="K347" s="329"/>
      <c r="L347" s="329"/>
      <c r="AMH347" s="332"/>
      <c r="AMI347" s="332"/>
      <c r="AMJ347" s="332"/>
      <c r="AMK347" s="332"/>
    </row>
    <row r="348" spans="2:1025" s="331" customFormat="1" ht="12" customHeight="1">
      <c r="B348" s="329"/>
      <c r="C348" s="330"/>
      <c r="D348" s="329"/>
      <c r="E348" s="329"/>
      <c r="F348" s="329"/>
      <c r="G348" s="336"/>
      <c r="H348" s="329"/>
      <c r="I348" s="329"/>
      <c r="J348" s="329"/>
      <c r="K348" s="329"/>
      <c r="L348" s="329"/>
      <c r="AMH348" s="332"/>
      <c r="AMI348" s="332"/>
      <c r="AMJ348" s="332"/>
      <c r="AMK348" s="332"/>
    </row>
    <row r="349" spans="2:1025" s="331" customFormat="1" ht="12.2" customHeight="1">
      <c r="B349" s="329"/>
      <c r="C349" s="330"/>
      <c r="D349" s="329"/>
      <c r="E349" s="329"/>
      <c r="F349" s="329"/>
      <c r="G349" s="329"/>
      <c r="H349" s="329"/>
      <c r="I349" s="329"/>
      <c r="J349" s="329"/>
      <c r="K349" s="329"/>
      <c r="L349" s="329"/>
      <c r="AMH349" s="332"/>
      <c r="AMI349" s="332"/>
      <c r="AMJ349" s="332"/>
      <c r="AMK349" s="332"/>
    </row>
    <row r="350" spans="2:1025" s="331" customFormat="1" ht="12" customHeight="1">
      <c r="B350" s="329"/>
      <c r="C350" s="330"/>
      <c r="D350" s="329"/>
      <c r="E350" s="329"/>
      <c r="F350" s="329"/>
      <c r="G350" s="329"/>
      <c r="H350" s="329"/>
      <c r="I350" s="329"/>
      <c r="J350" s="329"/>
      <c r="K350" s="329"/>
      <c r="L350" s="329"/>
      <c r="AMH350" s="332"/>
      <c r="AMI350" s="332"/>
      <c r="AMJ350" s="332"/>
      <c r="AMK350" s="332"/>
    </row>
    <row r="351" spans="2:1025" s="331" customFormat="1" ht="12" customHeight="1">
      <c r="B351" s="329"/>
      <c r="C351" s="330"/>
      <c r="D351" s="329"/>
      <c r="E351" s="329"/>
      <c r="F351" s="329"/>
      <c r="G351" s="329"/>
      <c r="H351" s="329"/>
      <c r="I351" s="329"/>
      <c r="J351" s="329"/>
      <c r="K351" s="329"/>
      <c r="L351" s="329"/>
      <c r="AMH351" s="332"/>
      <c r="AMI351" s="332"/>
      <c r="AMJ351" s="332"/>
      <c r="AMK351" s="332"/>
    </row>
  </sheetData>
  <phoneticPr fontId="6"/>
  <dataValidations count="2">
    <dataValidation type="list" allowBlank="1" showInputMessage="1" showErrorMessage="1" sqref="I325:I329 F321:K321 F209:K224 H269:K285 G287 F144:K159 F44:K59 H293:K293 F27:K42 F110:K125 F127:K142 F61:K76 F340:G340 G301 H295:K295 F248:F267 H248:K267 G314 H333:K333 F319:K319 H320:K320 H322:K323 F325:F330 G329 G325:G327 F177:K191 F193:K207 F94:K108 F78:K92 H335:K346 F335:G335 F226:K241 F297:F304 H297:K304 G297 F269:F285 F10:K25 F295 F293 F306:F317 H306:K317 G306 F287:F291 H287:K291 H325:H330 J325:K330 F161:K175">
      <formula1>$G$3:$G$6</formula1>
    </dataValidation>
    <dataValidation type="list" allowBlank="1" showInputMessage="1" showErrorMessage="1" sqref="G248:G267 G269:G285 G298">
      <formula1>$G$243:$G$246</formula1>
    </dataValidation>
  </dataValidations>
  <pageMargins left="0" right="0" top="0.62986111111111098" bottom="0.43333333333333302" header="0.59027777777777801" footer="0.39374999999999999"/>
  <pageSetup paperSize="9" firstPageNumber="0" fitToHeight="99" orientation="portrait" verticalDpi="0" r:id="rId1"/>
  <headerFooter>
    <oddHeader>&amp;C&amp;A</oddHeader>
    <oddFooter>&amp;Cページ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FD351"/>
  <sheetViews>
    <sheetView showGridLines="0" zoomScale="85" zoomScaleNormal="85" workbookViewId="0">
      <pane ySplit="8" topLeftCell="A9" activePane="bottomLeft" state="frozen"/>
      <selection activeCell="N328" sqref="N328"/>
      <selection pane="bottomLeft" activeCell="E3" sqref="E3"/>
    </sheetView>
  </sheetViews>
  <sheetFormatPr defaultColWidth="9.140625" defaultRowHeight="14.25"/>
  <cols>
    <col min="1" max="1" width="6.85546875" style="331" customWidth="1"/>
    <col min="2" max="2" width="9.140625" style="329"/>
    <col min="3" max="3" width="6.140625" style="330" customWidth="1"/>
    <col min="4" max="4" width="16.85546875" style="329" bestFit="1" customWidth="1"/>
    <col min="5" max="5" width="62.28515625" style="329" customWidth="1"/>
    <col min="6" max="7" width="9.140625" style="329" customWidth="1"/>
    <col min="8" max="11" width="9.140625" style="329"/>
    <col min="12" max="12" width="25.5703125" style="329" customWidth="1"/>
    <col min="13" max="1021" width="9.140625" style="331"/>
    <col min="1022" max="1025" width="9.140625" style="332"/>
    <col min="1026" max="16384" width="9.140625" style="333"/>
  </cols>
  <sheetData>
    <row r="1" spans="2:1025" ht="12.75" customHeight="1"/>
    <row r="2" spans="2:1025" ht="30" customHeight="1">
      <c r="B2" s="32" t="s">
        <v>1660</v>
      </c>
      <c r="F2" s="333"/>
      <c r="G2" s="333"/>
      <c r="H2" s="333"/>
      <c r="I2" s="333"/>
      <c r="J2" s="333"/>
      <c r="K2" s="333"/>
      <c r="L2" s="333"/>
    </row>
    <row r="3" spans="2:1025" ht="13.5" customHeight="1">
      <c r="B3" s="32"/>
      <c r="F3" s="334" t="s">
        <v>1661</v>
      </c>
      <c r="G3" s="335" t="s">
        <v>1662</v>
      </c>
      <c r="H3" s="334" t="s">
        <v>1663</v>
      </c>
      <c r="J3" s="329" t="s">
        <v>1664</v>
      </c>
    </row>
    <row r="4" spans="2:1025" ht="13.5" customHeight="1">
      <c r="B4" s="32"/>
      <c r="G4" s="335" t="s">
        <v>1665</v>
      </c>
      <c r="H4" s="334" t="s">
        <v>1666</v>
      </c>
    </row>
    <row r="5" spans="2:1025">
      <c r="G5" s="335" t="s">
        <v>1667</v>
      </c>
      <c r="H5" s="334" t="s">
        <v>1668</v>
      </c>
    </row>
    <row r="6" spans="2:1025" ht="15" thickBot="1">
      <c r="G6" s="335" t="s">
        <v>1669</v>
      </c>
      <c r="H6" s="334" t="s">
        <v>1670</v>
      </c>
    </row>
    <row r="7" spans="2:1025" ht="14.1" customHeight="1" thickTop="1" thickBot="1">
      <c r="B7" s="336"/>
      <c r="C7" s="337"/>
      <c r="D7" s="336"/>
      <c r="E7" s="336"/>
      <c r="F7" s="338" t="s">
        <v>1671</v>
      </c>
      <c r="G7" s="339"/>
      <c r="H7" s="339"/>
      <c r="I7" s="340"/>
      <c r="J7" s="338" t="s">
        <v>1672</v>
      </c>
      <c r="K7" s="340"/>
      <c r="L7" s="336"/>
    </row>
    <row r="8" spans="2:1025" ht="48.75" customHeight="1" thickTop="1" thickBot="1">
      <c r="B8" s="341" t="s">
        <v>191</v>
      </c>
      <c r="C8" s="342" t="s">
        <v>192</v>
      </c>
      <c r="D8" s="341"/>
      <c r="E8" s="341" t="s">
        <v>193</v>
      </c>
      <c r="F8" s="343" t="s">
        <v>1673</v>
      </c>
      <c r="G8" s="394" t="s">
        <v>2991</v>
      </c>
      <c r="H8" s="343" t="s">
        <v>1674</v>
      </c>
      <c r="I8" s="343" t="s">
        <v>1676</v>
      </c>
      <c r="J8" s="343" t="s">
        <v>1674</v>
      </c>
      <c r="K8" s="343" t="s">
        <v>1676</v>
      </c>
      <c r="L8" s="341" t="s">
        <v>186</v>
      </c>
    </row>
    <row r="9" spans="2:1025" ht="15.75" customHeight="1" thickTop="1" thickBot="1">
      <c r="B9" s="344" t="s">
        <v>1677</v>
      </c>
      <c r="C9" s="345"/>
      <c r="D9" s="346"/>
      <c r="E9" s="346"/>
      <c r="F9" s="347"/>
      <c r="G9" s="347"/>
      <c r="H9" s="347"/>
      <c r="I9" s="347"/>
      <c r="J9" s="347"/>
      <c r="K9" s="347"/>
      <c r="L9" s="348"/>
    </row>
    <row r="10" spans="2:1025" s="331" customFormat="1" ht="15.75" customHeight="1" thickTop="1" thickBot="1">
      <c r="B10" s="349"/>
      <c r="C10" s="350" t="s">
        <v>1678</v>
      </c>
      <c r="D10" s="166" t="s">
        <v>6</v>
      </c>
      <c r="E10" s="166" t="s">
        <v>6</v>
      </c>
      <c r="F10" s="351"/>
      <c r="G10" s="351" t="s">
        <v>1681</v>
      </c>
      <c r="H10" s="351"/>
      <c r="I10" s="351"/>
      <c r="J10" s="351"/>
      <c r="K10" s="351"/>
      <c r="L10" s="351"/>
      <c r="AMH10" s="332"/>
      <c r="AMI10" s="332"/>
      <c r="AMJ10" s="332"/>
      <c r="AMK10" s="332"/>
    </row>
    <row r="11" spans="2:1025" s="331" customFormat="1" ht="15.75" customHeight="1" thickTop="1" thickBot="1">
      <c r="B11" s="349"/>
      <c r="C11" s="350" t="s">
        <v>1682</v>
      </c>
      <c r="D11" s="352" t="s">
        <v>1683</v>
      </c>
      <c r="E11" s="352" t="s">
        <v>1684</v>
      </c>
      <c r="F11" s="351"/>
      <c r="G11" s="351" t="s">
        <v>1745</v>
      </c>
      <c r="H11" s="351"/>
      <c r="I11" s="351"/>
      <c r="J11" s="351"/>
      <c r="K11" s="351"/>
      <c r="L11" s="351"/>
      <c r="AMH11" s="332"/>
      <c r="AMI11" s="332"/>
      <c r="AMJ11" s="332"/>
      <c r="AMK11" s="332"/>
    </row>
    <row r="12" spans="2:1025" s="331" customFormat="1" ht="15.75" customHeight="1" thickTop="1" thickBot="1">
      <c r="B12" s="349"/>
      <c r="C12" s="350" t="s">
        <v>1686</v>
      </c>
      <c r="D12" s="166" t="s">
        <v>6</v>
      </c>
      <c r="E12" s="166" t="s">
        <v>6</v>
      </c>
      <c r="F12" s="351"/>
      <c r="G12" s="351" t="s">
        <v>1681</v>
      </c>
      <c r="H12" s="351"/>
      <c r="I12" s="351"/>
      <c r="J12" s="351"/>
      <c r="K12" s="351"/>
      <c r="L12" s="351"/>
      <c r="AMH12" s="332"/>
      <c r="AMI12" s="332"/>
      <c r="AMJ12" s="332"/>
      <c r="AMK12" s="332"/>
    </row>
    <row r="13" spans="2:1025" s="331" customFormat="1" ht="15.75" customHeight="1" thickTop="1" thickBot="1">
      <c r="B13" s="349"/>
      <c r="C13" s="350" t="s">
        <v>1687</v>
      </c>
      <c r="D13" s="352" t="s">
        <v>1688</v>
      </c>
      <c r="E13" s="352" t="s">
        <v>1689</v>
      </c>
      <c r="F13" s="351"/>
      <c r="G13" s="351" t="s">
        <v>1685</v>
      </c>
      <c r="H13" s="351"/>
      <c r="I13" s="351"/>
      <c r="J13" s="351"/>
      <c r="K13" s="351"/>
      <c r="L13" s="351"/>
      <c r="AMH13" s="332"/>
      <c r="AMI13" s="332"/>
      <c r="AMJ13" s="332"/>
      <c r="AMK13" s="332"/>
    </row>
    <row r="14" spans="2:1025" s="331" customFormat="1" ht="15.75" customHeight="1" thickTop="1" thickBot="1">
      <c r="B14" s="349"/>
      <c r="C14" s="350" t="s">
        <v>1690</v>
      </c>
      <c r="D14" s="352" t="s">
        <v>1691</v>
      </c>
      <c r="E14" s="352" t="s">
        <v>1692</v>
      </c>
      <c r="F14" s="351"/>
      <c r="G14" s="351" t="s">
        <v>1685</v>
      </c>
      <c r="H14" s="351"/>
      <c r="I14" s="351"/>
      <c r="J14" s="351"/>
      <c r="K14" s="351" t="s">
        <v>194</v>
      </c>
      <c r="L14" s="351"/>
      <c r="AMH14" s="332"/>
      <c r="AMI14" s="332"/>
      <c r="AMJ14" s="332"/>
      <c r="AMK14" s="332"/>
    </row>
    <row r="15" spans="2:1025" s="331" customFormat="1" ht="15.75" customHeight="1" thickTop="1" thickBot="1">
      <c r="B15" s="349"/>
      <c r="C15" s="350" t="s">
        <v>1693</v>
      </c>
      <c r="D15" s="352" t="s">
        <v>1694</v>
      </c>
      <c r="E15" s="352" t="s">
        <v>1695</v>
      </c>
      <c r="F15" s="351"/>
      <c r="G15" s="351" t="s">
        <v>1685</v>
      </c>
      <c r="H15" s="351"/>
      <c r="I15" s="351"/>
      <c r="J15" s="351"/>
      <c r="K15" s="351" t="s">
        <v>194</v>
      </c>
      <c r="L15" s="351"/>
      <c r="AMH15" s="332"/>
      <c r="AMI15" s="332"/>
      <c r="AMJ15" s="332"/>
      <c r="AMK15" s="332"/>
    </row>
    <row r="16" spans="2:1025" s="331" customFormat="1" ht="15.75" customHeight="1" thickTop="1" thickBot="1">
      <c r="B16" s="349"/>
      <c r="C16" s="350" t="s">
        <v>1696</v>
      </c>
      <c r="D16" s="352" t="s">
        <v>1697</v>
      </c>
      <c r="E16" s="352" t="s">
        <v>1698</v>
      </c>
      <c r="F16" s="351"/>
      <c r="G16" s="351" t="s">
        <v>1685</v>
      </c>
      <c r="H16" s="351"/>
      <c r="I16" s="351"/>
      <c r="J16" s="351"/>
      <c r="K16" s="351" t="s">
        <v>194</v>
      </c>
      <c r="L16" s="351"/>
      <c r="AMH16" s="332"/>
      <c r="AMI16" s="332"/>
      <c r="AMJ16" s="332"/>
      <c r="AMK16" s="332"/>
    </row>
    <row r="17" spans="2:1025" s="331" customFormat="1" ht="15.75" thickTop="1" thickBot="1">
      <c r="B17" s="349"/>
      <c r="C17" s="350" t="s">
        <v>1699</v>
      </c>
      <c r="D17" s="352" t="s">
        <v>1700</v>
      </c>
      <c r="E17" s="353" t="s">
        <v>1701</v>
      </c>
      <c r="F17" s="351"/>
      <c r="G17" s="351" t="s">
        <v>1685</v>
      </c>
      <c r="H17" s="351"/>
      <c r="I17" s="351"/>
      <c r="J17" s="351"/>
      <c r="K17" s="351" t="s">
        <v>194</v>
      </c>
      <c r="L17" s="351"/>
      <c r="AMH17" s="332"/>
      <c r="AMI17" s="332"/>
      <c r="AMJ17" s="332"/>
      <c r="AMK17" s="332"/>
    </row>
    <row r="18" spans="2:1025" s="331" customFormat="1" ht="15.75" customHeight="1" thickTop="1" thickBot="1">
      <c r="B18" s="349"/>
      <c r="C18" s="350" t="s">
        <v>1702</v>
      </c>
      <c r="D18" s="352" t="s">
        <v>1703</v>
      </c>
      <c r="E18" s="353" t="s">
        <v>1704</v>
      </c>
      <c r="F18" s="351"/>
      <c r="G18" s="351" t="s">
        <v>1685</v>
      </c>
      <c r="H18" s="351"/>
      <c r="I18" s="351"/>
      <c r="J18" s="351"/>
      <c r="K18" s="351" t="s">
        <v>194</v>
      </c>
      <c r="L18" s="351"/>
      <c r="AMH18" s="332"/>
      <c r="AMI18" s="332"/>
      <c r="AMJ18" s="332"/>
      <c r="AMK18" s="332"/>
    </row>
    <row r="19" spans="2:1025" s="331" customFormat="1" ht="15.75" customHeight="1" thickTop="1" thickBot="1">
      <c r="B19" s="349"/>
      <c r="C19" s="350" t="s">
        <v>1705</v>
      </c>
      <c r="D19" s="352" t="s">
        <v>1706</v>
      </c>
      <c r="E19" s="352" t="s">
        <v>1707</v>
      </c>
      <c r="F19" s="351"/>
      <c r="G19" s="351" t="s">
        <v>1745</v>
      </c>
      <c r="H19" s="351"/>
      <c r="I19" s="351"/>
      <c r="J19" s="351"/>
      <c r="K19" s="351"/>
      <c r="L19" s="351"/>
      <c r="AMH19" s="332"/>
      <c r="AMI19" s="332"/>
      <c r="AMJ19" s="332"/>
      <c r="AMK19" s="332"/>
    </row>
    <row r="20" spans="2:1025" s="331" customFormat="1" ht="15.75" customHeight="1" thickTop="1" thickBot="1">
      <c r="B20" s="349"/>
      <c r="C20" s="350" t="s">
        <v>1708</v>
      </c>
      <c r="D20" s="352" t="s">
        <v>1709</v>
      </c>
      <c r="E20" s="352" t="s">
        <v>1710</v>
      </c>
      <c r="F20" s="351"/>
      <c r="G20" s="351" t="s">
        <v>1745</v>
      </c>
      <c r="H20" s="351"/>
      <c r="I20" s="351"/>
      <c r="J20" s="351"/>
      <c r="K20" s="351"/>
      <c r="L20" s="351"/>
      <c r="AMH20" s="332"/>
      <c r="AMI20" s="332"/>
      <c r="AMJ20" s="332"/>
      <c r="AMK20" s="332"/>
    </row>
    <row r="21" spans="2:1025" s="331" customFormat="1" ht="15.75" customHeight="1" thickTop="1" thickBot="1">
      <c r="B21" s="349"/>
      <c r="C21" s="350" t="s">
        <v>1711</v>
      </c>
      <c r="D21" s="352" t="s">
        <v>1712</v>
      </c>
      <c r="E21" s="352" t="s">
        <v>1713</v>
      </c>
      <c r="F21" s="351"/>
      <c r="G21" s="351" t="s">
        <v>1745</v>
      </c>
      <c r="H21" s="351"/>
      <c r="I21" s="351"/>
      <c r="J21" s="351"/>
      <c r="K21" s="351"/>
      <c r="L21" s="351"/>
      <c r="AMH21" s="332"/>
      <c r="AMI21" s="332"/>
      <c r="AMJ21" s="332"/>
      <c r="AMK21" s="332"/>
    </row>
    <row r="22" spans="2:1025" s="331" customFormat="1" ht="15.75" customHeight="1" thickTop="1" thickBot="1">
      <c r="B22" s="349"/>
      <c r="C22" s="350" t="s">
        <v>1714</v>
      </c>
      <c r="D22" s="352" t="s">
        <v>1715</v>
      </c>
      <c r="E22" s="352" t="s">
        <v>1716</v>
      </c>
      <c r="F22" s="351"/>
      <c r="G22" s="351" t="s">
        <v>1745</v>
      </c>
      <c r="H22" s="351"/>
      <c r="I22" s="351"/>
      <c r="J22" s="351"/>
      <c r="K22" s="351"/>
      <c r="L22" s="351"/>
      <c r="AMH22" s="332"/>
      <c r="AMI22" s="332"/>
      <c r="AMJ22" s="332"/>
      <c r="AMK22" s="332"/>
    </row>
    <row r="23" spans="2:1025" s="331" customFormat="1" ht="15.75" customHeight="1" thickTop="1" thickBot="1">
      <c r="B23" s="349"/>
      <c r="C23" s="350" t="s">
        <v>1717</v>
      </c>
      <c r="D23" s="352" t="s">
        <v>1718</v>
      </c>
      <c r="E23" s="352" t="s">
        <v>1719</v>
      </c>
      <c r="F23" s="351"/>
      <c r="G23" s="351" t="s">
        <v>1745</v>
      </c>
      <c r="H23" s="351"/>
      <c r="I23" s="351"/>
      <c r="J23" s="351"/>
      <c r="K23" s="351"/>
      <c r="L23" s="351"/>
      <c r="AMH23" s="332"/>
      <c r="AMI23" s="332"/>
      <c r="AMJ23" s="332"/>
      <c r="AMK23" s="332"/>
    </row>
    <row r="24" spans="2:1025" s="331" customFormat="1" ht="15.75" customHeight="1" thickTop="1" thickBot="1">
      <c r="B24" s="349"/>
      <c r="C24" s="350" t="s">
        <v>1720</v>
      </c>
      <c r="D24" s="352" t="s">
        <v>1721</v>
      </c>
      <c r="E24" s="352" t="s">
        <v>1722</v>
      </c>
      <c r="F24" s="351"/>
      <c r="G24" s="351" t="s">
        <v>1745</v>
      </c>
      <c r="H24" s="351"/>
      <c r="I24" s="351"/>
      <c r="J24" s="351"/>
      <c r="K24" s="351"/>
      <c r="L24" s="351"/>
      <c r="AMH24" s="332"/>
      <c r="AMI24" s="332"/>
      <c r="AMJ24" s="332"/>
      <c r="AMK24" s="332"/>
    </row>
    <row r="25" spans="2:1025" s="331" customFormat="1" ht="15.75" customHeight="1" thickTop="1" thickBot="1">
      <c r="B25" s="354"/>
      <c r="C25" s="350" t="s">
        <v>1723</v>
      </c>
      <c r="D25" s="352" t="s">
        <v>1725</v>
      </c>
      <c r="E25" s="352" t="s">
        <v>1726</v>
      </c>
      <c r="F25" s="351"/>
      <c r="G25" s="351" t="s">
        <v>1745</v>
      </c>
      <c r="H25" s="351"/>
      <c r="I25" s="351"/>
      <c r="J25" s="351"/>
      <c r="K25" s="351"/>
      <c r="L25" s="351"/>
      <c r="AMH25" s="332"/>
      <c r="AMI25" s="332"/>
      <c r="AMJ25" s="332"/>
      <c r="AMK25" s="332"/>
    </row>
    <row r="26" spans="2:1025" s="331" customFormat="1" ht="15.75" customHeight="1" thickTop="1" thickBot="1">
      <c r="B26" s="344" t="s">
        <v>1727</v>
      </c>
      <c r="C26" s="345"/>
      <c r="D26" s="346"/>
      <c r="E26" s="346"/>
      <c r="F26" s="347"/>
      <c r="G26" s="347"/>
      <c r="H26" s="347"/>
      <c r="I26" s="347"/>
      <c r="J26" s="347"/>
      <c r="K26" s="347"/>
      <c r="L26" s="348"/>
      <c r="AMH26" s="332"/>
      <c r="AMI26" s="332"/>
      <c r="AMJ26" s="332"/>
      <c r="AMK26" s="332"/>
    </row>
    <row r="27" spans="2:1025" s="331" customFormat="1" ht="15.75" customHeight="1" thickTop="1" thickBot="1">
      <c r="B27" s="349"/>
      <c r="C27" s="350" t="s">
        <v>1678</v>
      </c>
      <c r="D27" s="352" t="s">
        <v>1728</v>
      </c>
      <c r="E27" s="352" t="s">
        <v>1729</v>
      </c>
      <c r="F27" s="351"/>
      <c r="G27" s="351" t="s">
        <v>1745</v>
      </c>
      <c r="H27" s="351"/>
      <c r="I27" s="351"/>
      <c r="J27" s="351"/>
      <c r="K27" s="351"/>
      <c r="L27" s="351"/>
      <c r="AMH27" s="332"/>
      <c r="AMI27" s="332"/>
      <c r="AMJ27" s="332"/>
      <c r="AMK27" s="332"/>
    </row>
    <row r="28" spans="2:1025" s="331" customFormat="1" ht="15.75" customHeight="1" thickTop="1" thickBot="1">
      <c r="B28" s="349"/>
      <c r="C28" s="350" t="s">
        <v>1682</v>
      </c>
      <c r="D28" s="352" t="s">
        <v>1730</v>
      </c>
      <c r="E28" s="352" t="s">
        <v>1731</v>
      </c>
      <c r="F28" s="351"/>
      <c r="G28" s="351" t="s">
        <v>1745</v>
      </c>
      <c r="H28" s="351"/>
      <c r="I28" s="351"/>
      <c r="J28" s="351"/>
      <c r="K28" s="351"/>
      <c r="L28" s="351"/>
      <c r="AMH28" s="332"/>
      <c r="AMI28" s="332"/>
      <c r="AMJ28" s="332"/>
      <c r="AMK28" s="332"/>
    </row>
    <row r="29" spans="2:1025" s="331" customFormat="1" ht="15.75" customHeight="1" thickTop="1" thickBot="1">
      <c r="B29" s="349"/>
      <c r="C29" s="350" t="s">
        <v>1686</v>
      </c>
      <c r="D29" s="352" t="s">
        <v>1732</v>
      </c>
      <c r="E29" s="352" t="s">
        <v>1731</v>
      </c>
      <c r="F29" s="351"/>
      <c r="G29" s="351" t="s">
        <v>1745</v>
      </c>
      <c r="H29" s="351"/>
      <c r="I29" s="351"/>
      <c r="J29" s="351"/>
      <c r="K29" s="351"/>
      <c r="L29" s="351"/>
      <c r="AMH29" s="332"/>
      <c r="AMI29" s="332"/>
      <c r="AMJ29" s="332"/>
      <c r="AMK29" s="332"/>
    </row>
    <row r="30" spans="2:1025" s="331" customFormat="1" ht="15.75" customHeight="1" thickTop="1" thickBot="1">
      <c r="B30" s="349"/>
      <c r="C30" s="350" t="s">
        <v>1687</v>
      </c>
      <c r="D30" s="352" t="s">
        <v>1733</v>
      </c>
      <c r="E30" s="352" t="s">
        <v>1734</v>
      </c>
      <c r="F30" s="351"/>
      <c r="G30" s="351" t="s">
        <v>1745</v>
      </c>
      <c r="H30" s="351"/>
      <c r="I30" s="351"/>
      <c r="J30" s="351"/>
      <c r="K30" s="351"/>
      <c r="L30" s="351"/>
      <c r="AMH30" s="332"/>
      <c r="AMI30" s="332"/>
      <c r="AMJ30" s="332"/>
      <c r="AMK30" s="332"/>
    </row>
    <row r="31" spans="2:1025" s="331" customFormat="1" ht="15.75" customHeight="1" thickTop="1" thickBot="1">
      <c r="B31" s="349"/>
      <c r="C31" s="350" t="s">
        <v>1690</v>
      </c>
      <c r="D31" s="352" t="s">
        <v>1735</v>
      </c>
      <c r="E31" s="352" t="s">
        <v>1734</v>
      </c>
      <c r="F31" s="351"/>
      <c r="G31" s="351" t="s">
        <v>1745</v>
      </c>
      <c r="H31" s="351"/>
      <c r="I31" s="351"/>
      <c r="J31" s="351"/>
      <c r="K31" s="351"/>
      <c r="L31" s="351"/>
      <c r="AMH31" s="332"/>
      <c r="AMI31" s="332"/>
      <c r="AMJ31" s="332"/>
      <c r="AMK31" s="332"/>
    </row>
    <row r="32" spans="2:1025" s="331" customFormat="1" ht="15.75" customHeight="1" thickTop="1" thickBot="1">
      <c r="B32" s="349"/>
      <c r="C32" s="350" t="s">
        <v>1693</v>
      </c>
      <c r="D32" s="352" t="s">
        <v>1736</v>
      </c>
      <c r="E32" s="352" t="s">
        <v>1737</v>
      </c>
      <c r="F32" s="351"/>
      <c r="G32" s="351" t="s">
        <v>1745</v>
      </c>
      <c r="H32" s="351"/>
      <c r="I32" s="351"/>
      <c r="J32" s="351"/>
      <c r="K32" s="351"/>
      <c r="L32" s="351"/>
      <c r="AMH32" s="332"/>
      <c r="AMI32" s="332"/>
      <c r="AMJ32" s="332"/>
      <c r="AMK32" s="332"/>
    </row>
    <row r="33" spans="2:1025" s="331" customFormat="1" ht="15.75" customHeight="1" thickTop="1" thickBot="1">
      <c r="B33" s="349"/>
      <c r="C33" s="350" t="s">
        <v>1696</v>
      </c>
      <c r="D33" s="352" t="s">
        <v>1738</v>
      </c>
      <c r="E33" s="352" t="s">
        <v>1739</v>
      </c>
      <c r="F33" s="351"/>
      <c r="G33" s="351" t="s">
        <v>1745</v>
      </c>
      <c r="H33" s="351"/>
      <c r="I33" s="351"/>
      <c r="J33" s="351"/>
      <c r="K33" s="351"/>
      <c r="L33" s="351"/>
      <c r="AMH33" s="332"/>
      <c r="AMI33" s="332"/>
      <c r="AMJ33" s="332"/>
      <c r="AMK33" s="332"/>
    </row>
    <row r="34" spans="2:1025" s="331" customFormat="1" ht="15.75" customHeight="1" thickTop="1" thickBot="1">
      <c r="B34" s="349"/>
      <c r="C34" s="350" t="s">
        <v>1699</v>
      </c>
      <c r="D34" s="352" t="s">
        <v>1740</v>
      </c>
      <c r="E34" s="352" t="s">
        <v>1741</v>
      </c>
      <c r="F34" s="351"/>
      <c r="G34" s="351" t="s">
        <v>1745</v>
      </c>
      <c r="H34" s="351"/>
      <c r="I34" s="351"/>
      <c r="J34" s="351"/>
      <c r="K34" s="351"/>
      <c r="L34" s="351"/>
      <c r="AMH34" s="332"/>
      <c r="AMI34" s="332"/>
      <c r="AMJ34" s="332"/>
      <c r="AMK34" s="332"/>
    </row>
    <row r="35" spans="2:1025" s="331" customFormat="1" ht="15.75" customHeight="1" thickTop="1" thickBot="1">
      <c r="B35" s="349"/>
      <c r="C35" s="350" t="s">
        <v>1702</v>
      </c>
      <c r="D35" s="352" t="s">
        <v>1742</v>
      </c>
      <c r="E35" s="352" t="s">
        <v>1689</v>
      </c>
      <c r="F35" s="351"/>
      <c r="G35" s="351" t="s">
        <v>1745</v>
      </c>
      <c r="H35" s="351"/>
      <c r="I35" s="351"/>
      <c r="J35" s="351"/>
      <c r="K35" s="351"/>
      <c r="L35" s="351"/>
      <c r="AMH35" s="332"/>
      <c r="AMI35" s="332"/>
      <c r="AMJ35" s="332"/>
      <c r="AMK35" s="332"/>
    </row>
    <row r="36" spans="2:1025" s="331" customFormat="1" ht="15.75" customHeight="1" thickTop="1" thickBot="1">
      <c r="B36" s="349"/>
      <c r="C36" s="350" t="s">
        <v>1705</v>
      </c>
      <c r="D36" s="352" t="s">
        <v>1743</v>
      </c>
      <c r="E36" s="352" t="s">
        <v>1744</v>
      </c>
      <c r="F36" s="351"/>
      <c r="G36" s="351" t="s">
        <v>1745</v>
      </c>
      <c r="H36" s="351"/>
      <c r="I36" s="351"/>
      <c r="J36" s="351"/>
      <c r="K36" s="351"/>
      <c r="L36" s="351"/>
      <c r="AMH36" s="332"/>
      <c r="AMI36" s="332"/>
      <c r="AMJ36" s="332"/>
      <c r="AMK36" s="332"/>
    </row>
    <row r="37" spans="2:1025" s="331" customFormat="1" ht="15.75" customHeight="1" thickTop="1" thickBot="1">
      <c r="B37" s="349"/>
      <c r="C37" s="350" t="s">
        <v>1708</v>
      </c>
      <c r="D37" s="352" t="s">
        <v>1746</v>
      </c>
      <c r="E37" s="352" t="s">
        <v>1747</v>
      </c>
      <c r="F37" s="351"/>
      <c r="G37" s="351" t="s">
        <v>1745</v>
      </c>
      <c r="H37" s="351"/>
      <c r="I37" s="351"/>
      <c r="J37" s="351"/>
      <c r="K37" s="351"/>
      <c r="L37" s="351"/>
      <c r="AMH37" s="332"/>
      <c r="AMI37" s="332"/>
      <c r="AMJ37" s="332"/>
      <c r="AMK37" s="332"/>
    </row>
    <row r="38" spans="2:1025" s="331" customFormat="1" ht="15.75" customHeight="1" thickTop="1" thickBot="1">
      <c r="B38" s="349"/>
      <c r="C38" s="350" t="s">
        <v>1711</v>
      </c>
      <c r="D38" s="352" t="s">
        <v>1748</v>
      </c>
      <c r="E38" s="352" t="s">
        <v>1749</v>
      </c>
      <c r="F38" s="351"/>
      <c r="G38" s="351" t="s">
        <v>1745</v>
      </c>
      <c r="H38" s="351"/>
      <c r="I38" s="351"/>
      <c r="J38" s="351"/>
      <c r="K38" s="351"/>
      <c r="L38" s="351"/>
      <c r="AMH38" s="332"/>
      <c r="AMI38" s="332"/>
      <c r="AMJ38" s="332"/>
      <c r="AMK38" s="332"/>
    </row>
    <row r="39" spans="2:1025" s="331" customFormat="1" ht="15.75" customHeight="1" thickTop="1" thickBot="1">
      <c r="B39" s="349"/>
      <c r="C39" s="350" t="s">
        <v>1714</v>
      </c>
      <c r="D39" s="352" t="s">
        <v>1750</v>
      </c>
      <c r="E39" s="352" t="s">
        <v>1751</v>
      </c>
      <c r="F39" s="351"/>
      <c r="G39" s="351" t="s">
        <v>1745</v>
      </c>
      <c r="H39" s="351"/>
      <c r="I39" s="351"/>
      <c r="J39" s="351"/>
      <c r="K39" s="351"/>
      <c r="L39" s="351"/>
      <c r="AMH39" s="332"/>
      <c r="AMI39" s="332"/>
      <c r="AMJ39" s="332"/>
      <c r="AMK39" s="332"/>
    </row>
    <row r="40" spans="2:1025" s="331" customFormat="1" ht="15.75" customHeight="1" thickTop="1" thickBot="1">
      <c r="B40" s="349"/>
      <c r="C40" s="350" t="s">
        <v>1717</v>
      </c>
      <c r="D40" s="352" t="s">
        <v>1752</v>
      </c>
      <c r="E40" s="352" t="s">
        <v>1753</v>
      </c>
      <c r="F40" s="351"/>
      <c r="G40" s="351" t="s">
        <v>1745</v>
      </c>
      <c r="H40" s="351"/>
      <c r="I40" s="351"/>
      <c r="J40" s="351"/>
      <c r="K40" s="351"/>
      <c r="L40" s="351"/>
      <c r="AMH40" s="332"/>
      <c r="AMI40" s="332"/>
      <c r="AMJ40" s="332"/>
      <c r="AMK40" s="332"/>
    </row>
    <row r="41" spans="2:1025" s="331" customFormat="1" ht="15.75" customHeight="1" thickTop="1" thickBot="1">
      <c r="B41" s="349"/>
      <c r="C41" s="350" t="s">
        <v>1720</v>
      </c>
      <c r="D41" s="352" t="s">
        <v>1754</v>
      </c>
      <c r="E41" s="352" t="s">
        <v>1755</v>
      </c>
      <c r="F41" s="351"/>
      <c r="G41" s="351" t="s">
        <v>1745</v>
      </c>
      <c r="H41" s="351"/>
      <c r="I41" s="351"/>
      <c r="J41" s="351"/>
      <c r="K41" s="351"/>
      <c r="L41" s="351"/>
      <c r="AMH41" s="332"/>
      <c r="AMI41" s="332"/>
      <c r="AMJ41" s="332"/>
      <c r="AMK41" s="332"/>
    </row>
    <row r="42" spans="2:1025" s="331" customFormat="1" ht="15.75" customHeight="1" thickTop="1" thickBot="1">
      <c r="B42" s="354"/>
      <c r="C42" s="350" t="s">
        <v>1723</v>
      </c>
      <c r="D42" s="352" t="s">
        <v>1756</v>
      </c>
      <c r="E42" s="352" t="s">
        <v>1757</v>
      </c>
      <c r="F42" s="351"/>
      <c r="G42" s="351" t="s">
        <v>1745</v>
      </c>
      <c r="H42" s="351"/>
      <c r="I42" s="351"/>
      <c r="J42" s="351"/>
      <c r="K42" s="351"/>
      <c r="L42" s="351"/>
      <c r="AMH42" s="332"/>
      <c r="AMI42" s="332"/>
      <c r="AMJ42" s="332"/>
      <c r="AMK42" s="332"/>
    </row>
    <row r="43" spans="2:1025" s="331" customFormat="1" ht="15.75" customHeight="1" thickTop="1" thickBot="1">
      <c r="B43" s="344" t="s">
        <v>1758</v>
      </c>
      <c r="C43" s="345"/>
      <c r="D43" s="346"/>
      <c r="E43" s="346"/>
      <c r="F43" s="347"/>
      <c r="G43" s="347"/>
      <c r="H43" s="347"/>
      <c r="I43" s="347"/>
      <c r="J43" s="347"/>
      <c r="K43" s="347"/>
      <c r="L43" s="348"/>
      <c r="AMH43" s="332"/>
      <c r="AMI43" s="332"/>
      <c r="AMJ43" s="332"/>
      <c r="AMK43" s="332"/>
    </row>
    <row r="44" spans="2:1025" s="331" customFormat="1" ht="15.75" customHeight="1" thickTop="1" thickBot="1">
      <c r="B44" s="349"/>
      <c r="C44" s="350" t="s">
        <v>1678</v>
      </c>
      <c r="D44" s="352" t="s">
        <v>1759</v>
      </c>
      <c r="E44" s="352" t="s">
        <v>1760</v>
      </c>
      <c r="F44" s="351"/>
      <c r="G44" s="351" t="s">
        <v>1745</v>
      </c>
      <c r="H44" s="351"/>
      <c r="I44" s="351"/>
      <c r="J44" s="351"/>
      <c r="K44" s="351"/>
      <c r="L44" s="355" t="s">
        <v>1761</v>
      </c>
      <c r="AMH44" s="332"/>
      <c r="AMI44" s="332"/>
      <c r="AMJ44" s="332"/>
      <c r="AMK44" s="332"/>
    </row>
    <row r="45" spans="2:1025" s="331" customFormat="1" ht="15.75" customHeight="1" thickTop="1" thickBot="1">
      <c r="B45" s="349"/>
      <c r="C45" s="350" t="s">
        <v>1682</v>
      </c>
      <c r="D45" s="352" t="s">
        <v>1762</v>
      </c>
      <c r="E45" s="352" t="s">
        <v>1763</v>
      </c>
      <c r="F45" s="351"/>
      <c r="G45" s="351" t="s">
        <v>1745</v>
      </c>
      <c r="H45" s="351"/>
      <c r="I45" s="351"/>
      <c r="J45" s="351"/>
      <c r="K45" s="351"/>
      <c r="L45" s="355" t="s">
        <v>1761</v>
      </c>
      <c r="AMH45" s="332"/>
      <c r="AMI45" s="332"/>
      <c r="AMJ45" s="332"/>
      <c r="AMK45" s="332"/>
    </row>
    <row r="46" spans="2:1025" s="331" customFormat="1" ht="15.75" customHeight="1" thickTop="1" thickBot="1">
      <c r="B46" s="349"/>
      <c r="C46" s="350" t="s">
        <v>1686</v>
      </c>
      <c r="D46" s="352" t="s">
        <v>1764</v>
      </c>
      <c r="E46" s="352" t="s">
        <v>1765</v>
      </c>
      <c r="F46" s="351"/>
      <c r="G46" s="351" t="s">
        <v>1745</v>
      </c>
      <c r="H46" s="351"/>
      <c r="I46" s="351"/>
      <c r="J46" s="351"/>
      <c r="K46" s="351"/>
      <c r="L46" s="351"/>
      <c r="AMH46" s="332"/>
      <c r="AMI46" s="332"/>
      <c r="AMJ46" s="332"/>
      <c r="AMK46" s="332"/>
    </row>
    <row r="47" spans="2:1025" s="331" customFormat="1" ht="15.75" customHeight="1" thickTop="1" thickBot="1">
      <c r="B47" s="349"/>
      <c r="C47" s="350" t="s">
        <v>1687</v>
      </c>
      <c r="D47" s="352" t="s">
        <v>1766</v>
      </c>
      <c r="E47" s="352" t="s">
        <v>1767</v>
      </c>
      <c r="F47" s="351"/>
      <c r="G47" s="351" t="s">
        <v>1745</v>
      </c>
      <c r="H47" s="351"/>
      <c r="I47" s="351"/>
      <c r="J47" s="351"/>
      <c r="K47" s="351"/>
      <c r="L47" s="351"/>
      <c r="AMH47" s="332"/>
      <c r="AMI47" s="332"/>
      <c r="AMJ47" s="332"/>
      <c r="AMK47" s="332"/>
    </row>
    <row r="48" spans="2:1025" s="331" customFormat="1" ht="15.75" customHeight="1" thickTop="1" thickBot="1">
      <c r="B48" s="349"/>
      <c r="C48" s="350" t="s">
        <v>1690</v>
      </c>
      <c r="D48" s="352" t="s">
        <v>1768</v>
      </c>
      <c r="E48" s="352" t="s">
        <v>1769</v>
      </c>
      <c r="F48" s="351"/>
      <c r="G48" s="351" t="s">
        <v>1745</v>
      </c>
      <c r="H48" s="351"/>
      <c r="I48" s="351"/>
      <c r="J48" s="351"/>
      <c r="K48" s="351"/>
      <c r="L48" s="351"/>
      <c r="AMH48" s="332"/>
      <c r="AMI48" s="332"/>
      <c r="AMJ48" s="332"/>
      <c r="AMK48" s="332"/>
    </row>
    <row r="49" spans="2:1025" s="331" customFormat="1" ht="15.75" customHeight="1" thickTop="1" thickBot="1">
      <c r="B49" s="349"/>
      <c r="C49" s="350" t="s">
        <v>1693</v>
      </c>
      <c r="D49" s="352" t="s">
        <v>1770</v>
      </c>
      <c r="E49" s="352" t="s">
        <v>1771</v>
      </c>
      <c r="F49" s="351"/>
      <c r="G49" s="351" t="s">
        <v>1745</v>
      </c>
      <c r="H49" s="351"/>
      <c r="I49" s="351"/>
      <c r="J49" s="351"/>
      <c r="K49" s="351"/>
      <c r="L49" s="351"/>
      <c r="AMH49" s="332"/>
      <c r="AMI49" s="332"/>
      <c r="AMJ49" s="332"/>
      <c r="AMK49" s="332"/>
    </row>
    <row r="50" spans="2:1025" s="331" customFormat="1" ht="15.75" customHeight="1" thickTop="1" thickBot="1">
      <c r="B50" s="349"/>
      <c r="C50" s="350" t="s">
        <v>1696</v>
      </c>
      <c r="D50" s="352" t="s">
        <v>1772</v>
      </c>
      <c r="E50" s="352" t="s">
        <v>1773</v>
      </c>
      <c r="F50" s="351"/>
      <c r="G50" s="351" t="s">
        <v>1745</v>
      </c>
      <c r="H50" s="351"/>
      <c r="I50" s="351"/>
      <c r="J50" s="351"/>
      <c r="K50" s="351"/>
      <c r="L50" s="351"/>
      <c r="AMH50" s="332"/>
      <c r="AMI50" s="332"/>
      <c r="AMJ50" s="332"/>
      <c r="AMK50" s="332"/>
    </row>
    <row r="51" spans="2:1025" s="331" customFormat="1" ht="15.75" customHeight="1" thickTop="1" thickBot="1">
      <c r="B51" s="349"/>
      <c r="C51" s="350" t="s">
        <v>1699</v>
      </c>
      <c r="D51" s="352" t="s">
        <v>1774</v>
      </c>
      <c r="E51" s="352" t="s">
        <v>1775</v>
      </c>
      <c r="F51" s="351"/>
      <c r="G51" s="351" t="s">
        <v>1745</v>
      </c>
      <c r="H51" s="351"/>
      <c r="I51" s="351"/>
      <c r="J51" s="351"/>
      <c r="K51" s="351"/>
      <c r="L51" s="351"/>
      <c r="AMH51" s="332"/>
      <c r="AMI51" s="332"/>
      <c r="AMJ51" s="332"/>
      <c r="AMK51" s="332"/>
    </row>
    <row r="52" spans="2:1025" s="331" customFormat="1" ht="15.75" customHeight="1" thickTop="1" thickBot="1">
      <c r="B52" s="349"/>
      <c r="C52" s="350" t="s">
        <v>1702</v>
      </c>
      <c r="D52" s="352" t="s">
        <v>1776</v>
      </c>
      <c r="E52" s="352" t="s">
        <v>1777</v>
      </c>
      <c r="F52" s="351"/>
      <c r="G52" s="351" t="s">
        <v>1745</v>
      </c>
      <c r="H52" s="351"/>
      <c r="I52" s="351"/>
      <c r="J52" s="351"/>
      <c r="K52" s="351"/>
      <c r="L52" s="351"/>
      <c r="AMH52" s="332"/>
      <c r="AMI52" s="332"/>
      <c r="AMJ52" s="332"/>
      <c r="AMK52" s="332"/>
    </row>
    <row r="53" spans="2:1025" s="331" customFormat="1" ht="15.75" customHeight="1" thickTop="1" thickBot="1">
      <c r="B53" s="349"/>
      <c r="C53" s="350" t="s">
        <v>1705</v>
      </c>
      <c r="D53" s="352" t="s">
        <v>1778</v>
      </c>
      <c r="E53" s="352" t="s">
        <v>1779</v>
      </c>
      <c r="F53" s="351"/>
      <c r="G53" s="351" t="s">
        <v>1745</v>
      </c>
      <c r="H53" s="351"/>
      <c r="I53" s="351"/>
      <c r="J53" s="351"/>
      <c r="K53" s="351"/>
      <c r="L53" s="351"/>
      <c r="AMH53" s="332"/>
      <c r="AMI53" s="332"/>
      <c r="AMJ53" s="332"/>
      <c r="AMK53" s="332"/>
    </row>
    <row r="54" spans="2:1025" s="331" customFormat="1" ht="15.75" customHeight="1" thickTop="1" thickBot="1">
      <c r="B54" s="349"/>
      <c r="C54" s="350" t="s">
        <v>1708</v>
      </c>
      <c r="D54" s="352" t="s">
        <v>1780</v>
      </c>
      <c r="E54" s="352" t="s">
        <v>1781</v>
      </c>
      <c r="F54" s="351"/>
      <c r="G54" s="351" t="s">
        <v>1745</v>
      </c>
      <c r="H54" s="351"/>
      <c r="I54" s="351"/>
      <c r="J54" s="351"/>
      <c r="K54" s="351"/>
      <c r="L54" s="351"/>
      <c r="AMH54" s="332"/>
      <c r="AMI54" s="332"/>
      <c r="AMJ54" s="332"/>
      <c r="AMK54" s="332"/>
    </row>
    <row r="55" spans="2:1025" s="331" customFormat="1" ht="15.75" customHeight="1" thickTop="1" thickBot="1">
      <c r="B55" s="349"/>
      <c r="C55" s="350" t="s">
        <v>1711</v>
      </c>
      <c r="D55" s="352" t="s">
        <v>1782</v>
      </c>
      <c r="E55" s="352" t="s">
        <v>1783</v>
      </c>
      <c r="F55" s="351"/>
      <c r="G55" s="351" t="s">
        <v>1745</v>
      </c>
      <c r="H55" s="351"/>
      <c r="I55" s="351"/>
      <c r="J55" s="351"/>
      <c r="K55" s="351"/>
      <c r="L55" s="351"/>
      <c r="AMH55" s="332"/>
      <c r="AMI55" s="332"/>
      <c r="AMJ55" s="332"/>
      <c r="AMK55" s="332"/>
    </row>
    <row r="56" spans="2:1025" s="331" customFormat="1" ht="15.75" customHeight="1" thickTop="1" thickBot="1">
      <c r="B56" s="349"/>
      <c r="C56" s="350" t="s">
        <v>1714</v>
      </c>
      <c r="D56" s="352" t="s">
        <v>1784</v>
      </c>
      <c r="E56" s="352" t="s">
        <v>1785</v>
      </c>
      <c r="F56" s="351"/>
      <c r="G56" s="351" t="s">
        <v>1745</v>
      </c>
      <c r="H56" s="351"/>
      <c r="I56" s="351"/>
      <c r="J56" s="351"/>
      <c r="K56" s="351"/>
      <c r="L56" s="351"/>
      <c r="AMH56" s="332"/>
      <c r="AMI56" s="332"/>
      <c r="AMJ56" s="332"/>
      <c r="AMK56" s="332"/>
    </row>
    <row r="57" spans="2:1025" s="331" customFormat="1" ht="15.75" customHeight="1" thickTop="1" thickBot="1">
      <c r="B57" s="349"/>
      <c r="C57" s="350" t="s">
        <v>1717</v>
      </c>
      <c r="D57" s="352" t="s">
        <v>1786</v>
      </c>
      <c r="E57" s="352" t="s">
        <v>1787</v>
      </c>
      <c r="F57" s="351"/>
      <c r="G57" s="351" t="s">
        <v>1745</v>
      </c>
      <c r="H57" s="351"/>
      <c r="I57" s="351"/>
      <c r="J57" s="351"/>
      <c r="K57" s="351"/>
      <c r="L57" s="351"/>
      <c r="AMH57" s="332"/>
      <c r="AMI57" s="332"/>
      <c r="AMJ57" s="332"/>
      <c r="AMK57" s="332"/>
    </row>
    <row r="58" spans="2:1025" s="331" customFormat="1" ht="15.75" customHeight="1" thickTop="1" thickBot="1">
      <c r="B58" s="349"/>
      <c r="C58" s="350" t="s">
        <v>1720</v>
      </c>
      <c r="D58" s="352" t="s">
        <v>1788</v>
      </c>
      <c r="E58" s="352" t="s">
        <v>1789</v>
      </c>
      <c r="F58" s="351"/>
      <c r="G58" s="351" t="s">
        <v>1745</v>
      </c>
      <c r="H58" s="351"/>
      <c r="I58" s="351"/>
      <c r="J58" s="351"/>
      <c r="K58" s="351"/>
      <c r="L58" s="351"/>
      <c r="AMH58" s="332"/>
      <c r="AMI58" s="332"/>
      <c r="AMJ58" s="332"/>
      <c r="AMK58" s="332"/>
    </row>
    <row r="59" spans="2:1025" s="331" customFormat="1" ht="15.75" customHeight="1" thickTop="1" thickBot="1">
      <c r="B59" s="349"/>
      <c r="C59" s="350" t="s">
        <v>1723</v>
      </c>
      <c r="D59" s="352" t="s">
        <v>1790</v>
      </c>
      <c r="E59" s="352" t="s">
        <v>1791</v>
      </c>
      <c r="F59" s="351"/>
      <c r="G59" s="351" t="s">
        <v>1745</v>
      </c>
      <c r="H59" s="351"/>
      <c r="I59" s="351"/>
      <c r="J59" s="351"/>
      <c r="K59" s="351"/>
      <c r="L59" s="351"/>
      <c r="AMH59" s="332"/>
      <c r="AMI59" s="332"/>
      <c r="AMJ59" s="332"/>
      <c r="AMK59" s="332"/>
    </row>
    <row r="60" spans="2:1025" s="331" customFormat="1" ht="15.75" customHeight="1" thickTop="1" thickBot="1">
      <c r="B60" s="344" t="s">
        <v>1792</v>
      </c>
      <c r="C60" s="345"/>
      <c r="D60" s="346"/>
      <c r="E60" s="346"/>
      <c r="F60" s="347"/>
      <c r="G60" s="347"/>
      <c r="H60" s="347"/>
      <c r="I60" s="347"/>
      <c r="J60" s="347"/>
      <c r="K60" s="347"/>
      <c r="L60" s="348"/>
      <c r="AMH60" s="332"/>
      <c r="AMI60" s="332"/>
      <c r="AMJ60" s="332"/>
      <c r="AMK60" s="332"/>
    </row>
    <row r="61" spans="2:1025" s="331" customFormat="1" ht="15.75" customHeight="1" thickTop="1" thickBot="1">
      <c r="B61" s="349"/>
      <c r="C61" s="350" t="s">
        <v>1678</v>
      </c>
      <c r="D61" s="352" t="s">
        <v>1793</v>
      </c>
      <c r="E61" s="352" t="s">
        <v>1794</v>
      </c>
      <c r="F61" s="351"/>
      <c r="G61" s="351" t="s">
        <v>1745</v>
      </c>
      <c r="H61" s="351"/>
      <c r="I61" s="351"/>
      <c r="J61" s="351"/>
      <c r="K61" s="351"/>
      <c r="L61" s="351"/>
      <c r="AMH61" s="332"/>
      <c r="AMI61" s="332"/>
      <c r="AMJ61" s="332"/>
      <c r="AMK61" s="332"/>
    </row>
    <row r="62" spans="2:1025" s="331" customFormat="1" ht="15.75" customHeight="1" thickTop="1" thickBot="1">
      <c r="B62" s="349"/>
      <c r="C62" s="350" t="s">
        <v>1682</v>
      </c>
      <c r="D62" s="352" t="s">
        <v>1795</v>
      </c>
      <c r="E62" s="352" t="s">
        <v>1796</v>
      </c>
      <c r="F62" s="351"/>
      <c r="G62" s="351" t="s">
        <v>1745</v>
      </c>
      <c r="H62" s="351"/>
      <c r="I62" s="351"/>
      <c r="J62" s="351"/>
      <c r="K62" s="351"/>
      <c r="L62" s="351"/>
      <c r="AMH62" s="332"/>
      <c r="AMI62" s="332"/>
      <c r="AMJ62" s="332"/>
      <c r="AMK62" s="332"/>
    </row>
    <row r="63" spans="2:1025" s="331" customFormat="1" ht="15.75" customHeight="1" thickTop="1" thickBot="1">
      <c r="B63" s="349"/>
      <c r="C63" s="350" t="s">
        <v>1686</v>
      </c>
      <c r="D63" s="352" t="s">
        <v>1797</v>
      </c>
      <c r="E63" s="352" t="s">
        <v>1798</v>
      </c>
      <c r="F63" s="351"/>
      <c r="G63" s="351" t="s">
        <v>1745</v>
      </c>
      <c r="H63" s="351"/>
      <c r="I63" s="351"/>
      <c r="J63" s="351"/>
      <c r="K63" s="351"/>
      <c r="L63" s="351"/>
      <c r="AMH63" s="332"/>
      <c r="AMI63" s="332"/>
      <c r="AMJ63" s="332"/>
      <c r="AMK63" s="332"/>
    </row>
    <row r="64" spans="2:1025" s="331" customFormat="1" ht="15.75" customHeight="1" thickTop="1" thickBot="1">
      <c r="B64" s="349"/>
      <c r="C64" s="350" t="s">
        <v>1687</v>
      </c>
      <c r="D64" s="352" t="s">
        <v>1799</v>
      </c>
      <c r="E64" s="352" t="s">
        <v>1800</v>
      </c>
      <c r="F64" s="351"/>
      <c r="G64" s="351" t="s">
        <v>1745</v>
      </c>
      <c r="H64" s="351"/>
      <c r="I64" s="351"/>
      <c r="J64" s="351"/>
      <c r="K64" s="351"/>
      <c r="L64" s="351"/>
      <c r="AMH64" s="332"/>
      <c r="AMI64" s="332"/>
      <c r="AMJ64" s="332"/>
      <c r="AMK64" s="332"/>
    </row>
    <row r="65" spans="2:1025" s="331" customFormat="1" ht="15.75" customHeight="1" thickTop="1" thickBot="1">
      <c r="B65" s="349"/>
      <c r="C65" s="350" t="s">
        <v>1690</v>
      </c>
      <c r="D65" s="352" t="s">
        <v>1801</v>
      </c>
      <c r="E65" s="352" t="s">
        <v>1802</v>
      </c>
      <c r="F65" s="351"/>
      <c r="G65" s="351" t="s">
        <v>1745</v>
      </c>
      <c r="H65" s="351"/>
      <c r="I65" s="351"/>
      <c r="J65" s="351"/>
      <c r="K65" s="351"/>
      <c r="L65" s="351"/>
      <c r="AMH65" s="332"/>
      <c r="AMI65" s="332"/>
      <c r="AMJ65" s="332"/>
      <c r="AMK65" s="332"/>
    </row>
    <row r="66" spans="2:1025" s="331" customFormat="1" ht="15.75" customHeight="1" thickTop="1" thickBot="1">
      <c r="B66" s="349"/>
      <c r="C66" s="350" t="s">
        <v>1693</v>
      </c>
      <c r="D66" s="352" t="s">
        <v>1803</v>
      </c>
      <c r="E66" s="352" t="s">
        <v>1804</v>
      </c>
      <c r="F66" s="351"/>
      <c r="G66" s="351" t="s">
        <v>1745</v>
      </c>
      <c r="H66" s="351"/>
      <c r="I66" s="351"/>
      <c r="J66" s="351"/>
      <c r="K66" s="351"/>
      <c r="L66" s="351"/>
      <c r="AMH66" s="332"/>
      <c r="AMI66" s="332"/>
      <c r="AMJ66" s="332"/>
      <c r="AMK66" s="332"/>
    </row>
    <row r="67" spans="2:1025" s="331" customFormat="1" ht="15.75" customHeight="1" thickTop="1" thickBot="1">
      <c r="B67" s="349"/>
      <c r="C67" s="350" t="s">
        <v>1696</v>
      </c>
      <c r="D67" s="352" t="s">
        <v>1805</v>
      </c>
      <c r="E67" s="352" t="s">
        <v>1806</v>
      </c>
      <c r="F67" s="351"/>
      <c r="G67" s="351" t="s">
        <v>1745</v>
      </c>
      <c r="H67" s="351"/>
      <c r="I67" s="351"/>
      <c r="J67" s="351"/>
      <c r="K67" s="351"/>
      <c r="L67" s="351"/>
      <c r="AMH67" s="332"/>
      <c r="AMI67" s="332"/>
      <c r="AMJ67" s="332"/>
      <c r="AMK67" s="332"/>
    </row>
    <row r="68" spans="2:1025" s="331" customFormat="1" ht="15.75" customHeight="1" thickTop="1" thickBot="1">
      <c r="B68" s="349"/>
      <c r="C68" s="350" t="s">
        <v>1699</v>
      </c>
      <c r="D68" s="352" t="s">
        <v>1807</v>
      </c>
      <c r="E68" s="352" t="s">
        <v>1808</v>
      </c>
      <c r="F68" s="351"/>
      <c r="G68" s="351" t="s">
        <v>1745</v>
      </c>
      <c r="H68" s="351"/>
      <c r="I68" s="351"/>
      <c r="J68" s="351"/>
      <c r="K68" s="351"/>
      <c r="L68" s="351"/>
      <c r="AMH68" s="332"/>
      <c r="AMI68" s="332"/>
      <c r="AMJ68" s="332"/>
      <c r="AMK68" s="332"/>
    </row>
    <row r="69" spans="2:1025" s="331" customFormat="1" ht="15.75" customHeight="1" thickTop="1" thickBot="1">
      <c r="B69" s="349"/>
      <c r="C69" s="350" t="s">
        <v>1702</v>
      </c>
      <c r="D69" s="352" t="s">
        <v>1809</v>
      </c>
      <c r="E69" s="352" t="s">
        <v>1810</v>
      </c>
      <c r="F69" s="351"/>
      <c r="G69" s="351" t="s">
        <v>1745</v>
      </c>
      <c r="H69" s="351"/>
      <c r="I69" s="351"/>
      <c r="J69" s="351"/>
      <c r="K69" s="351"/>
      <c r="L69" s="351"/>
      <c r="AMH69" s="332"/>
      <c r="AMI69" s="332"/>
      <c r="AMJ69" s="332"/>
      <c r="AMK69" s="332"/>
    </row>
    <row r="70" spans="2:1025" s="331" customFormat="1" ht="15.75" customHeight="1" thickTop="1" thickBot="1">
      <c r="B70" s="349"/>
      <c r="C70" s="350" t="s">
        <v>1705</v>
      </c>
      <c r="D70" s="352" t="s">
        <v>1811</v>
      </c>
      <c r="E70" s="352" t="s">
        <v>1812</v>
      </c>
      <c r="F70" s="351"/>
      <c r="G70" s="351" t="s">
        <v>1745</v>
      </c>
      <c r="H70" s="351"/>
      <c r="I70" s="351"/>
      <c r="J70" s="351"/>
      <c r="K70" s="351"/>
      <c r="L70" s="351"/>
      <c r="AMH70" s="332"/>
      <c r="AMI70" s="332"/>
      <c r="AMJ70" s="332"/>
      <c r="AMK70" s="332"/>
    </row>
    <row r="71" spans="2:1025" s="331" customFormat="1" ht="15.75" customHeight="1" thickTop="1" thickBot="1">
      <c r="B71" s="349"/>
      <c r="C71" s="350" t="s">
        <v>1708</v>
      </c>
      <c r="D71" s="352" t="s">
        <v>1813</v>
      </c>
      <c r="E71" s="352" t="s">
        <v>1814</v>
      </c>
      <c r="F71" s="351"/>
      <c r="G71" s="351" t="s">
        <v>1745</v>
      </c>
      <c r="H71" s="351"/>
      <c r="I71" s="351"/>
      <c r="J71" s="351"/>
      <c r="K71" s="351"/>
      <c r="L71" s="351"/>
      <c r="AMH71" s="332"/>
      <c r="AMI71" s="332"/>
      <c r="AMJ71" s="332"/>
      <c r="AMK71" s="332"/>
    </row>
    <row r="72" spans="2:1025" s="331" customFormat="1" ht="15.75" customHeight="1" thickTop="1" thickBot="1">
      <c r="B72" s="349"/>
      <c r="C72" s="350" t="s">
        <v>1711</v>
      </c>
      <c r="D72" s="352" t="s">
        <v>1815</v>
      </c>
      <c r="E72" s="352" t="s">
        <v>1816</v>
      </c>
      <c r="F72" s="351"/>
      <c r="G72" s="351" t="s">
        <v>1745</v>
      </c>
      <c r="H72" s="351"/>
      <c r="I72" s="351"/>
      <c r="J72" s="351"/>
      <c r="K72" s="351"/>
      <c r="L72" s="351"/>
      <c r="AMH72" s="332"/>
      <c r="AMI72" s="332"/>
      <c r="AMJ72" s="332"/>
      <c r="AMK72" s="332"/>
    </row>
    <row r="73" spans="2:1025" s="331" customFormat="1" ht="15.75" customHeight="1" thickTop="1" thickBot="1">
      <c r="B73" s="349"/>
      <c r="C73" s="350" t="s">
        <v>1714</v>
      </c>
      <c r="D73" s="352" t="s">
        <v>1817</v>
      </c>
      <c r="E73" s="352" t="s">
        <v>1818</v>
      </c>
      <c r="F73" s="351"/>
      <c r="G73" s="351" t="s">
        <v>1745</v>
      </c>
      <c r="H73" s="351"/>
      <c r="I73" s="351"/>
      <c r="J73" s="351"/>
      <c r="K73" s="351"/>
      <c r="L73" s="351"/>
      <c r="AMH73" s="332"/>
      <c r="AMI73" s="332"/>
      <c r="AMJ73" s="332"/>
      <c r="AMK73" s="332"/>
    </row>
    <row r="74" spans="2:1025" s="331" customFormat="1" ht="15.75" customHeight="1" thickTop="1" thickBot="1">
      <c r="B74" s="349"/>
      <c r="C74" s="350" t="s">
        <v>1717</v>
      </c>
      <c r="D74" s="352" t="s">
        <v>1819</v>
      </c>
      <c r="E74" s="352" t="s">
        <v>1820</v>
      </c>
      <c r="F74" s="351"/>
      <c r="G74" s="351" t="s">
        <v>1745</v>
      </c>
      <c r="H74" s="351"/>
      <c r="I74" s="351"/>
      <c r="J74" s="351"/>
      <c r="K74" s="351"/>
      <c r="L74" s="351"/>
      <c r="AMH74" s="332"/>
      <c r="AMI74" s="332"/>
      <c r="AMJ74" s="332"/>
      <c r="AMK74" s="332"/>
    </row>
    <row r="75" spans="2:1025" s="331" customFormat="1" ht="15.75" customHeight="1" thickTop="1" thickBot="1">
      <c r="B75" s="349"/>
      <c r="C75" s="350" t="s">
        <v>1720</v>
      </c>
      <c r="D75" s="352" t="s">
        <v>1821</v>
      </c>
      <c r="E75" s="352" t="s">
        <v>1822</v>
      </c>
      <c r="F75" s="351"/>
      <c r="G75" s="351" t="s">
        <v>1745</v>
      </c>
      <c r="H75" s="351"/>
      <c r="I75" s="351"/>
      <c r="J75" s="351"/>
      <c r="K75" s="351"/>
      <c r="L75" s="351"/>
      <c r="AMH75" s="332"/>
      <c r="AMI75" s="332"/>
      <c r="AMJ75" s="332"/>
      <c r="AMK75" s="332"/>
    </row>
    <row r="76" spans="2:1025" s="331" customFormat="1" ht="15.75" customHeight="1" thickTop="1" thickBot="1">
      <c r="B76" s="349"/>
      <c r="C76" s="350" t="s">
        <v>1723</v>
      </c>
      <c r="D76" s="352" t="s">
        <v>1823</v>
      </c>
      <c r="E76" s="352" t="s">
        <v>1824</v>
      </c>
      <c r="F76" s="351"/>
      <c r="G76" s="351" t="s">
        <v>1745</v>
      </c>
      <c r="H76" s="351"/>
      <c r="I76" s="351"/>
      <c r="J76" s="351"/>
      <c r="K76" s="351"/>
      <c r="L76" s="351"/>
      <c r="AMH76" s="332"/>
      <c r="AMI76" s="332"/>
      <c r="AMJ76" s="332"/>
      <c r="AMK76" s="332"/>
    </row>
    <row r="77" spans="2:1025" s="331" customFormat="1" ht="15.75" customHeight="1" thickTop="1" thickBot="1">
      <c r="B77" s="344" t="s">
        <v>1825</v>
      </c>
      <c r="C77" s="345"/>
      <c r="D77" s="346"/>
      <c r="E77" s="346"/>
      <c r="F77" s="347"/>
      <c r="G77" s="347"/>
      <c r="H77" s="347"/>
      <c r="I77" s="347"/>
      <c r="J77" s="347"/>
      <c r="K77" s="347"/>
      <c r="L77" s="348"/>
      <c r="AMH77" s="332"/>
      <c r="AMI77" s="332"/>
      <c r="AMJ77" s="332"/>
      <c r="AMK77" s="332"/>
    </row>
    <row r="78" spans="2:1025" s="331" customFormat="1" ht="15.75" customHeight="1" thickTop="1" thickBot="1">
      <c r="B78" s="349"/>
      <c r="C78" s="350" t="s">
        <v>1826</v>
      </c>
      <c r="D78" s="166" t="s">
        <v>6</v>
      </c>
      <c r="E78" s="166" t="s">
        <v>6</v>
      </c>
      <c r="F78" s="351"/>
      <c r="G78" s="351" t="s">
        <v>1681</v>
      </c>
      <c r="H78" s="351"/>
      <c r="I78" s="351"/>
      <c r="J78" s="351"/>
      <c r="K78" s="351"/>
      <c r="L78" s="351"/>
      <c r="AMH78" s="332"/>
      <c r="AMI78" s="332"/>
      <c r="AMJ78" s="332"/>
      <c r="AMK78" s="332"/>
    </row>
    <row r="79" spans="2:1025" s="331" customFormat="1" ht="15.75" customHeight="1" thickTop="1" thickBot="1">
      <c r="B79" s="349"/>
      <c r="C79" s="350" t="s">
        <v>1686</v>
      </c>
      <c r="D79" s="352" t="s">
        <v>1828</v>
      </c>
      <c r="E79" s="352" t="s">
        <v>1829</v>
      </c>
      <c r="F79" s="351"/>
      <c r="G79" s="351" t="s">
        <v>1745</v>
      </c>
      <c r="H79" s="351"/>
      <c r="I79" s="351"/>
      <c r="J79" s="351"/>
      <c r="K79" s="351"/>
      <c r="L79" s="351"/>
      <c r="AMH79" s="332"/>
      <c r="AMI79" s="332"/>
      <c r="AMJ79" s="332"/>
      <c r="AMK79" s="332"/>
    </row>
    <row r="80" spans="2:1025" s="331" customFormat="1" ht="15.75" customHeight="1" thickTop="1" thickBot="1">
      <c r="B80" s="349"/>
      <c r="C80" s="350" t="s">
        <v>1687</v>
      </c>
      <c r="D80" s="352" t="s">
        <v>1830</v>
      </c>
      <c r="E80" s="352" t="s">
        <v>1831</v>
      </c>
      <c r="F80" s="351"/>
      <c r="G80" s="351" t="s">
        <v>1745</v>
      </c>
      <c r="H80" s="351"/>
      <c r="I80" s="351"/>
      <c r="J80" s="351"/>
      <c r="K80" s="351"/>
      <c r="L80" s="351"/>
      <c r="AMH80" s="332"/>
      <c r="AMI80" s="332"/>
      <c r="AMJ80" s="332"/>
      <c r="AMK80" s="332"/>
    </row>
    <row r="81" spans="2:1025" s="331" customFormat="1" ht="15.75" customHeight="1" thickTop="1" thickBot="1">
      <c r="B81" s="349"/>
      <c r="C81" s="350" t="s">
        <v>1690</v>
      </c>
      <c r="D81" s="352" t="s">
        <v>1832</v>
      </c>
      <c r="E81" s="352" t="s">
        <v>1833</v>
      </c>
      <c r="F81" s="351"/>
      <c r="G81" s="351" t="s">
        <v>1745</v>
      </c>
      <c r="H81" s="351"/>
      <c r="I81" s="351"/>
      <c r="J81" s="351"/>
      <c r="K81" s="351"/>
      <c r="L81" s="351"/>
      <c r="AMH81" s="332"/>
      <c r="AMI81" s="332"/>
      <c r="AMJ81" s="332"/>
      <c r="AMK81" s="332"/>
    </row>
    <row r="82" spans="2:1025" s="331" customFormat="1" ht="15.75" customHeight="1" thickTop="1" thickBot="1">
      <c r="B82" s="349"/>
      <c r="C82" s="350" t="s">
        <v>1693</v>
      </c>
      <c r="D82" s="352" t="s">
        <v>1834</v>
      </c>
      <c r="E82" s="352" t="s">
        <v>1835</v>
      </c>
      <c r="F82" s="351"/>
      <c r="G82" s="351" t="s">
        <v>1745</v>
      </c>
      <c r="H82" s="351"/>
      <c r="I82" s="351"/>
      <c r="J82" s="351"/>
      <c r="K82" s="351"/>
      <c r="L82" s="351"/>
      <c r="AMH82" s="332"/>
      <c r="AMI82" s="332"/>
      <c r="AMJ82" s="332"/>
      <c r="AMK82" s="332"/>
    </row>
    <row r="83" spans="2:1025" s="331" customFormat="1" ht="15.75" customHeight="1" thickTop="1" thickBot="1">
      <c r="B83" s="349"/>
      <c r="C83" s="350" t="s">
        <v>1696</v>
      </c>
      <c r="D83" s="352" t="s">
        <v>1836</v>
      </c>
      <c r="E83" s="352" t="s">
        <v>1837</v>
      </c>
      <c r="F83" s="351"/>
      <c r="G83" s="351" t="s">
        <v>1745</v>
      </c>
      <c r="H83" s="351"/>
      <c r="I83" s="351"/>
      <c r="J83" s="351"/>
      <c r="K83" s="351"/>
      <c r="L83" s="351"/>
      <c r="AMH83" s="332"/>
      <c r="AMI83" s="332"/>
      <c r="AMJ83" s="332"/>
      <c r="AMK83" s="332"/>
    </row>
    <row r="84" spans="2:1025" s="331" customFormat="1" ht="15.75" customHeight="1" thickTop="1" thickBot="1">
      <c r="B84" s="349"/>
      <c r="C84" s="350" t="s">
        <v>1699</v>
      </c>
      <c r="D84" s="352" t="s">
        <v>1838</v>
      </c>
      <c r="E84" s="352" t="s">
        <v>1839</v>
      </c>
      <c r="F84" s="351"/>
      <c r="G84" s="351" t="s">
        <v>1745</v>
      </c>
      <c r="H84" s="351"/>
      <c r="I84" s="351"/>
      <c r="J84" s="351"/>
      <c r="K84" s="351"/>
      <c r="L84" s="351"/>
      <c r="AMH84" s="332"/>
      <c r="AMI84" s="332"/>
      <c r="AMJ84" s="332"/>
      <c r="AMK84" s="332"/>
    </row>
    <row r="85" spans="2:1025" s="331" customFormat="1" ht="15.75" customHeight="1" thickTop="1" thickBot="1">
      <c r="B85" s="349"/>
      <c r="C85" s="350" t="s">
        <v>1702</v>
      </c>
      <c r="D85" s="352" t="s">
        <v>1840</v>
      </c>
      <c r="E85" s="352" t="s">
        <v>1841</v>
      </c>
      <c r="F85" s="351"/>
      <c r="G85" s="351" t="s">
        <v>1745</v>
      </c>
      <c r="H85" s="351"/>
      <c r="I85" s="351"/>
      <c r="J85" s="351"/>
      <c r="K85" s="351"/>
      <c r="L85" s="351"/>
      <c r="AMH85" s="332"/>
      <c r="AMI85" s="332"/>
      <c r="AMJ85" s="332"/>
      <c r="AMK85" s="332"/>
    </row>
    <row r="86" spans="2:1025" s="331" customFormat="1" ht="15.75" customHeight="1" thickTop="1" thickBot="1">
      <c r="B86" s="349"/>
      <c r="C86" s="350" t="s">
        <v>1705</v>
      </c>
      <c r="D86" s="352" t="s">
        <v>1842</v>
      </c>
      <c r="E86" s="352" t="s">
        <v>1843</v>
      </c>
      <c r="F86" s="351"/>
      <c r="G86" s="351" t="s">
        <v>1745</v>
      </c>
      <c r="H86" s="351"/>
      <c r="I86" s="351"/>
      <c r="J86" s="351"/>
      <c r="K86" s="351"/>
      <c r="L86" s="351"/>
      <c r="AMH86" s="332"/>
      <c r="AMI86" s="332"/>
      <c r="AMJ86" s="332"/>
      <c r="AMK86" s="332"/>
    </row>
    <row r="87" spans="2:1025" s="331" customFormat="1" ht="15.75" customHeight="1" thickTop="1" thickBot="1">
      <c r="B87" s="349"/>
      <c r="C87" s="350" t="s">
        <v>1708</v>
      </c>
      <c r="D87" s="352" t="s">
        <v>1844</v>
      </c>
      <c r="E87" s="352" t="s">
        <v>1845</v>
      </c>
      <c r="F87" s="351"/>
      <c r="G87" s="351" t="s">
        <v>1745</v>
      </c>
      <c r="H87" s="351"/>
      <c r="I87" s="351"/>
      <c r="J87" s="351"/>
      <c r="K87" s="351"/>
      <c r="L87" s="351"/>
      <c r="AMH87" s="332"/>
      <c r="AMI87" s="332"/>
      <c r="AMJ87" s="332"/>
      <c r="AMK87" s="332"/>
    </row>
    <row r="88" spans="2:1025" s="331" customFormat="1" ht="15.75" customHeight="1" thickTop="1" thickBot="1">
      <c r="B88" s="349"/>
      <c r="C88" s="350" t="s">
        <v>1711</v>
      </c>
      <c r="D88" s="352" t="s">
        <v>1846</v>
      </c>
      <c r="E88" s="352" t="s">
        <v>1847</v>
      </c>
      <c r="F88" s="351"/>
      <c r="G88" s="351" t="s">
        <v>1745</v>
      </c>
      <c r="H88" s="351"/>
      <c r="I88" s="351"/>
      <c r="J88" s="351"/>
      <c r="K88" s="351"/>
      <c r="L88" s="351"/>
      <c r="AMH88" s="332"/>
      <c r="AMI88" s="332"/>
      <c r="AMJ88" s="332"/>
      <c r="AMK88" s="332"/>
    </row>
    <row r="89" spans="2:1025" s="331" customFormat="1" ht="15.75" customHeight="1" thickTop="1" thickBot="1">
      <c r="B89" s="349"/>
      <c r="C89" s="350" t="s">
        <v>1714</v>
      </c>
      <c r="D89" s="352" t="s">
        <v>1848</v>
      </c>
      <c r="E89" s="352" t="s">
        <v>1849</v>
      </c>
      <c r="F89" s="351"/>
      <c r="G89" s="351" t="s">
        <v>1745</v>
      </c>
      <c r="H89" s="351"/>
      <c r="I89" s="351"/>
      <c r="J89" s="351"/>
      <c r="K89" s="351"/>
      <c r="L89" s="351"/>
      <c r="AMH89" s="332"/>
      <c r="AMI89" s="332"/>
      <c r="AMJ89" s="332"/>
      <c r="AMK89" s="332"/>
    </row>
    <row r="90" spans="2:1025" s="331" customFormat="1" ht="15.75" customHeight="1" thickTop="1" thickBot="1">
      <c r="B90" s="349"/>
      <c r="C90" s="350" t="s">
        <v>1717</v>
      </c>
      <c r="D90" s="352" t="s">
        <v>1850</v>
      </c>
      <c r="E90" s="352" t="s">
        <v>1851</v>
      </c>
      <c r="F90" s="351"/>
      <c r="G90" s="351" t="s">
        <v>1745</v>
      </c>
      <c r="H90" s="351"/>
      <c r="I90" s="351"/>
      <c r="J90" s="351"/>
      <c r="K90" s="351"/>
      <c r="L90" s="351"/>
      <c r="AMH90" s="332"/>
      <c r="AMI90" s="332"/>
      <c r="AMJ90" s="332"/>
      <c r="AMK90" s="332"/>
    </row>
    <row r="91" spans="2:1025" s="331" customFormat="1" ht="15.75" customHeight="1" thickTop="1" thickBot="1">
      <c r="B91" s="349"/>
      <c r="C91" s="350" t="s">
        <v>1720</v>
      </c>
      <c r="D91" s="352" t="s">
        <v>1852</v>
      </c>
      <c r="E91" s="352" t="s">
        <v>1853</v>
      </c>
      <c r="F91" s="351"/>
      <c r="G91" s="351" t="s">
        <v>1745</v>
      </c>
      <c r="H91" s="351"/>
      <c r="I91" s="351"/>
      <c r="J91" s="351"/>
      <c r="K91" s="351"/>
      <c r="L91" s="351"/>
      <c r="AMH91" s="332"/>
      <c r="AMI91" s="332"/>
      <c r="AMJ91" s="332"/>
      <c r="AMK91" s="332"/>
    </row>
    <row r="92" spans="2:1025" s="331" customFormat="1" ht="15.75" customHeight="1" thickTop="1" thickBot="1">
      <c r="B92" s="349"/>
      <c r="C92" s="350" t="s">
        <v>1723</v>
      </c>
      <c r="D92" s="352" t="s">
        <v>1854</v>
      </c>
      <c r="E92" s="352" t="s">
        <v>1855</v>
      </c>
      <c r="F92" s="351"/>
      <c r="G92" s="351" t="s">
        <v>1745</v>
      </c>
      <c r="H92" s="351"/>
      <c r="I92" s="351"/>
      <c r="J92" s="351"/>
      <c r="K92" s="351"/>
      <c r="L92" s="351"/>
      <c r="AMH92" s="332"/>
      <c r="AMI92" s="332"/>
      <c r="AMJ92" s="332"/>
      <c r="AMK92" s="332"/>
    </row>
    <row r="93" spans="2:1025" s="331" customFormat="1" ht="15.75" customHeight="1" thickTop="1" thickBot="1">
      <c r="B93" s="344" t="s">
        <v>1856</v>
      </c>
      <c r="C93" s="345"/>
      <c r="D93" s="346"/>
      <c r="E93" s="346"/>
      <c r="F93" s="347"/>
      <c r="G93" s="347"/>
      <c r="H93" s="347"/>
      <c r="I93" s="347"/>
      <c r="J93" s="347"/>
      <c r="K93" s="347"/>
      <c r="L93" s="348"/>
      <c r="AMH93" s="332"/>
      <c r="AMI93" s="332"/>
      <c r="AMJ93" s="332"/>
      <c r="AMK93" s="332"/>
    </row>
    <row r="94" spans="2:1025" s="331" customFormat="1" ht="15.75" customHeight="1" thickTop="1" thickBot="1">
      <c r="B94" s="349"/>
      <c r="C94" s="350" t="s">
        <v>1826</v>
      </c>
      <c r="D94" s="166" t="s">
        <v>6</v>
      </c>
      <c r="E94" s="166" t="s">
        <v>6</v>
      </c>
      <c r="F94" s="351"/>
      <c r="G94" s="351" t="s">
        <v>1681</v>
      </c>
      <c r="H94" s="351"/>
      <c r="I94" s="351"/>
      <c r="J94" s="351"/>
      <c r="K94" s="351"/>
      <c r="L94" s="351"/>
      <c r="AMH94" s="332"/>
      <c r="AMI94" s="332"/>
      <c r="AMJ94" s="332"/>
      <c r="AMK94" s="332"/>
    </row>
    <row r="95" spans="2:1025" s="331" customFormat="1" ht="15.75" customHeight="1" thickTop="1" thickBot="1">
      <c r="B95" s="349"/>
      <c r="C95" s="350" t="s">
        <v>1686</v>
      </c>
      <c r="D95" s="352" t="s">
        <v>1857</v>
      </c>
      <c r="E95" s="352" t="s">
        <v>1858</v>
      </c>
      <c r="F95" s="351"/>
      <c r="G95" s="351" t="s">
        <v>1745</v>
      </c>
      <c r="H95" s="351"/>
      <c r="I95" s="351"/>
      <c r="J95" s="351"/>
      <c r="K95" s="351"/>
      <c r="L95" s="351"/>
      <c r="AMH95" s="332"/>
      <c r="AMI95" s="332"/>
      <c r="AMJ95" s="332"/>
      <c r="AMK95" s="332"/>
    </row>
    <row r="96" spans="2:1025" s="331" customFormat="1" ht="15.75" customHeight="1" thickTop="1" thickBot="1">
      <c r="B96" s="349"/>
      <c r="C96" s="350" t="s">
        <v>1687</v>
      </c>
      <c r="D96" s="352" t="s">
        <v>1859</v>
      </c>
      <c r="E96" s="352" t="s">
        <v>1860</v>
      </c>
      <c r="F96" s="351"/>
      <c r="G96" s="351" t="s">
        <v>1745</v>
      </c>
      <c r="H96" s="351"/>
      <c r="I96" s="351"/>
      <c r="J96" s="351"/>
      <c r="K96" s="351"/>
      <c r="L96" s="351"/>
      <c r="AMH96" s="332"/>
      <c r="AMI96" s="332"/>
      <c r="AMJ96" s="332"/>
      <c r="AMK96" s="332"/>
    </row>
    <row r="97" spans="2:1025" s="331" customFormat="1" ht="15.75" customHeight="1" thickTop="1" thickBot="1">
      <c r="B97" s="349"/>
      <c r="C97" s="350" t="s">
        <v>1690</v>
      </c>
      <c r="D97" s="352" t="s">
        <v>1861</v>
      </c>
      <c r="E97" s="352" t="s">
        <v>1862</v>
      </c>
      <c r="F97" s="351"/>
      <c r="G97" s="351" t="s">
        <v>1745</v>
      </c>
      <c r="H97" s="351"/>
      <c r="I97" s="351"/>
      <c r="J97" s="351"/>
      <c r="K97" s="351"/>
      <c r="L97" s="351"/>
      <c r="AMH97" s="332"/>
      <c r="AMI97" s="332"/>
      <c r="AMJ97" s="332"/>
      <c r="AMK97" s="332"/>
    </row>
    <row r="98" spans="2:1025" s="331" customFormat="1" ht="15.75" customHeight="1" thickTop="1" thickBot="1">
      <c r="B98" s="349"/>
      <c r="C98" s="350" t="s">
        <v>1693</v>
      </c>
      <c r="D98" s="352" t="s">
        <v>1863</v>
      </c>
      <c r="E98" s="352" t="s">
        <v>1864</v>
      </c>
      <c r="F98" s="351"/>
      <c r="G98" s="351" t="s">
        <v>1745</v>
      </c>
      <c r="H98" s="351"/>
      <c r="I98" s="351"/>
      <c r="J98" s="351"/>
      <c r="K98" s="351"/>
      <c r="L98" s="351"/>
      <c r="AMH98" s="332"/>
      <c r="AMI98" s="332"/>
      <c r="AMJ98" s="332"/>
      <c r="AMK98" s="332"/>
    </row>
    <row r="99" spans="2:1025" s="331" customFormat="1" ht="15.75" customHeight="1" thickTop="1" thickBot="1">
      <c r="B99" s="349"/>
      <c r="C99" s="350" t="s">
        <v>1696</v>
      </c>
      <c r="D99" s="352" t="s">
        <v>1865</v>
      </c>
      <c r="E99" s="352" t="s">
        <v>1866</v>
      </c>
      <c r="F99" s="351"/>
      <c r="G99" s="351" t="s">
        <v>1745</v>
      </c>
      <c r="H99" s="351"/>
      <c r="I99" s="351"/>
      <c r="J99" s="351"/>
      <c r="K99" s="351"/>
      <c r="L99" s="351"/>
      <c r="AMH99" s="332"/>
      <c r="AMI99" s="332"/>
      <c r="AMJ99" s="332"/>
      <c r="AMK99" s="332"/>
    </row>
    <row r="100" spans="2:1025" s="331" customFormat="1" ht="15.75" customHeight="1" thickTop="1" thickBot="1">
      <c r="B100" s="349"/>
      <c r="C100" s="350" t="s">
        <v>1699</v>
      </c>
      <c r="D100" s="352" t="s">
        <v>1867</v>
      </c>
      <c r="E100" s="352" t="s">
        <v>1868</v>
      </c>
      <c r="F100" s="351"/>
      <c r="G100" s="351" t="s">
        <v>1745</v>
      </c>
      <c r="H100" s="351"/>
      <c r="I100" s="351"/>
      <c r="J100" s="351"/>
      <c r="K100" s="351"/>
      <c r="L100" s="351"/>
      <c r="AMH100" s="332"/>
      <c r="AMI100" s="332"/>
      <c r="AMJ100" s="332"/>
      <c r="AMK100" s="332"/>
    </row>
    <row r="101" spans="2:1025" s="331" customFormat="1" ht="15.75" customHeight="1" thickTop="1" thickBot="1">
      <c r="B101" s="349"/>
      <c r="C101" s="350" t="s">
        <v>1702</v>
      </c>
      <c r="D101" s="352" t="s">
        <v>1869</v>
      </c>
      <c r="E101" s="352" t="s">
        <v>1870</v>
      </c>
      <c r="F101" s="351"/>
      <c r="G101" s="351" t="s">
        <v>1745</v>
      </c>
      <c r="H101" s="351"/>
      <c r="I101" s="351"/>
      <c r="J101" s="351"/>
      <c r="K101" s="351"/>
      <c r="L101" s="351"/>
      <c r="AMH101" s="332"/>
      <c r="AMI101" s="332"/>
      <c r="AMJ101" s="332"/>
      <c r="AMK101" s="332"/>
    </row>
    <row r="102" spans="2:1025" s="331" customFormat="1" ht="15.75" customHeight="1" thickTop="1" thickBot="1">
      <c r="B102" s="349"/>
      <c r="C102" s="350" t="s">
        <v>1705</v>
      </c>
      <c r="D102" s="352" t="s">
        <v>1871</v>
      </c>
      <c r="E102" s="352" t="s">
        <v>1872</v>
      </c>
      <c r="F102" s="351"/>
      <c r="G102" s="351" t="s">
        <v>1745</v>
      </c>
      <c r="H102" s="351"/>
      <c r="I102" s="351"/>
      <c r="J102" s="351"/>
      <c r="K102" s="351"/>
      <c r="L102" s="351"/>
      <c r="AMH102" s="332"/>
      <c r="AMI102" s="332"/>
      <c r="AMJ102" s="332"/>
      <c r="AMK102" s="332"/>
    </row>
    <row r="103" spans="2:1025" s="331" customFormat="1" ht="15.75" customHeight="1" thickTop="1" thickBot="1">
      <c r="B103" s="349"/>
      <c r="C103" s="350" t="s">
        <v>1708</v>
      </c>
      <c r="D103" s="352" t="s">
        <v>1873</v>
      </c>
      <c r="E103" s="352" t="s">
        <v>1874</v>
      </c>
      <c r="F103" s="351"/>
      <c r="G103" s="351" t="s">
        <v>1745</v>
      </c>
      <c r="H103" s="351"/>
      <c r="I103" s="351"/>
      <c r="J103" s="351"/>
      <c r="K103" s="351"/>
      <c r="L103" s="351"/>
      <c r="AMH103" s="332"/>
      <c r="AMI103" s="332"/>
      <c r="AMJ103" s="332"/>
      <c r="AMK103" s="332"/>
    </row>
    <row r="104" spans="2:1025" s="331" customFormat="1" ht="15.75" customHeight="1" thickTop="1" thickBot="1">
      <c r="B104" s="349"/>
      <c r="C104" s="350" t="s">
        <v>1711</v>
      </c>
      <c r="D104" s="352" t="s">
        <v>1875</v>
      </c>
      <c r="E104" s="352" t="s">
        <v>1876</v>
      </c>
      <c r="F104" s="351"/>
      <c r="G104" s="351" t="s">
        <v>1745</v>
      </c>
      <c r="H104" s="351"/>
      <c r="I104" s="351"/>
      <c r="J104" s="351"/>
      <c r="K104" s="351"/>
      <c r="L104" s="351"/>
      <c r="AMH104" s="332"/>
      <c r="AMI104" s="332"/>
      <c r="AMJ104" s="332"/>
      <c r="AMK104" s="332"/>
    </row>
    <row r="105" spans="2:1025" s="331" customFormat="1" ht="15.75" customHeight="1" thickTop="1" thickBot="1">
      <c r="B105" s="349"/>
      <c r="C105" s="350" t="s">
        <v>1714</v>
      </c>
      <c r="D105" s="352" t="s">
        <v>1877</v>
      </c>
      <c r="E105" s="352" t="s">
        <v>1878</v>
      </c>
      <c r="F105" s="351"/>
      <c r="G105" s="351" t="s">
        <v>1745</v>
      </c>
      <c r="H105" s="351"/>
      <c r="I105" s="351"/>
      <c r="J105" s="351"/>
      <c r="K105" s="351"/>
      <c r="L105" s="351"/>
      <c r="AMH105" s="332"/>
      <c r="AMI105" s="332"/>
      <c r="AMJ105" s="332"/>
      <c r="AMK105" s="332"/>
    </row>
    <row r="106" spans="2:1025" s="331" customFormat="1" ht="15.75" customHeight="1" thickTop="1" thickBot="1">
      <c r="B106" s="349"/>
      <c r="C106" s="350" t="s">
        <v>1717</v>
      </c>
      <c r="D106" s="352" t="s">
        <v>1879</v>
      </c>
      <c r="E106" s="352" t="s">
        <v>1880</v>
      </c>
      <c r="F106" s="351"/>
      <c r="G106" s="351" t="s">
        <v>1745</v>
      </c>
      <c r="H106" s="351"/>
      <c r="I106" s="351"/>
      <c r="J106" s="351"/>
      <c r="K106" s="351"/>
      <c r="L106" s="351"/>
      <c r="AMH106" s="332"/>
      <c r="AMI106" s="332"/>
      <c r="AMJ106" s="332"/>
      <c r="AMK106" s="332"/>
    </row>
    <row r="107" spans="2:1025" s="331" customFormat="1" ht="15.75" customHeight="1" thickTop="1" thickBot="1">
      <c r="B107" s="349"/>
      <c r="C107" s="350" t="s">
        <v>1720</v>
      </c>
      <c r="D107" s="352" t="s">
        <v>1881</v>
      </c>
      <c r="E107" s="352" t="s">
        <v>1882</v>
      </c>
      <c r="F107" s="351"/>
      <c r="G107" s="351" t="s">
        <v>1745</v>
      </c>
      <c r="H107" s="351"/>
      <c r="I107" s="351"/>
      <c r="J107" s="351"/>
      <c r="K107" s="351"/>
      <c r="L107" s="351"/>
      <c r="AMH107" s="332"/>
      <c r="AMI107" s="332"/>
      <c r="AMJ107" s="332"/>
      <c r="AMK107" s="332"/>
    </row>
    <row r="108" spans="2:1025" s="331" customFormat="1" ht="15.75" customHeight="1" thickTop="1" thickBot="1">
      <c r="B108" s="354"/>
      <c r="C108" s="350" t="s">
        <v>1723</v>
      </c>
      <c r="D108" s="352" t="s">
        <v>1883</v>
      </c>
      <c r="E108" s="352" t="s">
        <v>1884</v>
      </c>
      <c r="F108" s="351"/>
      <c r="G108" s="351" t="s">
        <v>1745</v>
      </c>
      <c r="H108" s="351"/>
      <c r="I108" s="351"/>
      <c r="J108" s="351"/>
      <c r="K108" s="351"/>
      <c r="L108" s="351"/>
      <c r="AMH108" s="332"/>
      <c r="AMI108" s="332"/>
      <c r="AMJ108" s="332"/>
      <c r="AMK108" s="332"/>
    </row>
    <row r="109" spans="2:1025" s="331" customFormat="1" ht="15.75" customHeight="1" thickTop="1" thickBot="1">
      <c r="B109" s="344" t="s">
        <v>1885</v>
      </c>
      <c r="C109" s="345"/>
      <c r="D109" s="346"/>
      <c r="E109" s="346"/>
      <c r="F109" s="347"/>
      <c r="G109" s="347"/>
      <c r="H109" s="347"/>
      <c r="I109" s="347"/>
      <c r="J109" s="347"/>
      <c r="K109" s="347"/>
      <c r="L109" s="348"/>
      <c r="AMH109" s="332"/>
      <c r="AMI109" s="332"/>
      <c r="AMJ109" s="332"/>
      <c r="AMK109" s="332"/>
    </row>
    <row r="110" spans="2:1025" s="331" customFormat="1" ht="15.75" customHeight="1" thickTop="1" thickBot="1">
      <c r="B110" s="349"/>
      <c r="C110" s="350" t="s">
        <v>1678</v>
      </c>
      <c r="D110" s="166" t="s">
        <v>6</v>
      </c>
      <c r="E110" s="166" t="s">
        <v>6</v>
      </c>
      <c r="F110" s="351"/>
      <c r="G110" s="351" t="s">
        <v>1681</v>
      </c>
      <c r="H110" s="351"/>
      <c r="I110" s="351"/>
      <c r="J110" s="351"/>
      <c r="K110" s="351"/>
      <c r="L110" s="351"/>
      <c r="AMH110" s="332"/>
      <c r="AMI110" s="332"/>
      <c r="AMJ110" s="332"/>
      <c r="AMK110" s="332"/>
    </row>
    <row r="111" spans="2:1025" s="331" customFormat="1" ht="15.75" customHeight="1" thickTop="1" thickBot="1">
      <c r="B111" s="349"/>
      <c r="C111" s="350" t="s">
        <v>1682</v>
      </c>
      <c r="D111" s="352" t="s">
        <v>1886</v>
      </c>
      <c r="E111" s="352" t="s">
        <v>1887</v>
      </c>
      <c r="F111" s="351"/>
      <c r="G111" s="351" t="s">
        <v>1745</v>
      </c>
      <c r="H111" s="351"/>
      <c r="I111" s="351"/>
      <c r="J111" s="351"/>
      <c r="K111" s="351"/>
      <c r="L111" s="351"/>
      <c r="AMH111" s="332"/>
      <c r="AMI111" s="332"/>
      <c r="AMJ111" s="332"/>
      <c r="AMK111" s="332"/>
    </row>
    <row r="112" spans="2:1025" s="331" customFormat="1" ht="15.75" customHeight="1" thickTop="1" thickBot="1">
      <c r="B112" s="349"/>
      <c r="C112" s="350" t="s">
        <v>1686</v>
      </c>
      <c r="D112" s="352" t="s">
        <v>1888</v>
      </c>
      <c r="E112" s="352" t="s">
        <v>1889</v>
      </c>
      <c r="F112" s="351"/>
      <c r="G112" s="351" t="s">
        <v>1745</v>
      </c>
      <c r="H112" s="351"/>
      <c r="I112" s="351"/>
      <c r="J112" s="351"/>
      <c r="K112" s="351"/>
      <c r="L112" s="351"/>
      <c r="AMH112" s="332"/>
      <c r="AMI112" s="332"/>
      <c r="AMJ112" s="332"/>
      <c r="AMK112" s="332"/>
    </row>
    <row r="113" spans="2:1025" s="331" customFormat="1" ht="15.75" customHeight="1" thickTop="1" thickBot="1">
      <c r="B113" s="349"/>
      <c r="C113" s="350" t="s">
        <v>1687</v>
      </c>
      <c r="D113" s="352" t="s">
        <v>1890</v>
      </c>
      <c r="E113" s="352" t="s">
        <v>1891</v>
      </c>
      <c r="F113" s="351"/>
      <c r="G113" s="351" t="s">
        <v>1745</v>
      </c>
      <c r="H113" s="351"/>
      <c r="I113" s="351"/>
      <c r="J113" s="351"/>
      <c r="K113" s="351"/>
      <c r="L113" s="351"/>
      <c r="AMH113" s="332"/>
      <c r="AMI113" s="332"/>
      <c r="AMJ113" s="332"/>
      <c r="AMK113" s="332"/>
    </row>
    <row r="114" spans="2:1025" s="331" customFormat="1" ht="15.75" customHeight="1" thickTop="1" thickBot="1">
      <c r="B114" s="349"/>
      <c r="C114" s="350" t="s">
        <v>1690</v>
      </c>
      <c r="D114" s="352" t="s">
        <v>1892</v>
      </c>
      <c r="E114" s="352" t="s">
        <v>1893</v>
      </c>
      <c r="F114" s="351" t="s">
        <v>1745</v>
      </c>
      <c r="G114" s="351" t="s">
        <v>1745</v>
      </c>
      <c r="H114" s="351"/>
      <c r="I114" s="351"/>
      <c r="J114" s="351"/>
      <c r="K114" s="351"/>
      <c r="L114" s="351"/>
      <c r="AMH114" s="332"/>
      <c r="AMI114" s="332"/>
      <c r="AMJ114" s="332"/>
      <c r="AMK114" s="332"/>
    </row>
    <row r="115" spans="2:1025" s="331" customFormat="1" ht="15.75" customHeight="1" thickTop="1" thickBot="1">
      <c r="B115" s="349"/>
      <c r="C115" s="350" t="s">
        <v>1693</v>
      </c>
      <c r="D115" s="352" t="s">
        <v>1894</v>
      </c>
      <c r="E115" s="352" t="s">
        <v>1895</v>
      </c>
      <c r="F115" s="351"/>
      <c r="G115" s="351" t="s">
        <v>1745</v>
      </c>
      <c r="H115" s="351"/>
      <c r="I115" s="351"/>
      <c r="J115" s="351"/>
      <c r="K115" s="351"/>
      <c r="L115" s="351"/>
      <c r="AMH115" s="332"/>
      <c r="AMI115" s="332"/>
      <c r="AMJ115" s="332"/>
      <c r="AMK115" s="332"/>
    </row>
    <row r="116" spans="2:1025" s="331" customFormat="1" ht="15.75" customHeight="1" thickTop="1" thickBot="1">
      <c r="B116" s="349"/>
      <c r="C116" s="350" t="s">
        <v>1696</v>
      </c>
      <c r="D116" s="352" t="s">
        <v>1896</v>
      </c>
      <c r="E116" s="352" t="s">
        <v>1897</v>
      </c>
      <c r="F116" s="351"/>
      <c r="G116" s="351" t="s">
        <v>1745</v>
      </c>
      <c r="H116" s="351"/>
      <c r="I116" s="351"/>
      <c r="J116" s="351"/>
      <c r="K116" s="351"/>
      <c r="L116" s="351"/>
      <c r="AMH116" s="332"/>
      <c r="AMI116" s="332"/>
      <c r="AMJ116" s="332"/>
      <c r="AMK116" s="332"/>
    </row>
    <row r="117" spans="2:1025" s="331" customFormat="1" ht="15.75" customHeight="1" thickTop="1" thickBot="1">
      <c r="B117" s="349"/>
      <c r="C117" s="350" t="s">
        <v>1699</v>
      </c>
      <c r="D117" s="352" t="s">
        <v>1898</v>
      </c>
      <c r="E117" s="352" t="s">
        <v>1899</v>
      </c>
      <c r="F117" s="351"/>
      <c r="G117" s="351" t="s">
        <v>1745</v>
      </c>
      <c r="H117" s="351"/>
      <c r="I117" s="351"/>
      <c r="J117" s="351"/>
      <c r="K117" s="351"/>
      <c r="L117" s="351"/>
      <c r="AMH117" s="332"/>
      <c r="AMI117" s="332"/>
      <c r="AMJ117" s="332"/>
      <c r="AMK117" s="332"/>
    </row>
    <row r="118" spans="2:1025" s="331" customFormat="1" ht="15.75" customHeight="1" thickTop="1" thickBot="1">
      <c r="B118" s="349"/>
      <c r="C118" s="350" t="s">
        <v>1702</v>
      </c>
      <c r="D118" s="352" t="s">
        <v>1900</v>
      </c>
      <c r="E118" s="352" t="s">
        <v>1901</v>
      </c>
      <c r="F118" s="351"/>
      <c r="G118" s="351" t="s">
        <v>1745</v>
      </c>
      <c r="H118" s="351"/>
      <c r="I118" s="351"/>
      <c r="J118" s="351"/>
      <c r="K118" s="351"/>
      <c r="L118" s="351"/>
      <c r="AMH118" s="332"/>
      <c r="AMI118" s="332"/>
      <c r="AMJ118" s="332"/>
      <c r="AMK118" s="332"/>
    </row>
    <row r="119" spans="2:1025" s="331" customFormat="1" ht="15.75" customHeight="1" thickTop="1" thickBot="1">
      <c r="B119" s="349"/>
      <c r="C119" s="350" t="s">
        <v>1705</v>
      </c>
      <c r="D119" s="352" t="s">
        <v>1902</v>
      </c>
      <c r="E119" s="352" t="s">
        <v>1903</v>
      </c>
      <c r="F119" s="351"/>
      <c r="G119" s="351" t="s">
        <v>1745</v>
      </c>
      <c r="H119" s="351"/>
      <c r="I119" s="351"/>
      <c r="J119" s="351"/>
      <c r="K119" s="351"/>
      <c r="L119" s="351"/>
      <c r="AMH119" s="332"/>
      <c r="AMI119" s="332"/>
      <c r="AMJ119" s="332"/>
      <c r="AMK119" s="332"/>
    </row>
    <row r="120" spans="2:1025" s="331" customFormat="1" ht="15.75" customHeight="1" thickTop="1" thickBot="1">
      <c r="B120" s="349"/>
      <c r="C120" s="350" t="s">
        <v>1708</v>
      </c>
      <c r="D120" s="352" t="s">
        <v>1904</v>
      </c>
      <c r="E120" s="353" t="s">
        <v>1905</v>
      </c>
      <c r="F120" s="351"/>
      <c r="G120" s="351" t="s">
        <v>1745</v>
      </c>
      <c r="H120" s="351"/>
      <c r="I120" s="351"/>
      <c r="J120" s="351"/>
      <c r="K120" s="351"/>
      <c r="L120" s="351"/>
      <c r="AMH120" s="332"/>
      <c r="AMI120" s="332"/>
      <c r="AMJ120" s="332"/>
      <c r="AMK120" s="332"/>
    </row>
    <row r="121" spans="2:1025" s="331" customFormat="1" ht="15.75" customHeight="1" thickTop="1" thickBot="1">
      <c r="B121" s="349"/>
      <c r="C121" s="350" t="s">
        <v>1711</v>
      </c>
      <c r="D121" s="352" t="s">
        <v>1906</v>
      </c>
      <c r="E121" s="352" t="s">
        <v>1907</v>
      </c>
      <c r="F121" s="351"/>
      <c r="G121" s="351" t="s">
        <v>1745</v>
      </c>
      <c r="H121" s="351"/>
      <c r="I121" s="351"/>
      <c r="J121" s="351"/>
      <c r="K121" s="351"/>
      <c r="L121" s="351"/>
      <c r="AMH121" s="332"/>
      <c r="AMI121" s="332"/>
      <c r="AMJ121" s="332"/>
      <c r="AMK121" s="332"/>
    </row>
    <row r="122" spans="2:1025" s="331" customFormat="1" ht="15.75" customHeight="1" thickTop="1" thickBot="1">
      <c r="B122" s="349"/>
      <c r="C122" s="350" t="s">
        <v>1714</v>
      </c>
      <c r="D122" s="352" t="s">
        <v>1908</v>
      </c>
      <c r="E122" s="352" t="s">
        <v>1909</v>
      </c>
      <c r="F122" s="351"/>
      <c r="G122" s="351" t="s">
        <v>1745</v>
      </c>
      <c r="H122" s="351"/>
      <c r="I122" s="351"/>
      <c r="J122" s="351"/>
      <c r="K122" s="351"/>
      <c r="L122" s="351"/>
      <c r="AMH122" s="332"/>
      <c r="AMI122" s="332"/>
      <c r="AMJ122" s="332"/>
      <c r="AMK122" s="332"/>
    </row>
    <row r="123" spans="2:1025" s="331" customFormat="1" ht="15.75" customHeight="1" thickTop="1" thickBot="1">
      <c r="B123" s="349"/>
      <c r="C123" s="350" t="s">
        <v>1717</v>
      </c>
      <c r="D123" s="352" t="s">
        <v>1910</v>
      </c>
      <c r="E123" s="352" t="s">
        <v>1911</v>
      </c>
      <c r="F123" s="351"/>
      <c r="G123" s="351" t="s">
        <v>1745</v>
      </c>
      <c r="H123" s="351"/>
      <c r="I123" s="351"/>
      <c r="J123" s="351"/>
      <c r="K123" s="351"/>
      <c r="L123" s="351"/>
      <c r="AMH123" s="332"/>
      <c r="AMI123" s="332"/>
      <c r="AMJ123" s="332"/>
      <c r="AMK123" s="332"/>
    </row>
    <row r="124" spans="2:1025" s="331" customFormat="1" ht="15.75" customHeight="1" thickTop="1" thickBot="1">
      <c r="B124" s="349"/>
      <c r="C124" s="350" t="s">
        <v>1720</v>
      </c>
      <c r="D124" s="352" t="s">
        <v>1912</v>
      </c>
      <c r="E124" s="352" t="s">
        <v>1913</v>
      </c>
      <c r="F124" s="351"/>
      <c r="G124" s="351" t="s">
        <v>1745</v>
      </c>
      <c r="H124" s="351"/>
      <c r="I124" s="351"/>
      <c r="J124" s="351"/>
      <c r="K124" s="351"/>
      <c r="L124" s="351"/>
      <c r="AMH124" s="332"/>
      <c r="AMI124" s="332"/>
      <c r="AMJ124" s="332"/>
      <c r="AMK124" s="332"/>
    </row>
    <row r="125" spans="2:1025" s="331" customFormat="1" ht="15.75" customHeight="1" thickTop="1" thickBot="1">
      <c r="B125" s="354"/>
      <c r="C125" s="350" t="s">
        <v>1723</v>
      </c>
      <c r="D125" s="352" t="s">
        <v>1914</v>
      </c>
      <c r="E125" s="352" t="s">
        <v>1915</v>
      </c>
      <c r="F125" s="351"/>
      <c r="G125" s="351" t="s">
        <v>1745</v>
      </c>
      <c r="H125" s="351"/>
      <c r="I125" s="351"/>
      <c r="J125" s="351"/>
      <c r="K125" s="351"/>
      <c r="L125" s="351"/>
      <c r="AMH125" s="332"/>
      <c r="AMI125" s="332"/>
      <c r="AMJ125" s="332"/>
      <c r="AMK125" s="332"/>
    </row>
    <row r="126" spans="2:1025" s="331" customFormat="1" ht="15.75" customHeight="1" thickTop="1" thickBot="1">
      <c r="B126" s="344" t="s">
        <v>1916</v>
      </c>
      <c r="C126" s="345"/>
      <c r="D126" s="346"/>
      <c r="E126" s="346"/>
      <c r="F126" s="347"/>
      <c r="G126" s="347"/>
      <c r="H126" s="347"/>
      <c r="I126" s="347"/>
      <c r="J126" s="347"/>
      <c r="K126" s="347"/>
      <c r="L126" s="348"/>
      <c r="AMH126" s="332"/>
      <c r="AMI126" s="332"/>
      <c r="AMJ126" s="332"/>
      <c r="AMK126" s="332"/>
    </row>
    <row r="127" spans="2:1025" s="331" customFormat="1" ht="15.75" customHeight="1" thickTop="1" thickBot="1">
      <c r="B127" s="349"/>
      <c r="C127" s="350" t="s">
        <v>1678</v>
      </c>
      <c r="D127" s="352" t="s">
        <v>1917</v>
      </c>
      <c r="E127" s="352" t="s">
        <v>1918</v>
      </c>
      <c r="F127" s="351"/>
      <c r="G127" s="351" t="s">
        <v>1745</v>
      </c>
      <c r="H127" s="351"/>
      <c r="I127" s="351"/>
      <c r="J127" s="351"/>
      <c r="K127" s="351"/>
      <c r="L127" s="351"/>
      <c r="AMH127" s="332"/>
      <c r="AMI127" s="332"/>
      <c r="AMJ127" s="332"/>
      <c r="AMK127" s="332"/>
    </row>
    <row r="128" spans="2:1025" s="331" customFormat="1" ht="15.75" customHeight="1" thickTop="1" thickBot="1">
      <c r="B128" s="349"/>
      <c r="C128" s="350" t="s">
        <v>1682</v>
      </c>
      <c r="D128" s="352" t="s">
        <v>1919</v>
      </c>
      <c r="E128" s="352" t="s">
        <v>1920</v>
      </c>
      <c r="F128" s="351"/>
      <c r="G128" s="351" t="s">
        <v>1745</v>
      </c>
      <c r="H128" s="351"/>
      <c r="I128" s="351"/>
      <c r="J128" s="351"/>
      <c r="K128" s="351"/>
      <c r="L128" s="351"/>
      <c r="AMH128" s="332"/>
      <c r="AMI128" s="332"/>
      <c r="AMJ128" s="332"/>
      <c r="AMK128" s="332"/>
    </row>
    <row r="129" spans="2:1025" s="331" customFormat="1" ht="15.75" customHeight="1" thickTop="1" thickBot="1">
      <c r="B129" s="349"/>
      <c r="C129" s="350" t="s">
        <v>1686</v>
      </c>
      <c r="D129" s="352" t="s">
        <v>1921</v>
      </c>
      <c r="E129" s="352" t="s">
        <v>1922</v>
      </c>
      <c r="F129" s="351"/>
      <c r="G129" s="351" t="s">
        <v>1745</v>
      </c>
      <c r="H129" s="351"/>
      <c r="I129" s="351"/>
      <c r="J129" s="351"/>
      <c r="K129" s="351"/>
      <c r="L129" s="351"/>
      <c r="AMH129" s="332"/>
      <c r="AMI129" s="332"/>
      <c r="AMJ129" s="332"/>
      <c r="AMK129" s="332"/>
    </row>
    <row r="130" spans="2:1025" s="331" customFormat="1" ht="15.75" customHeight="1" thickTop="1" thickBot="1">
      <c r="B130" s="349"/>
      <c r="C130" s="350" t="s">
        <v>1687</v>
      </c>
      <c r="D130" s="352" t="s">
        <v>1923</v>
      </c>
      <c r="E130" s="352" t="s">
        <v>1924</v>
      </c>
      <c r="F130" s="351"/>
      <c r="G130" s="351" t="s">
        <v>1745</v>
      </c>
      <c r="H130" s="351"/>
      <c r="I130" s="351"/>
      <c r="J130" s="351"/>
      <c r="K130" s="351"/>
      <c r="L130" s="351"/>
      <c r="AMH130" s="332"/>
      <c r="AMI130" s="332"/>
      <c r="AMJ130" s="332"/>
      <c r="AMK130" s="332"/>
    </row>
    <row r="131" spans="2:1025" s="331" customFormat="1" ht="15.75" customHeight="1" thickTop="1" thickBot="1">
      <c r="B131" s="349"/>
      <c r="C131" s="350" t="s">
        <v>1690</v>
      </c>
      <c r="D131" s="352" t="s">
        <v>1925</v>
      </c>
      <c r="E131" s="352" t="s">
        <v>1926</v>
      </c>
      <c r="F131" s="351"/>
      <c r="G131" s="351" t="s">
        <v>1745</v>
      </c>
      <c r="H131" s="351"/>
      <c r="I131" s="351"/>
      <c r="J131" s="351"/>
      <c r="K131" s="351"/>
      <c r="L131" s="351"/>
      <c r="AMH131" s="332"/>
      <c r="AMI131" s="332"/>
      <c r="AMJ131" s="332"/>
      <c r="AMK131" s="332"/>
    </row>
    <row r="132" spans="2:1025" s="331" customFormat="1" ht="15.75" customHeight="1" thickTop="1" thickBot="1">
      <c r="B132" s="349"/>
      <c r="C132" s="350" t="s">
        <v>1693</v>
      </c>
      <c r="D132" s="352" t="s">
        <v>1927</v>
      </c>
      <c r="E132" s="352" t="s">
        <v>1928</v>
      </c>
      <c r="F132" s="351"/>
      <c r="G132" s="351" t="s">
        <v>1745</v>
      </c>
      <c r="H132" s="351"/>
      <c r="I132" s="351"/>
      <c r="J132" s="351"/>
      <c r="K132" s="351"/>
      <c r="L132" s="351"/>
      <c r="AMH132" s="332"/>
      <c r="AMI132" s="332"/>
      <c r="AMJ132" s="332"/>
      <c r="AMK132" s="332"/>
    </row>
    <row r="133" spans="2:1025" s="331" customFormat="1" ht="15.75" customHeight="1" thickTop="1" thickBot="1">
      <c r="B133" s="349"/>
      <c r="C133" s="350" t="s">
        <v>1696</v>
      </c>
      <c r="D133" s="352" t="s">
        <v>1929</v>
      </c>
      <c r="E133" s="352" t="s">
        <v>1930</v>
      </c>
      <c r="F133" s="351"/>
      <c r="G133" s="351" t="s">
        <v>1745</v>
      </c>
      <c r="H133" s="351"/>
      <c r="I133" s="351"/>
      <c r="J133" s="351"/>
      <c r="K133" s="351"/>
      <c r="L133" s="351"/>
      <c r="AMH133" s="332"/>
      <c r="AMI133" s="332"/>
      <c r="AMJ133" s="332"/>
      <c r="AMK133" s="332"/>
    </row>
    <row r="134" spans="2:1025" s="331" customFormat="1" ht="15.75" customHeight="1" thickTop="1" thickBot="1">
      <c r="B134" s="349"/>
      <c r="C134" s="350" t="s">
        <v>1699</v>
      </c>
      <c r="D134" s="352" t="s">
        <v>1931</v>
      </c>
      <c r="E134" s="352" t="s">
        <v>1932</v>
      </c>
      <c r="F134" s="351"/>
      <c r="G134" s="351" t="s">
        <v>1745</v>
      </c>
      <c r="H134" s="351"/>
      <c r="I134" s="351"/>
      <c r="J134" s="351"/>
      <c r="K134" s="351"/>
      <c r="L134" s="351"/>
      <c r="AMH134" s="332"/>
      <c r="AMI134" s="332"/>
      <c r="AMJ134" s="332"/>
      <c r="AMK134" s="332"/>
    </row>
    <row r="135" spans="2:1025" s="331" customFormat="1" ht="15.75" customHeight="1" thickTop="1" thickBot="1">
      <c r="B135" s="349"/>
      <c r="C135" s="350" t="s">
        <v>1702</v>
      </c>
      <c r="D135" s="352" t="s">
        <v>1933</v>
      </c>
      <c r="E135" s="352" t="s">
        <v>1934</v>
      </c>
      <c r="F135" s="351"/>
      <c r="G135" s="351" t="s">
        <v>1745</v>
      </c>
      <c r="H135" s="351"/>
      <c r="I135" s="351"/>
      <c r="J135" s="351"/>
      <c r="K135" s="351"/>
      <c r="L135" s="351"/>
      <c r="AMH135" s="332"/>
      <c r="AMI135" s="332"/>
      <c r="AMJ135" s="332"/>
      <c r="AMK135" s="332"/>
    </row>
    <row r="136" spans="2:1025" s="331" customFormat="1" ht="15.75" customHeight="1" thickTop="1" thickBot="1">
      <c r="B136" s="349"/>
      <c r="C136" s="350" t="s">
        <v>1705</v>
      </c>
      <c r="D136" s="352" t="s">
        <v>1935</v>
      </c>
      <c r="E136" s="352" t="s">
        <v>1936</v>
      </c>
      <c r="F136" s="351"/>
      <c r="G136" s="351" t="s">
        <v>1745</v>
      </c>
      <c r="H136" s="351"/>
      <c r="I136" s="351"/>
      <c r="J136" s="351"/>
      <c r="K136" s="351"/>
      <c r="L136" s="351"/>
      <c r="AMH136" s="332"/>
      <c r="AMI136" s="332"/>
      <c r="AMJ136" s="332"/>
      <c r="AMK136" s="332"/>
    </row>
    <row r="137" spans="2:1025" s="331" customFormat="1" ht="15.75" customHeight="1" thickTop="1" thickBot="1">
      <c r="B137" s="349"/>
      <c r="C137" s="350" t="s">
        <v>1708</v>
      </c>
      <c r="D137" s="352" t="s">
        <v>1937</v>
      </c>
      <c r="E137" s="353" t="s">
        <v>1938</v>
      </c>
      <c r="F137" s="351"/>
      <c r="G137" s="351" t="s">
        <v>1745</v>
      </c>
      <c r="H137" s="351"/>
      <c r="I137" s="351"/>
      <c r="J137" s="351"/>
      <c r="K137" s="351"/>
      <c r="L137" s="351"/>
      <c r="AMH137" s="332"/>
      <c r="AMI137" s="332"/>
      <c r="AMJ137" s="332"/>
      <c r="AMK137" s="332"/>
    </row>
    <row r="138" spans="2:1025" s="331" customFormat="1" ht="15.75" customHeight="1" thickTop="1" thickBot="1">
      <c r="B138" s="349"/>
      <c r="C138" s="350" t="s">
        <v>1711</v>
      </c>
      <c r="D138" s="352" t="s">
        <v>1939</v>
      </c>
      <c r="E138" s="352" t="s">
        <v>1940</v>
      </c>
      <c r="F138" s="351"/>
      <c r="G138" s="351" t="s">
        <v>1745</v>
      </c>
      <c r="H138" s="351"/>
      <c r="I138" s="351"/>
      <c r="J138" s="351"/>
      <c r="K138" s="351"/>
      <c r="L138" s="351"/>
      <c r="AMH138" s="332"/>
      <c r="AMI138" s="332"/>
      <c r="AMJ138" s="332"/>
      <c r="AMK138" s="332"/>
    </row>
    <row r="139" spans="2:1025" s="331" customFormat="1" ht="15.75" customHeight="1" thickTop="1" thickBot="1">
      <c r="B139" s="349"/>
      <c r="C139" s="350" t="s">
        <v>1714</v>
      </c>
      <c r="D139" s="376" t="s">
        <v>2558</v>
      </c>
      <c r="E139" s="376" t="s">
        <v>2559</v>
      </c>
      <c r="F139" s="351"/>
      <c r="G139" s="351" t="s">
        <v>1745</v>
      </c>
      <c r="H139" s="351"/>
      <c r="I139" s="351"/>
      <c r="J139" s="351"/>
      <c r="K139" s="351"/>
      <c r="L139" s="377" t="s">
        <v>2560</v>
      </c>
      <c r="AMH139" s="332"/>
      <c r="AMI139" s="332"/>
      <c r="AMJ139" s="332"/>
      <c r="AMK139" s="332"/>
    </row>
    <row r="140" spans="2:1025" s="331" customFormat="1" ht="15.75" customHeight="1" thickTop="1" thickBot="1">
      <c r="B140" s="349"/>
      <c r="C140" s="350" t="s">
        <v>1717</v>
      </c>
      <c r="D140" s="352" t="s">
        <v>1943</v>
      </c>
      <c r="E140" s="352" t="s">
        <v>1944</v>
      </c>
      <c r="F140" s="351"/>
      <c r="G140" s="351" t="s">
        <v>1745</v>
      </c>
      <c r="H140" s="351"/>
      <c r="I140" s="351"/>
      <c r="J140" s="351"/>
      <c r="K140" s="351"/>
      <c r="L140" s="351"/>
      <c r="AMH140" s="332"/>
      <c r="AMI140" s="332"/>
      <c r="AMJ140" s="332"/>
      <c r="AMK140" s="332"/>
    </row>
    <row r="141" spans="2:1025" s="331" customFormat="1" ht="15.75" customHeight="1" thickTop="1" thickBot="1">
      <c r="B141" s="349"/>
      <c r="C141" s="350" t="s">
        <v>1720</v>
      </c>
      <c r="D141" s="352" t="s">
        <v>1945</v>
      </c>
      <c r="E141" s="352" t="s">
        <v>1946</v>
      </c>
      <c r="F141" s="351"/>
      <c r="G141" s="351" t="s">
        <v>1745</v>
      </c>
      <c r="H141" s="351"/>
      <c r="I141" s="351"/>
      <c r="J141" s="351"/>
      <c r="K141" s="351"/>
      <c r="L141" s="351"/>
      <c r="AMH141" s="332"/>
      <c r="AMI141" s="332"/>
      <c r="AMJ141" s="332"/>
      <c r="AMK141" s="332"/>
    </row>
    <row r="142" spans="2:1025" s="331" customFormat="1" ht="15.75" customHeight="1" thickTop="1" thickBot="1">
      <c r="B142" s="354"/>
      <c r="C142" s="350" t="s">
        <v>1723</v>
      </c>
      <c r="D142" s="352" t="s">
        <v>1947</v>
      </c>
      <c r="E142" s="352" t="s">
        <v>1948</v>
      </c>
      <c r="F142" s="351"/>
      <c r="G142" s="351" t="s">
        <v>1745</v>
      </c>
      <c r="H142" s="351"/>
      <c r="I142" s="351"/>
      <c r="J142" s="351"/>
      <c r="K142" s="351"/>
      <c r="L142" s="351"/>
      <c r="AMH142" s="332"/>
      <c r="AMI142" s="332"/>
      <c r="AMJ142" s="332"/>
      <c r="AMK142" s="332"/>
    </row>
    <row r="143" spans="2:1025" s="331" customFormat="1" ht="15.75" customHeight="1" thickTop="1" thickBot="1">
      <c r="B143" s="344" t="s">
        <v>1949</v>
      </c>
      <c r="C143" s="345"/>
      <c r="D143" s="346"/>
      <c r="E143" s="346"/>
      <c r="F143" s="347"/>
      <c r="G143" s="347"/>
      <c r="H143" s="347"/>
      <c r="I143" s="347"/>
      <c r="J143" s="347"/>
      <c r="K143" s="347"/>
      <c r="L143" s="348"/>
      <c r="AMH143" s="332"/>
      <c r="AMI143" s="332"/>
      <c r="AMJ143" s="332"/>
      <c r="AMK143" s="332"/>
    </row>
    <row r="144" spans="2:1025" s="331" customFormat="1" ht="15.75" customHeight="1" thickTop="1" thickBot="1">
      <c r="B144" s="349"/>
      <c r="C144" s="350" t="s">
        <v>1678</v>
      </c>
      <c r="D144" s="166" t="s">
        <v>6</v>
      </c>
      <c r="E144" s="166" t="s">
        <v>6</v>
      </c>
      <c r="F144" s="351"/>
      <c r="G144" s="351" t="s">
        <v>1681</v>
      </c>
      <c r="H144" s="351"/>
      <c r="I144" s="351"/>
      <c r="J144" s="351"/>
      <c r="K144" s="351"/>
      <c r="L144" s="351"/>
      <c r="AMH144" s="332"/>
      <c r="AMI144" s="332"/>
      <c r="AMJ144" s="332"/>
      <c r="AMK144" s="332"/>
    </row>
    <row r="145" spans="2:1025" s="331" customFormat="1" ht="15.75" customHeight="1" thickTop="1" thickBot="1">
      <c r="B145" s="349"/>
      <c r="C145" s="350" t="s">
        <v>1682</v>
      </c>
      <c r="D145" s="352" t="s">
        <v>1950</v>
      </c>
      <c r="E145" s="352" t="s">
        <v>1951</v>
      </c>
      <c r="F145" s="351"/>
      <c r="G145" s="351" t="s">
        <v>1745</v>
      </c>
      <c r="H145" s="351"/>
      <c r="I145" s="351"/>
      <c r="J145" s="351"/>
      <c r="K145" s="351"/>
      <c r="L145" s="351"/>
      <c r="AMH145" s="332"/>
      <c r="AMI145" s="332"/>
      <c r="AMJ145" s="332"/>
      <c r="AMK145" s="332"/>
    </row>
    <row r="146" spans="2:1025" s="331" customFormat="1" ht="15.75" customHeight="1" thickTop="1" thickBot="1">
      <c r="B146" s="349"/>
      <c r="C146" s="350" t="s">
        <v>1686</v>
      </c>
      <c r="D146" s="352" t="s">
        <v>1952</v>
      </c>
      <c r="E146" s="352" t="s">
        <v>1953</v>
      </c>
      <c r="F146" s="351"/>
      <c r="G146" s="351" t="s">
        <v>1745</v>
      </c>
      <c r="H146" s="351"/>
      <c r="I146" s="351"/>
      <c r="J146" s="351"/>
      <c r="K146" s="351"/>
      <c r="L146" s="351"/>
      <c r="AMH146" s="332"/>
      <c r="AMI146" s="332"/>
      <c r="AMJ146" s="332"/>
      <c r="AMK146" s="332"/>
    </row>
    <row r="147" spans="2:1025" s="331" customFormat="1" ht="15.75" customHeight="1" thickTop="1" thickBot="1">
      <c r="B147" s="349"/>
      <c r="C147" s="350" t="s">
        <v>1687</v>
      </c>
      <c r="D147" s="352" t="s">
        <v>1954</v>
      </c>
      <c r="E147" s="352" t="s">
        <v>1955</v>
      </c>
      <c r="F147" s="351"/>
      <c r="G147" s="351" t="s">
        <v>1745</v>
      </c>
      <c r="H147" s="351"/>
      <c r="I147" s="351"/>
      <c r="J147" s="351"/>
      <c r="K147" s="351"/>
      <c r="L147" s="351"/>
      <c r="AMH147" s="332"/>
      <c r="AMI147" s="332"/>
      <c r="AMJ147" s="332"/>
      <c r="AMK147" s="332"/>
    </row>
    <row r="148" spans="2:1025" s="331" customFormat="1" ht="15.75" customHeight="1" thickTop="1" thickBot="1">
      <c r="B148" s="349"/>
      <c r="C148" s="350" t="s">
        <v>1690</v>
      </c>
      <c r="D148" s="352" t="s">
        <v>1956</v>
      </c>
      <c r="E148" s="352" t="s">
        <v>1957</v>
      </c>
      <c r="F148" s="351"/>
      <c r="G148" s="351" t="s">
        <v>1745</v>
      </c>
      <c r="H148" s="351"/>
      <c r="I148" s="351"/>
      <c r="J148" s="351"/>
      <c r="K148" s="351"/>
      <c r="L148" s="351"/>
      <c r="AMH148" s="332"/>
      <c r="AMI148" s="332"/>
      <c r="AMJ148" s="332"/>
      <c r="AMK148" s="332"/>
    </row>
    <row r="149" spans="2:1025" s="331" customFormat="1" ht="15.75" customHeight="1" thickTop="1" thickBot="1">
      <c r="B149" s="349"/>
      <c r="C149" s="350" t="s">
        <v>1693</v>
      </c>
      <c r="D149" s="352" t="s">
        <v>1958</v>
      </c>
      <c r="E149" s="352" t="s">
        <v>1959</v>
      </c>
      <c r="F149" s="351"/>
      <c r="G149" s="351" t="s">
        <v>1745</v>
      </c>
      <c r="H149" s="351"/>
      <c r="I149" s="351"/>
      <c r="J149" s="351"/>
      <c r="K149" s="351"/>
      <c r="L149" s="351"/>
      <c r="AMH149" s="332"/>
      <c r="AMI149" s="332"/>
      <c r="AMJ149" s="332"/>
      <c r="AMK149" s="332"/>
    </row>
    <row r="150" spans="2:1025" s="331" customFormat="1" ht="15.75" customHeight="1" thickTop="1" thickBot="1">
      <c r="B150" s="349"/>
      <c r="C150" s="350" t="s">
        <v>1696</v>
      </c>
      <c r="D150" s="352" t="s">
        <v>1960</v>
      </c>
      <c r="E150" s="352" t="s">
        <v>1961</v>
      </c>
      <c r="F150" s="351"/>
      <c r="G150" s="351" t="s">
        <v>1745</v>
      </c>
      <c r="H150" s="351"/>
      <c r="I150" s="351"/>
      <c r="J150" s="351"/>
      <c r="K150" s="351"/>
      <c r="L150" s="351"/>
      <c r="AMH150" s="332"/>
      <c r="AMI150" s="332"/>
      <c r="AMJ150" s="332"/>
      <c r="AMK150" s="332"/>
    </row>
    <row r="151" spans="2:1025" s="331" customFormat="1" ht="15.75" customHeight="1" thickTop="1" thickBot="1">
      <c r="B151" s="349"/>
      <c r="C151" s="350" t="s">
        <v>1699</v>
      </c>
      <c r="D151" s="352" t="s">
        <v>1962</v>
      </c>
      <c r="E151" s="352" t="s">
        <v>1963</v>
      </c>
      <c r="F151" s="351"/>
      <c r="G151" s="351" t="s">
        <v>1745</v>
      </c>
      <c r="H151" s="351"/>
      <c r="I151" s="351"/>
      <c r="J151" s="351"/>
      <c r="K151" s="351"/>
      <c r="L151" s="351"/>
      <c r="AMH151" s="332"/>
      <c r="AMI151" s="332"/>
      <c r="AMJ151" s="332"/>
      <c r="AMK151" s="332"/>
    </row>
    <row r="152" spans="2:1025" s="331" customFormat="1" ht="15.75" customHeight="1" thickTop="1" thickBot="1">
      <c r="B152" s="349"/>
      <c r="C152" s="350" t="s">
        <v>1702</v>
      </c>
      <c r="D152" s="352" t="s">
        <v>1964</v>
      </c>
      <c r="E152" s="352" t="s">
        <v>1965</v>
      </c>
      <c r="F152" s="351"/>
      <c r="G152" s="351" t="s">
        <v>1745</v>
      </c>
      <c r="H152" s="351"/>
      <c r="I152" s="351"/>
      <c r="J152" s="351"/>
      <c r="K152" s="351"/>
      <c r="L152" s="351"/>
      <c r="AMH152" s="332"/>
      <c r="AMI152" s="332"/>
      <c r="AMJ152" s="332"/>
      <c r="AMK152" s="332"/>
    </row>
    <row r="153" spans="2:1025" s="331" customFormat="1" ht="15.75" customHeight="1" thickTop="1" thickBot="1">
      <c r="B153" s="349"/>
      <c r="C153" s="350" t="s">
        <v>1705</v>
      </c>
      <c r="D153" s="352" t="s">
        <v>1966</v>
      </c>
      <c r="E153" s="352" t="s">
        <v>1967</v>
      </c>
      <c r="F153" s="351"/>
      <c r="G153" s="351" t="s">
        <v>1745</v>
      </c>
      <c r="H153" s="351"/>
      <c r="I153" s="351"/>
      <c r="J153" s="351"/>
      <c r="K153" s="351"/>
      <c r="L153" s="351"/>
      <c r="AMH153" s="332"/>
      <c r="AMI153" s="332"/>
      <c r="AMJ153" s="332"/>
      <c r="AMK153" s="332"/>
    </row>
    <row r="154" spans="2:1025" s="331" customFormat="1" ht="15.75" customHeight="1" thickTop="1" thickBot="1">
      <c r="B154" s="349"/>
      <c r="C154" s="350" t="s">
        <v>1708</v>
      </c>
      <c r="D154" s="352" t="s">
        <v>1968</v>
      </c>
      <c r="E154" s="353" t="s">
        <v>1969</v>
      </c>
      <c r="F154" s="351"/>
      <c r="G154" s="351" t="s">
        <v>1745</v>
      </c>
      <c r="H154" s="351"/>
      <c r="I154" s="351"/>
      <c r="J154" s="351"/>
      <c r="K154" s="351"/>
      <c r="L154" s="351"/>
      <c r="AMH154" s="332"/>
      <c r="AMI154" s="332"/>
      <c r="AMJ154" s="332"/>
      <c r="AMK154" s="332"/>
    </row>
    <row r="155" spans="2:1025" s="331" customFormat="1" ht="15.75" customHeight="1" thickTop="1" thickBot="1">
      <c r="B155" s="349"/>
      <c r="C155" s="350" t="s">
        <v>1711</v>
      </c>
      <c r="D155" s="352" t="s">
        <v>1970</v>
      </c>
      <c r="E155" s="352" t="s">
        <v>1971</v>
      </c>
      <c r="F155" s="351"/>
      <c r="G155" s="351" t="s">
        <v>1745</v>
      </c>
      <c r="H155" s="351"/>
      <c r="I155" s="351"/>
      <c r="J155" s="351"/>
      <c r="K155" s="351"/>
      <c r="L155" s="351"/>
      <c r="AMH155" s="332"/>
      <c r="AMI155" s="332"/>
      <c r="AMJ155" s="332"/>
      <c r="AMK155" s="332"/>
    </row>
    <row r="156" spans="2:1025" s="331" customFormat="1" ht="15.75" customHeight="1" thickTop="1" thickBot="1">
      <c r="B156" s="349"/>
      <c r="C156" s="350" t="s">
        <v>1714</v>
      </c>
      <c r="D156" s="352" t="s">
        <v>1972</v>
      </c>
      <c r="E156" s="352" t="s">
        <v>1973</v>
      </c>
      <c r="F156" s="351"/>
      <c r="G156" s="351" t="s">
        <v>1745</v>
      </c>
      <c r="H156" s="351"/>
      <c r="I156" s="351"/>
      <c r="J156" s="351"/>
      <c r="K156" s="351"/>
      <c r="L156" s="351"/>
      <c r="AMH156" s="332"/>
      <c r="AMI156" s="332"/>
      <c r="AMJ156" s="332"/>
      <c r="AMK156" s="332"/>
    </row>
    <row r="157" spans="2:1025" s="331" customFormat="1" ht="15.75" customHeight="1" thickTop="1" thickBot="1">
      <c r="B157" s="349"/>
      <c r="C157" s="350" t="s">
        <v>1717</v>
      </c>
      <c r="D157" s="352" t="s">
        <v>1974</v>
      </c>
      <c r="E157" s="352" t="s">
        <v>1975</v>
      </c>
      <c r="F157" s="351"/>
      <c r="G157" s="351" t="s">
        <v>1745</v>
      </c>
      <c r="H157" s="351"/>
      <c r="I157" s="351"/>
      <c r="J157" s="351"/>
      <c r="K157" s="351"/>
      <c r="L157" s="351"/>
      <c r="AMH157" s="332"/>
      <c r="AMI157" s="332"/>
      <c r="AMJ157" s="332"/>
      <c r="AMK157" s="332"/>
    </row>
    <row r="158" spans="2:1025" s="331" customFormat="1" ht="15.75" customHeight="1" thickTop="1" thickBot="1">
      <c r="B158" s="349"/>
      <c r="C158" s="350" t="s">
        <v>1720</v>
      </c>
      <c r="D158" s="352" t="s">
        <v>1976</v>
      </c>
      <c r="E158" s="352" t="s">
        <v>1977</v>
      </c>
      <c r="F158" s="351"/>
      <c r="G158" s="351" t="s">
        <v>1745</v>
      </c>
      <c r="H158" s="351"/>
      <c r="I158" s="351"/>
      <c r="J158" s="351"/>
      <c r="K158" s="351"/>
      <c r="L158" s="351"/>
      <c r="AMH158" s="332"/>
      <c r="AMI158" s="332"/>
      <c r="AMJ158" s="332"/>
      <c r="AMK158" s="332"/>
    </row>
    <row r="159" spans="2:1025" s="331" customFormat="1" ht="15.75" customHeight="1" thickTop="1" thickBot="1">
      <c r="B159" s="354"/>
      <c r="C159" s="350" t="s">
        <v>1723</v>
      </c>
      <c r="D159" s="352" t="s">
        <v>1978</v>
      </c>
      <c r="E159" s="352" t="s">
        <v>1979</v>
      </c>
      <c r="F159" s="351"/>
      <c r="G159" s="351" t="s">
        <v>1745</v>
      </c>
      <c r="H159" s="351"/>
      <c r="I159" s="351"/>
      <c r="J159" s="351"/>
      <c r="K159" s="351"/>
      <c r="L159" s="351"/>
      <c r="AMH159" s="332"/>
      <c r="AMI159" s="332"/>
      <c r="AMJ159" s="332"/>
      <c r="AMK159" s="332"/>
    </row>
    <row r="160" spans="2:1025" s="331" customFormat="1" ht="15.75" customHeight="1" thickTop="1" thickBot="1">
      <c r="B160" s="344" t="s">
        <v>1980</v>
      </c>
      <c r="C160" s="345"/>
      <c r="D160" s="346"/>
      <c r="E160" s="346"/>
      <c r="F160" s="347"/>
      <c r="G160" s="347"/>
      <c r="H160" s="347"/>
      <c r="I160" s="347"/>
      <c r="J160" s="347"/>
      <c r="K160" s="347"/>
      <c r="L160" s="348"/>
      <c r="AMH160" s="332"/>
      <c r="AMI160" s="332"/>
      <c r="AMJ160" s="332"/>
      <c r="AMK160" s="332"/>
    </row>
    <row r="161" spans="2:1025" s="331" customFormat="1" ht="15.75" customHeight="1" thickTop="1" thickBot="1">
      <c r="B161" s="349"/>
      <c r="C161" s="350" t="s">
        <v>1826</v>
      </c>
      <c r="D161" s="166" t="s">
        <v>6</v>
      </c>
      <c r="E161" s="166" t="s">
        <v>6</v>
      </c>
      <c r="F161" s="351"/>
      <c r="G161" s="351" t="s">
        <v>1681</v>
      </c>
      <c r="H161" s="351"/>
      <c r="I161" s="351"/>
      <c r="J161" s="351"/>
      <c r="K161" s="351"/>
      <c r="L161" s="351"/>
      <c r="AMH161" s="332"/>
      <c r="AMI161" s="332"/>
      <c r="AMJ161" s="332"/>
      <c r="AMK161" s="332"/>
    </row>
    <row r="162" spans="2:1025" s="331" customFormat="1" ht="15.75" customHeight="1" thickTop="1" thickBot="1">
      <c r="B162" s="349"/>
      <c r="C162" s="350" t="s">
        <v>1686</v>
      </c>
      <c r="D162" s="352" t="s">
        <v>1981</v>
      </c>
      <c r="E162" s="352" t="s">
        <v>1982</v>
      </c>
      <c r="F162" s="351"/>
      <c r="G162" s="351" t="s">
        <v>1745</v>
      </c>
      <c r="H162" s="351"/>
      <c r="I162" s="351"/>
      <c r="J162" s="351"/>
      <c r="K162" s="351"/>
      <c r="L162" s="351"/>
      <c r="AMH162" s="332"/>
      <c r="AMI162" s="332"/>
      <c r="AMJ162" s="332"/>
      <c r="AMK162" s="332"/>
    </row>
    <row r="163" spans="2:1025" s="331" customFormat="1" ht="15.75" customHeight="1" thickTop="1" thickBot="1">
      <c r="B163" s="349"/>
      <c r="C163" s="350" t="s">
        <v>1687</v>
      </c>
      <c r="D163" s="352" t="s">
        <v>1983</v>
      </c>
      <c r="E163" s="352" t="s">
        <v>1984</v>
      </c>
      <c r="F163" s="351"/>
      <c r="G163" s="351" t="s">
        <v>1745</v>
      </c>
      <c r="H163" s="351"/>
      <c r="I163" s="351"/>
      <c r="J163" s="351"/>
      <c r="K163" s="351"/>
      <c r="L163" s="351"/>
      <c r="AMH163" s="332"/>
      <c r="AMI163" s="332"/>
      <c r="AMJ163" s="332"/>
      <c r="AMK163" s="332"/>
    </row>
    <row r="164" spans="2:1025" s="331" customFormat="1" ht="15.75" customHeight="1" thickTop="1" thickBot="1">
      <c r="B164" s="349"/>
      <c r="C164" s="350" t="s">
        <v>1690</v>
      </c>
      <c r="D164" s="352" t="s">
        <v>1985</v>
      </c>
      <c r="E164" s="352" t="s">
        <v>1986</v>
      </c>
      <c r="F164" s="351"/>
      <c r="G164" s="351" t="s">
        <v>1745</v>
      </c>
      <c r="H164" s="351"/>
      <c r="I164" s="351"/>
      <c r="J164" s="351"/>
      <c r="K164" s="351"/>
      <c r="L164" s="351"/>
      <c r="AMH164" s="332"/>
      <c r="AMI164" s="332"/>
      <c r="AMJ164" s="332"/>
      <c r="AMK164" s="332"/>
    </row>
    <row r="165" spans="2:1025" s="331" customFormat="1" ht="15.75" customHeight="1" thickTop="1" thickBot="1">
      <c r="B165" s="349"/>
      <c r="C165" s="350" t="s">
        <v>1693</v>
      </c>
      <c r="D165" s="352" t="s">
        <v>1987</v>
      </c>
      <c r="E165" s="352" t="s">
        <v>1988</v>
      </c>
      <c r="F165" s="351"/>
      <c r="G165" s="351" t="s">
        <v>1745</v>
      </c>
      <c r="H165" s="351"/>
      <c r="I165" s="351"/>
      <c r="J165" s="351"/>
      <c r="K165" s="351"/>
      <c r="L165" s="351"/>
      <c r="AMH165" s="332"/>
      <c r="AMI165" s="332"/>
      <c r="AMJ165" s="332"/>
      <c r="AMK165" s="332"/>
    </row>
    <row r="166" spans="2:1025" s="331" customFormat="1" ht="15.75" customHeight="1" thickTop="1" thickBot="1">
      <c r="B166" s="349"/>
      <c r="C166" s="350" t="s">
        <v>1696</v>
      </c>
      <c r="D166" s="352" t="s">
        <v>1989</v>
      </c>
      <c r="E166" s="352" t="s">
        <v>1990</v>
      </c>
      <c r="F166" s="351"/>
      <c r="G166" s="351" t="s">
        <v>1745</v>
      </c>
      <c r="H166" s="351"/>
      <c r="I166" s="351"/>
      <c r="J166" s="351"/>
      <c r="K166" s="351"/>
      <c r="L166" s="351"/>
      <c r="AMH166" s="332"/>
      <c r="AMI166" s="332"/>
      <c r="AMJ166" s="332"/>
      <c r="AMK166" s="332"/>
    </row>
    <row r="167" spans="2:1025" s="331" customFormat="1" ht="15.75" customHeight="1" thickTop="1" thickBot="1">
      <c r="B167" s="349"/>
      <c r="C167" s="350" t="s">
        <v>1699</v>
      </c>
      <c r="D167" s="352" t="s">
        <v>1991</v>
      </c>
      <c r="E167" s="352" t="s">
        <v>1992</v>
      </c>
      <c r="F167" s="351"/>
      <c r="G167" s="351" t="s">
        <v>1745</v>
      </c>
      <c r="H167" s="351"/>
      <c r="I167" s="351"/>
      <c r="J167" s="351"/>
      <c r="K167" s="351"/>
      <c r="L167" s="351"/>
      <c r="AMH167" s="332"/>
      <c r="AMI167" s="332"/>
      <c r="AMJ167" s="332"/>
      <c r="AMK167" s="332"/>
    </row>
    <row r="168" spans="2:1025" s="331" customFormat="1" ht="15.75" customHeight="1" thickTop="1" thickBot="1">
      <c r="B168" s="349"/>
      <c r="C168" s="350" t="s">
        <v>1702</v>
      </c>
      <c r="D168" s="352" t="s">
        <v>1993</v>
      </c>
      <c r="E168" s="352" t="s">
        <v>1994</v>
      </c>
      <c r="F168" s="351"/>
      <c r="G168" s="351" t="s">
        <v>1745</v>
      </c>
      <c r="H168" s="351"/>
      <c r="I168" s="351"/>
      <c r="J168" s="351"/>
      <c r="K168" s="351"/>
      <c r="L168" s="351"/>
      <c r="AMH168" s="332"/>
      <c r="AMI168" s="332"/>
      <c r="AMJ168" s="332"/>
      <c r="AMK168" s="332"/>
    </row>
    <row r="169" spans="2:1025" s="331" customFormat="1" ht="15.75" customHeight="1" thickTop="1" thickBot="1">
      <c r="B169" s="349"/>
      <c r="C169" s="350" t="s">
        <v>1705</v>
      </c>
      <c r="D169" s="352" t="s">
        <v>1995</v>
      </c>
      <c r="E169" s="352" t="s">
        <v>1996</v>
      </c>
      <c r="F169" s="351"/>
      <c r="G169" s="351" t="s">
        <v>1745</v>
      </c>
      <c r="H169" s="351"/>
      <c r="I169" s="351"/>
      <c r="J169" s="351"/>
      <c r="K169" s="351"/>
      <c r="L169" s="351"/>
      <c r="AMH169" s="332"/>
      <c r="AMI169" s="332"/>
      <c r="AMJ169" s="332"/>
      <c r="AMK169" s="332"/>
    </row>
    <row r="170" spans="2:1025" s="331" customFormat="1" ht="15.75" customHeight="1" thickTop="1" thickBot="1">
      <c r="B170" s="349"/>
      <c r="C170" s="350" t="s">
        <v>1708</v>
      </c>
      <c r="D170" s="352" t="s">
        <v>1997</v>
      </c>
      <c r="E170" s="353" t="s">
        <v>1998</v>
      </c>
      <c r="F170" s="351"/>
      <c r="G170" s="351" t="s">
        <v>1745</v>
      </c>
      <c r="H170" s="351"/>
      <c r="I170" s="351"/>
      <c r="J170" s="351"/>
      <c r="K170" s="351"/>
      <c r="L170" s="351"/>
      <c r="AMH170" s="332"/>
      <c r="AMI170" s="332"/>
      <c r="AMJ170" s="332"/>
      <c r="AMK170" s="332"/>
    </row>
    <row r="171" spans="2:1025" s="331" customFormat="1" ht="15.75" customHeight="1" thickTop="1" thickBot="1">
      <c r="B171" s="349"/>
      <c r="C171" s="350" t="s">
        <v>1711</v>
      </c>
      <c r="D171" s="352" t="s">
        <v>1999</v>
      </c>
      <c r="E171" s="352" t="s">
        <v>2000</v>
      </c>
      <c r="F171" s="351"/>
      <c r="G171" s="351" t="s">
        <v>1745</v>
      </c>
      <c r="H171" s="351"/>
      <c r="I171" s="351"/>
      <c r="J171" s="351"/>
      <c r="K171" s="351"/>
      <c r="L171" s="351"/>
      <c r="AMH171" s="332"/>
      <c r="AMI171" s="332"/>
      <c r="AMJ171" s="332"/>
      <c r="AMK171" s="332"/>
    </row>
    <row r="172" spans="2:1025" s="331" customFormat="1" ht="15.75" customHeight="1" thickTop="1" thickBot="1">
      <c r="B172" s="349"/>
      <c r="C172" s="350" t="s">
        <v>1714</v>
      </c>
      <c r="D172" s="352" t="s">
        <v>2001</v>
      </c>
      <c r="E172" s="352" t="s">
        <v>2002</v>
      </c>
      <c r="F172" s="351"/>
      <c r="G172" s="351" t="s">
        <v>1745</v>
      </c>
      <c r="H172" s="351"/>
      <c r="I172" s="351"/>
      <c r="J172" s="351"/>
      <c r="K172" s="351"/>
      <c r="L172" s="351"/>
      <c r="AMH172" s="332"/>
      <c r="AMI172" s="332"/>
      <c r="AMJ172" s="332"/>
      <c r="AMK172" s="332"/>
    </row>
    <row r="173" spans="2:1025" s="331" customFormat="1" ht="15.75" customHeight="1" thickTop="1" thickBot="1">
      <c r="B173" s="349"/>
      <c r="C173" s="350" t="s">
        <v>1717</v>
      </c>
      <c r="D173" s="352" t="s">
        <v>2003</v>
      </c>
      <c r="E173" s="352" t="s">
        <v>2004</v>
      </c>
      <c r="F173" s="351"/>
      <c r="G173" s="351" t="s">
        <v>1745</v>
      </c>
      <c r="H173" s="351"/>
      <c r="I173" s="351"/>
      <c r="J173" s="351"/>
      <c r="K173" s="351"/>
      <c r="L173" s="351"/>
      <c r="AMH173" s="332"/>
      <c r="AMI173" s="332"/>
      <c r="AMJ173" s="332"/>
      <c r="AMK173" s="332"/>
    </row>
    <row r="174" spans="2:1025" s="331" customFormat="1" ht="15.75" customHeight="1" thickTop="1" thickBot="1">
      <c r="B174" s="349"/>
      <c r="C174" s="350" t="s">
        <v>1720</v>
      </c>
      <c r="D174" s="352" t="s">
        <v>2005</v>
      </c>
      <c r="E174" s="352" t="s">
        <v>2006</v>
      </c>
      <c r="F174" s="351"/>
      <c r="G174" s="351" t="s">
        <v>1745</v>
      </c>
      <c r="H174" s="351"/>
      <c r="I174" s="351"/>
      <c r="J174" s="351"/>
      <c r="K174" s="351"/>
      <c r="L174" s="351"/>
      <c r="AMH174" s="332"/>
      <c r="AMI174" s="332"/>
      <c r="AMJ174" s="332"/>
      <c r="AMK174" s="332"/>
    </row>
    <row r="175" spans="2:1025" s="331" customFormat="1" ht="15.75" customHeight="1" thickTop="1" thickBot="1">
      <c r="B175" s="354"/>
      <c r="C175" s="350" t="s">
        <v>1723</v>
      </c>
      <c r="D175" s="352" t="s">
        <v>2007</v>
      </c>
      <c r="E175" s="352" t="s">
        <v>2008</v>
      </c>
      <c r="F175" s="351"/>
      <c r="G175" s="351" t="s">
        <v>1745</v>
      </c>
      <c r="H175" s="351"/>
      <c r="I175" s="351"/>
      <c r="J175" s="351"/>
      <c r="K175" s="351"/>
      <c r="L175" s="351"/>
      <c r="AMH175" s="332"/>
      <c r="AMI175" s="332"/>
      <c r="AMJ175" s="332"/>
      <c r="AMK175" s="332"/>
    </row>
    <row r="176" spans="2:1025" s="331" customFormat="1" ht="15.75" customHeight="1" thickTop="1" thickBot="1">
      <c r="B176" s="344" t="s">
        <v>2009</v>
      </c>
      <c r="C176" s="345"/>
      <c r="D176" s="346"/>
      <c r="E176" s="346"/>
      <c r="F176" s="347"/>
      <c r="G176" s="347"/>
      <c r="H176" s="347"/>
      <c r="I176" s="347"/>
      <c r="J176" s="347"/>
      <c r="K176" s="347"/>
      <c r="L176" s="348"/>
      <c r="AMH176" s="332"/>
      <c r="AMI176" s="332"/>
      <c r="AMJ176" s="332"/>
      <c r="AMK176" s="332"/>
    </row>
    <row r="177" spans="2:1025" s="331" customFormat="1" ht="15.75" customHeight="1" thickTop="1" thickBot="1">
      <c r="B177" s="349"/>
      <c r="C177" s="350" t="s">
        <v>1826</v>
      </c>
      <c r="D177" s="166" t="s">
        <v>6</v>
      </c>
      <c r="E177" s="166" t="s">
        <v>6</v>
      </c>
      <c r="F177" s="351"/>
      <c r="G177" s="351" t="s">
        <v>1681</v>
      </c>
      <c r="H177" s="351"/>
      <c r="I177" s="351"/>
      <c r="J177" s="351"/>
      <c r="K177" s="351"/>
      <c r="L177" s="351"/>
      <c r="AMH177" s="332"/>
      <c r="AMI177" s="332"/>
      <c r="AMJ177" s="332"/>
      <c r="AMK177" s="332"/>
    </row>
    <row r="178" spans="2:1025" s="331" customFormat="1" ht="15.75" customHeight="1" thickTop="1" thickBot="1">
      <c r="B178" s="349"/>
      <c r="C178" s="350" t="s">
        <v>1686</v>
      </c>
      <c r="D178" s="352" t="s">
        <v>2010</v>
      </c>
      <c r="E178" s="352" t="s">
        <v>2011</v>
      </c>
      <c r="F178" s="351"/>
      <c r="G178" s="351" t="s">
        <v>1745</v>
      </c>
      <c r="H178" s="351"/>
      <c r="I178" s="351"/>
      <c r="J178" s="351"/>
      <c r="K178" s="351"/>
      <c r="L178" s="351"/>
      <c r="AMH178" s="332"/>
      <c r="AMI178" s="332"/>
      <c r="AMJ178" s="332"/>
      <c r="AMK178" s="332"/>
    </row>
    <row r="179" spans="2:1025" s="331" customFormat="1" ht="15.75" customHeight="1" thickTop="1" thickBot="1">
      <c r="B179" s="349"/>
      <c r="C179" s="350" t="s">
        <v>1687</v>
      </c>
      <c r="D179" s="352" t="s">
        <v>2012</v>
      </c>
      <c r="E179" s="352" t="s">
        <v>2013</v>
      </c>
      <c r="F179" s="351"/>
      <c r="G179" s="351" t="s">
        <v>1745</v>
      </c>
      <c r="H179" s="351"/>
      <c r="I179" s="351"/>
      <c r="J179" s="351"/>
      <c r="K179" s="351"/>
      <c r="L179" s="351"/>
      <c r="AMH179" s="332"/>
      <c r="AMI179" s="332"/>
      <c r="AMJ179" s="332"/>
      <c r="AMK179" s="332"/>
    </row>
    <row r="180" spans="2:1025" s="331" customFormat="1" ht="15.75" customHeight="1" thickTop="1" thickBot="1">
      <c r="B180" s="349"/>
      <c r="C180" s="350" t="s">
        <v>1690</v>
      </c>
      <c r="D180" s="352" t="s">
        <v>2014</v>
      </c>
      <c r="E180" s="352" t="s">
        <v>2015</v>
      </c>
      <c r="F180" s="351"/>
      <c r="G180" s="351" t="s">
        <v>1745</v>
      </c>
      <c r="H180" s="351"/>
      <c r="I180" s="351"/>
      <c r="J180" s="351"/>
      <c r="K180" s="351"/>
      <c r="L180" s="351"/>
      <c r="AMH180" s="332"/>
      <c r="AMI180" s="332"/>
      <c r="AMJ180" s="332"/>
      <c r="AMK180" s="332"/>
    </row>
    <row r="181" spans="2:1025" s="331" customFormat="1" ht="15.75" customHeight="1" thickTop="1" thickBot="1">
      <c r="B181" s="349"/>
      <c r="C181" s="350" t="s">
        <v>1693</v>
      </c>
      <c r="D181" s="352" t="s">
        <v>2016</v>
      </c>
      <c r="E181" s="352" t="s">
        <v>2017</v>
      </c>
      <c r="F181" s="351"/>
      <c r="G181" s="351" t="s">
        <v>1745</v>
      </c>
      <c r="H181" s="351"/>
      <c r="I181" s="351"/>
      <c r="J181" s="351"/>
      <c r="K181" s="351"/>
      <c r="L181" s="351"/>
      <c r="AMH181" s="332"/>
      <c r="AMI181" s="332"/>
      <c r="AMJ181" s="332"/>
      <c r="AMK181" s="332"/>
    </row>
    <row r="182" spans="2:1025" s="331" customFormat="1" ht="15.75" customHeight="1" thickTop="1" thickBot="1">
      <c r="B182" s="349"/>
      <c r="C182" s="350" t="s">
        <v>1696</v>
      </c>
      <c r="D182" s="352" t="s">
        <v>2018</v>
      </c>
      <c r="E182" s="352" t="s">
        <v>2019</v>
      </c>
      <c r="F182" s="351"/>
      <c r="G182" s="351" t="s">
        <v>1745</v>
      </c>
      <c r="H182" s="351"/>
      <c r="I182" s="351"/>
      <c r="J182" s="351"/>
      <c r="K182" s="351"/>
      <c r="L182" s="351"/>
      <c r="AMH182" s="332"/>
      <c r="AMI182" s="332"/>
      <c r="AMJ182" s="332"/>
      <c r="AMK182" s="332"/>
    </row>
    <row r="183" spans="2:1025" s="331" customFormat="1" ht="15.75" customHeight="1" thickTop="1" thickBot="1">
      <c r="B183" s="349"/>
      <c r="C183" s="350" t="s">
        <v>1699</v>
      </c>
      <c r="D183" s="352" t="s">
        <v>2020</v>
      </c>
      <c r="E183" s="352" t="s">
        <v>2021</v>
      </c>
      <c r="F183" s="351"/>
      <c r="G183" s="351" t="s">
        <v>1745</v>
      </c>
      <c r="H183" s="351"/>
      <c r="I183" s="351"/>
      <c r="J183" s="351"/>
      <c r="K183" s="351"/>
      <c r="L183" s="351"/>
      <c r="AMH183" s="332"/>
      <c r="AMI183" s="332"/>
      <c r="AMJ183" s="332"/>
      <c r="AMK183" s="332"/>
    </row>
    <row r="184" spans="2:1025" s="331" customFormat="1" ht="15.75" customHeight="1" thickTop="1" thickBot="1">
      <c r="B184" s="349"/>
      <c r="C184" s="350" t="s">
        <v>1702</v>
      </c>
      <c r="D184" s="352" t="s">
        <v>2022</v>
      </c>
      <c r="E184" s="352" t="s">
        <v>2023</v>
      </c>
      <c r="F184" s="351"/>
      <c r="G184" s="351" t="s">
        <v>1745</v>
      </c>
      <c r="H184" s="351"/>
      <c r="I184" s="351"/>
      <c r="J184" s="351"/>
      <c r="K184" s="351"/>
      <c r="L184" s="351"/>
      <c r="AMH184" s="332"/>
      <c r="AMI184" s="332"/>
      <c r="AMJ184" s="332"/>
      <c r="AMK184" s="332"/>
    </row>
    <row r="185" spans="2:1025" s="331" customFormat="1" ht="15.75" customHeight="1" thickTop="1" thickBot="1">
      <c r="B185" s="349"/>
      <c r="C185" s="350" t="s">
        <v>1705</v>
      </c>
      <c r="D185" s="352" t="s">
        <v>2024</v>
      </c>
      <c r="E185" s="352" t="s">
        <v>2025</v>
      </c>
      <c r="F185" s="351"/>
      <c r="G185" s="351" t="s">
        <v>1745</v>
      </c>
      <c r="H185" s="351"/>
      <c r="I185" s="351"/>
      <c r="J185" s="351"/>
      <c r="K185" s="351"/>
      <c r="L185" s="351"/>
      <c r="AMH185" s="332"/>
      <c r="AMI185" s="332"/>
      <c r="AMJ185" s="332"/>
      <c r="AMK185" s="332"/>
    </row>
    <row r="186" spans="2:1025" s="331" customFormat="1" ht="15.75" customHeight="1" thickTop="1" thickBot="1">
      <c r="B186" s="349"/>
      <c r="C186" s="350" t="s">
        <v>1708</v>
      </c>
      <c r="D186" s="352" t="s">
        <v>2026</v>
      </c>
      <c r="E186" s="353" t="s">
        <v>2027</v>
      </c>
      <c r="F186" s="351"/>
      <c r="G186" s="351" t="s">
        <v>1745</v>
      </c>
      <c r="H186" s="351"/>
      <c r="I186" s="351"/>
      <c r="J186" s="351"/>
      <c r="K186" s="351"/>
      <c r="L186" s="351"/>
      <c r="AMH186" s="332"/>
      <c r="AMI186" s="332"/>
      <c r="AMJ186" s="332"/>
      <c r="AMK186" s="332"/>
    </row>
    <row r="187" spans="2:1025" s="331" customFormat="1" ht="15.75" customHeight="1" thickTop="1" thickBot="1">
      <c r="B187" s="349"/>
      <c r="C187" s="350" t="s">
        <v>1711</v>
      </c>
      <c r="D187" s="352" t="s">
        <v>2028</v>
      </c>
      <c r="E187" s="352" t="s">
        <v>2029</v>
      </c>
      <c r="F187" s="351"/>
      <c r="G187" s="351" t="s">
        <v>1745</v>
      </c>
      <c r="H187" s="351"/>
      <c r="I187" s="351"/>
      <c r="J187" s="351"/>
      <c r="K187" s="351"/>
      <c r="L187" s="351"/>
      <c r="AMH187" s="332"/>
      <c r="AMI187" s="332"/>
      <c r="AMJ187" s="332"/>
      <c r="AMK187" s="332"/>
    </row>
    <row r="188" spans="2:1025" s="331" customFormat="1" ht="15.75" customHeight="1" thickTop="1" thickBot="1">
      <c r="B188" s="349"/>
      <c r="C188" s="350" t="s">
        <v>1714</v>
      </c>
      <c r="D188" s="352" t="s">
        <v>2030</v>
      </c>
      <c r="E188" s="352" t="s">
        <v>2031</v>
      </c>
      <c r="F188" s="351"/>
      <c r="G188" s="351" t="s">
        <v>1745</v>
      </c>
      <c r="H188" s="351"/>
      <c r="I188" s="351"/>
      <c r="J188" s="351"/>
      <c r="K188" s="351"/>
      <c r="L188" s="351"/>
      <c r="AMH188" s="332"/>
      <c r="AMI188" s="332"/>
      <c r="AMJ188" s="332"/>
      <c r="AMK188" s="332"/>
    </row>
    <row r="189" spans="2:1025" s="331" customFormat="1" ht="15.75" customHeight="1" thickTop="1" thickBot="1">
      <c r="B189" s="349"/>
      <c r="C189" s="350" t="s">
        <v>1717</v>
      </c>
      <c r="D189" s="352" t="s">
        <v>2032</v>
      </c>
      <c r="E189" s="352" t="s">
        <v>2033</v>
      </c>
      <c r="F189" s="351"/>
      <c r="G189" s="351" t="s">
        <v>1745</v>
      </c>
      <c r="H189" s="351"/>
      <c r="I189" s="351"/>
      <c r="J189" s="351"/>
      <c r="K189" s="351"/>
      <c r="L189" s="351"/>
      <c r="AMH189" s="332"/>
      <c r="AMI189" s="332"/>
      <c r="AMJ189" s="332"/>
      <c r="AMK189" s="332"/>
    </row>
    <row r="190" spans="2:1025" s="331" customFormat="1" ht="15.75" customHeight="1" thickTop="1" thickBot="1">
      <c r="B190" s="349"/>
      <c r="C190" s="350" t="s">
        <v>1720</v>
      </c>
      <c r="D190" s="352" t="s">
        <v>2034</v>
      </c>
      <c r="E190" s="352" t="s">
        <v>2035</v>
      </c>
      <c r="F190" s="351"/>
      <c r="G190" s="351" t="s">
        <v>1745</v>
      </c>
      <c r="H190" s="351"/>
      <c r="I190" s="351"/>
      <c r="J190" s="351"/>
      <c r="K190" s="351"/>
      <c r="L190" s="351"/>
      <c r="AMH190" s="332"/>
      <c r="AMI190" s="332"/>
      <c r="AMJ190" s="332"/>
      <c r="AMK190" s="332"/>
    </row>
    <row r="191" spans="2:1025" s="331" customFormat="1" ht="15.75" customHeight="1" thickTop="1" thickBot="1">
      <c r="B191" s="354"/>
      <c r="C191" s="350" t="s">
        <v>1723</v>
      </c>
      <c r="D191" s="352" t="s">
        <v>2036</v>
      </c>
      <c r="E191" s="352" t="s">
        <v>2037</v>
      </c>
      <c r="F191" s="351"/>
      <c r="G191" s="351" t="s">
        <v>1745</v>
      </c>
      <c r="H191" s="351"/>
      <c r="I191" s="351"/>
      <c r="J191" s="351"/>
      <c r="K191" s="351"/>
      <c r="L191" s="351"/>
      <c r="AMH191" s="332"/>
      <c r="AMI191" s="332"/>
      <c r="AMJ191" s="332"/>
      <c r="AMK191" s="332"/>
    </row>
    <row r="192" spans="2:1025" s="331" customFormat="1" ht="15.75" customHeight="1" thickTop="1" thickBot="1">
      <c r="B192" s="344" t="s">
        <v>2038</v>
      </c>
      <c r="C192" s="345"/>
      <c r="D192" s="346"/>
      <c r="E192" s="346"/>
      <c r="F192" s="347"/>
      <c r="G192" s="347"/>
      <c r="H192" s="347"/>
      <c r="I192" s="347"/>
      <c r="J192" s="347"/>
      <c r="K192" s="347"/>
      <c r="L192" s="348"/>
      <c r="AMH192" s="332"/>
      <c r="AMI192" s="332"/>
      <c r="AMJ192" s="332"/>
      <c r="AMK192" s="332"/>
    </row>
    <row r="193" spans="2:1025" s="331" customFormat="1" ht="15.75" customHeight="1" thickTop="1" thickBot="1">
      <c r="B193" s="349"/>
      <c r="C193" s="350" t="s">
        <v>1826</v>
      </c>
      <c r="D193" s="166" t="s">
        <v>6</v>
      </c>
      <c r="E193" s="166" t="s">
        <v>6</v>
      </c>
      <c r="F193" s="351"/>
      <c r="G193" s="351" t="s">
        <v>1681</v>
      </c>
      <c r="H193" s="351"/>
      <c r="I193" s="351"/>
      <c r="J193" s="351"/>
      <c r="K193" s="351"/>
      <c r="L193" s="351"/>
      <c r="AMH193" s="332"/>
      <c r="AMI193" s="332"/>
      <c r="AMJ193" s="332"/>
      <c r="AMK193" s="332"/>
    </row>
    <row r="194" spans="2:1025" s="331" customFormat="1" ht="15.75" customHeight="1" thickTop="1" thickBot="1">
      <c r="B194" s="349"/>
      <c r="C194" s="350" t="s">
        <v>1686</v>
      </c>
      <c r="D194" s="352" t="s">
        <v>2039</v>
      </c>
      <c r="E194" s="352" t="s">
        <v>2040</v>
      </c>
      <c r="F194" s="351"/>
      <c r="G194" s="351" t="s">
        <v>1745</v>
      </c>
      <c r="H194" s="351"/>
      <c r="I194" s="351"/>
      <c r="J194" s="351"/>
      <c r="K194" s="351"/>
      <c r="L194" s="351"/>
      <c r="AMH194" s="332"/>
      <c r="AMI194" s="332"/>
      <c r="AMJ194" s="332"/>
      <c r="AMK194" s="332"/>
    </row>
    <row r="195" spans="2:1025" s="331" customFormat="1" ht="15.75" customHeight="1" thickTop="1" thickBot="1">
      <c r="B195" s="349"/>
      <c r="C195" s="350" t="s">
        <v>1687</v>
      </c>
      <c r="D195" s="352" t="s">
        <v>2041</v>
      </c>
      <c r="E195" s="352" t="s">
        <v>2042</v>
      </c>
      <c r="F195" s="351"/>
      <c r="G195" s="351" t="s">
        <v>1745</v>
      </c>
      <c r="H195" s="351"/>
      <c r="I195" s="351"/>
      <c r="J195" s="351"/>
      <c r="K195" s="351"/>
      <c r="L195" s="351"/>
      <c r="AMH195" s="332"/>
      <c r="AMI195" s="332"/>
      <c r="AMJ195" s="332"/>
      <c r="AMK195" s="332"/>
    </row>
    <row r="196" spans="2:1025" s="331" customFormat="1" ht="15.75" customHeight="1" thickTop="1" thickBot="1">
      <c r="B196" s="349"/>
      <c r="C196" s="350" t="s">
        <v>1690</v>
      </c>
      <c r="D196" s="352" t="s">
        <v>2043</v>
      </c>
      <c r="E196" s="352" t="s">
        <v>2044</v>
      </c>
      <c r="F196" s="351"/>
      <c r="G196" s="351" t="s">
        <v>1745</v>
      </c>
      <c r="H196" s="351"/>
      <c r="I196" s="351"/>
      <c r="J196" s="351"/>
      <c r="K196" s="351"/>
      <c r="L196" s="351"/>
      <c r="AMH196" s="332"/>
      <c r="AMI196" s="332"/>
      <c r="AMJ196" s="332"/>
      <c r="AMK196" s="332"/>
    </row>
    <row r="197" spans="2:1025" s="331" customFormat="1" ht="15.75" customHeight="1" thickTop="1" thickBot="1">
      <c r="B197" s="349"/>
      <c r="C197" s="350" t="s">
        <v>1693</v>
      </c>
      <c r="D197" s="352" t="s">
        <v>2045</v>
      </c>
      <c r="E197" s="352" t="s">
        <v>2046</v>
      </c>
      <c r="F197" s="351"/>
      <c r="G197" s="351" t="s">
        <v>1745</v>
      </c>
      <c r="H197" s="351"/>
      <c r="I197" s="351"/>
      <c r="J197" s="351"/>
      <c r="K197" s="351"/>
      <c r="L197" s="351"/>
      <c r="AMH197" s="332"/>
      <c r="AMI197" s="332"/>
      <c r="AMJ197" s="332"/>
      <c r="AMK197" s="332"/>
    </row>
    <row r="198" spans="2:1025" s="331" customFormat="1" ht="15.75" customHeight="1" thickTop="1" thickBot="1">
      <c r="B198" s="349"/>
      <c r="C198" s="350" t="s">
        <v>1696</v>
      </c>
      <c r="D198" s="352" t="s">
        <v>2047</v>
      </c>
      <c r="E198" s="352" t="s">
        <v>1990</v>
      </c>
      <c r="F198" s="351"/>
      <c r="G198" s="351" t="s">
        <v>1745</v>
      </c>
      <c r="H198" s="351"/>
      <c r="I198" s="351"/>
      <c r="J198" s="351"/>
      <c r="K198" s="351"/>
      <c r="L198" s="351"/>
      <c r="AMH198" s="332"/>
      <c r="AMI198" s="332"/>
      <c r="AMJ198" s="332"/>
      <c r="AMK198" s="332"/>
    </row>
    <row r="199" spans="2:1025" s="331" customFormat="1" ht="15.75" customHeight="1" thickTop="1" thickBot="1">
      <c r="B199" s="349"/>
      <c r="C199" s="350" t="s">
        <v>1699</v>
      </c>
      <c r="D199" s="352" t="s">
        <v>2048</v>
      </c>
      <c r="E199" s="352" t="s">
        <v>2049</v>
      </c>
      <c r="F199" s="351"/>
      <c r="G199" s="351" t="s">
        <v>1745</v>
      </c>
      <c r="H199" s="351"/>
      <c r="I199" s="351"/>
      <c r="J199" s="351"/>
      <c r="K199" s="351"/>
      <c r="L199" s="351"/>
      <c r="AMH199" s="332"/>
      <c r="AMI199" s="332"/>
      <c r="AMJ199" s="332"/>
      <c r="AMK199" s="332"/>
    </row>
    <row r="200" spans="2:1025" s="331" customFormat="1" ht="15.75" customHeight="1" thickTop="1" thickBot="1">
      <c r="B200" s="349"/>
      <c r="C200" s="350" t="s">
        <v>1702</v>
      </c>
      <c r="D200" s="352" t="s">
        <v>2050</v>
      </c>
      <c r="E200" s="352" t="s">
        <v>2051</v>
      </c>
      <c r="F200" s="351"/>
      <c r="G200" s="351" t="s">
        <v>1745</v>
      </c>
      <c r="H200" s="351"/>
      <c r="I200" s="351"/>
      <c r="J200" s="351"/>
      <c r="K200" s="351"/>
      <c r="L200" s="351"/>
      <c r="AMH200" s="332"/>
      <c r="AMI200" s="332"/>
      <c r="AMJ200" s="332"/>
      <c r="AMK200" s="332"/>
    </row>
    <row r="201" spans="2:1025" s="331" customFormat="1" ht="15.75" customHeight="1" thickTop="1" thickBot="1">
      <c r="B201" s="349"/>
      <c r="C201" s="350" t="s">
        <v>1705</v>
      </c>
      <c r="D201" s="352" t="s">
        <v>2052</v>
      </c>
      <c r="E201" s="352" t="s">
        <v>2053</v>
      </c>
      <c r="F201" s="351"/>
      <c r="G201" s="351" t="s">
        <v>1745</v>
      </c>
      <c r="H201" s="351"/>
      <c r="I201" s="351"/>
      <c r="J201" s="351"/>
      <c r="K201" s="351"/>
      <c r="L201" s="351"/>
      <c r="AMH201" s="332"/>
      <c r="AMI201" s="332"/>
      <c r="AMJ201" s="332"/>
      <c r="AMK201" s="332"/>
    </row>
    <row r="202" spans="2:1025" s="331" customFormat="1" ht="15.75" customHeight="1" thickTop="1" thickBot="1">
      <c r="B202" s="349"/>
      <c r="C202" s="350" t="s">
        <v>1708</v>
      </c>
      <c r="D202" s="352" t="s">
        <v>2054</v>
      </c>
      <c r="E202" s="353" t="s">
        <v>2055</v>
      </c>
      <c r="F202" s="351"/>
      <c r="G202" s="351" t="s">
        <v>1745</v>
      </c>
      <c r="H202" s="351"/>
      <c r="I202" s="351"/>
      <c r="J202" s="351"/>
      <c r="K202" s="351"/>
      <c r="L202" s="351"/>
      <c r="AMH202" s="332"/>
      <c r="AMI202" s="332"/>
      <c r="AMJ202" s="332"/>
      <c r="AMK202" s="332"/>
    </row>
    <row r="203" spans="2:1025" s="331" customFormat="1" ht="15.75" customHeight="1" thickTop="1" thickBot="1">
      <c r="B203" s="349"/>
      <c r="C203" s="350" t="s">
        <v>1711</v>
      </c>
      <c r="D203" s="352" t="s">
        <v>2056</v>
      </c>
      <c r="E203" s="352" t="s">
        <v>2057</v>
      </c>
      <c r="F203" s="351"/>
      <c r="G203" s="351" t="s">
        <v>1745</v>
      </c>
      <c r="H203" s="351"/>
      <c r="I203" s="351"/>
      <c r="J203" s="351"/>
      <c r="K203" s="351"/>
      <c r="L203" s="351"/>
      <c r="AMH203" s="332"/>
      <c r="AMI203" s="332"/>
      <c r="AMJ203" s="332"/>
      <c r="AMK203" s="332"/>
    </row>
    <row r="204" spans="2:1025" s="331" customFormat="1" ht="15.75" customHeight="1" thickTop="1" thickBot="1">
      <c r="B204" s="349"/>
      <c r="C204" s="350" t="s">
        <v>1714</v>
      </c>
      <c r="D204" s="352" t="s">
        <v>2058</v>
      </c>
      <c r="E204" s="352" t="s">
        <v>2059</v>
      </c>
      <c r="F204" s="351"/>
      <c r="G204" s="351" t="s">
        <v>1745</v>
      </c>
      <c r="H204" s="351"/>
      <c r="I204" s="351"/>
      <c r="J204" s="351"/>
      <c r="K204" s="351"/>
      <c r="L204" s="351"/>
      <c r="AMH204" s="332"/>
      <c r="AMI204" s="332"/>
      <c r="AMJ204" s="332"/>
      <c r="AMK204" s="332"/>
    </row>
    <row r="205" spans="2:1025" s="331" customFormat="1" ht="15.75" customHeight="1" thickTop="1" thickBot="1">
      <c r="B205" s="349"/>
      <c r="C205" s="350" t="s">
        <v>1717</v>
      </c>
      <c r="D205" s="352" t="s">
        <v>2060</v>
      </c>
      <c r="E205" s="352" t="s">
        <v>2061</v>
      </c>
      <c r="F205" s="351"/>
      <c r="G205" s="351" t="s">
        <v>1745</v>
      </c>
      <c r="H205" s="351"/>
      <c r="I205" s="351"/>
      <c r="J205" s="351"/>
      <c r="K205" s="351"/>
      <c r="L205" s="351"/>
      <c r="AMH205" s="332"/>
      <c r="AMI205" s="332"/>
      <c r="AMJ205" s="332"/>
      <c r="AMK205" s="332"/>
    </row>
    <row r="206" spans="2:1025" s="331" customFormat="1" ht="15.75" customHeight="1" thickTop="1" thickBot="1">
      <c r="B206" s="349"/>
      <c r="C206" s="350" t="s">
        <v>1720</v>
      </c>
      <c r="D206" s="352" t="s">
        <v>2062</v>
      </c>
      <c r="E206" s="352" t="s">
        <v>2063</v>
      </c>
      <c r="F206" s="351"/>
      <c r="G206" s="351" t="s">
        <v>1745</v>
      </c>
      <c r="H206" s="351"/>
      <c r="I206" s="351"/>
      <c r="J206" s="351"/>
      <c r="K206" s="351"/>
      <c r="L206" s="351"/>
      <c r="AMH206" s="332"/>
      <c r="AMI206" s="332"/>
      <c r="AMJ206" s="332"/>
      <c r="AMK206" s="332"/>
    </row>
    <row r="207" spans="2:1025" s="331" customFormat="1" ht="15.75" customHeight="1" thickTop="1" thickBot="1">
      <c r="B207" s="354"/>
      <c r="C207" s="350" t="s">
        <v>1723</v>
      </c>
      <c r="D207" s="352" t="s">
        <v>2064</v>
      </c>
      <c r="E207" s="352" t="s">
        <v>2065</v>
      </c>
      <c r="F207" s="351"/>
      <c r="G207" s="351" t="s">
        <v>1745</v>
      </c>
      <c r="H207" s="351"/>
      <c r="I207" s="351"/>
      <c r="J207" s="351"/>
      <c r="K207" s="351"/>
      <c r="L207" s="351"/>
      <c r="AMH207" s="332"/>
      <c r="AMI207" s="332"/>
      <c r="AMJ207" s="332"/>
      <c r="AMK207" s="332"/>
    </row>
    <row r="208" spans="2:1025" s="331" customFormat="1" ht="15.75" customHeight="1" thickTop="1" thickBot="1">
      <c r="B208" s="344" t="s">
        <v>2066</v>
      </c>
      <c r="C208" s="345"/>
      <c r="D208" s="346"/>
      <c r="E208" s="346"/>
      <c r="F208" s="347"/>
      <c r="G208" s="347"/>
      <c r="H208" s="347"/>
      <c r="I208" s="347"/>
      <c r="J208" s="347"/>
      <c r="K208" s="347"/>
      <c r="L208" s="348"/>
      <c r="AMH208" s="332"/>
      <c r="AMI208" s="332"/>
      <c r="AMJ208" s="332"/>
      <c r="AMK208" s="332"/>
    </row>
    <row r="209" spans="2:1025" s="331" customFormat="1" ht="15.75" customHeight="1" thickTop="1" thickBot="1">
      <c r="B209" s="349"/>
      <c r="C209" s="350" t="s">
        <v>1678</v>
      </c>
      <c r="D209" s="352" t="s">
        <v>2067</v>
      </c>
      <c r="E209" s="352" t="s">
        <v>2068</v>
      </c>
      <c r="F209" s="351"/>
      <c r="G209" s="351" t="s">
        <v>1745</v>
      </c>
      <c r="H209" s="351"/>
      <c r="I209" s="351"/>
      <c r="J209" s="351"/>
      <c r="K209" s="351"/>
      <c r="L209" s="351"/>
      <c r="AMH209" s="332"/>
      <c r="AMI209" s="332"/>
      <c r="AMJ209" s="332"/>
      <c r="AMK209" s="332"/>
    </row>
    <row r="210" spans="2:1025" s="331" customFormat="1" ht="15.75" customHeight="1" thickTop="1" thickBot="1">
      <c r="B210" s="349"/>
      <c r="C210" s="350" t="s">
        <v>1682</v>
      </c>
      <c r="D210" s="376" t="s">
        <v>2561</v>
      </c>
      <c r="E210" s="376" t="s">
        <v>2562</v>
      </c>
      <c r="F210" s="351"/>
      <c r="G210" s="351" t="s">
        <v>1745</v>
      </c>
      <c r="H210" s="351"/>
      <c r="I210" s="351"/>
      <c r="J210" s="351"/>
      <c r="K210" s="351"/>
      <c r="L210" s="377" t="s">
        <v>2560</v>
      </c>
      <c r="AMH210" s="332"/>
      <c r="AMI210" s="332"/>
      <c r="AMJ210" s="332"/>
      <c r="AMK210" s="332"/>
    </row>
    <row r="211" spans="2:1025" s="331" customFormat="1" ht="15.75" customHeight="1" thickTop="1" thickBot="1">
      <c r="B211" s="349"/>
      <c r="C211" s="350" t="s">
        <v>1686</v>
      </c>
      <c r="D211" s="352" t="s">
        <v>2563</v>
      </c>
      <c r="E211" s="352" t="s">
        <v>2564</v>
      </c>
      <c r="F211" s="351"/>
      <c r="G211" s="351" t="s">
        <v>1745</v>
      </c>
      <c r="H211" s="351"/>
      <c r="I211" s="351"/>
      <c r="J211" s="351"/>
      <c r="K211" s="351"/>
      <c r="L211" s="351"/>
      <c r="AMH211" s="332"/>
      <c r="AMI211" s="332"/>
      <c r="AMJ211" s="332"/>
      <c r="AMK211" s="332"/>
    </row>
    <row r="212" spans="2:1025" s="331" customFormat="1" ht="15.75" customHeight="1" thickTop="1" thickBot="1">
      <c r="B212" s="349"/>
      <c r="C212" s="350" t="s">
        <v>1687</v>
      </c>
      <c r="D212" s="376" t="s">
        <v>2565</v>
      </c>
      <c r="E212" s="376" t="s">
        <v>2566</v>
      </c>
      <c r="F212" s="351"/>
      <c r="G212" s="351" t="s">
        <v>1745</v>
      </c>
      <c r="H212" s="351"/>
      <c r="I212" s="351"/>
      <c r="J212" s="351"/>
      <c r="K212" s="351"/>
      <c r="L212" s="377" t="s">
        <v>2560</v>
      </c>
      <c r="AMH212" s="332"/>
      <c r="AMI212" s="332"/>
      <c r="AMJ212" s="332"/>
      <c r="AMK212" s="332"/>
    </row>
    <row r="213" spans="2:1025" s="331" customFormat="1" ht="15.75" customHeight="1" thickTop="1" thickBot="1">
      <c r="B213" s="349"/>
      <c r="C213" s="350" t="s">
        <v>1690</v>
      </c>
      <c r="D213" s="352" t="s">
        <v>2075</v>
      </c>
      <c r="E213" s="352" t="s">
        <v>2076</v>
      </c>
      <c r="F213" s="351"/>
      <c r="G213" s="351" t="s">
        <v>1745</v>
      </c>
      <c r="H213" s="351"/>
      <c r="I213" s="351"/>
      <c r="J213" s="351"/>
      <c r="K213" s="351"/>
      <c r="L213" s="351"/>
      <c r="AMH213" s="332"/>
      <c r="AMI213" s="332"/>
      <c r="AMJ213" s="332"/>
      <c r="AMK213" s="332"/>
    </row>
    <row r="214" spans="2:1025" s="331" customFormat="1" ht="15.75" customHeight="1" thickTop="1" thickBot="1">
      <c r="B214" s="349"/>
      <c r="C214" s="350" t="s">
        <v>1693</v>
      </c>
      <c r="D214" s="352" t="s">
        <v>2077</v>
      </c>
      <c r="E214" s="352" t="s">
        <v>2078</v>
      </c>
      <c r="F214" s="351"/>
      <c r="G214" s="351" t="s">
        <v>1745</v>
      </c>
      <c r="H214" s="351"/>
      <c r="I214" s="351"/>
      <c r="J214" s="351"/>
      <c r="K214" s="351"/>
      <c r="L214" s="351"/>
      <c r="AMH214" s="332"/>
      <c r="AMI214" s="332"/>
      <c r="AMJ214" s="332"/>
      <c r="AMK214" s="332"/>
    </row>
    <row r="215" spans="2:1025" s="331" customFormat="1" ht="15.75" customHeight="1" thickTop="1" thickBot="1">
      <c r="B215" s="349"/>
      <c r="C215" s="350" t="s">
        <v>1696</v>
      </c>
      <c r="D215" s="352" t="s">
        <v>2079</v>
      </c>
      <c r="E215" s="352" t="s">
        <v>2080</v>
      </c>
      <c r="F215" s="351"/>
      <c r="G215" s="351" t="s">
        <v>1745</v>
      </c>
      <c r="H215" s="351"/>
      <c r="I215" s="351"/>
      <c r="J215" s="351"/>
      <c r="K215" s="351"/>
      <c r="L215" s="351"/>
      <c r="AMH215" s="332"/>
      <c r="AMI215" s="332"/>
      <c r="AMJ215" s="332"/>
      <c r="AMK215" s="332"/>
    </row>
    <row r="216" spans="2:1025" s="331" customFormat="1" ht="15.75" customHeight="1" thickTop="1" thickBot="1">
      <c r="B216" s="349"/>
      <c r="C216" s="350" t="s">
        <v>1699</v>
      </c>
      <c r="D216" s="352" t="s">
        <v>2081</v>
      </c>
      <c r="E216" s="352" t="s">
        <v>2082</v>
      </c>
      <c r="F216" s="351"/>
      <c r="G216" s="351" t="s">
        <v>1745</v>
      </c>
      <c r="H216" s="351"/>
      <c r="I216" s="351"/>
      <c r="J216" s="351"/>
      <c r="K216" s="351"/>
      <c r="L216" s="351"/>
      <c r="AMH216" s="332"/>
      <c r="AMI216" s="332"/>
      <c r="AMJ216" s="332"/>
      <c r="AMK216" s="332"/>
    </row>
    <row r="217" spans="2:1025" s="331" customFormat="1" ht="15.75" customHeight="1" thickTop="1" thickBot="1">
      <c r="B217" s="349"/>
      <c r="C217" s="350" t="s">
        <v>1702</v>
      </c>
      <c r="D217" s="352" t="s">
        <v>2083</v>
      </c>
      <c r="E217" s="352" t="s">
        <v>2084</v>
      </c>
      <c r="F217" s="351"/>
      <c r="G217" s="351" t="s">
        <v>1745</v>
      </c>
      <c r="H217" s="351"/>
      <c r="I217" s="351"/>
      <c r="J217" s="351"/>
      <c r="K217" s="351"/>
      <c r="L217" s="351"/>
      <c r="AMH217" s="332"/>
      <c r="AMI217" s="332"/>
      <c r="AMJ217" s="332"/>
      <c r="AMK217" s="332"/>
    </row>
    <row r="218" spans="2:1025" s="331" customFormat="1" ht="15.75" customHeight="1" thickTop="1" thickBot="1">
      <c r="B218" s="349"/>
      <c r="C218" s="350" t="s">
        <v>1705</v>
      </c>
      <c r="D218" s="352" t="s">
        <v>2085</v>
      </c>
      <c r="E218" s="352" t="s">
        <v>2086</v>
      </c>
      <c r="F218" s="351"/>
      <c r="G218" s="351" t="s">
        <v>1745</v>
      </c>
      <c r="H218" s="351"/>
      <c r="I218" s="351"/>
      <c r="J218" s="351"/>
      <c r="K218" s="351"/>
      <c r="L218" s="351"/>
      <c r="AMH218" s="332"/>
      <c r="AMI218" s="332"/>
      <c r="AMJ218" s="332"/>
      <c r="AMK218" s="332"/>
    </row>
    <row r="219" spans="2:1025" s="331" customFormat="1" ht="15.75" customHeight="1" thickTop="1" thickBot="1">
      <c r="B219" s="349"/>
      <c r="C219" s="350" t="s">
        <v>1708</v>
      </c>
      <c r="D219" s="352" t="s">
        <v>2087</v>
      </c>
      <c r="E219" s="353" t="s">
        <v>2027</v>
      </c>
      <c r="F219" s="351"/>
      <c r="G219" s="351" t="s">
        <v>1745</v>
      </c>
      <c r="H219" s="351"/>
      <c r="I219" s="351"/>
      <c r="J219" s="351"/>
      <c r="K219" s="351"/>
      <c r="L219" s="351"/>
      <c r="AMH219" s="332"/>
      <c r="AMI219" s="332"/>
      <c r="AMJ219" s="332"/>
      <c r="AMK219" s="332"/>
    </row>
    <row r="220" spans="2:1025" s="331" customFormat="1" ht="15.75" customHeight="1" thickTop="1" thickBot="1">
      <c r="B220" s="349"/>
      <c r="C220" s="350" t="s">
        <v>1711</v>
      </c>
      <c r="D220" s="352" t="s">
        <v>2088</v>
      </c>
      <c r="E220" s="352" t="s">
        <v>2089</v>
      </c>
      <c r="F220" s="351"/>
      <c r="G220" s="351" t="s">
        <v>1745</v>
      </c>
      <c r="H220" s="351"/>
      <c r="I220" s="351"/>
      <c r="J220" s="351"/>
      <c r="K220" s="351"/>
      <c r="L220" s="351"/>
      <c r="AMH220" s="332"/>
      <c r="AMI220" s="332"/>
      <c r="AMJ220" s="332"/>
      <c r="AMK220" s="332"/>
    </row>
    <row r="221" spans="2:1025" s="331" customFormat="1" ht="15.75" customHeight="1" thickTop="1" thickBot="1">
      <c r="B221" s="349"/>
      <c r="C221" s="350" t="s">
        <v>1714</v>
      </c>
      <c r="D221" s="352" t="s">
        <v>2090</v>
      </c>
      <c r="E221" s="352" t="s">
        <v>2091</v>
      </c>
      <c r="F221" s="351"/>
      <c r="G221" s="351" t="s">
        <v>1745</v>
      </c>
      <c r="H221" s="351"/>
      <c r="I221" s="351"/>
      <c r="J221" s="351"/>
      <c r="K221" s="351"/>
      <c r="L221" s="351"/>
      <c r="AMH221" s="332"/>
      <c r="AMI221" s="332"/>
      <c r="AMJ221" s="332"/>
      <c r="AMK221" s="332"/>
    </row>
    <row r="222" spans="2:1025" s="331" customFormat="1" ht="15.75" customHeight="1" thickTop="1" thickBot="1">
      <c r="B222" s="349"/>
      <c r="C222" s="350" t="s">
        <v>1717</v>
      </c>
      <c r="D222" s="352" t="s">
        <v>2092</v>
      </c>
      <c r="E222" s="352" t="s">
        <v>2093</v>
      </c>
      <c r="F222" s="351"/>
      <c r="G222" s="351" t="s">
        <v>1745</v>
      </c>
      <c r="H222" s="351"/>
      <c r="I222" s="351"/>
      <c r="J222" s="351"/>
      <c r="K222" s="351"/>
      <c r="L222" s="351"/>
      <c r="AMH222" s="332"/>
      <c r="AMI222" s="332"/>
      <c r="AMJ222" s="332"/>
      <c r="AMK222" s="332"/>
    </row>
    <row r="223" spans="2:1025" s="331" customFormat="1" ht="15.75" customHeight="1" thickTop="1" thickBot="1">
      <c r="B223" s="349"/>
      <c r="C223" s="350" t="s">
        <v>1720</v>
      </c>
      <c r="D223" s="352" t="s">
        <v>2094</v>
      </c>
      <c r="E223" s="352" t="s">
        <v>2095</v>
      </c>
      <c r="F223" s="351"/>
      <c r="G223" s="351" t="s">
        <v>1745</v>
      </c>
      <c r="H223" s="351"/>
      <c r="I223" s="351"/>
      <c r="J223" s="351"/>
      <c r="K223" s="351"/>
      <c r="L223" s="351"/>
      <c r="AMH223" s="332"/>
      <c r="AMI223" s="332"/>
      <c r="AMJ223" s="332"/>
      <c r="AMK223" s="332"/>
    </row>
    <row r="224" spans="2:1025" s="331" customFormat="1" ht="15.75" customHeight="1" thickTop="1" thickBot="1">
      <c r="B224" s="354"/>
      <c r="C224" s="350" t="s">
        <v>1723</v>
      </c>
      <c r="D224" s="352" t="s">
        <v>2096</v>
      </c>
      <c r="E224" s="352" t="s">
        <v>2097</v>
      </c>
      <c r="F224" s="351"/>
      <c r="G224" s="351" t="s">
        <v>1745</v>
      </c>
      <c r="H224" s="351"/>
      <c r="I224" s="351"/>
      <c r="J224" s="351"/>
      <c r="K224" s="351"/>
      <c r="L224" s="351"/>
      <c r="AMH224" s="332"/>
      <c r="AMI224" s="332"/>
      <c r="AMJ224" s="332"/>
      <c r="AMK224" s="332"/>
    </row>
    <row r="225" spans="2:1025" s="331" customFormat="1" ht="15.75" customHeight="1" thickTop="1" thickBot="1">
      <c r="B225" s="344" t="s">
        <v>2098</v>
      </c>
      <c r="C225" s="345"/>
      <c r="D225" s="346"/>
      <c r="E225" s="346"/>
      <c r="F225" s="347"/>
      <c r="G225" s="347"/>
      <c r="H225" s="347"/>
      <c r="I225" s="347"/>
      <c r="J225" s="347"/>
      <c r="K225" s="347"/>
      <c r="L225" s="348"/>
      <c r="AMH225" s="332"/>
      <c r="AMI225" s="332"/>
      <c r="AMJ225" s="332"/>
      <c r="AMK225" s="332"/>
    </row>
    <row r="226" spans="2:1025" s="331" customFormat="1" ht="15.75" customHeight="1" thickTop="1" thickBot="1">
      <c r="B226" s="349"/>
      <c r="C226" s="350" t="s">
        <v>1678</v>
      </c>
      <c r="D226" s="352" t="s">
        <v>2099</v>
      </c>
      <c r="E226" s="352" t="s">
        <v>2100</v>
      </c>
      <c r="F226" s="351"/>
      <c r="G226" s="351" t="s">
        <v>1745</v>
      </c>
      <c r="H226" s="351"/>
      <c r="I226" s="351"/>
      <c r="J226" s="351"/>
      <c r="K226" s="351"/>
      <c r="L226" s="351"/>
      <c r="AMH226" s="332"/>
      <c r="AMI226" s="332"/>
      <c r="AMJ226" s="332"/>
      <c r="AMK226" s="332"/>
    </row>
    <row r="227" spans="2:1025" s="331" customFormat="1" ht="15.75" customHeight="1" thickTop="1" thickBot="1">
      <c r="B227" s="349"/>
      <c r="C227" s="350" t="s">
        <v>1682</v>
      </c>
      <c r="D227" s="352" t="s">
        <v>2101</v>
      </c>
      <c r="E227" s="352" t="s">
        <v>2102</v>
      </c>
      <c r="F227" s="351"/>
      <c r="G227" s="351" t="s">
        <v>1745</v>
      </c>
      <c r="H227" s="351"/>
      <c r="I227" s="351"/>
      <c r="J227" s="351"/>
      <c r="K227" s="351"/>
      <c r="L227" s="351"/>
      <c r="AMH227" s="332"/>
      <c r="AMI227" s="332"/>
      <c r="AMJ227" s="332"/>
      <c r="AMK227" s="332"/>
    </row>
    <row r="228" spans="2:1025" s="331" customFormat="1" ht="15.75" customHeight="1" thickTop="1" thickBot="1">
      <c r="B228" s="349"/>
      <c r="C228" s="350" t="s">
        <v>1686</v>
      </c>
      <c r="D228" s="352" t="s">
        <v>2103</v>
      </c>
      <c r="E228" s="352" t="s">
        <v>2104</v>
      </c>
      <c r="F228" s="351"/>
      <c r="G228" s="351" t="s">
        <v>1745</v>
      </c>
      <c r="H228" s="351"/>
      <c r="I228" s="351"/>
      <c r="J228" s="351"/>
      <c r="K228" s="351"/>
      <c r="L228" s="351"/>
      <c r="AMH228" s="332"/>
      <c r="AMI228" s="332"/>
      <c r="AMJ228" s="332"/>
      <c r="AMK228" s="332"/>
    </row>
    <row r="229" spans="2:1025" s="331" customFormat="1" ht="15.75" customHeight="1" thickTop="1" thickBot="1">
      <c r="B229" s="349"/>
      <c r="C229" s="350" t="s">
        <v>1687</v>
      </c>
      <c r="D229" s="352" t="s">
        <v>6</v>
      </c>
      <c r="E229" s="352" t="s">
        <v>6</v>
      </c>
      <c r="F229" s="351"/>
      <c r="G229" s="351" t="s">
        <v>1681</v>
      </c>
      <c r="H229" s="351"/>
      <c r="I229" s="351"/>
      <c r="J229" s="351"/>
      <c r="K229" s="351"/>
      <c r="L229" s="351"/>
      <c r="AMH229" s="332"/>
      <c r="AMI229" s="332"/>
      <c r="AMJ229" s="332"/>
      <c r="AMK229" s="332"/>
    </row>
    <row r="230" spans="2:1025" s="331" customFormat="1" ht="15.75" customHeight="1" thickTop="1" thickBot="1">
      <c r="B230" s="349"/>
      <c r="C230" s="350" t="s">
        <v>1690</v>
      </c>
      <c r="D230" s="352" t="s">
        <v>2105</v>
      </c>
      <c r="E230" s="352" t="s">
        <v>2106</v>
      </c>
      <c r="F230" s="351"/>
      <c r="G230" s="351" t="s">
        <v>1745</v>
      </c>
      <c r="H230" s="351"/>
      <c r="I230" s="351"/>
      <c r="J230" s="351"/>
      <c r="K230" s="351"/>
      <c r="L230" s="351"/>
      <c r="AMH230" s="332"/>
      <c r="AMI230" s="332"/>
      <c r="AMJ230" s="332"/>
      <c r="AMK230" s="332"/>
    </row>
    <row r="231" spans="2:1025" s="331" customFormat="1" ht="15.75" customHeight="1" thickTop="1" thickBot="1">
      <c r="B231" s="349"/>
      <c r="C231" s="350" t="s">
        <v>1693</v>
      </c>
      <c r="D231" s="352" t="s">
        <v>2107</v>
      </c>
      <c r="E231" s="352" t="s">
        <v>2108</v>
      </c>
      <c r="F231" s="351"/>
      <c r="G231" s="351" t="s">
        <v>1745</v>
      </c>
      <c r="H231" s="351"/>
      <c r="I231" s="351"/>
      <c r="J231" s="351"/>
      <c r="K231" s="351"/>
      <c r="L231" s="351"/>
      <c r="AMH231" s="332"/>
      <c r="AMI231" s="332"/>
      <c r="AMJ231" s="332"/>
      <c r="AMK231" s="332"/>
    </row>
    <row r="232" spans="2:1025" s="331" customFormat="1" ht="15.75" customHeight="1" thickTop="1" thickBot="1">
      <c r="B232" s="349"/>
      <c r="C232" s="350" t="s">
        <v>1696</v>
      </c>
      <c r="D232" s="352" t="s">
        <v>2109</v>
      </c>
      <c r="E232" s="352" t="s">
        <v>2110</v>
      </c>
      <c r="F232" s="351"/>
      <c r="G232" s="351" t="s">
        <v>1745</v>
      </c>
      <c r="H232" s="351"/>
      <c r="I232" s="351"/>
      <c r="J232" s="351"/>
      <c r="K232" s="351"/>
      <c r="L232" s="351"/>
      <c r="AMH232" s="332"/>
      <c r="AMI232" s="332"/>
      <c r="AMJ232" s="332"/>
      <c r="AMK232" s="332"/>
    </row>
    <row r="233" spans="2:1025" s="331" customFormat="1" ht="15.75" customHeight="1" thickTop="1" thickBot="1">
      <c r="B233" s="349"/>
      <c r="C233" s="350" t="s">
        <v>1699</v>
      </c>
      <c r="D233" s="352" t="s">
        <v>2111</v>
      </c>
      <c r="E233" s="352" t="s">
        <v>2112</v>
      </c>
      <c r="F233" s="351"/>
      <c r="G233" s="351" t="s">
        <v>1745</v>
      </c>
      <c r="H233" s="351"/>
      <c r="I233" s="351"/>
      <c r="J233" s="351"/>
      <c r="K233" s="351"/>
      <c r="L233" s="351"/>
      <c r="AMH233" s="332"/>
      <c r="AMI233" s="332"/>
      <c r="AMJ233" s="332"/>
      <c r="AMK233" s="332"/>
    </row>
    <row r="234" spans="2:1025" s="331" customFormat="1" ht="15.75" customHeight="1" thickTop="1" thickBot="1">
      <c r="B234" s="349"/>
      <c r="C234" s="350" t="s">
        <v>1702</v>
      </c>
      <c r="D234" s="352" t="s">
        <v>2113</v>
      </c>
      <c r="E234" s="352" t="s">
        <v>2114</v>
      </c>
      <c r="F234" s="351"/>
      <c r="G234" s="351" t="s">
        <v>1745</v>
      </c>
      <c r="H234" s="351"/>
      <c r="I234" s="351"/>
      <c r="J234" s="351"/>
      <c r="K234" s="351"/>
      <c r="L234" s="351"/>
      <c r="AMH234" s="332"/>
      <c r="AMI234" s="332"/>
      <c r="AMJ234" s="332"/>
      <c r="AMK234" s="332"/>
    </row>
    <row r="235" spans="2:1025" s="331" customFormat="1" ht="15.75" customHeight="1" thickTop="1" thickBot="1">
      <c r="B235" s="349"/>
      <c r="C235" s="350" t="s">
        <v>1705</v>
      </c>
      <c r="D235" s="352" t="s">
        <v>2115</v>
      </c>
      <c r="E235" s="352" t="s">
        <v>2116</v>
      </c>
      <c r="F235" s="351"/>
      <c r="G235" s="351" t="s">
        <v>1745</v>
      </c>
      <c r="H235" s="351"/>
      <c r="I235" s="351"/>
      <c r="J235" s="351"/>
      <c r="K235" s="351"/>
      <c r="L235" s="351"/>
      <c r="AMH235" s="332"/>
      <c r="AMI235" s="332"/>
      <c r="AMJ235" s="332"/>
      <c r="AMK235" s="332"/>
    </row>
    <row r="236" spans="2:1025" s="331" customFormat="1" ht="15.75" customHeight="1" thickTop="1" thickBot="1">
      <c r="B236" s="349"/>
      <c r="C236" s="350" t="s">
        <v>1708</v>
      </c>
      <c r="D236" s="352" t="s">
        <v>2117</v>
      </c>
      <c r="E236" s="353" t="s">
        <v>1719</v>
      </c>
      <c r="F236" s="351"/>
      <c r="G236" s="351" t="s">
        <v>1745</v>
      </c>
      <c r="H236" s="351"/>
      <c r="I236" s="351"/>
      <c r="J236" s="351"/>
      <c r="K236" s="351"/>
      <c r="L236" s="351"/>
      <c r="AMH236" s="332"/>
      <c r="AMI236" s="332"/>
      <c r="AMJ236" s="332"/>
      <c r="AMK236" s="332"/>
    </row>
    <row r="237" spans="2:1025" s="331" customFormat="1" ht="15.75" customHeight="1" thickTop="1" thickBot="1">
      <c r="B237" s="349"/>
      <c r="C237" s="350" t="s">
        <v>1711</v>
      </c>
      <c r="D237" s="352" t="s">
        <v>2118</v>
      </c>
      <c r="E237" s="352" t="s">
        <v>2119</v>
      </c>
      <c r="F237" s="351"/>
      <c r="G237" s="351" t="s">
        <v>1745</v>
      </c>
      <c r="H237" s="351"/>
      <c r="I237" s="351"/>
      <c r="J237" s="351"/>
      <c r="K237" s="351"/>
      <c r="L237" s="351"/>
      <c r="AMH237" s="332"/>
      <c r="AMI237" s="332"/>
      <c r="AMJ237" s="332"/>
      <c r="AMK237" s="332"/>
    </row>
    <row r="238" spans="2:1025" s="331" customFormat="1" ht="15.75" customHeight="1" thickTop="1" thickBot="1">
      <c r="B238" s="349"/>
      <c r="C238" s="350" t="s">
        <v>1714</v>
      </c>
      <c r="D238" s="352" t="s">
        <v>2120</v>
      </c>
      <c r="E238" s="352" t="s">
        <v>2093</v>
      </c>
      <c r="F238" s="351"/>
      <c r="G238" s="351" t="s">
        <v>1745</v>
      </c>
      <c r="H238" s="351"/>
      <c r="I238" s="351"/>
      <c r="J238" s="351"/>
      <c r="K238" s="351"/>
      <c r="L238" s="351"/>
      <c r="AMH238" s="332"/>
      <c r="AMI238" s="332"/>
      <c r="AMJ238" s="332"/>
      <c r="AMK238" s="332"/>
    </row>
    <row r="239" spans="2:1025" s="331" customFormat="1" ht="15.75" customHeight="1" thickTop="1" thickBot="1">
      <c r="B239" s="349"/>
      <c r="C239" s="350" t="s">
        <v>1717</v>
      </c>
      <c r="D239" s="352" t="s">
        <v>2121</v>
      </c>
      <c r="E239" s="352" t="s">
        <v>2122</v>
      </c>
      <c r="F239" s="351"/>
      <c r="G239" s="351" t="s">
        <v>1745</v>
      </c>
      <c r="H239" s="351"/>
      <c r="I239" s="351"/>
      <c r="J239" s="351"/>
      <c r="K239" s="351"/>
      <c r="L239" s="351"/>
      <c r="AMH239" s="332"/>
      <c r="AMI239" s="332"/>
      <c r="AMJ239" s="332"/>
      <c r="AMK239" s="332"/>
    </row>
    <row r="240" spans="2:1025" s="331" customFormat="1" ht="15.75" customHeight="1" thickTop="1" thickBot="1">
      <c r="B240" s="349"/>
      <c r="C240" s="350" t="s">
        <v>1720</v>
      </c>
      <c r="D240" s="352" t="s">
        <v>2123</v>
      </c>
      <c r="E240" s="352" t="s">
        <v>2124</v>
      </c>
      <c r="F240" s="351"/>
      <c r="G240" s="351" t="s">
        <v>1745</v>
      </c>
      <c r="H240" s="351"/>
      <c r="I240" s="351"/>
      <c r="J240" s="351"/>
      <c r="K240" s="351"/>
      <c r="L240" s="351"/>
      <c r="AMH240" s="332"/>
      <c r="AMI240" s="332"/>
      <c r="AMJ240" s="332"/>
      <c r="AMK240" s="332"/>
    </row>
    <row r="241" spans="1:16384" s="331" customFormat="1" ht="15.75" customHeight="1" thickTop="1" thickBot="1">
      <c r="B241" s="354"/>
      <c r="C241" s="350" t="s">
        <v>1723</v>
      </c>
      <c r="D241" s="352" t="s">
        <v>2125</v>
      </c>
      <c r="E241" s="352" t="s">
        <v>2126</v>
      </c>
      <c r="F241" s="351"/>
      <c r="G241" s="351" t="s">
        <v>1745</v>
      </c>
      <c r="H241" s="351"/>
      <c r="I241" s="351"/>
      <c r="J241" s="351"/>
      <c r="K241" s="351"/>
      <c r="L241" s="351"/>
      <c r="AMH241" s="332"/>
      <c r="AMI241" s="332"/>
      <c r="AMJ241" s="332"/>
      <c r="AMK241" s="332"/>
    </row>
    <row r="242" spans="1:16384" s="331" customFormat="1" ht="12.2" customHeight="1" thickTop="1">
      <c r="B242" s="336"/>
      <c r="C242" s="337"/>
      <c r="D242" s="336"/>
      <c r="E242" s="336"/>
      <c r="F242" s="356"/>
      <c r="G242" s="356"/>
      <c r="H242" s="356"/>
      <c r="I242" s="356"/>
      <c r="J242" s="356"/>
      <c r="K242" s="356"/>
      <c r="L242" s="356"/>
      <c r="AMH242" s="332"/>
      <c r="AMI242" s="332"/>
      <c r="AMJ242" s="332"/>
      <c r="AMK242" s="332"/>
    </row>
    <row r="243" spans="1:16384" s="331" customFormat="1" ht="12.2" customHeight="1">
      <c r="A243" s="334"/>
      <c r="B243" s="334"/>
      <c r="C243" s="334"/>
      <c r="D243" s="334"/>
      <c r="E243" s="334"/>
      <c r="F243" s="334" t="s">
        <v>1661</v>
      </c>
      <c r="G243" s="335">
        <v>0</v>
      </c>
      <c r="H243" s="334" t="s">
        <v>1663</v>
      </c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  <c r="Z243" s="334"/>
      <c r="AA243" s="334"/>
      <c r="AB243" s="334"/>
      <c r="AC243" s="334"/>
      <c r="AD243" s="334"/>
      <c r="AE243" s="334"/>
      <c r="AF243" s="334"/>
      <c r="AG243" s="334"/>
      <c r="AH243" s="334"/>
      <c r="AI243" s="334"/>
      <c r="AJ243" s="334"/>
      <c r="AK243" s="334"/>
      <c r="AL243" s="334"/>
      <c r="AM243" s="334"/>
      <c r="AN243" s="334"/>
      <c r="AO243" s="334"/>
      <c r="AP243" s="334"/>
      <c r="AQ243" s="334"/>
      <c r="AR243" s="334"/>
      <c r="AS243" s="334"/>
      <c r="AT243" s="334"/>
      <c r="AU243" s="334"/>
      <c r="AV243" s="334"/>
      <c r="AW243" s="334"/>
      <c r="AX243" s="334"/>
      <c r="AY243" s="334"/>
      <c r="AZ243" s="334"/>
      <c r="BA243" s="334"/>
      <c r="BB243" s="334"/>
      <c r="BC243" s="334"/>
      <c r="BD243" s="334"/>
      <c r="BE243" s="334"/>
      <c r="BF243" s="334"/>
      <c r="BG243" s="334"/>
      <c r="BH243" s="334"/>
      <c r="BI243" s="334"/>
      <c r="BJ243" s="334"/>
      <c r="BK243" s="334"/>
      <c r="BL243" s="334"/>
      <c r="BM243" s="334"/>
      <c r="BN243" s="334"/>
      <c r="BO243" s="334"/>
      <c r="BP243" s="334"/>
      <c r="BQ243" s="334"/>
      <c r="BR243" s="334"/>
      <c r="BS243" s="334"/>
      <c r="BT243" s="334"/>
      <c r="BU243" s="334"/>
      <c r="BV243" s="334"/>
      <c r="BW243" s="334"/>
      <c r="BX243" s="334"/>
      <c r="BY243" s="334"/>
      <c r="BZ243" s="334"/>
      <c r="CA243" s="334"/>
      <c r="CB243" s="334"/>
      <c r="CC243" s="334"/>
      <c r="CD243" s="334"/>
      <c r="CE243" s="334"/>
      <c r="CF243" s="334"/>
      <c r="CG243" s="334"/>
      <c r="CH243" s="334"/>
      <c r="CI243" s="334"/>
      <c r="CJ243" s="334"/>
      <c r="CK243" s="334"/>
      <c r="CL243" s="334"/>
      <c r="CM243" s="334"/>
      <c r="CN243" s="334"/>
      <c r="CO243" s="334"/>
      <c r="CP243" s="334"/>
      <c r="CQ243" s="334"/>
      <c r="CR243" s="334"/>
      <c r="CS243" s="334"/>
      <c r="CT243" s="334"/>
      <c r="CU243" s="334"/>
      <c r="CV243" s="334"/>
      <c r="CW243" s="334"/>
      <c r="CX243" s="334"/>
      <c r="CY243" s="334"/>
      <c r="CZ243" s="334"/>
      <c r="DA243" s="334"/>
      <c r="DB243" s="334"/>
      <c r="DC243" s="334"/>
      <c r="DD243" s="334"/>
      <c r="DE243" s="334"/>
      <c r="DF243" s="334"/>
      <c r="DG243" s="334"/>
      <c r="DH243" s="334"/>
      <c r="DI243" s="334"/>
      <c r="DJ243" s="334"/>
      <c r="DK243" s="334"/>
      <c r="DL243" s="334"/>
      <c r="DM243" s="334"/>
      <c r="DN243" s="334"/>
      <c r="DO243" s="334"/>
      <c r="DP243" s="334"/>
      <c r="DQ243" s="334"/>
      <c r="DR243" s="334"/>
      <c r="DS243" s="334"/>
      <c r="DT243" s="334"/>
      <c r="DU243" s="334"/>
      <c r="DV243" s="334"/>
      <c r="DW243" s="334"/>
      <c r="DX243" s="334"/>
      <c r="DY243" s="334"/>
      <c r="DZ243" s="334"/>
      <c r="EA243" s="334"/>
      <c r="EB243" s="334"/>
      <c r="EC243" s="334"/>
      <c r="ED243" s="334"/>
      <c r="EE243" s="334"/>
      <c r="EF243" s="334"/>
      <c r="EG243" s="334"/>
      <c r="EH243" s="334"/>
      <c r="EI243" s="334"/>
      <c r="EJ243" s="334"/>
      <c r="EK243" s="334"/>
      <c r="EL243" s="334"/>
      <c r="EM243" s="334"/>
      <c r="EN243" s="334"/>
      <c r="EO243" s="334"/>
      <c r="EP243" s="334"/>
      <c r="EQ243" s="334"/>
      <c r="ER243" s="334"/>
      <c r="ES243" s="334"/>
      <c r="ET243" s="334"/>
      <c r="EU243" s="334"/>
      <c r="EV243" s="334"/>
      <c r="EW243" s="334"/>
      <c r="EX243" s="334"/>
      <c r="EY243" s="334"/>
      <c r="EZ243" s="334"/>
      <c r="FA243" s="334"/>
      <c r="FB243" s="334"/>
      <c r="FC243" s="334"/>
      <c r="FD243" s="334"/>
      <c r="FE243" s="334"/>
      <c r="FF243" s="334"/>
      <c r="FG243" s="334"/>
      <c r="FH243" s="334"/>
      <c r="FI243" s="334"/>
      <c r="FJ243" s="334"/>
      <c r="FK243" s="334"/>
      <c r="FL243" s="334"/>
      <c r="FM243" s="334"/>
      <c r="FN243" s="334"/>
      <c r="FO243" s="334"/>
      <c r="FP243" s="334"/>
      <c r="FQ243" s="334"/>
      <c r="FR243" s="334"/>
      <c r="FS243" s="334"/>
      <c r="FT243" s="334"/>
      <c r="FU243" s="334"/>
      <c r="FV243" s="334"/>
      <c r="FW243" s="334"/>
      <c r="FX243" s="334"/>
      <c r="FY243" s="334"/>
      <c r="FZ243" s="334"/>
      <c r="GA243" s="334"/>
      <c r="GB243" s="334"/>
      <c r="GC243" s="334"/>
      <c r="GD243" s="334"/>
      <c r="GE243" s="334"/>
      <c r="GF243" s="334"/>
      <c r="GG243" s="334"/>
      <c r="GH243" s="334"/>
      <c r="GI243" s="334"/>
      <c r="GJ243" s="334"/>
      <c r="GK243" s="334"/>
      <c r="GL243" s="334"/>
      <c r="GM243" s="334"/>
      <c r="GN243" s="334"/>
      <c r="GO243" s="334"/>
      <c r="GP243" s="334"/>
      <c r="GQ243" s="334"/>
      <c r="GR243" s="334"/>
      <c r="GS243" s="334"/>
      <c r="GT243" s="334"/>
      <c r="GU243" s="334"/>
      <c r="GV243" s="334"/>
      <c r="GW243" s="334"/>
      <c r="GX243" s="334"/>
      <c r="GY243" s="334"/>
      <c r="GZ243" s="334"/>
      <c r="HA243" s="334"/>
      <c r="HB243" s="334"/>
      <c r="HC243" s="334"/>
      <c r="HD243" s="334"/>
      <c r="HE243" s="334"/>
      <c r="HF243" s="334"/>
      <c r="HG243" s="334"/>
      <c r="HH243" s="334"/>
      <c r="HI243" s="334"/>
      <c r="HJ243" s="334"/>
      <c r="HK243" s="334"/>
      <c r="HL243" s="334"/>
      <c r="HM243" s="334"/>
      <c r="HN243" s="334"/>
      <c r="HO243" s="334"/>
      <c r="HP243" s="334"/>
      <c r="HQ243" s="334"/>
      <c r="HR243" s="334"/>
      <c r="HS243" s="334"/>
      <c r="HT243" s="334"/>
      <c r="HU243" s="334"/>
      <c r="HV243" s="334"/>
      <c r="HW243" s="334"/>
      <c r="HX243" s="334"/>
      <c r="HY243" s="334"/>
      <c r="HZ243" s="334"/>
      <c r="IA243" s="334"/>
      <c r="IB243" s="334"/>
      <c r="IC243" s="334"/>
      <c r="ID243" s="334"/>
      <c r="IE243" s="334"/>
      <c r="IF243" s="334"/>
      <c r="IG243" s="334"/>
      <c r="IH243" s="334"/>
      <c r="II243" s="334"/>
      <c r="IJ243" s="334"/>
      <c r="IK243" s="334"/>
      <c r="IL243" s="334"/>
      <c r="IM243" s="334"/>
      <c r="IN243" s="334"/>
      <c r="IO243" s="334"/>
      <c r="IP243" s="334"/>
      <c r="IQ243" s="334"/>
      <c r="IR243" s="334"/>
      <c r="IS243" s="334"/>
      <c r="IT243" s="334"/>
      <c r="IU243" s="334"/>
      <c r="IV243" s="334"/>
      <c r="IW243" s="334"/>
      <c r="IX243" s="334"/>
      <c r="IY243" s="334"/>
      <c r="IZ243" s="334"/>
      <c r="JA243" s="334"/>
      <c r="JB243" s="334"/>
      <c r="JC243" s="334"/>
      <c r="JD243" s="334"/>
      <c r="JE243" s="334"/>
      <c r="JF243" s="334"/>
      <c r="JG243" s="334"/>
      <c r="JH243" s="334"/>
      <c r="JI243" s="334"/>
      <c r="JJ243" s="334"/>
      <c r="JK243" s="334"/>
      <c r="JL243" s="334"/>
      <c r="JM243" s="334"/>
      <c r="JN243" s="334"/>
      <c r="JO243" s="334"/>
      <c r="JP243" s="334"/>
      <c r="JQ243" s="334"/>
      <c r="JR243" s="334"/>
      <c r="JS243" s="334"/>
      <c r="JT243" s="334"/>
      <c r="JU243" s="334"/>
      <c r="JV243" s="334"/>
      <c r="JW243" s="334"/>
      <c r="JX243" s="334"/>
      <c r="JY243" s="334"/>
      <c r="JZ243" s="334"/>
      <c r="KA243" s="334"/>
      <c r="KB243" s="334"/>
      <c r="KC243" s="334"/>
      <c r="KD243" s="334"/>
      <c r="KE243" s="334"/>
      <c r="KF243" s="334"/>
      <c r="KG243" s="334"/>
      <c r="KH243" s="334"/>
      <c r="KI243" s="334"/>
      <c r="KJ243" s="334"/>
      <c r="KK243" s="334"/>
      <c r="KL243" s="334"/>
      <c r="KM243" s="334"/>
      <c r="KN243" s="334"/>
      <c r="KO243" s="334"/>
      <c r="KP243" s="334"/>
      <c r="KQ243" s="334"/>
      <c r="KR243" s="334"/>
      <c r="KS243" s="334"/>
      <c r="KT243" s="334"/>
      <c r="KU243" s="334"/>
      <c r="KV243" s="334"/>
      <c r="KW243" s="334"/>
      <c r="KX243" s="334"/>
      <c r="KY243" s="334"/>
      <c r="KZ243" s="334"/>
      <c r="LA243" s="334"/>
      <c r="LB243" s="334"/>
      <c r="LC243" s="334"/>
      <c r="LD243" s="334"/>
      <c r="LE243" s="334"/>
      <c r="LF243" s="334"/>
      <c r="LG243" s="334"/>
      <c r="LH243" s="334"/>
      <c r="LI243" s="334"/>
      <c r="LJ243" s="334"/>
      <c r="LK243" s="334"/>
      <c r="LL243" s="334"/>
      <c r="LM243" s="334"/>
      <c r="LN243" s="334"/>
      <c r="LO243" s="334"/>
      <c r="LP243" s="334"/>
      <c r="LQ243" s="334"/>
      <c r="LR243" s="334"/>
      <c r="LS243" s="334"/>
      <c r="LT243" s="334"/>
      <c r="LU243" s="334"/>
      <c r="LV243" s="334"/>
      <c r="LW243" s="334"/>
      <c r="LX243" s="334"/>
      <c r="LY243" s="334"/>
      <c r="LZ243" s="334"/>
      <c r="MA243" s="334"/>
      <c r="MB243" s="334"/>
      <c r="MC243" s="334"/>
      <c r="MD243" s="334"/>
      <c r="ME243" s="334"/>
      <c r="MF243" s="334"/>
      <c r="MG243" s="334"/>
      <c r="MH243" s="334"/>
      <c r="MI243" s="334"/>
      <c r="MJ243" s="334"/>
      <c r="MK243" s="334"/>
      <c r="ML243" s="334"/>
      <c r="MM243" s="334"/>
      <c r="MN243" s="334"/>
      <c r="MO243" s="334"/>
      <c r="MP243" s="334"/>
      <c r="MQ243" s="334"/>
      <c r="MR243" s="334"/>
      <c r="MS243" s="334"/>
      <c r="MT243" s="334"/>
      <c r="MU243" s="334"/>
      <c r="MV243" s="334"/>
      <c r="MW243" s="334"/>
      <c r="MX243" s="334"/>
      <c r="MY243" s="334"/>
      <c r="MZ243" s="334"/>
      <c r="NA243" s="334"/>
      <c r="NB243" s="334"/>
      <c r="NC243" s="334"/>
      <c r="ND243" s="334"/>
      <c r="NE243" s="334"/>
      <c r="NF243" s="334"/>
      <c r="NG243" s="334"/>
      <c r="NH243" s="334"/>
      <c r="NI243" s="334"/>
      <c r="NJ243" s="334"/>
      <c r="NK243" s="334"/>
      <c r="NL243" s="334"/>
      <c r="NM243" s="334"/>
      <c r="NN243" s="334"/>
      <c r="NO243" s="334"/>
      <c r="NP243" s="334"/>
      <c r="NQ243" s="334"/>
      <c r="NR243" s="334"/>
      <c r="NS243" s="334"/>
      <c r="NT243" s="334"/>
      <c r="NU243" s="334"/>
      <c r="NV243" s="334"/>
      <c r="NW243" s="334"/>
      <c r="NX243" s="334"/>
      <c r="NY243" s="334"/>
      <c r="NZ243" s="334"/>
      <c r="OA243" s="334"/>
      <c r="OB243" s="334"/>
      <c r="OC243" s="334"/>
      <c r="OD243" s="334"/>
      <c r="OE243" s="334"/>
      <c r="OF243" s="334"/>
      <c r="OG243" s="334"/>
      <c r="OH243" s="334"/>
      <c r="OI243" s="334"/>
      <c r="OJ243" s="334"/>
      <c r="OK243" s="334"/>
      <c r="OL243" s="334"/>
      <c r="OM243" s="334"/>
      <c r="ON243" s="334"/>
      <c r="OO243" s="334"/>
      <c r="OP243" s="334"/>
      <c r="OQ243" s="334"/>
      <c r="OR243" s="334"/>
      <c r="OS243" s="334"/>
      <c r="OT243" s="334"/>
      <c r="OU243" s="334"/>
      <c r="OV243" s="334"/>
      <c r="OW243" s="334"/>
      <c r="OX243" s="334"/>
      <c r="OY243" s="334"/>
      <c r="OZ243" s="334"/>
      <c r="PA243" s="334"/>
      <c r="PB243" s="334"/>
      <c r="PC243" s="334"/>
      <c r="PD243" s="334"/>
      <c r="PE243" s="334"/>
      <c r="PF243" s="334"/>
      <c r="PG243" s="334"/>
      <c r="PH243" s="334"/>
      <c r="PI243" s="334"/>
      <c r="PJ243" s="334"/>
      <c r="PK243" s="334"/>
      <c r="PL243" s="334"/>
      <c r="PM243" s="334"/>
      <c r="PN243" s="334"/>
      <c r="PO243" s="334"/>
      <c r="PP243" s="334"/>
      <c r="PQ243" s="334"/>
      <c r="PR243" s="334"/>
      <c r="PS243" s="334"/>
      <c r="PT243" s="334"/>
      <c r="PU243" s="334"/>
      <c r="PV243" s="334"/>
      <c r="PW243" s="334"/>
      <c r="PX243" s="334"/>
      <c r="PY243" s="334"/>
      <c r="PZ243" s="334"/>
      <c r="QA243" s="334"/>
      <c r="QB243" s="334"/>
      <c r="QC243" s="334"/>
      <c r="QD243" s="334"/>
      <c r="QE243" s="334"/>
      <c r="QF243" s="334"/>
      <c r="QG243" s="334"/>
      <c r="QH243" s="334"/>
      <c r="QI243" s="334"/>
      <c r="QJ243" s="334"/>
      <c r="QK243" s="334"/>
      <c r="QL243" s="334"/>
      <c r="QM243" s="334"/>
      <c r="QN243" s="334"/>
      <c r="QO243" s="334"/>
      <c r="QP243" s="334"/>
      <c r="QQ243" s="334"/>
      <c r="QR243" s="334"/>
      <c r="QS243" s="334"/>
      <c r="QT243" s="334"/>
      <c r="QU243" s="334"/>
      <c r="QV243" s="334"/>
      <c r="QW243" s="334"/>
      <c r="QX243" s="334"/>
      <c r="QY243" s="334"/>
      <c r="QZ243" s="334"/>
      <c r="RA243" s="334"/>
      <c r="RB243" s="334"/>
      <c r="RC243" s="334"/>
      <c r="RD243" s="334"/>
      <c r="RE243" s="334"/>
      <c r="RF243" s="334"/>
      <c r="RG243" s="334"/>
      <c r="RH243" s="334"/>
      <c r="RI243" s="334"/>
      <c r="RJ243" s="334"/>
      <c r="RK243" s="334"/>
      <c r="RL243" s="334"/>
      <c r="RM243" s="334"/>
      <c r="RN243" s="334"/>
      <c r="RO243" s="334"/>
      <c r="RP243" s="334"/>
      <c r="RQ243" s="334"/>
      <c r="RR243" s="334"/>
      <c r="RS243" s="334"/>
      <c r="RT243" s="334"/>
      <c r="RU243" s="334"/>
      <c r="RV243" s="334"/>
      <c r="RW243" s="334"/>
      <c r="RX243" s="334"/>
      <c r="RY243" s="334"/>
      <c r="RZ243" s="334"/>
      <c r="SA243" s="334"/>
      <c r="SB243" s="334"/>
      <c r="SC243" s="334"/>
      <c r="SD243" s="334"/>
      <c r="SE243" s="334"/>
      <c r="SF243" s="334"/>
      <c r="SG243" s="334"/>
      <c r="SH243" s="334"/>
      <c r="SI243" s="334"/>
      <c r="SJ243" s="334"/>
      <c r="SK243" s="334"/>
      <c r="SL243" s="334"/>
      <c r="SM243" s="334"/>
      <c r="SN243" s="334"/>
      <c r="SO243" s="334"/>
      <c r="SP243" s="334"/>
      <c r="SQ243" s="334"/>
      <c r="SR243" s="334"/>
      <c r="SS243" s="334"/>
      <c r="ST243" s="334"/>
      <c r="SU243" s="334"/>
      <c r="SV243" s="334"/>
      <c r="SW243" s="334"/>
      <c r="SX243" s="334"/>
      <c r="SY243" s="334"/>
      <c r="SZ243" s="334"/>
      <c r="TA243" s="334"/>
      <c r="TB243" s="334"/>
      <c r="TC243" s="334"/>
      <c r="TD243" s="334"/>
      <c r="TE243" s="334"/>
      <c r="TF243" s="334"/>
      <c r="TG243" s="334"/>
      <c r="TH243" s="334"/>
      <c r="TI243" s="334"/>
      <c r="TJ243" s="334"/>
      <c r="TK243" s="334"/>
      <c r="TL243" s="334"/>
      <c r="TM243" s="334"/>
      <c r="TN243" s="334"/>
      <c r="TO243" s="334"/>
      <c r="TP243" s="334"/>
      <c r="TQ243" s="334"/>
      <c r="TR243" s="334"/>
      <c r="TS243" s="334"/>
      <c r="TT243" s="334"/>
      <c r="TU243" s="334"/>
      <c r="TV243" s="334"/>
      <c r="TW243" s="334"/>
      <c r="TX243" s="334"/>
      <c r="TY243" s="334"/>
      <c r="TZ243" s="334"/>
      <c r="UA243" s="334"/>
      <c r="UB243" s="334"/>
      <c r="UC243" s="334"/>
      <c r="UD243" s="334"/>
      <c r="UE243" s="334"/>
      <c r="UF243" s="334"/>
      <c r="UG243" s="334"/>
      <c r="UH243" s="334"/>
      <c r="UI243" s="334"/>
      <c r="UJ243" s="334"/>
      <c r="UK243" s="334"/>
      <c r="UL243" s="334"/>
      <c r="UM243" s="334"/>
      <c r="UN243" s="334"/>
      <c r="UO243" s="334"/>
      <c r="UP243" s="334"/>
      <c r="UQ243" s="334"/>
      <c r="UR243" s="334"/>
      <c r="US243" s="334"/>
      <c r="UT243" s="334"/>
      <c r="UU243" s="334"/>
      <c r="UV243" s="334"/>
      <c r="UW243" s="334"/>
      <c r="UX243" s="334"/>
      <c r="UY243" s="334"/>
      <c r="UZ243" s="334"/>
      <c r="VA243" s="334"/>
      <c r="VB243" s="334"/>
      <c r="VC243" s="334"/>
      <c r="VD243" s="334"/>
      <c r="VE243" s="334"/>
      <c r="VF243" s="334"/>
      <c r="VG243" s="334"/>
      <c r="VH243" s="334"/>
      <c r="VI243" s="334"/>
      <c r="VJ243" s="334"/>
      <c r="VK243" s="334"/>
      <c r="VL243" s="334"/>
      <c r="VM243" s="334"/>
      <c r="VN243" s="334"/>
      <c r="VO243" s="334"/>
      <c r="VP243" s="334"/>
      <c r="VQ243" s="334"/>
      <c r="VR243" s="334"/>
      <c r="VS243" s="334"/>
      <c r="VT243" s="334"/>
      <c r="VU243" s="334"/>
      <c r="VV243" s="334"/>
      <c r="VW243" s="334"/>
      <c r="VX243" s="334"/>
      <c r="VY243" s="334"/>
      <c r="VZ243" s="334"/>
      <c r="WA243" s="334"/>
      <c r="WB243" s="334"/>
      <c r="WC243" s="334"/>
      <c r="WD243" s="334"/>
      <c r="WE243" s="334"/>
      <c r="WF243" s="334"/>
      <c r="WG243" s="334"/>
      <c r="WH243" s="334"/>
      <c r="WI243" s="334"/>
      <c r="WJ243" s="334"/>
      <c r="WK243" s="334"/>
      <c r="WL243" s="334"/>
      <c r="WM243" s="334"/>
      <c r="WN243" s="334"/>
      <c r="WO243" s="334"/>
      <c r="WP243" s="334"/>
      <c r="WQ243" s="334"/>
      <c r="WR243" s="334"/>
      <c r="WS243" s="334"/>
      <c r="WT243" s="334"/>
      <c r="WU243" s="334"/>
      <c r="WV243" s="334"/>
      <c r="WW243" s="334"/>
      <c r="WX243" s="334"/>
      <c r="WY243" s="334"/>
      <c r="WZ243" s="334"/>
      <c r="XA243" s="334"/>
      <c r="XB243" s="334"/>
      <c r="XC243" s="334"/>
      <c r="XD243" s="334"/>
      <c r="XE243" s="334"/>
      <c r="XF243" s="334"/>
      <c r="XG243" s="334"/>
      <c r="XH243" s="334"/>
      <c r="XI243" s="334"/>
      <c r="XJ243" s="334"/>
      <c r="XK243" s="334"/>
      <c r="XL243" s="334"/>
      <c r="XM243" s="334"/>
      <c r="XN243" s="334"/>
      <c r="XO243" s="334"/>
      <c r="XP243" s="334"/>
      <c r="XQ243" s="334"/>
      <c r="XR243" s="334"/>
      <c r="XS243" s="334"/>
      <c r="XT243" s="334"/>
      <c r="XU243" s="334"/>
      <c r="XV243" s="334"/>
      <c r="XW243" s="334"/>
      <c r="XX243" s="334"/>
      <c r="XY243" s="334"/>
      <c r="XZ243" s="334"/>
      <c r="YA243" s="334"/>
      <c r="YB243" s="334"/>
      <c r="YC243" s="334"/>
      <c r="YD243" s="334"/>
      <c r="YE243" s="334"/>
      <c r="YF243" s="334"/>
      <c r="YG243" s="334"/>
      <c r="YH243" s="334"/>
      <c r="YI243" s="334"/>
      <c r="YJ243" s="334"/>
      <c r="YK243" s="334"/>
      <c r="YL243" s="334"/>
      <c r="YM243" s="334"/>
      <c r="YN243" s="334"/>
      <c r="YO243" s="334"/>
      <c r="YP243" s="334"/>
      <c r="YQ243" s="334"/>
      <c r="YR243" s="334"/>
      <c r="YS243" s="334"/>
      <c r="YT243" s="334"/>
      <c r="YU243" s="334"/>
      <c r="YV243" s="334"/>
      <c r="YW243" s="334"/>
      <c r="YX243" s="334"/>
      <c r="YY243" s="334"/>
      <c r="YZ243" s="334"/>
      <c r="ZA243" s="334"/>
      <c r="ZB243" s="334"/>
      <c r="ZC243" s="334"/>
      <c r="ZD243" s="334"/>
      <c r="ZE243" s="334"/>
      <c r="ZF243" s="334"/>
      <c r="ZG243" s="334"/>
      <c r="ZH243" s="334"/>
      <c r="ZI243" s="334"/>
      <c r="ZJ243" s="334"/>
      <c r="ZK243" s="334"/>
      <c r="ZL243" s="334"/>
      <c r="ZM243" s="334"/>
      <c r="ZN243" s="334"/>
      <c r="ZO243" s="334"/>
      <c r="ZP243" s="334"/>
      <c r="ZQ243" s="334"/>
      <c r="ZR243" s="334"/>
      <c r="ZS243" s="334"/>
      <c r="ZT243" s="334"/>
      <c r="ZU243" s="334"/>
      <c r="ZV243" s="334"/>
      <c r="ZW243" s="334"/>
      <c r="ZX243" s="334"/>
      <c r="ZY243" s="334"/>
      <c r="ZZ243" s="334"/>
      <c r="AAA243" s="334"/>
      <c r="AAB243" s="334"/>
      <c r="AAC243" s="334"/>
      <c r="AAD243" s="334"/>
      <c r="AAE243" s="334"/>
      <c r="AAF243" s="334"/>
      <c r="AAG243" s="334"/>
      <c r="AAH243" s="334"/>
      <c r="AAI243" s="334"/>
      <c r="AAJ243" s="334"/>
      <c r="AAK243" s="334"/>
      <c r="AAL243" s="334"/>
      <c r="AAM243" s="334"/>
      <c r="AAN243" s="334"/>
      <c r="AAO243" s="334"/>
      <c r="AAP243" s="334"/>
      <c r="AAQ243" s="334"/>
      <c r="AAR243" s="334"/>
      <c r="AAS243" s="334"/>
      <c r="AAT243" s="334"/>
      <c r="AAU243" s="334"/>
      <c r="AAV243" s="334"/>
      <c r="AAW243" s="334"/>
      <c r="AAX243" s="334"/>
      <c r="AAY243" s="334"/>
      <c r="AAZ243" s="334"/>
      <c r="ABA243" s="334"/>
      <c r="ABB243" s="334"/>
      <c r="ABC243" s="334"/>
      <c r="ABD243" s="334"/>
      <c r="ABE243" s="334"/>
      <c r="ABF243" s="334"/>
      <c r="ABG243" s="334"/>
      <c r="ABH243" s="334"/>
      <c r="ABI243" s="334"/>
      <c r="ABJ243" s="334"/>
      <c r="ABK243" s="334"/>
      <c r="ABL243" s="334"/>
      <c r="ABM243" s="334"/>
      <c r="ABN243" s="334"/>
      <c r="ABO243" s="334"/>
      <c r="ABP243" s="334"/>
      <c r="ABQ243" s="334"/>
      <c r="ABR243" s="334"/>
      <c r="ABS243" s="334"/>
      <c r="ABT243" s="334"/>
      <c r="ABU243" s="334"/>
      <c r="ABV243" s="334"/>
      <c r="ABW243" s="334"/>
      <c r="ABX243" s="334"/>
      <c r="ABY243" s="334"/>
      <c r="ABZ243" s="334"/>
      <c r="ACA243" s="334"/>
      <c r="ACB243" s="334"/>
      <c r="ACC243" s="334"/>
      <c r="ACD243" s="334"/>
      <c r="ACE243" s="334"/>
      <c r="ACF243" s="334"/>
      <c r="ACG243" s="334"/>
      <c r="ACH243" s="334"/>
      <c r="ACI243" s="334"/>
      <c r="ACJ243" s="334"/>
      <c r="ACK243" s="334"/>
      <c r="ACL243" s="334"/>
      <c r="ACM243" s="334"/>
      <c r="ACN243" s="334"/>
      <c r="ACO243" s="334"/>
      <c r="ACP243" s="334"/>
      <c r="ACQ243" s="334"/>
      <c r="ACR243" s="334"/>
      <c r="ACS243" s="334"/>
      <c r="ACT243" s="334"/>
      <c r="ACU243" s="334"/>
      <c r="ACV243" s="334"/>
      <c r="ACW243" s="334"/>
      <c r="ACX243" s="334"/>
      <c r="ACY243" s="334"/>
      <c r="ACZ243" s="334"/>
      <c r="ADA243" s="334"/>
      <c r="ADB243" s="334"/>
      <c r="ADC243" s="334"/>
      <c r="ADD243" s="334"/>
      <c r="ADE243" s="334"/>
      <c r="ADF243" s="334"/>
      <c r="ADG243" s="334"/>
      <c r="ADH243" s="334"/>
      <c r="ADI243" s="334"/>
      <c r="ADJ243" s="334"/>
      <c r="ADK243" s="334"/>
      <c r="ADL243" s="334"/>
      <c r="ADM243" s="334"/>
      <c r="ADN243" s="334"/>
      <c r="ADO243" s="334"/>
      <c r="ADP243" s="334"/>
      <c r="ADQ243" s="334"/>
      <c r="ADR243" s="334"/>
      <c r="ADS243" s="334"/>
      <c r="ADT243" s="334"/>
      <c r="ADU243" s="334"/>
      <c r="ADV243" s="334"/>
      <c r="ADW243" s="334"/>
      <c r="ADX243" s="334"/>
      <c r="ADY243" s="334"/>
      <c r="ADZ243" s="334"/>
      <c r="AEA243" s="334"/>
      <c r="AEB243" s="334"/>
      <c r="AEC243" s="334"/>
      <c r="AED243" s="334"/>
      <c r="AEE243" s="334"/>
      <c r="AEF243" s="334"/>
      <c r="AEG243" s="334"/>
      <c r="AEH243" s="334"/>
      <c r="AEI243" s="334"/>
      <c r="AEJ243" s="334"/>
      <c r="AEK243" s="334"/>
      <c r="AEL243" s="334"/>
      <c r="AEM243" s="334"/>
      <c r="AEN243" s="334"/>
      <c r="AEO243" s="334"/>
      <c r="AEP243" s="334"/>
      <c r="AEQ243" s="334"/>
      <c r="AER243" s="334"/>
      <c r="AES243" s="334"/>
      <c r="AET243" s="334"/>
      <c r="AEU243" s="334"/>
      <c r="AEV243" s="334"/>
      <c r="AEW243" s="334"/>
      <c r="AEX243" s="334"/>
      <c r="AEY243" s="334"/>
      <c r="AEZ243" s="334"/>
      <c r="AFA243" s="334"/>
      <c r="AFB243" s="334"/>
      <c r="AFC243" s="334"/>
      <c r="AFD243" s="334"/>
      <c r="AFE243" s="334"/>
      <c r="AFF243" s="334"/>
      <c r="AFG243" s="334"/>
      <c r="AFH243" s="334"/>
      <c r="AFI243" s="334"/>
      <c r="AFJ243" s="334"/>
      <c r="AFK243" s="334"/>
      <c r="AFL243" s="334"/>
      <c r="AFM243" s="334"/>
      <c r="AFN243" s="334"/>
      <c r="AFO243" s="334"/>
      <c r="AFP243" s="334"/>
      <c r="AFQ243" s="334"/>
      <c r="AFR243" s="334"/>
      <c r="AFS243" s="334"/>
      <c r="AFT243" s="334"/>
      <c r="AFU243" s="334"/>
      <c r="AFV243" s="334"/>
      <c r="AFW243" s="334"/>
      <c r="AFX243" s="334"/>
      <c r="AFY243" s="334"/>
      <c r="AFZ243" s="334"/>
      <c r="AGA243" s="334"/>
      <c r="AGB243" s="334"/>
      <c r="AGC243" s="334"/>
      <c r="AGD243" s="334"/>
      <c r="AGE243" s="334"/>
      <c r="AGF243" s="334"/>
      <c r="AGG243" s="334"/>
      <c r="AGH243" s="334"/>
      <c r="AGI243" s="334"/>
      <c r="AGJ243" s="334"/>
      <c r="AGK243" s="334"/>
      <c r="AGL243" s="334"/>
      <c r="AGM243" s="334"/>
      <c r="AGN243" s="334"/>
      <c r="AGO243" s="334"/>
      <c r="AGP243" s="334"/>
      <c r="AGQ243" s="334"/>
      <c r="AGR243" s="334"/>
      <c r="AGS243" s="334"/>
      <c r="AGT243" s="334"/>
      <c r="AGU243" s="334"/>
      <c r="AGV243" s="334"/>
      <c r="AGW243" s="334"/>
      <c r="AGX243" s="334"/>
      <c r="AGY243" s="334"/>
      <c r="AGZ243" s="334"/>
      <c r="AHA243" s="334"/>
      <c r="AHB243" s="334"/>
      <c r="AHC243" s="334"/>
      <c r="AHD243" s="334"/>
      <c r="AHE243" s="334"/>
      <c r="AHF243" s="334"/>
      <c r="AHG243" s="334"/>
      <c r="AHH243" s="334"/>
      <c r="AHI243" s="334"/>
      <c r="AHJ243" s="334"/>
      <c r="AHK243" s="334"/>
      <c r="AHL243" s="334"/>
      <c r="AHM243" s="334"/>
      <c r="AHN243" s="334"/>
      <c r="AHO243" s="334"/>
      <c r="AHP243" s="334"/>
      <c r="AHQ243" s="334"/>
      <c r="AHR243" s="334"/>
      <c r="AHS243" s="334"/>
      <c r="AHT243" s="334"/>
      <c r="AHU243" s="334"/>
      <c r="AHV243" s="334"/>
      <c r="AHW243" s="334"/>
      <c r="AHX243" s="334"/>
      <c r="AHY243" s="334"/>
      <c r="AHZ243" s="334"/>
      <c r="AIA243" s="334"/>
      <c r="AIB243" s="334"/>
      <c r="AIC243" s="334"/>
      <c r="AID243" s="334"/>
      <c r="AIE243" s="334"/>
      <c r="AIF243" s="334"/>
      <c r="AIG243" s="334"/>
      <c r="AIH243" s="334"/>
      <c r="AII243" s="334"/>
      <c r="AIJ243" s="334"/>
      <c r="AIK243" s="334"/>
      <c r="AIL243" s="334"/>
      <c r="AIM243" s="334"/>
      <c r="AIN243" s="334"/>
      <c r="AIO243" s="334"/>
      <c r="AIP243" s="334"/>
      <c r="AIQ243" s="334"/>
      <c r="AIR243" s="334"/>
      <c r="AIS243" s="334"/>
      <c r="AIT243" s="334"/>
      <c r="AIU243" s="334"/>
      <c r="AIV243" s="334"/>
      <c r="AIW243" s="334"/>
      <c r="AIX243" s="334"/>
      <c r="AIY243" s="334"/>
      <c r="AIZ243" s="334"/>
      <c r="AJA243" s="334"/>
      <c r="AJB243" s="334"/>
      <c r="AJC243" s="334"/>
      <c r="AJD243" s="334"/>
      <c r="AJE243" s="334"/>
      <c r="AJF243" s="334"/>
      <c r="AJG243" s="334"/>
      <c r="AJH243" s="334"/>
      <c r="AJI243" s="334"/>
      <c r="AJJ243" s="334"/>
      <c r="AJK243" s="334"/>
      <c r="AJL243" s="334"/>
      <c r="AJM243" s="334"/>
      <c r="AJN243" s="334"/>
      <c r="AJO243" s="334"/>
      <c r="AJP243" s="334"/>
      <c r="AJQ243" s="334"/>
      <c r="AJR243" s="334"/>
      <c r="AJS243" s="334"/>
      <c r="AJT243" s="334"/>
      <c r="AJU243" s="334"/>
      <c r="AJV243" s="334"/>
      <c r="AJW243" s="334"/>
      <c r="AJX243" s="334"/>
      <c r="AJY243" s="334"/>
      <c r="AJZ243" s="334"/>
      <c r="AKA243" s="334"/>
      <c r="AKB243" s="334"/>
      <c r="AKC243" s="334"/>
      <c r="AKD243" s="334"/>
      <c r="AKE243" s="334"/>
      <c r="AKF243" s="334"/>
      <c r="AKG243" s="334"/>
      <c r="AKH243" s="334"/>
      <c r="AKI243" s="334"/>
      <c r="AKJ243" s="334"/>
      <c r="AKK243" s="334"/>
      <c r="AKL243" s="334"/>
      <c r="AKM243" s="334"/>
      <c r="AKN243" s="334"/>
      <c r="AKO243" s="334"/>
      <c r="AKP243" s="334"/>
      <c r="AKQ243" s="334"/>
      <c r="AKR243" s="334"/>
      <c r="AKS243" s="334"/>
      <c r="AKT243" s="334"/>
      <c r="AKU243" s="334"/>
      <c r="AKV243" s="334"/>
      <c r="AKW243" s="334"/>
      <c r="AKX243" s="334"/>
      <c r="AKY243" s="334"/>
      <c r="AKZ243" s="334"/>
      <c r="ALA243" s="334"/>
      <c r="ALB243" s="334"/>
      <c r="ALC243" s="334"/>
      <c r="ALD243" s="334"/>
      <c r="ALE243" s="334"/>
      <c r="ALF243" s="334"/>
      <c r="ALG243" s="334"/>
      <c r="ALH243" s="334"/>
      <c r="ALI243" s="334"/>
      <c r="ALJ243" s="334"/>
      <c r="ALK243" s="334"/>
      <c r="ALL243" s="334"/>
      <c r="ALM243" s="334"/>
      <c r="ALN243" s="334"/>
      <c r="ALO243" s="334"/>
      <c r="ALP243" s="334"/>
      <c r="ALQ243" s="334"/>
      <c r="ALR243" s="334"/>
      <c r="ALS243" s="334"/>
      <c r="ALT243" s="334"/>
      <c r="ALU243" s="334"/>
      <c r="ALV243" s="334"/>
      <c r="ALW243" s="334"/>
      <c r="ALX243" s="334"/>
      <c r="ALY243" s="334"/>
      <c r="ALZ243" s="334"/>
      <c r="AMA243" s="334"/>
      <c r="AMB243" s="334"/>
      <c r="AMC243" s="334"/>
      <c r="AMD243" s="334"/>
      <c r="AME243" s="334"/>
      <c r="AMF243" s="334"/>
      <c r="AMG243" s="334"/>
      <c r="AMH243" s="334"/>
      <c r="AMI243" s="334"/>
      <c r="AMJ243" s="334"/>
      <c r="AMK243" s="334"/>
      <c r="AML243" s="334"/>
      <c r="AMM243" s="334"/>
      <c r="AMN243" s="334"/>
      <c r="AMO243" s="334"/>
      <c r="AMP243" s="334"/>
      <c r="AMQ243" s="334"/>
      <c r="AMR243" s="334"/>
      <c r="AMS243" s="334"/>
      <c r="AMT243" s="334"/>
      <c r="AMU243" s="334"/>
      <c r="AMV243" s="334"/>
      <c r="AMW243" s="334"/>
      <c r="AMX243" s="334"/>
      <c r="AMY243" s="334"/>
      <c r="AMZ243" s="334"/>
      <c r="ANA243" s="334"/>
      <c r="ANB243" s="334"/>
      <c r="ANC243" s="334"/>
      <c r="AND243" s="334"/>
      <c r="ANE243" s="334"/>
      <c r="ANF243" s="334"/>
      <c r="ANG243" s="334"/>
      <c r="ANH243" s="334"/>
      <c r="ANI243" s="334"/>
      <c r="ANJ243" s="334"/>
      <c r="ANK243" s="334"/>
      <c r="ANL243" s="334"/>
      <c r="ANM243" s="334"/>
      <c r="ANN243" s="334"/>
      <c r="ANO243" s="334"/>
      <c r="ANP243" s="334"/>
      <c r="ANQ243" s="334"/>
      <c r="ANR243" s="334"/>
      <c r="ANS243" s="334"/>
      <c r="ANT243" s="334"/>
      <c r="ANU243" s="334"/>
      <c r="ANV243" s="334"/>
      <c r="ANW243" s="334"/>
      <c r="ANX243" s="334"/>
      <c r="ANY243" s="334"/>
      <c r="ANZ243" s="334"/>
      <c r="AOA243" s="334"/>
      <c r="AOB243" s="334"/>
      <c r="AOC243" s="334"/>
      <c r="AOD243" s="334"/>
      <c r="AOE243" s="334"/>
      <c r="AOF243" s="334"/>
      <c r="AOG243" s="334"/>
      <c r="AOH243" s="334"/>
      <c r="AOI243" s="334"/>
      <c r="AOJ243" s="334"/>
      <c r="AOK243" s="334"/>
      <c r="AOL243" s="334"/>
      <c r="AOM243" s="334"/>
      <c r="AON243" s="334"/>
      <c r="AOO243" s="334"/>
      <c r="AOP243" s="334"/>
      <c r="AOQ243" s="334"/>
      <c r="AOR243" s="334"/>
      <c r="AOS243" s="334"/>
      <c r="AOT243" s="334"/>
      <c r="AOU243" s="334"/>
      <c r="AOV243" s="334"/>
      <c r="AOW243" s="334"/>
      <c r="AOX243" s="334"/>
      <c r="AOY243" s="334"/>
      <c r="AOZ243" s="334"/>
      <c r="APA243" s="334"/>
      <c r="APB243" s="334"/>
      <c r="APC243" s="334"/>
      <c r="APD243" s="334"/>
      <c r="APE243" s="334"/>
      <c r="APF243" s="334"/>
      <c r="APG243" s="334"/>
      <c r="APH243" s="334"/>
      <c r="API243" s="334"/>
      <c r="APJ243" s="334"/>
      <c r="APK243" s="334"/>
      <c r="APL243" s="334"/>
      <c r="APM243" s="334"/>
      <c r="APN243" s="334"/>
      <c r="APO243" s="334"/>
      <c r="APP243" s="334"/>
      <c r="APQ243" s="334"/>
      <c r="APR243" s="334"/>
      <c r="APS243" s="334"/>
      <c r="APT243" s="334"/>
      <c r="APU243" s="334"/>
      <c r="APV243" s="334"/>
      <c r="APW243" s="334"/>
      <c r="APX243" s="334"/>
      <c r="APY243" s="334"/>
      <c r="APZ243" s="334"/>
      <c r="AQA243" s="334"/>
      <c r="AQB243" s="334"/>
      <c r="AQC243" s="334"/>
      <c r="AQD243" s="334"/>
      <c r="AQE243" s="334"/>
      <c r="AQF243" s="334"/>
      <c r="AQG243" s="334"/>
      <c r="AQH243" s="334"/>
      <c r="AQI243" s="334"/>
      <c r="AQJ243" s="334"/>
      <c r="AQK243" s="334"/>
      <c r="AQL243" s="334"/>
      <c r="AQM243" s="334"/>
      <c r="AQN243" s="334"/>
      <c r="AQO243" s="334"/>
      <c r="AQP243" s="334"/>
      <c r="AQQ243" s="334"/>
      <c r="AQR243" s="334"/>
      <c r="AQS243" s="334"/>
      <c r="AQT243" s="334"/>
      <c r="AQU243" s="334"/>
      <c r="AQV243" s="334"/>
      <c r="AQW243" s="334"/>
      <c r="AQX243" s="334"/>
      <c r="AQY243" s="334"/>
      <c r="AQZ243" s="334"/>
      <c r="ARA243" s="334"/>
      <c r="ARB243" s="334"/>
      <c r="ARC243" s="334"/>
      <c r="ARD243" s="334"/>
      <c r="ARE243" s="334"/>
      <c r="ARF243" s="334"/>
      <c r="ARG243" s="334"/>
      <c r="ARH243" s="334"/>
      <c r="ARI243" s="334"/>
      <c r="ARJ243" s="334"/>
      <c r="ARK243" s="334"/>
      <c r="ARL243" s="334"/>
      <c r="ARM243" s="334"/>
      <c r="ARN243" s="334"/>
      <c r="ARO243" s="334"/>
      <c r="ARP243" s="334"/>
      <c r="ARQ243" s="334"/>
      <c r="ARR243" s="334"/>
      <c r="ARS243" s="334"/>
      <c r="ART243" s="334"/>
      <c r="ARU243" s="334"/>
      <c r="ARV243" s="334"/>
      <c r="ARW243" s="334"/>
      <c r="ARX243" s="334"/>
      <c r="ARY243" s="334"/>
      <c r="ARZ243" s="334"/>
      <c r="ASA243" s="334"/>
      <c r="ASB243" s="334"/>
      <c r="ASC243" s="334"/>
      <c r="ASD243" s="334"/>
      <c r="ASE243" s="334"/>
      <c r="ASF243" s="334"/>
      <c r="ASG243" s="334"/>
      <c r="ASH243" s="334"/>
      <c r="ASI243" s="334"/>
      <c r="ASJ243" s="334"/>
      <c r="ASK243" s="334"/>
      <c r="ASL243" s="334"/>
      <c r="ASM243" s="334"/>
      <c r="ASN243" s="334"/>
      <c r="ASO243" s="334"/>
      <c r="ASP243" s="334"/>
      <c r="ASQ243" s="334"/>
      <c r="ASR243" s="334"/>
      <c r="ASS243" s="334"/>
      <c r="AST243" s="334"/>
      <c r="ASU243" s="334"/>
      <c r="ASV243" s="334"/>
      <c r="ASW243" s="334"/>
      <c r="ASX243" s="334"/>
      <c r="ASY243" s="334"/>
      <c r="ASZ243" s="334"/>
      <c r="ATA243" s="334"/>
      <c r="ATB243" s="334"/>
      <c r="ATC243" s="334"/>
      <c r="ATD243" s="334"/>
      <c r="ATE243" s="334"/>
      <c r="ATF243" s="334"/>
      <c r="ATG243" s="334"/>
      <c r="ATH243" s="334"/>
      <c r="ATI243" s="334"/>
      <c r="ATJ243" s="334"/>
      <c r="ATK243" s="334"/>
      <c r="ATL243" s="334"/>
      <c r="ATM243" s="334"/>
      <c r="ATN243" s="334"/>
      <c r="ATO243" s="334"/>
      <c r="ATP243" s="334"/>
      <c r="ATQ243" s="334"/>
      <c r="ATR243" s="334"/>
      <c r="ATS243" s="334"/>
      <c r="ATT243" s="334"/>
      <c r="ATU243" s="334"/>
      <c r="ATV243" s="334"/>
      <c r="ATW243" s="334"/>
      <c r="ATX243" s="334"/>
      <c r="ATY243" s="334"/>
      <c r="ATZ243" s="334"/>
      <c r="AUA243" s="334"/>
      <c r="AUB243" s="334"/>
      <c r="AUC243" s="334"/>
      <c r="AUD243" s="334"/>
      <c r="AUE243" s="334"/>
      <c r="AUF243" s="334"/>
      <c r="AUG243" s="334"/>
      <c r="AUH243" s="334"/>
      <c r="AUI243" s="334"/>
      <c r="AUJ243" s="334"/>
      <c r="AUK243" s="334"/>
      <c r="AUL243" s="334"/>
      <c r="AUM243" s="334"/>
      <c r="AUN243" s="334"/>
      <c r="AUO243" s="334"/>
      <c r="AUP243" s="334"/>
      <c r="AUQ243" s="334"/>
      <c r="AUR243" s="334"/>
      <c r="AUS243" s="334"/>
      <c r="AUT243" s="334"/>
      <c r="AUU243" s="334"/>
      <c r="AUV243" s="334"/>
      <c r="AUW243" s="334"/>
      <c r="AUX243" s="334"/>
      <c r="AUY243" s="334"/>
      <c r="AUZ243" s="334"/>
      <c r="AVA243" s="334"/>
      <c r="AVB243" s="334"/>
      <c r="AVC243" s="334"/>
      <c r="AVD243" s="334"/>
      <c r="AVE243" s="334"/>
      <c r="AVF243" s="334"/>
      <c r="AVG243" s="334"/>
      <c r="AVH243" s="334"/>
      <c r="AVI243" s="334"/>
      <c r="AVJ243" s="334"/>
      <c r="AVK243" s="334"/>
      <c r="AVL243" s="334"/>
      <c r="AVM243" s="334"/>
      <c r="AVN243" s="334"/>
      <c r="AVO243" s="334"/>
      <c r="AVP243" s="334"/>
      <c r="AVQ243" s="334"/>
      <c r="AVR243" s="334"/>
      <c r="AVS243" s="334"/>
      <c r="AVT243" s="334"/>
      <c r="AVU243" s="334"/>
      <c r="AVV243" s="334"/>
      <c r="AVW243" s="334"/>
      <c r="AVX243" s="334"/>
      <c r="AVY243" s="334"/>
      <c r="AVZ243" s="334"/>
      <c r="AWA243" s="334"/>
      <c r="AWB243" s="334"/>
      <c r="AWC243" s="334"/>
      <c r="AWD243" s="334"/>
      <c r="AWE243" s="334"/>
      <c r="AWF243" s="334"/>
      <c r="AWG243" s="334"/>
      <c r="AWH243" s="334"/>
      <c r="AWI243" s="334"/>
      <c r="AWJ243" s="334"/>
      <c r="AWK243" s="334"/>
      <c r="AWL243" s="334"/>
      <c r="AWM243" s="334"/>
      <c r="AWN243" s="334"/>
      <c r="AWO243" s="334"/>
      <c r="AWP243" s="334"/>
      <c r="AWQ243" s="334"/>
      <c r="AWR243" s="334"/>
      <c r="AWS243" s="334"/>
      <c r="AWT243" s="334"/>
      <c r="AWU243" s="334"/>
      <c r="AWV243" s="334"/>
      <c r="AWW243" s="334"/>
      <c r="AWX243" s="334"/>
      <c r="AWY243" s="334"/>
      <c r="AWZ243" s="334"/>
      <c r="AXA243" s="334"/>
      <c r="AXB243" s="334"/>
      <c r="AXC243" s="334"/>
      <c r="AXD243" s="334"/>
      <c r="AXE243" s="334"/>
      <c r="AXF243" s="334"/>
      <c r="AXG243" s="334"/>
      <c r="AXH243" s="334"/>
      <c r="AXI243" s="334"/>
      <c r="AXJ243" s="334"/>
      <c r="AXK243" s="334"/>
      <c r="AXL243" s="334"/>
      <c r="AXM243" s="334"/>
      <c r="AXN243" s="334"/>
      <c r="AXO243" s="334"/>
      <c r="AXP243" s="334"/>
      <c r="AXQ243" s="334"/>
      <c r="AXR243" s="334"/>
      <c r="AXS243" s="334"/>
      <c r="AXT243" s="334"/>
      <c r="AXU243" s="334"/>
      <c r="AXV243" s="334"/>
      <c r="AXW243" s="334"/>
      <c r="AXX243" s="334"/>
      <c r="AXY243" s="334"/>
      <c r="AXZ243" s="334"/>
      <c r="AYA243" s="334"/>
      <c r="AYB243" s="334"/>
      <c r="AYC243" s="334"/>
      <c r="AYD243" s="334"/>
      <c r="AYE243" s="334"/>
      <c r="AYF243" s="334"/>
      <c r="AYG243" s="334"/>
      <c r="AYH243" s="334"/>
      <c r="AYI243" s="334"/>
      <c r="AYJ243" s="334"/>
      <c r="AYK243" s="334"/>
      <c r="AYL243" s="334"/>
      <c r="AYM243" s="334"/>
      <c r="AYN243" s="334"/>
      <c r="AYO243" s="334"/>
      <c r="AYP243" s="334"/>
      <c r="AYQ243" s="334"/>
      <c r="AYR243" s="334"/>
      <c r="AYS243" s="334"/>
      <c r="AYT243" s="334"/>
      <c r="AYU243" s="334"/>
      <c r="AYV243" s="334"/>
      <c r="AYW243" s="334"/>
      <c r="AYX243" s="334"/>
      <c r="AYY243" s="334"/>
      <c r="AYZ243" s="334"/>
      <c r="AZA243" s="334"/>
      <c r="AZB243" s="334"/>
      <c r="AZC243" s="334"/>
      <c r="AZD243" s="334"/>
      <c r="AZE243" s="334"/>
      <c r="AZF243" s="334"/>
      <c r="AZG243" s="334"/>
      <c r="AZH243" s="334"/>
      <c r="AZI243" s="334"/>
      <c r="AZJ243" s="334"/>
      <c r="AZK243" s="334"/>
      <c r="AZL243" s="334"/>
      <c r="AZM243" s="334"/>
      <c r="AZN243" s="334"/>
      <c r="AZO243" s="334"/>
      <c r="AZP243" s="334"/>
      <c r="AZQ243" s="334"/>
      <c r="AZR243" s="334"/>
      <c r="AZS243" s="334"/>
      <c r="AZT243" s="334"/>
      <c r="AZU243" s="334"/>
      <c r="AZV243" s="334"/>
      <c r="AZW243" s="334"/>
      <c r="AZX243" s="334"/>
      <c r="AZY243" s="334"/>
      <c r="AZZ243" s="334"/>
      <c r="BAA243" s="334"/>
      <c r="BAB243" s="334"/>
      <c r="BAC243" s="334"/>
      <c r="BAD243" s="334"/>
      <c r="BAE243" s="334"/>
      <c r="BAF243" s="334"/>
      <c r="BAG243" s="334"/>
      <c r="BAH243" s="334"/>
      <c r="BAI243" s="334"/>
      <c r="BAJ243" s="334"/>
      <c r="BAK243" s="334"/>
      <c r="BAL243" s="334"/>
      <c r="BAM243" s="334"/>
      <c r="BAN243" s="334"/>
      <c r="BAO243" s="334"/>
      <c r="BAP243" s="334"/>
      <c r="BAQ243" s="334"/>
      <c r="BAR243" s="334"/>
      <c r="BAS243" s="334"/>
      <c r="BAT243" s="334"/>
      <c r="BAU243" s="334"/>
      <c r="BAV243" s="334"/>
      <c r="BAW243" s="334"/>
      <c r="BAX243" s="334"/>
      <c r="BAY243" s="334"/>
      <c r="BAZ243" s="334"/>
      <c r="BBA243" s="334"/>
      <c r="BBB243" s="334"/>
      <c r="BBC243" s="334"/>
      <c r="BBD243" s="334"/>
      <c r="BBE243" s="334"/>
      <c r="BBF243" s="334"/>
      <c r="BBG243" s="334"/>
      <c r="BBH243" s="334"/>
      <c r="BBI243" s="334"/>
      <c r="BBJ243" s="334"/>
      <c r="BBK243" s="334"/>
      <c r="BBL243" s="334"/>
      <c r="BBM243" s="334"/>
      <c r="BBN243" s="334"/>
      <c r="BBO243" s="334"/>
      <c r="BBP243" s="334"/>
      <c r="BBQ243" s="334"/>
      <c r="BBR243" s="334"/>
      <c r="BBS243" s="334"/>
      <c r="BBT243" s="334"/>
      <c r="BBU243" s="334"/>
      <c r="BBV243" s="334"/>
      <c r="BBW243" s="334"/>
      <c r="BBX243" s="334"/>
      <c r="BBY243" s="334"/>
      <c r="BBZ243" s="334"/>
      <c r="BCA243" s="334"/>
      <c r="BCB243" s="334"/>
      <c r="BCC243" s="334"/>
      <c r="BCD243" s="334"/>
      <c r="BCE243" s="334"/>
      <c r="BCF243" s="334"/>
      <c r="BCG243" s="334"/>
      <c r="BCH243" s="334"/>
      <c r="BCI243" s="334"/>
      <c r="BCJ243" s="334"/>
      <c r="BCK243" s="334"/>
      <c r="BCL243" s="334"/>
      <c r="BCM243" s="334"/>
      <c r="BCN243" s="334"/>
      <c r="BCO243" s="334"/>
      <c r="BCP243" s="334"/>
      <c r="BCQ243" s="334"/>
      <c r="BCR243" s="334"/>
      <c r="BCS243" s="334"/>
      <c r="BCT243" s="334"/>
      <c r="BCU243" s="334"/>
      <c r="BCV243" s="334"/>
      <c r="BCW243" s="334"/>
      <c r="BCX243" s="334"/>
      <c r="BCY243" s="334"/>
      <c r="BCZ243" s="334"/>
      <c r="BDA243" s="334"/>
      <c r="BDB243" s="334"/>
      <c r="BDC243" s="334"/>
      <c r="BDD243" s="334"/>
      <c r="BDE243" s="334"/>
      <c r="BDF243" s="334"/>
      <c r="BDG243" s="334"/>
      <c r="BDH243" s="334"/>
      <c r="BDI243" s="334"/>
      <c r="BDJ243" s="334"/>
      <c r="BDK243" s="334"/>
      <c r="BDL243" s="334"/>
      <c r="BDM243" s="334"/>
      <c r="BDN243" s="334"/>
      <c r="BDO243" s="334"/>
      <c r="BDP243" s="334"/>
      <c r="BDQ243" s="334"/>
      <c r="BDR243" s="334"/>
      <c r="BDS243" s="334"/>
      <c r="BDT243" s="334"/>
      <c r="BDU243" s="334"/>
      <c r="BDV243" s="334"/>
      <c r="BDW243" s="334"/>
      <c r="BDX243" s="334"/>
      <c r="BDY243" s="334"/>
      <c r="BDZ243" s="334"/>
      <c r="BEA243" s="334"/>
      <c r="BEB243" s="334"/>
      <c r="BEC243" s="334"/>
      <c r="BED243" s="334"/>
      <c r="BEE243" s="334"/>
      <c r="BEF243" s="334"/>
      <c r="BEG243" s="334"/>
      <c r="BEH243" s="334"/>
      <c r="BEI243" s="334"/>
      <c r="BEJ243" s="334"/>
      <c r="BEK243" s="334"/>
      <c r="BEL243" s="334"/>
      <c r="BEM243" s="334"/>
      <c r="BEN243" s="334"/>
      <c r="BEO243" s="334"/>
      <c r="BEP243" s="334"/>
      <c r="BEQ243" s="334"/>
      <c r="BER243" s="334"/>
      <c r="BES243" s="334"/>
      <c r="BET243" s="334"/>
      <c r="BEU243" s="334"/>
      <c r="BEV243" s="334"/>
      <c r="BEW243" s="334"/>
      <c r="BEX243" s="334"/>
      <c r="BEY243" s="334"/>
      <c r="BEZ243" s="334"/>
      <c r="BFA243" s="334"/>
      <c r="BFB243" s="334"/>
      <c r="BFC243" s="334"/>
      <c r="BFD243" s="334"/>
      <c r="BFE243" s="334"/>
      <c r="BFF243" s="334"/>
      <c r="BFG243" s="334"/>
      <c r="BFH243" s="334"/>
      <c r="BFI243" s="334"/>
      <c r="BFJ243" s="334"/>
      <c r="BFK243" s="334"/>
      <c r="BFL243" s="334"/>
      <c r="BFM243" s="334"/>
      <c r="BFN243" s="334"/>
      <c r="BFO243" s="334"/>
      <c r="BFP243" s="334"/>
      <c r="BFQ243" s="334"/>
      <c r="BFR243" s="334"/>
      <c r="BFS243" s="334"/>
      <c r="BFT243" s="334"/>
      <c r="BFU243" s="334"/>
      <c r="BFV243" s="334"/>
      <c r="BFW243" s="334"/>
      <c r="BFX243" s="334"/>
      <c r="BFY243" s="334"/>
      <c r="BFZ243" s="334"/>
      <c r="BGA243" s="334"/>
      <c r="BGB243" s="334"/>
      <c r="BGC243" s="334"/>
      <c r="BGD243" s="334"/>
      <c r="BGE243" s="334"/>
      <c r="BGF243" s="334"/>
      <c r="BGG243" s="334"/>
      <c r="BGH243" s="334"/>
      <c r="BGI243" s="334"/>
      <c r="BGJ243" s="334"/>
      <c r="BGK243" s="334"/>
      <c r="BGL243" s="334"/>
      <c r="BGM243" s="334"/>
      <c r="BGN243" s="334"/>
      <c r="BGO243" s="334"/>
      <c r="BGP243" s="334"/>
      <c r="BGQ243" s="334"/>
      <c r="BGR243" s="334"/>
      <c r="BGS243" s="334"/>
      <c r="BGT243" s="334"/>
      <c r="BGU243" s="334"/>
      <c r="BGV243" s="334"/>
      <c r="BGW243" s="334"/>
      <c r="BGX243" s="334"/>
      <c r="BGY243" s="334"/>
      <c r="BGZ243" s="334"/>
      <c r="BHA243" s="334"/>
      <c r="BHB243" s="334"/>
      <c r="BHC243" s="334"/>
      <c r="BHD243" s="334"/>
      <c r="BHE243" s="334"/>
      <c r="BHF243" s="334"/>
      <c r="BHG243" s="334"/>
      <c r="BHH243" s="334"/>
      <c r="BHI243" s="334"/>
      <c r="BHJ243" s="334"/>
      <c r="BHK243" s="334"/>
      <c r="BHL243" s="334"/>
      <c r="BHM243" s="334"/>
      <c r="BHN243" s="334"/>
      <c r="BHO243" s="334"/>
      <c r="BHP243" s="334"/>
      <c r="BHQ243" s="334"/>
      <c r="BHR243" s="334"/>
      <c r="BHS243" s="334"/>
      <c r="BHT243" s="334"/>
      <c r="BHU243" s="334"/>
      <c r="BHV243" s="334"/>
      <c r="BHW243" s="334"/>
      <c r="BHX243" s="334"/>
      <c r="BHY243" s="334"/>
      <c r="BHZ243" s="334"/>
      <c r="BIA243" s="334"/>
      <c r="BIB243" s="334"/>
      <c r="BIC243" s="334"/>
      <c r="BID243" s="334"/>
      <c r="BIE243" s="334"/>
      <c r="BIF243" s="334"/>
      <c r="BIG243" s="334"/>
      <c r="BIH243" s="334"/>
      <c r="BII243" s="334"/>
      <c r="BIJ243" s="334"/>
      <c r="BIK243" s="334"/>
      <c r="BIL243" s="334"/>
      <c r="BIM243" s="334"/>
      <c r="BIN243" s="334"/>
      <c r="BIO243" s="334"/>
      <c r="BIP243" s="334"/>
      <c r="BIQ243" s="334"/>
      <c r="BIR243" s="334"/>
      <c r="BIS243" s="334"/>
      <c r="BIT243" s="334"/>
      <c r="BIU243" s="334"/>
      <c r="BIV243" s="334"/>
      <c r="BIW243" s="334"/>
      <c r="BIX243" s="334"/>
      <c r="BIY243" s="334"/>
      <c r="BIZ243" s="334"/>
      <c r="BJA243" s="334"/>
      <c r="BJB243" s="334"/>
      <c r="BJC243" s="334"/>
      <c r="BJD243" s="334"/>
      <c r="BJE243" s="334"/>
      <c r="BJF243" s="334"/>
      <c r="BJG243" s="334"/>
      <c r="BJH243" s="334"/>
      <c r="BJI243" s="334"/>
      <c r="BJJ243" s="334"/>
      <c r="BJK243" s="334"/>
      <c r="BJL243" s="334"/>
      <c r="BJM243" s="334"/>
      <c r="BJN243" s="334"/>
      <c r="BJO243" s="334"/>
      <c r="BJP243" s="334"/>
      <c r="BJQ243" s="334"/>
      <c r="BJR243" s="334"/>
      <c r="BJS243" s="334"/>
      <c r="BJT243" s="334"/>
      <c r="BJU243" s="334"/>
      <c r="BJV243" s="334"/>
      <c r="BJW243" s="334"/>
      <c r="BJX243" s="334"/>
      <c r="BJY243" s="334"/>
      <c r="BJZ243" s="334"/>
      <c r="BKA243" s="334"/>
      <c r="BKB243" s="334"/>
      <c r="BKC243" s="334"/>
      <c r="BKD243" s="334"/>
      <c r="BKE243" s="334"/>
      <c r="BKF243" s="334"/>
      <c r="BKG243" s="334"/>
      <c r="BKH243" s="334"/>
      <c r="BKI243" s="334"/>
      <c r="BKJ243" s="334"/>
      <c r="BKK243" s="334"/>
      <c r="BKL243" s="334"/>
      <c r="BKM243" s="334"/>
      <c r="BKN243" s="334"/>
      <c r="BKO243" s="334"/>
      <c r="BKP243" s="334"/>
      <c r="BKQ243" s="334"/>
      <c r="BKR243" s="334"/>
      <c r="BKS243" s="334"/>
      <c r="BKT243" s="334"/>
      <c r="BKU243" s="334"/>
      <c r="BKV243" s="334"/>
      <c r="BKW243" s="334"/>
      <c r="BKX243" s="334"/>
      <c r="BKY243" s="334"/>
      <c r="BKZ243" s="334"/>
      <c r="BLA243" s="334"/>
      <c r="BLB243" s="334"/>
      <c r="BLC243" s="334"/>
      <c r="BLD243" s="334"/>
      <c r="BLE243" s="334"/>
      <c r="BLF243" s="334"/>
      <c r="BLG243" s="334"/>
      <c r="BLH243" s="334"/>
      <c r="BLI243" s="334"/>
      <c r="BLJ243" s="334"/>
      <c r="BLK243" s="334"/>
      <c r="BLL243" s="334"/>
      <c r="BLM243" s="334"/>
      <c r="BLN243" s="334"/>
      <c r="BLO243" s="334"/>
      <c r="BLP243" s="334"/>
      <c r="BLQ243" s="334"/>
      <c r="BLR243" s="334"/>
      <c r="BLS243" s="334"/>
      <c r="BLT243" s="334"/>
      <c r="BLU243" s="334"/>
      <c r="BLV243" s="334"/>
      <c r="BLW243" s="334"/>
      <c r="BLX243" s="334"/>
      <c r="BLY243" s="334"/>
      <c r="BLZ243" s="334"/>
      <c r="BMA243" s="334"/>
      <c r="BMB243" s="334"/>
      <c r="BMC243" s="334"/>
      <c r="BMD243" s="334"/>
      <c r="BME243" s="334"/>
      <c r="BMF243" s="334"/>
      <c r="BMG243" s="334"/>
      <c r="BMH243" s="334"/>
      <c r="BMI243" s="334"/>
      <c r="BMJ243" s="334"/>
      <c r="BMK243" s="334"/>
      <c r="BML243" s="334"/>
      <c r="BMM243" s="334"/>
      <c r="BMN243" s="334"/>
      <c r="BMO243" s="334"/>
      <c r="BMP243" s="334"/>
      <c r="BMQ243" s="334"/>
      <c r="BMR243" s="334"/>
      <c r="BMS243" s="334"/>
      <c r="BMT243" s="334"/>
      <c r="BMU243" s="334"/>
      <c r="BMV243" s="334"/>
      <c r="BMW243" s="334"/>
      <c r="BMX243" s="334"/>
      <c r="BMY243" s="334"/>
      <c r="BMZ243" s="334"/>
      <c r="BNA243" s="334"/>
      <c r="BNB243" s="334"/>
      <c r="BNC243" s="334"/>
      <c r="BND243" s="334"/>
      <c r="BNE243" s="334"/>
      <c r="BNF243" s="334"/>
      <c r="BNG243" s="334"/>
      <c r="BNH243" s="334"/>
      <c r="BNI243" s="334"/>
      <c r="BNJ243" s="334"/>
      <c r="BNK243" s="334"/>
      <c r="BNL243" s="334"/>
      <c r="BNM243" s="334"/>
      <c r="BNN243" s="334"/>
      <c r="BNO243" s="334"/>
      <c r="BNP243" s="334"/>
      <c r="BNQ243" s="334"/>
      <c r="BNR243" s="334"/>
      <c r="BNS243" s="334"/>
      <c r="BNT243" s="334"/>
      <c r="BNU243" s="334"/>
      <c r="BNV243" s="334"/>
      <c r="BNW243" s="334"/>
      <c r="BNX243" s="334"/>
      <c r="BNY243" s="334"/>
      <c r="BNZ243" s="334"/>
      <c r="BOA243" s="334"/>
      <c r="BOB243" s="334"/>
      <c r="BOC243" s="334"/>
      <c r="BOD243" s="334"/>
      <c r="BOE243" s="334"/>
      <c r="BOF243" s="334"/>
      <c r="BOG243" s="334"/>
      <c r="BOH243" s="334"/>
      <c r="BOI243" s="334"/>
      <c r="BOJ243" s="334"/>
      <c r="BOK243" s="334"/>
      <c r="BOL243" s="334"/>
      <c r="BOM243" s="334"/>
      <c r="BON243" s="334"/>
      <c r="BOO243" s="334"/>
      <c r="BOP243" s="334"/>
      <c r="BOQ243" s="334"/>
      <c r="BOR243" s="334"/>
      <c r="BOS243" s="334"/>
      <c r="BOT243" s="334"/>
      <c r="BOU243" s="334"/>
      <c r="BOV243" s="334"/>
      <c r="BOW243" s="334"/>
      <c r="BOX243" s="334"/>
      <c r="BOY243" s="334"/>
      <c r="BOZ243" s="334"/>
      <c r="BPA243" s="334"/>
      <c r="BPB243" s="334"/>
      <c r="BPC243" s="334"/>
      <c r="BPD243" s="334"/>
      <c r="BPE243" s="334"/>
      <c r="BPF243" s="334"/>
      <c r="BPG243" s="334"/>
      <c r="BPH243" s="334"/>
      <c r="BPI243" s="334"/>
      <c r="BPJ243" s="334"/>
      <c r="BPK243" s="334"/>
      <c r="BPL243" s="334"/>
      <c r="BPM243" s="334"/>
      <c r="BPN243" s="334"/>
      <c r="BPO243" s="334"/>
      <c r="BPP243" s="334"/>
      <c r="BPQ243" s="334"/>
      <c r="BPR243" s="334"/>
      <c r="BPS243" s="334"/>
      <c r="BPT243" s="334"/>
      <c r="BPU243" s="334"/>
      <c r="BPV243" s="334"/>
      <c r="BPW243" s="334"/>
      <c r="BPX243" s="334"/>
      <c r="BPY243" s="334"/>
      <c r="BPZ243" s="334"/>
      <c r="BQA243" s="334"/>
      <c r="BQB243" s="334"/>
      <c r="BQC243" s="334"/>
      <c r="BQD243" s="334"/>
      <c r="BQE243" s="334"/>
      <c r="BQF243" s="334"/>
      <c r="BQG243" s="334"/>
      <c r="BQH243" s="334"/>
      <c r="BQI243" s="334"/>
      <c r="BQJ243" s="334"/>
      <c r="BQK243" s="334"/>
      <c r="BQL243" s="334"/>
      <c r="BQM243" s="334"/>
      <c r="BQN243" s="334"/>
      <c r="BQO243" s="334"/>
      <c r="BQP243" s="334"/>
      <c r="BQQ243" s="334"/>
      <c r="BQR243" s="334"/>
      <c r="BQS243" s="334"/>
      <c r="BQT243" s="334"/>
      <c r="BQU243" s="334"/>
      <c r="BQV243" s="334"/>
      <c r="BQW243" s="334"/>
      <c r="BQX243" s="334"/>
      <c r="BQY243" s="334"/>
      <c r="BQZ243" s="334"/>
      <c r="BRA243" s="334"/>
      <c r="BRB243" s="334"/>
      <c r="BRC243" s="334"/>
      <c r="BRD243" s="334"/>
      <c r="BRE243" s="334"/>
      <c r="BRF243" s="334"/>
      <c r="BRG243" s="334"/>
      <c r="BRH243" s="334"/>
      <c r="BRI243" s="334"/>
      <c r="BRJ243" s="334"/>
      <c r="BRK243" s="334"/>
      <c r="BRL243" s="334"/>
      <c r="BRM243" s="334"/>
      <c r="BRN243" s="334"/>
      <c r="BRO243" s="334"/>
      <c r="BRP243" s="334"/>
      <c r="BRQ243" s="334"/>
      <c r="BRR243" s="334"/>
      <c r="BRS243" s="334"/>
      <c r="BRT243" s="334"/>
      <c r="BRU243" s="334"/>
      <c r="BRV243" s="334"/>
      <c r="BRW243" s="334"/>
      <c r="BRX243" s="334"/>
      <c r="BRY243" s="334"/>
      <c r="BRZ243" s="334"/>
      <c r="BSA243" s="334"/>
      <c r="BSB243" s="334"/>
      <c r="BSC243" s="334"/>
      <c r="BSD243" s="334"/>
      <c r="BSE243" s="334"/>
      <c r="BSF243" s="334"/>
      <c r="BSG243" s="334"/>
      <c r="BSH243" s="334"/>
      <c r="BSI243" s="334"/>
      <c r="BSJ243" s="334"/>
      <c r="BSK243" s="334"/>
      <c r="BSL243" s="334"/>
      <c r="BSM243" s="334"/>
      <c r="BSN243" s="334"/>
      <c r="BSO243" s="334"/>
      <c r="BSP243" s="334"/>
      <c r="BSQ243" s="334"/>
      <c r="BSR243" s="334"/>
      <c r="BSS243" s="334"/>
      <c r="BST243" s="334"/>
      <c r="BSU243" s="334"/>
      <c r="BSV243" s="334"/>
      <c r="BSW243" s="334"/>
      <c r="BSX243" s="334"/>
      <c r="BSY243" s="334"/>
      <c r="BSZ243" s="334"/>
      <c r="BTA243" s="334"/>
      <c r="BTB243" s="334"/>
      <c r="BTC243" s="334"/>
      <c r="BTD243" s="334"/>
      <c r="BTE243" s="334"/>
      <c r="BTF243" s="334"/>
      <c r="BTG243" s="334"/>
      <c r="BTH243" s="334"/>
      <c r="BTI243" s="334"/>
      <c r="BTJ243" s="334"/>
      <c r="BTK243" s="334"/>
      <c r="BTL243" s="334"/>
      <c r="BTM243" s="334"/>
      <c r="BTN243" s="334"/>
      <c r="BTO243" s="334"/>
      <c r="BTP243" s="334"/>
      <c r="BTQ243" s="334"/>
      <c r="BTR243" s="334"/>
      <c r="BTS243" s="334"/>
      <c r="BTT243" s="334"/>
      <c r="BTU243" s="334"/>
      <c r="BTV243" s="334"/>
      <c r="BTW243" s="334"/>
      <c r="BTX243" s="334"/>
      <c r="BTY243" s="334"/>
      <c r="BTZ243" s="334"/>
      <c r="BUA243" s="334"/>
      <c r="BUB243" s="334"/>
      <c r="BUC243" s="334"/>
      <c r="BUD243" s="334"/>
      <c r="BUE243" s="334"/>
      <c r="BUF243" s="334"/>
      <c r="BUG243" s="334"/>
      <c r="BUH243" s="334"/>
      <c r="BUI243" s="334"/>
      <c r="BUJ243" s="334"/>
      <c r="BUK243" s="334"/>
      <c r="BUL243" s="334"/>
      <c r="BUM243" s="334"/>
      <c r="BUN243" s="334"/>
      <c r="BUO243" s="334"/>
      <c r="BUP243" s="334"/>
      <c r="BUQ243" s="334"/>
      <c r="BUR243" s="334"/>
      <c r="BUS243" s="334"/>
      <c r="BUT243" s="334"/>
      <c r="BUU243" s="334"/>
      <c r="BUV243" s="334"/>
      <c r="BUW243" s="334"/>
      <c r="BUX243" s="334"/>
      <c r="BUY243" s="334"/>
      <c r="BUZ243" s="334"/>
      <c r="BVA243" s="334"/>
      <c r="BVB243" s="334"/>
      <c r="BVC243" s="334"/>
      <c r="BVD243" s="334"/>
      <c r="BVE243" s="334"/>
      <c r="BVF243" s="334"/>
      <c r="BVG243" s="334"/>
      <c r="BVH243" s="334"/>
      <c r="BVI243" s="334"/>
      <c r="BVJ243" s="334"/>
      <c r="BVK243" s="334"/>
      <c r="BVL243" s="334"/>
      <c r="BVM243" s="334"/>
      <c r="BVN243" s="334"/>
      <c r="BVO243" s="334"/>
      <c r="BVP243" s="334"/>
      <c r="BVQ243" s="334"/>
      <c r="BVR243" s="334"/>
      <c r="BVS243" s="334"/>
      <c r="BVT243" s="334"/>
      <c r="BVU243" s="334"/>
      <c r="BVV243" s="334"/>
      <c r="BVW243" s="334"/>
      <c r="BVX243" s="334"/>
      <c r="BVY243" s="334"/>
      <c r="BVZ243" s="334"/>
      <c r="BWA243" s="334"/>
      <c r="BWB243" s="334"/>
      <c r="BWC243" s="334"/>
      <c r="BWD243" s="334"/>
      <c r="BWE243" s="334"/>
      <c r="BWF243" s="334"/>
      <c r="BWG243" s="334"/>
      <c r="BWH243" s="334"/>
      <c r="BWI243" s="334"/>
      <c r="BWJ243" s="334"/>
      <c r="BWK243" s="334"/>
      <c r="BWL243" s="334"/>
      <c r="BWM243" s="334"/>
      <c r="BWN243" s="334"/>
      <c r="BWO243" s="334"/>
      <c r="BWP243" s="334"/>
      <c r="BWQ243" s="334"/>
      <c r="BWR243" s="334"/>
      <c r="BWS243" s="334"/>
      <c r="BWT243" s="334"/>
      <c r="BWU243" s="334"/>
      <c r="BWV243" s="334"/>
      <c r="BWW243" s="334"/>
      <c r="BWX243" s="334"/>
      <c r="BWY243" s="334"/>
      <c r="BWZ243" s="334"/>
      <c r="BXA243" s="334"/>
      <c r="BXB243" s="334"/>
      <c r="BXC243" s="334"/>
      <c r="BXD243" s="334"/>
      <c r="BXE243" s="334"/>
      <c r="BXF243" s="334"/>
      <c r="BXG243" s="334"/>
      <c r="BXH243" s="334"/>
      <c r="BXI243" s="334"/>
      <c r="BXJ243" s="334"/>
      <c r="BXK243" s="334"/>
      <c r="BXL243" s="334"/>
      <c r="BXM243" s="334"/>
      <c r="BXN243" s="334"/>
      <c r="BXO243" s="334"/>
      <c r="BXP243" s="334"/>
      <c r="BXQ243" s="334"/>
      <c r="BXR243" s="334"/>
      <c r="BXS243" s="334"/>
      <c r="BXT243" s="334"/>
      <c r="BXU243" s="334"/>
      <c r="BXV243" s="334"/>
      <c r="BXW243" s="334"/>
      <c r="BXX243" s="334"/>
      <c r="BXY243" s="334"/>
      <c r="BXZ243" s="334"/>
      <c r="BYA243" s="334"/>
      <c r="BYB243" s="334"/>
      <c r="BYC243" s="334"/>
      <c r="BYD243" s="334"/>
      <c r="BYE243" s="334"/>
      <c r="BYF243" s="334"/>
      <c r="BYG243" s="334"/>
      <c r="BYH243" s="334"/>
      <c r="BYI243" s="334"/>
      <c r="BYJ243" s="334"/>
      <c r="BYK243" s="334"/>
      <c r="BYL243" s="334"/>
      <c r="BYM243" s="334"/>
      <c r="BYN243" s="334"/>
      <c r="BYO243" s="334"/>
      <c r="BYP243" s="334"/>
      <c r="BYQ243" s="334"/>
      <c r="BYR243" s="334"/>
      <c r="BYS243" s="334"/>
      <c r="BYT243" s="334"/>
      <c r="BYU243" s="334"/>
      <c r="BYV243" s="334"/>
      <c r="BYW243" s="334"/>
      <c r="BYX243" s="334"/>
      <c r="BYY243" s="334"/>
      <c r="BYZ243" s="334"/>
      <c r="BZA243" s="334"/>
      <c r="BZB243" s="334"/>
      <c r="BZC243" s="334"/>
      <c r="BZD243" s="334"/>
      <c r="BZE243" s="334"/>
      <c r="BZF243" s="334"/>
      <c r="BZG243" s="334"/>
      <c r="BZH243" s="334"/>
      <c r="BZI243" s="334"/>
      <c r="BZJ243" s="334"/>
      <c r="BZK243" s="334"/>
      <c r="BZL243" s="334"/>
      <c r="BZM243" s="334"/>
      <c r="BZN243" s="334"/>
      <c r="BZO243" s="334"/>
      <c r="BZP243" s="334"/>
      <c r="BZQ243" s="334"/>
      <c r="BZR243" s="334"/>
      <c r="BZS243" s="334"/>
      <c r="BZT243" s="334"/>
      <c r="BZU243" s="334"/>
      <c r="BZV243" s="334"/>
      <c r="BZW243" s="334"/>
      <c r="BZX243" s="334"/>
      <c r="BZY243" s="334"/>
      <c r="BZZ243" s="334"/>
      <c r="CAA243" s="334"/>
      <c r="CAB243" s="334"/>
      <c r="CAC243" s="334"/>
      <c r="CAD243" s="334"/>
      <c r="CAE243" s="334"/>
      <c r="CAF243" s="334"/>
      <c r="CAG243" s="334"/>
      <c r="CAH243" s="334"/>
      <c r="CAI243" s="334"/>
      <c r="CAJ243" s="334"/>
      <c r="CAK243" s="334"/>
      <c r="CAL243" s="334"/>
      <c r="CAM243" s="334"/>
      <c r="CAN243" s="334"/>
      <c r="CAO243" s="334"/>
      <c r="CAP243" s="334"/>
      <c r="CAQ243" s="334"/>
      <c r="CAR243" s="334"/>
      <c r="CAS243" s="334"/>
      <c r="CAT243" s="334"/>
      <c r="CAU243" s="334"/>
      <c r="CAV243" s="334"/>
      <c r="CAW243" s="334"/>
      <c r="CAX243" s="334"/>
      <c r="CAY243" s="334"/>
      <c r="CAZ243" s="334"/>
      <c r="CBA243" s="334"/>
      <c r="CBB243" s="334"/>
      <c r="CBC243" s="334"/>
      <c r="CBD243" s="334"/>
      <c r="CBE243" s="334"/>
      <c r="CBF243" s="334"/>
      <c r="CBG243" s="334"/>
      <c r="CBH243" s="334"/>
      <c r="CBI243" s="334"/>
      <c r="CBJ243" s="334"/>
      <c r="CBK243" s="334"/>
      <c r="CBL243" s="334"/>
      <c r="CBM243" s="334"/>
      <c r="CBN243" s="334"/>
      <c r="CBO243" s="334"/>
      <c r="CBP243" s="334"/>
      <c r="CBQ243" s="334"/>
      <c r="CBR243" s="334"/>
      <c r="CBS243" s="334"/>
      <c r="CBT243" s="334"/>
      <c r="CBU243" s="334"/>
      <c r="CBV243" s="334"/>
      <c r="CBW243" s="334"/>
      <c r="CBX243" s="334"/>
      <c r="CBY243" s="334"/>
      <c r="CBZ243" s="334"/>
      <c r="CCA243" s="334"/>
      <c r="CCB243" s="334"/>
      <c r="CCC243" s="334"/>
      <c r="CCD243" s="334"/>
      <c r="CCE243" s="334"/>
      <c r="CCF243" s="334"/>
      <c r="CCG243" s="334"/>
      <c r="CCH243" s="334"/>
      <c r="CCI243" s="334"/>
      <c r="CCJ243" s="334"/>
      <c r="CCK243" s="334"/>
      <c r="CCL243" s="334"/>
      <c r="CCM243" s="334"/>
      <c r="CCN243" s="334"/>
      <c r="CCO243" s="334"/>
      <c r="CCP243" s="334"/>
      <c r="CCQ243" s="334"/>
      <c r="CCR243" s="334"/>
      <c r="CCS243" s="334"/>
      <c r="CCT243" s="334"/>
      <c r="CCU243" s="334"/>
      <c r="CCV243" s="334"/>
      <c r="CCW243" s="334"/>
      <c r="CCX243" s="334"/>
      <c r="CCY243" s="334"/>
      <c r="CCZ243" s="334"/>
      <c r="CDA243" s="334"/>
      <c r="CDB243" s="334"/>
      <c r="CDC243" s="334"/>
      <c r="CDD243" s="334"/>
      <c r="CDE243" s="334"/>
      <c r="CDF243" s="334"/>
      <c r="CDG243" s="334"/>
      <c r="CDH243" s="334"/>
      <c r="CDI243" s="334"/>
      <c r="CDJ243" s="334"/>
      <c r="CDK243" s="334"/>
      <c r="CDL243" s="334"/>
      <c r="CDM243" s="334"/>
      <c r="CDN243" s="334"/>
      <c r="CDO243" s="334"/>
      <c r="CDP243" s="334"/>
      <c r="CDQ243" s="334"/>
      <c r="CDR243" s="334"/>
      <c r="CDS243" s="334"/>
      <c r="CDT243" s="334"/>
      <c r="CDU243" s="334"/>
      <c r="CDV243" s="334"/>
      <c r="CDW243" s="334"/>
      <c r="CDX243" s="334"/>
      <c r="CDY243" s="334"/>
      <c r="CDZ243" s="334"/>
      <c r="CEA243" s="334"/>
      <c r="CEB243" s="334"/>
      <c r="CEC243" s="334"/>
      <c r="CED243" s="334"/>
      <c r="CEE243" s="334"/>
      <c r="CEF243" s="334"/>
      <c r="CEG243" s="334"/>
      <c r="CEH243" s="334"/>
      <c r="CEI243" s="334"/>
      <c r="CEJ243" s="334"/>
      <c r="CEK243" s="334"/>
      <c r="CEL243" s="334"/>
      <c r="CEM243" s="334"/>
      <c r="CEN243" s="334"/>
      <c r="CEO243" s="334"/>
      <c r="CEP243" s="334"/>
      <c r="CEQ243" s="334"/>
      <c r="CER243" s="334"/>
      <c r="CES243" s="334"/>
      <c r="CET243" s="334"/>
      <c r="CEU243" s="334"/>
      <c r="CEV243" s="334"/>
      <c r="CEW243" s="334"/>
      <c r="CEX243" s="334"/>
      <c r="CEY243" s="334"/>
      <c r="CEZ243" s="334"/>
      <c r="CFA243" s="334"/>
      <c r="CFB243" s="334"/>
      <c r="CFC243" s="334"/>
      <c r="CFD243" s="334"/>
      <c r="CFE243" s="334"/>
      <c r="CFF243" s="334"/>
      <c r="CFG243" s="334"/>
      <c r="CFH243" s="334"/>
      <c r="CFI243" s="334"/>
      <c r="CFJ243" s="334"/>
      <c r="CFK243" s="334"/>
      <c r="CFL243" s="334"/>
      <c r="CFM243" s="334"/>
      <c r="CFN243" s="334"/>
      <c r="CFO243" s="334"/>
      <c r="CFP243" s="334"/>
      <c r="CFQ243" s="334"/>
      <c r="CFR243" s="334"/>
      <c r="CFS243" s="334"/>
      <c r="CFT243" s="334"/>
      <c r="CFU243" s="334"/>
      <c r="CFV243" s="334"/>
      <c r="CFW243" s="334"/>
      <c r="CFX243" s="334"/>
      <c r="CFY243" s="334"/>
      <c r="CFZ243" s="334"/>
      <c r="CGA243" s="334"/>
      <c r="CGB243" s="334"/>
      <c r="CGC243" s="334"/>
      <c r="CGD243" s="334"/>
      <c r="CGE243" s="334"/>
      <c r="CGF243" s="334"/>
      <c r="CGG243" s="334"/>
      <c r="CGH243" s="334"/>
      <c r="CGI243" s="334"/>
      <c r="CGJ243" s="334"/>
      <c r="CGK243" s="334"/>
      <c r="CGL243" s="334"/>
      <c r="CGM243" s="334"/>
      <c r="CGN243" s="334"/>
      <c r="CGO243" s="334"/>
      <c r="CGP243" s="334"/>
      <c r="CGQ243" s="334"/>
      <c r="CGR243" s="334"/>
      <c r="CGS243" s="334"/>
      <c r="CGT243" s="334"/>
      <c r="CGU243" s="334"/>
      <c r="CGV243" s="334"/>
      <c r="CGW243" s="334"/>
      <c r="CGX243" s="334"/>
      <c r="CGY243" s="334"/>
      <c r="CGZ243" s="334"/>
      <c r="CHA243" s="334"/>
      <c r="CHB243" s="334"/>
      <c r="CHC243" s="334"/>
      <c r="CHD243" s="334"/>
      <c r="CHE243" s="334"/>
      <c r="CHF243" s="334"/>
      <c r="CHG243" s="334"/>
      <c r="CHH243" s="334"/>
      <c r="CHI243" s="334"/>
      <c r="CHJ243" s="334"/>
      <c r="CHK243" s="334"/>
      <c r="CHL243" s="334"/>
      <c r="CHM243" s="334"/>
      <c r="CHN243" s="334"/>
      <c r="CHO243" s="334"/>
      <c r="CHP243" s="334"/>
      <c r="CHQ243" s="334"/>
      <c r="CHR243" s="334"/>
      <c r="CHS243" s="334"/>
      <c r="CHT243" s="334"/>
      <c r="CHU243" s="334"/>
      <c r="CHV243" s="334"/>
      <c r="CHW243" s="334"/>
      <c r="CHX243" s="334"/>
      <c r="CHY243" s="334"/>
      <c r="CHZ243" s="334"/>
      <c r="CIA243" s="334"/>
      <c r="CIB243" s="334"/>
      <c r="CIC243" s="334"/>
      <c r="CID243" s="334"/>
      <c r="CIE243" s="334"/>
      <c r="CIF243" s="334"/>
      <c r="CIG243" s="334"/>
      <c r="CIH243" s="334"/>
      <c r="CII243" s="334"/>
      <c r="CIJ243" s="334"/>
      <c r="CIK243" s="334"/>
      <c r="CIL243" s="334"/>
      <c r="CIM243" s="334"/>
      <c r="CIN243" s="334"/>
      <c r="CIO243" s="334"/>
      <c r="CIP243" s="334"/>
      <c r="CIQ243" s="334"/>
      <c r="CIR243" s="334"/>
      <c r="CIS243" s="334"/>
      <c r="CIT243" s="334"/>
      <c r="CIU243" s="334"/>
      <c r="CIV243" s="334"/>
      <c r="CIW243" s="334"/>
      <c r="CIX243" s="334"/>
      <c r="CIY243" s="334"/>
      <c r="CIZ243" s="334"/>
      <c r="CJA243" s="334"/>
      <c r="CJB243" s="334"/>
      <c r="CJC243" s="334"/>
      <c r="CJD243" s="334"/>
      <c r="CJE243" s="334"/>
      <c r="CJF243" s="334"/>
      <c r="CJG243" s="334"/>
      <c r="CJH243" s="334"/>
      <c r="CJI243" s="334"/>
      <c r="CJJ243" s="334"/>
      <c r="CJK243" s="334"/>
      <c r="CJL243" s="334"/>
      <c r="CJM243" s="334"/>
      <c r="CJN243" s="334"/>
      <c r="CJO243" s="334"/>
      <c r="CJP243" s="334"/>
      <c r="CJQ243" s="334"/>
      <c r="CJR243" s="334"/>
      <c r="CJS243" s="334"/>
      <c r="CJT243" s="334"/>
      <c r="CJU243" s="334"/>
      <c r="CJV243" s="334"/>
      <c r="CJW243" s="334"/>
      <c r="CJX243" s="334"/>
      <c r="CJY243" s="334"/>
      <c r="CJZ243" s="334"/>
      <c r="CKA243" s="334"/>
      <c r="CKB243" s="334"/>
      <c r="CKC243" s="334"/>
      <c r="CKD243" s="334"/>
      <c r="CKE243" s="334"/>
      <c r="CKF243" s="334"/>
      <c r="CKG243" s="334"/>
      <c r="CKH243" s="334"/>
      <c r="CKI243" s="334"/>
      <c r="CKJ243" s="334"/>
      <c r="CKK243" s="334"/>
      <c r="CKL243" s="334"/>
      <c r="CKM243" s="334"/>
      <c r="CKN243" s="334"/>
      <c r="CKO243" s="334"/>
      <c r="CKP243" s="334"/>
      <c r="CKQ243" s="334"/>
      <c r="CKR243" s="334"/>
      <c r="CKS243" s="334"/>
      <c r="CKT243" s="334"/>
      <c r="CKU243" s="334"/>
      <c r="CKV243" s="334"/>
      <c r="CKW243" s="334"/>
      <c r="CKX243" s="334"/>
      <c r="CKY243" s="334"/>
      <c r="CKZ243" s="334"/>
      <c r="CLA243" s="334"/>
      <c r="CLB243" s="334"/>
      <c r="CLC243" s="334"/>
      <c r="CLD243" s="334"/>
      <c r="CLE243" s="334"/>
      <c r="CLF243" s="334"/>
      <c r="CLG243" s="334"/>
      <c r="CLH243" s="334"/>
      <c r="CLI243" s="334"/>
      <c r="CLJ243" s="334"/>
      <c r="CLK243" s="334"/>
      <c r="CLL243" s="334"/>
      <c r="CLM243" s="334"/>
      <c r="CLN243" s="334"/>
      <c r="CLO243" s="334"/>
      <c r="CLP243" s="334"/>
      <c r="CLQ243" s="334"/>
      <c r="CLR243" s="334"/>
      <c r="CLS243" s="334"/>
      <c r="CLT243" s="334"/>
      <c r="CLU243" s="334"/>
      <c r="CLV243" s="334"/>
      <c r="CLW243" s="334"/>
      <c r="CLX243" s="334"/>
      <c r="CLY243" s="334"/>
      <c r="CLZ243" s="334"/>
      <c r="CMA243" s="334"/>
      <c r="CMB243" s="334"/>
      <c r="CMC243" s="334"/>
      <c r="CMD243" s="334"/>
      <c r="CME243" s="334"/>
      <c r="CMF243" s="334"/>
      <c r="CMG243" s="334"/>
      <c r="CMH243" s="334"/>
      <c r="CMI243" s="334"/>
      <c r="CMJ243" s="334"/>
      <c r="CMK243" s="334"/>
      <c r="CML243" s="334"/>
      <c r="CMM243" s="334"/>
      <c r="CMN243" s="334"/>
      <c r="CMO243" s="334"/>
      <c r="CMP243" s="334"/>
      <c r="CMQ243" s="334"/>
      <c r="CMR243" s="334"/>
      <c r="CMS243" s="334"/>
      <c r="CMT243" s="334"/>
      <c r="CMU243" s="334"/>
      <c r="CMV243" s="334"/>
      <c r="CMW243" s="334"/>
      <c r="CMX243" s="334"/>
      <c r="CMY243" s="334"/>
      <c r="CMZ243" s="334"/>
      <c r="CNA243" s="334"/>
      <c r="CNB243" s="334"/>
      <c r="CNC243" s="334"/>
      <c r="CND243" s="334"/>
      <c r="CNE243" s="334"/>
      <c r="CNF243" s="334"/>
      <c r="CNG243" s="334"/>
      <c r="CNH243" s="334"/>
      <c r="CNI243" s="334"/>
      <c r="CNJ243" s="334"/>
      <c r="CNK243" s="334"/>
      <c r="CNL243" s="334"/>
      <c r="CNM243" s="334"/>
      <c r="CNN243" s="334"/>
      <c r="CNO243" s="334"/>
      <c r="CNP243" s="334"/>
      <c r="CNQ243" s="334"/>
      <c r="CNR243" s="334"/>
      <c r="CNS243" s="334"/>
      <c r="CNT243" s="334"/>
      <c r="CNU243" s="334"/>
      <c r="CNV243" s="334"/>
      <c r="CNW243" s="334"/>
      <c r="CNX243" s="334"/>
      <c r="CNY243" s="334"/>
      <c r="CNZ243" s="334"/>
      <c r="COA243" s="334"/>
      <c r="COB243" s="334"/>
      <c r="COC243" s="334"/>
      <c r="COD243" s="334"/>
      <c r="COE243" s="334"/>
      <c r="COF243" s="334"/>
      <c r="COG243" s="334"/>
      <c r="COH243" s="334"/>
      <c r="COI243" s="334"/>
      <c r="COJ243" s="334"/>
      <c r="COK243" s="334"/>
      <c r="COL243" s="334"/>
      <c r="COM243" s="334"/>
      <c r="CON243" s="334"/>
      <c r="COO243" s="334"/>
      <c r="COP243" s="334"/>
      <c r="COQ243" s="334"/>
      <c r="COR243" s="334"/>
      <c r="COS243" s="334"/>
      <c r="COT243" s="334"/>
      <c r="COU243" s="334"/>
      <c r="COV243" s="334"/>
      <c r="COW243" s="334"/>
      <c r="COX243" s="334"/>
      <c r="COY243" s="334"/>
      <c r="COZ243" s="334"/>
      <c r="CPA243" s="334"/>
      <c r="CPB243" s="334"/>
      <c r="CPC243" s="334"/>
      <c r="CPD243" s="334"/>
      <c r="CPE243" s="334"/>
      <c r="CPF243" s="334"/>
      <c r="CPG243" s="334"/>
      <c r="CPH243" s="334"/>
      <c r="CPI243" s="334"/>
      <c r="CPJ243" s="334"/>
      <c r="CPK243" s="334"/>
      <c r="CPL243" s="334"/>
      <c r="CPM243" s="334"/>
      <c r="CPN243" s="334"/>
      <c r="CPO243" s="334"/>
      <c r="CPP243" s="334"/>
      <c r="CPQ243" s="334"/>
      <c r="CPR243" s="334"/>
      <c r="CPS243" s="334"/>
      <c r="CPT243" s="334"/>
      <c r="CPU243" s="334"/>
      <c r="CPV243" s="334"/>
      <c r="CPW243" s="334"/>
      <c r="CPX243" s="334"/>
      <c r="CPY243" s="334"/>
      <c r="CPZ243" s="334"/>
      <c r="CQA243" s="334"/>
      <c r="CQB243" s="334"/>
      <c r="CQC243" s="334"/>
      <c r="CQD243" s="334"/>
      <c r="CQE243" s="334"/>
      <c r="CQF243" s="334"/>
      <c r="CQG243" s="334"/>
      <c r="CQH243" s="334"/>
      <c r="CQI243" s="334"/>
      <c r="CQJ243" s="334"/>
      <c r="CQK243" s="334"/>
      <c r="CQL243" s="334"/>
      <c r="CQM243" s="334"/>
      <c r="CQN243" s="334"/>
      <c r="CQO243" s="334"/>
      <c r="CQP243" s="334"/>
      <c r="CQQ243" s="334"/>
      <c r="CQR243" s="334"/>
      <c r="CQS243" s="334"/>
      <c r="CQT243" s="334"/>
      <c r="CQU243" s="334"/>
      <c r="CQV243" s="334"/>
      <c r="CQW243" s="334"/>
      <c r="CQX243" s="334"/>
      <c r="CQY243" s="334"/>
      <c r="CQZ243" s="334"/>
      <c r="CRA243" s="334"/>
      <c r="CRB243" s="334"/>
      <c r="CRC243" s="334"/>
      <c r="CRD243" s="334"/>
      <c r="CRE243" s="334"/>
      <c r="CRF243" s="334"/>
      <c r="CRG243" s="334"/>
      <c r="CRH243" s="334"/>
      <c r="CRI243" s="334"/>
      <c r="CRJ243" s="334"/>
      <c r="CRK243" s="334"/>
      <c r="CRL243" s="334"/>
      <c r="CRM243" s="334"/>
      <c r="CRN243" s="334"/>
      <c r="CRO243" s="334"/>
      <c r="CRP243" s="334"/>
      <c r="CRQ243" s="334"/>
      <c r="CRR243" s="334"/>
      <c r="CRS243" s="334"/>
      <c r="CRT243" s="334"/>
      <c r="CRU243" s="334"/>
      <c r="CRV243" s="334"/>
      <c r="CRW243" s="334"/>
      <c r="CRX243" s="334"/>
      <c r="CRY243" s="334"/>
      <c r="CRZ243" s="334"/>
      <c r="CSA243" s="334"/>
      <c r="CSB243" s="334"/>
      <c r="CSC243" s="334"/>
      <c r="CSD243" s="334"/>
      <c r="CSE243" s="334"/>
      <c r="CSF243" s="334"/>
      <c r="CSG243" s="334"/>
      <c r="CSH243" s="334"/>
      <c r="CSI243" s="334"/>
      <c r="CSJ243" s="334"/>
      <c r="CSK243" s="334"/>
      <c r="CSL243" s="334"/>
      <c r="CSM243" s="334"/>
      <c r="CSN243" s="334"/>
      <c r="CSO243" s="334"/>
      <c r="CSP243" s="334"/>
      <c r="CSQ243" s="334"/>
      <c r="CSR243" s="334"/>
      <c r="CSS243" s="334"/>
      <c r="CST243" s="334"/>
      <c r="CSU243" s="334"/>
      <c r="CSV243" s="334"/>
      <c r="CSW243" s="334"/>
      <c r="CSX243" s="334"/>
      <c r="CSY243" s="334"/>
      <c r="CSZ243" s="334"/>
      <c r="CTA243" s="334"/>
      <c r="CTB243" s="334"/>
      <c r="CTC243" s="334"/>
      <c r="CTD243" s="334"/>
      <c r="CTE243" s="334"/>
      <c r="CTF243" s="334"/>
      <c r="CTG243" s="334"/>
      <c r="CTH243" s="334"/>
      <c r="CTI243" s="334"/>
      <c r="CTJ243" s="334"/>
      <c r="CTK243" s="334"/>
      <c r="CTL243" s="334"/>
      <c r="CTM243" s="334"/>
      <c r="CTN243" s="334"/>
      <c r="CTO243" s="334"/>
      <c r="CTP243" s="334"/>
      <c r="CTQ243" s="334"/>
      <c r="CTR243" s="334"/>
      <c r="CTS243" s="334"/>
      <c r="CTT243" s="334"/>
      <c r="CTU243" s="334"/>
      <c r="CTV243" s="334"/>
      <c r="CTW243" s="334"/>
      <c r="CTX243" s="334"/>
      <c r="CTY243" s="334"/>
      <c r="CTZ243" s="334"/>
      <c r="CUA243" s="334"/>
      <c r="CUB243" s="334"/>
      <c r="CUC243" s="334"/>
      <c r="CUD243" s="334"/>
      <c r="CUE243" s="334"/>
      <c r="CUF243" s="334"/>
      <c r="CUG243" s="334"/>
      <c r="CUH243" s="334"/>
      <c r="CUI243" s="334"/>
      <c r="CUJ243" s="334"/>
      <c r="CUK243" s="334"/>
      <c r="CUL243" s="334"/>
      <c r="CUM243" s="334"/>
      <c r="CUN243" s="334"/>
      <c r="CUO243" s="334"/>
      <c r="CUP243" s="334"/>
      <c r="CUQ243" s="334"/>
      <c r="CUR243" s="334"/>
      <c r="CUS243" s="334"/>
      <c r="CUT243" s="334"/>
      <c r="CUU243" s="334"/>
      <c r="CUV243" s="334"/>
      <c r="CUW243" s="334"/>
      <c r="CUX243" s="334"/>
      <c r="CUY243" s="334"/>
      <c r="CUZ243" s="334"/>
      <c r="CVA243" s="334"/>
      <c r="CVB243" s="334"/>
      <c r="CVC243" s="334"/>
      <c r="CVD243" s="334"/>
      <c r="CVE243" s="334"/>
      <c r="CVF243" s="334"/>
      <c r="CVG243" s="334"/>
      <c r="CVH243" s="334"/>
      <c r="CVI243" s="334"/>
      <c r="CVJ243" s="334"/>
      <c r="CVK243" s="334"/>
      <c r="CVL243" s="334"/>
      <c r="CVM243" s="334"/>
      <c r="CVN243" s="334"/>
      <c r="CVO243" s="334"/>
      <c r="CVP243" s="334"/>
      <c r="CVQ243" s="334"/>
      <c r="CVR243" s="334"/>
      <c r="CVS243" s="334"/>
      <c r="CVT243" s="334"/>
      <c r="CVU243" s="334"/>
      <c r="CVV243" s="334"/>
      <c r="CVW243" s="334"/>
      <c r="CVX243" s="334"/>
      <c r="CVY243" s="334"/>
      <c r="CVZ243" s="334"/>
      <c r="CWA243" s="334"/>
      <c r="CWB243" s="334"/>
      <c r="CWC243" s="334"/>
      <c r="CWD243" s="334"/>
      <c r="CWE243" s="334"/>
      <c r="CWF243" s="334"/>
      <c r="CWG243" s="334"/>
      <c r="CWH243" s="334"/>
      <c r="CWI243" s="334"/>
      <c r="CWJ243" s="334"/>
      <c r="CWK243" s="334"/>
      <c r="CWL243" s="334"/>
      <c r="CWM243" s="334"/>
      <c r="CWN243" s="334"/>
      <c r="CWO243" s="334"/>
      <c r="CWP243" s="334"/>
      <c r="CWQ243" s="334"/>
      <c r="CWR243" s="334"/>
      <c r="CWS243" s="334"/>
      <c r="CWT243" s="334"/>
      <c r="CWU243" s="334"/>
      <c r="CWV243" s="334"/>
      <c r="CWW243" s="334"/>
      <c r="CWX243" s="334"/>
      <c r="CWY243" s="334"/>
      <c r="CWZ243" s="334"/>
      <c r="CXA243" s="334"/>
      <c r="CXB243" s="334"/>
      <c r="CXC243" s="334"/>
      <c r="CXD243" s="334"/>
      <c r="CXE243" s="334"/>
      <c r="CXF243" s="334"/>
      <c r="CXG243" s="334"/>
      <c r="CXH243" s="334"/>
      <c r="CXI243" s="334"/>
      <c r="CXJ243" s="334"/>
      <c r="CXK243" s="334"/>
      <c r="CXL243" s="334"/>
      <c r="CXM243" s="334"/>
      <c r="CXN243" s="334"/>
      <c r="CXO243" s="334"/>
      <c r="CXP243" s="334"/>
      <c r="CXQ243" s="334"/>
      <c r="CXR243" s="334"/>
      <c r="CXS243" s="334"/>
      <c r="CXT243" s="334"/>
      <c r="CXU243" s="334"/>
      <c r="CXV243" s="334"/>
      <c r="CXW243" s="334"/>
      <c r="CXX243" s="334"/>
      <c r="CXY243" s="334"/>
      <c r="CXZ243" s="334"/>
      <c r="CYA243" s="334"/>
      <c r="CYB243" s="334"/>
      <c r="CYC243" s="334"/>
      <c r="CYD243" s="334"/>
      <c r="CYE243" s="334"/>
      <c r="CYF243" s="334"/>
      <c r="CYG243" s="334"/>
      <c r="CYH243" s="334"/>
      <c r="CYI243" s="334"/>
      <c r="CYJ243" s="334"/>
      <c r="CYK243" s="334"/>
      <c r="CYL243" s="334"/>
      <c r="CYM243" s="334"/>
      <c r="CYN243" s="334"/>
      <c r="CYO243" s="334"/>
      <c r="CYP243" s="334"/>
      <c r="CYQ243" s="334"/>
      <c r="CYR243" s="334"/>
      <c r="CYS243" s="334"/>
      <c r="CYT243" s="334"/>
      <c r="CYU243" s="334"/>
      <c r="CYV243" s="334"/>
      <c r="CYW243" s="334"/>
      <c r="CYX243" s="334"/>
      <c r="CYY243" s="334"/>
      <c r="CYZ243" s="334"/>
      <c r="CZA243" s="334"/>
      <c r="CZB243" s="334"/>
      <c r="CZC243" s="334"/>
      <c r="CZD243" s="334"/>
      <c r="CZE243" s="334"/>
      <c r="CZF243" s="334"/>
      <c r="CZG243" s="334"/>
      <c r="CZH243" s="334"/>
      <c r="CZI243" s="334"/>
      <c r="CZJ243" s="334"/>
      <c r="CZK243" s="334"/>
      <c r="CZL243" s="334"/>
      <c r="CZM243" s="334"/>
      <c r="CZN243" s="334"/>
      <c r="CZO243" s="334"/>
      <c r="CZP243" s="334"/>
      <c r="CZQ243" s="334"/>
      <c r="CZR243" s="334"/>
      <c r="CZS243" s="334"/>
      <c r="CZT243" s="334"/>
      <c r="CZU243" s="334"/>
      <c r="CZV243" s="334"/>
      <c r="CZW243" s="334"/>
      <c r="CZX243" s="334"/>
      <c r="CZY243" s="334"/>
      <c r="CZZ243" s="334"/>
      <c r="DAA243" s="334"/>
      <c r="DAB243" s="334"/>
      <c r="DAC243" s="334"/>
      <c r="DAD243" s="334"/>
      <c r="DAE243" s="334"/>
      <c r="DAF243" s="334"/>
      <c r="DAG243" s="334"/>
      <c r="DAH243" s="334"/>
      <c r="DAI243" s="334"/>
      <c r="DAJ243" s="334"/>
      <c r="DAK243" s="334"/>
      <c r="DAL243" s="334"/>
      <c r="DAM243" s="334"/>
      <c r="DAN243" s="334"/>
      <c r="DAO243" s="334"/>
      <c r="DAP243" s="334"/>
      <c r="DAQ243" s="334"/>
      <c r="DAR243" s="334"/>
      <c r="DAS243" s="334"/>
      <c r="DAT243" s="334"/>
      <c r="DAU243" s="334"/>
      <c r="DAV243" s="334"/>
      <c r="DAW243" s="334"/>
      <c r="DAX243" s="334"/>
      <c r="DAY243" s="334"/>
      <c r="DAZ243" s="334"/>
      <c r="DBA243" s="334"/>
      <c r="DBB243" s="334"/>
      <c r="DBC243" s="334"/>
      <c r="DBD243" s="334"/>
      <c r="DBE243" s="334"/>
      <c r="DBF243" s="334"/>
      <c r="DBG243" s="334"/>
      <c r="DBH243" s="334"/>
      <c r="DBI243" s="334"/>
      <c r="DBJ243" s="334"/>
      <c r="DBK243" s="334"/>
      <c r="DBL243" s="334"/>
      <c r="DBM243" s="334"/>
      <c r="DBN243" s="334"/>
      <c r="DBO243" s="334"/>
      <c r="DBP243" s="334"/>
      <c r="DBQ243" s="334"/>
      <c r="DBR243" s="334"/>
      <c r="DBS243" s="334"/>
      <c r="DBT243" s="334"/>
      <c r="DBU243" s="334"/>
      <c r="DBV243" s="334"/>
      <c r="DBW243" s="334"/>
      <c r="DBX243" s="334"/>
      <c r="DBY243" s="334"/>
      <c r="DBZ243" s="334"/>
      <c r="DCA243" s="334"/>
      <c r="DCB243" s="334"/>
      <c r="DCC243" s="334"/>
      <c r="DCD243" s="334"/>
      <c r="DCE243" s="334"/>
      <c r="DCF243" s="334"/>
      <c r="DCG243" s="334"/>
      <c r="DCH243" s="334"/>
      <c r="DCI243" s="334"/>
      <c r="DCJ243" s="334"/>
      <c r="DCK243" s="334"/>
      <c r="DCL243" s="334"/>
      <c r="DCM243" s="334"/>
      <c r="DCN243" s="334"/>
      <c r="DCO243" s="334"/>
      <c r="DCP243" s="334"/>
      <c r="DCQ243" s="334"/>
      <c r="DCR243" s="334"/>
      <c r="DCS243" s="334"/>
      <c r="DCT243" s="334"/>
      <c r="DCU243" s="334"/>
      <c r="DCV243" s="334"/>
      <c r="DCW243" s="334"/>
      <c r="DCX243" s="334"/>
      <c r="DCY243" s="334"/>
      <c r="DCZ243" s="334"/>
      <c r="DDA243" s="334"/>
      <c r="DDB243" s="334"/>
      <c r="DDC243" s="334"/>
      <c r="DDD243" s="334"/>
      <c r="DDE243" s="334"/>
      <c r="DDF243" s="334"/>
      <c r="DDG243" s="334"/>
      <c r="DDH243" s="334"/>
      <c r="DDI243" s="334"/>
      <c r="DDJ243" s="334"/>
      <c r="DDK243" s="334"/>
      <c r="DDL243" s="334"/>
      <c r="DDM243" s="334"/>
      <c r="DDN243" s="334"/>
      <c r="DDO243" s="334"/>
      <c r="DDP243" s="334"/>
      <c r="DDQ243" s="334"/>
      <c r="DDR243" s="334"/>
      <c r="DDS243" s="334"/>
      <c r="DDT243" s="334"/>
      <c r="DDU243" s="334"/>
      <c r="DDV243" s="334"/>
      <c r="DDW243" s="334"/>
      <c r="DDX243" s="334"/>
      <c r="DDY243" s="334"/>
      <c r="DDZ243" s="334"/>
      <c r="DEA243" s="334"/>
      <c r="DEB243" s="334"/>
      <c r="DEC243" s="334"/>
      <c r="DED243" s="334"/>
      <c r="DEE243" s="334"/>
      <c r="DEF243" s="334"/>
      <c r="DEG243" s="334"/>
      <c r="DEH243" s="334"/>
      <c r="DEI243" s="334"/>
      <c r="DEJ243" s="334"/>
      <c r="DEK243" s="334"/>
      <c r="DEL243" s="334"/>
      <c r="DEM243" s="334"/>
      <c r="DEN243" s="334"/>
      <c r="DEO243" s="334"/>
      <c r="DEP243" s="334"/>
      <c r="DEQ243" s="334"/>
      <c r="DER243" s="334"/>
      <c r="DES243" s="334"/>
      <c r="DET243" s="334"/>
      <c r="DEU243" s="334"/>
      <c r="DEV243" s="334"/>
      <c r="DEW243" s="334"/>
      <c r="DEX243" s="334"/>
      <c r="DEY243" s="334"/>
      <c r="DEZ243" s="334"/>
      <c r="DFA243" s="334"/>
      <c r="DFB243" s="334"/>
      <c r="DFC243" s="334"/>
      <c r="DFD243" s="334"/>
      <c r="DFE243" s="334"/>
      <c r="DFF243" s="334"/>
      <c r="DFG243" s="334"/>
      <c r="DFH243" s="334"/>
      <c r="DFI243" s="334"/>
      <c r="DFJ243" s="334"/>
      <c r="DFK243" s="334"/>
      <c r="DFL243" s="334"/>
      <c r="DFM243" s="334"/>
      <c r="DFN243" s="334"/>
      <c r="DFO243" s="334"/>
      <c r="DFP243" s="334"/>
      <c r="DFQ243" s="334"/>
      <c r="DFR243" s="334"/>
      <c r="DFS243" s="334"/>
      <c r="DFT243" s="334"/>
      <c r="DFU243" s="334"/>
      <c r="DFV243" s="334"/>
      <c r="DFW243" s="334"/>
      <c r="DFX243" s="334"/>
      <c r="DFY243" s="334"/>
      <c r="DFZ243" s="334"/>
      <c r="DGA243" s="334"/>
      <c r="DGB243" s="334"/>
      <c r="DGC243" s="334"/>
      <c r="DGD243" s="334"/>
      <c r="DGE243" s="334"/>
      <c r="DGF243" s="334"/>
      <c r="DGG243" s="334"/>
      <c r="DGH243" s="334"/>
      <c r="DGI243" s="334"/>
      <c r="DGJ243" s="334"/>
      <c r="DGK243" s="334"/>
      <c r="DGL243" s="334"/>
      <c r="DGM243" s="334"/>
      <c r="DGN243" s="334"/>
      <c r="DGO243" s="334"/>
      <c r="DGP243" s="334"/>
      <c r="DGQ243" s="334"/>
      <c r="DGR243" s="334"/>
      <c r="DGS243" s="334"/>
      <c r="DGT243" s="334"/>
      <c r="DGU243" s="334"/>
      <c r="DGV243" s="334"/>
      <c r="DGW243" s="334"/>
      <c r="DGX243" s="334"/>
      <c r="DGY243" s="334"/>
      <c r="DGZ243" s="334"/>
      <c r="DHA243" s="334"/>
      <c r="DHB243" s="334"/>
      <c r="DHC243" s="334"/>
      <c r="DHD243" s="334"/>
      <c r="DHE243" s="334"/>
      <c r="DHF243" s="334"/>
      <c r="DHG243" s="334"/>
      <c r="DHH243" s="334"/>
      <c r="DHI243" s="334"/>
      <c r="DHJ243" s="334"/>
      <c r="DHK243" s="334"/>
      <c r="DHL243" s="334"/>
      <c r="DHM243" s="334"/>
      <c r="DHN243" s="334"/>
      <c r="DHO243" s="334"/>
      <c r="DHP243" s="334"/>
      <c r="DHQ243" s="334"/>
      <c r="DHR243" s="334"/>
      <c r="DHS243" s="334"/>
      <c r="DHT243" s="334"/>
      <c r="DHU243" s="334"/>
      <c r="DHV243" s="334"/>
      <c r="DHW243" s="334"/>
      <c r="DHX243" s="334"/>
      <c r="DHY243" s="334"/>
      <c r="DHZ243" s="334"/>
      <c r="DIA243" s="334"/>
      <c r="DIB243" s="334"/>
      <c r="DIC243" s="334"/>
      <c r="DID243" s="334"/>
      <c r="DIE243" s="334"/>
      <c r="DIF243" s="334"/>
      <c r="DIG243" s="334"/>
      <c r="DIH243" s="334"/>
      <c r="DII243" s="334"/>
      <c r="DIJ243" s="334"/>
      <c r="DIK243" s="334"/>
      <c r="DIL243" s="334"/>
      <c r="DIM243" s="334"/>
      <c r="DIN243" s="334"/>
      <c r="DIO243" s="334"/>
      <c r="DIP243" s="334"/>
      <c r="DIQ243" s="334"/>
      <c r="DIR243" s="334"/>
      <c r="DIS243" s="334"/>
      <c r="DIT243" s="334"/>
      <c r="DIU243" s="334"/>
      <c r="DIV243" s="334"/>
      <c r="DIW243" s="334"/>
      <c r="DIX243" s="334"/>
      <c r="DIY243" s="334"/>
      <c r="DIZ243" s="334"/>
      <c r="DJA243" s="334"/>
      <c r="DJB243" s="334"/>
      <c r="DJC243" s="334"/>
      <c r="DJD243" s="334"/>
      <c r="DJE243" s="334"/>
      <c r="DJF243" s="334"/>
      <c r="DJG243" s="334"/>
      <c r="DJH243" s="334"/>
      <c r="DJI243" s="334"/>
      <c r="DJJ243" s="334"/>
      <c r="DJK243" s="334"/>
      <c r="DJL243" s="334"/>
      <c r="DJM243" s="334"/>
      <c r="DJN243" s="334"/>
      <c r="DJO243" s="334"/>
      <c r="DJP243" s="334"/>
      <c r="DJQ243" s="334"/>
      <c r="DJR243" s="334"/>
      <c r="DJS243" s="334"/>
      <c r="DJT243" s="334"/>
      <c r="DJU243" s="334"/>
      <c r="DJV243" s="334"/>
      <c r="DJW243" s="334"/>
      <c r="DJX243" s="334"/>
      <c r="DJY243" s="334"/>
      <c r="DJZ243" s="334"/>
      <c r="DKA243" s="334"/>
      <c r="DKB243" s="334"/>
      <c r="DKC243" s="334"/>
      <c r="DKD243" s="334"/>
      <c r="DKE243" s="334"/>
      <c r="DKF243" s="334"/>
      <c r="DKG243" s="334"/>
      <c r="DKH243" s="334"/>
      <c r="DKI243" s="334"/>
      <c r="DKJ243" s="334"/>
      <c r="DKK243" s="334"/>
      <c r="DKL243" s="334"/>
      <c r="DKM243" s="334"/>
      <c r="DKN243" s="334"/>
      <c r="DKO243" s="334"/>
      <c r="DKP243" s="334"/>
      <c r="DKQ243" s="334"/>
      <c r="DKR243" s="334"/>
      <c r="DKS243" s="334"/>
      <c r="DKT243" s="334"/>
      <c r="DKU243" s="334"/>
      <c r="DKV243" s="334"/>
      <c r="DKW243" s="334"/>
      <c r="DKX243" s="334"/>
      <c r="DKY243" s="334"/>
      <c r="DKZ243" s="334"/>
      <c r="DLA243" s="334"/>
      <c r="DLB243" s="334"/>
      <c r="DLC243" s="334"/>
      <c r="DLD243" s="334"/>
      <c r="DLE243" s="334"/>
      <c r="DLF243" s="334"/>
      <c r="DLG243" s="334"/>
      <c r="DLH243" s="334"/>
      <c r="DLI243" s="334"/>
      <c r="DLJ243" s="334"/>
      <c r="DLK243" s="334"/>
      <c r="DLL243" s="334"/>
      <c r="DLM243" s="334"/>
      <c r="DLN243" s="334"/>
      <c r="DLO243" s="334"/>
      <c r="DLP243" s="334"/>
      <c r="DLQ243" s="334"/>
      <c r="DLR243" s="334"/>
      <c r="DLS243" s="334"/>
      <c r="DLT243" s="334"/>
      <c r="DLU243" s="334"/>
      <c r="DLV243" s="334"/>
      <c r="DLW243" s="334"/>
      <c r="DLX243" s="334"/>
      <c r="DLY243" s="334"/>
      <c r="DLZ243" s="334"/>
      <c r="DMA243" s="334"/>
      <c r="DMB243" s="334"/>
      <c r="DMC243" s="334"/>
      <c r="DMD243" s="334"/>
      <c r="DME243" s="334"/>
      <c r="DMF243" s="334"/>
      <c r="DMG243" s="334"/>
      <c r="DMH243" s="334"/>
      <c r="DMI243" s="334"/>
      <c r="DMJ243" s="334"/>
      <c r="DMK243" s="334"/>
      <c r="DML243" s="334"/>
      <c r="DMM243" s="334"/>
      <c r="DMN243" s="334"/>
      <c r="DMO243" s="334"/>
      <c r="DMP243" s="334"/>
      <c r="DMQ243" s="334"/>
      <c r="DMR243" s="334"/>
      <c r="DMS243" s="334"/>
      <c r="DMT243" s="334"/>
      <c r="DMU243" s="334"/>
      <c r="DMV243" s="334"/>
      <c r="DMW243" s="334"/>
      <c r="DMX243" s="334"/>
      <c r="DMY243" s="334"/>
      <c r="DMZ243" s="334"/>
      <c r="DNA243" s="334"/>
      <c r="DNB243" s="334"/>
      <c r="DNC243" s="334"/>
      <c r="DND243" s="334"/>
      <c r="DNE243" s="334"/>
      <c r="DNF243" s="334"/>
      <c r="DNG243" s="334"/>
      <c r="DNH243" s="334"/>
      <c r="DNI243" s="334"/>
      <c r="DNJ243" s="334"/>
      <c r="DNK243" s="334"/>
      <c r="DNL243" s="334"/>
      <c r="DNM243" s="334"/>
      <c r="DNN243" s="334"/>
      <c r="DNO243" s="334"/>
      <c r="DNP243" s="334"/>
      <c r="DNQ243" s="334"/>
      <c r="DNR243" s="334"/>
      <c r="DNS243" s="334"/>
      <c r="DNT243" s="334"/>
      <c r="DNU243" s="334"/>
      <c r="DNV243" s="334"/>
      <c r="DNW243" s="334"/>
      <c r="DNX243" s="334"/>
      <c r="DNY243" s="334"/>
      <c r="DNZ243" s="334"/>
      <c r="DOA243" s="334"/>
      <c r="DOB243" s="334"/>
      <c r="DOC243" s="334"/>
      <c r="DOD243" s="334"/>
      <c r="DOE243" s="334"/>
      <c r="DOF243" s="334"/>
      <c r="DOG243" s="334"/>
      <c r="DOH243" s="334"/>
      <c r="DOI243" s="334"/>
      <c r="DOJ243" s="334"/>
      <c r="DOK243" s="334"/>
      <c r="DOL243" s="334"/>
      <c r="DOM243" s="334"/>
      <c r="DON243" s="334"/>
      <c r="DOO243" s="334"/>
      <c r="DOP243" s="334"/>
      <c r="DOQ243" s="334"/>
      <c r="DOR243" s="334"/>
      <c r="DOS243" s="334"/>
      <c r="DOT243" s="334"/>
      <c r="DOU243" s="334"/>
      <c r="DOV243" s="334"/>
      <c r="DOW243" s="334"/>
      <c r="DOX243" s="334"/>
      <c r="DOY243" s="334"/>
      <c r="DOZ243" s="334"/>
      <c r="DPA243" s="334"/>
      <c r="DPB243" s="334"/>
      <c r="DPC243" s="334"/>
      <c r="DPD243" s="334"/>
      <c r="DPE243" s="334"/>
      <c r="DPF243" s="334"/>
      <c r="DPG243" s="334"/>
      <c r="DPH243" s="334"/>
      <c r="DPI243" s="334"/>
      <c r="DPJ243" s="334"/>
      <c r="DPK243" s="334"/>
      <c r="DPL243" s="334"/>
      <c r="DPM243" s="334"/>
      <c r="DPN243" s="334"/>
      <c r="DPO243" s="334"/>
      <c r="DPP243" s="334"/>
      <c r="DPQ243" s="334"/>
      <c r="DPR243" s="334"/>
      <c r="DPS243" s="334"/>
      <c r="DPT243" s="334"/>
      <c r="DPU243" s="334"/>
      <c r="DPV243" s="334"/>
      <c r="DPW243" s="334"/>
      <c r="DPX243" s="334"/>
      <c r="DPY243" s="334"/>
      <c r="DPZ243" s="334"/>
      <c r="DQA243" s="334"/>
      <c r="DQB243" s="334"/>
      <c r="DQC243" s="334"/>
      <c r="DQD243" s="334"/>
      <c r="DQE243" s="334"/>
      <c r="DQF243" s="334"/>
      <c r="DQG243" s="334"/>
      <c r="DQH243" s="334"/>
      <c r="DQI243" s="334"/>
      <c r="DQJ243" s="334"/>
      <c r="DQK243" s="334"/>
      <c r="DQL243" s="334"/>
      <c r="DQM243" s="334"/>
      <c r="DQN243" s="334"/>
      <c r="DQO243" s="334"/>
      <c r="DQP243" s="334"/>
      <c r="DQQ243" s="334"/>
      <c r="DQR243" s="334"/>
      <c r="DQS243" s="334"/>
      <c r="DQT243" s="334"/>
      <c r="DQU243" s="334"/>
      <c r="DQV243" s="334"/>
      <c r="DQW243" s="334"/>
      <c r="DQX243" s="334"/>
      <c r="DQY243" s="334"/>
      <c r="DQZ243" s="334"/>
      <c r="DRA243" s="334"/>
      <c r="DRB243" s="334"/>
      <c r="DRC243" s="334"/>
      <c r="DRD243" s="334"/>
      <c r="DRE243" s="334"/>
      <c r="DRF243" s="334"/>
      <c r="DRG243" s="334"/>
      <c r="DRH243" s="334"/>
      <c r="DRI243" s="334"/>
      <c r="DRJ243" s="334"/>
      <c r="DRK243" s="334"/>
      <c r="DRL243" s="334"/>
      <c r="DRM243" s="334"/>
      <c r="DRN243" s="334"/>
      <c r="DRO243" s="334"/>
      <c r="DRP243" s="334"/>
      <c r="DRQ243" s="334"/>
      <c r="DRR243" s="334"/>
      <c r="DRS243" s="334"/>
      <c r="DRT243" s="334"/>
      <c r="DRU243" s="334"/>
      <c r="DRV243" s="334"/>
      <c r="DRW243" s="334"/>
      <c r="DRX243" s="334"/>
      <c r="DRY243" s="334"/>
      <c r="DRZ243" s="334"/>
      <c r="DSA243" s="334"/>
      <c r="DSB243" s="334"/>
      <c r="DSC243" s="334"/>
      <c r="DSD243" s="334"/>
      <c r="DSE243" s="334"/>
      <c r="DSF243" s="334"/>
      <c r="DSG243" s="334"/>
      <c r="DSH243" s="334"/>
      <c r="DSI243" s="334"/>
      <c r="DSJ243" s="334"/>
      <c r="DSK243" s="334"/>
      <c r="DSL243" s="334"/>
      <c r="DSM243" s="334"/>
      <c r="DSN243" s="334"/>
      <c r="DSO243" s="334"/>
      <c r="DSP243" s="334"/>
      <c r="DSQ243" s="334"/>
      <c r="DSR243" s="334"/>
      <c r="DSS243" s="334"/>
      <c r="DST243" s="334"/>
      <c r="DSU243" s="334"/>
      <c r="DSV243" s="334"/>
      <c r="DSW243" s="334"/>
      <c r="DSX243" s="334"/>
      <c r="DSY243" s="334"/>
      <c r="DSZ243" s="334"/>
      <c r="DTA243" s="334"/>
      <c r="DTB243" s="334"/>
      <c r="DTC243" s="334"/>
      <c r="DTD243" s="334"/>
      <c r="DTE243" s="334"/>
      <c r="DTF243" s="334"/>
      <c r="DTG243" s="334"/>
      <c r="DTH243" s="334"/>
      <c r="DTI243" s="334"/>
      <c r="DTJ243" s="334"/>
      <c r="DTK243" s="334"/>
      <c r="DTL243" s="334"/>
      <c r="DTM243" s="334"/>
      <c r="DTN243" s="334"/>
      <c r="DTO243" s="334"/>
      <c r="DTP243" s="334"/>
      <c r="DTQ243" s="334"/>
      <c r="DTR243" s="334"/>
      <c r="DTS243" s="334"/>
      <c r="DTT243" s="334"/>
      <c r="DTU243" s="334"/>
      <c r="DTV243" s="334"/>
      <c r="DTW243" s="334"/>
      <c r="DTX243" s="334"/>
      <c r="DTY243" s="334"/>
      <c r="DTZ243" s="334"/>
      <c r="DUA243" s="334"/>
      <c r="DUB243" s="334"/>
      <c r="DUC243" s="334"/>
      <c r="DUD243" s="334"/>
      <c r="DUE243" s="334"/>
      <c r="DUF243" s="334"/>
      <c r="DUG243" s="334"/>
      <c r="DUH243" s="334"/>
      <c r="DUI243" s="334"/>
      <c r="DUJ243" s="334"/>
      <c r="DUK243" s="334"/>
      <c r="DUL243" s="334"/>
      <c r="DUM243" s="334"/>
      <c r="DUN243" s="334"/>
      <c r="DUO243" s="334"/>
      <c r="DUP243" s="334"/>
      <c r="DUQ243" s="334"/>
      <c r="DUR243" s="334"/>
      <c r="DUS243" s="334"/>
      <c r="DUT243" s="334"/>
      <c r="DUU243" s="334"/>
      <c r="DUV243" s="334"/>
      <c r="DUW243" s="334"/>
      <c r="DUX243" s="334"/>
      <c r="DUY243" s="334"/>
      <c r="DUZ243" s="334"/>
      <c r="DVA243" s="334"/>
      <c r="DVB243" s="334"/>
      <c r="DVC243" s="334"/>
      <c r="DVD243" s="334"/>
      <c r="DVE243" s="334"/>
      <c r="DVF243" s="334"/>
      <c r="DVG243" s="334"/>
      <c r="DVH243" s="334"/>
      <c r="DVI243" s="334"/>
      <c r="DVJ243" s="334"/>
      <c r="DVK243" s="334"/>
      <c r="DVL243" s="334"/>
      <c r="DVM243" s="334"/>
      <c r="DVN243" s="334"/>
      <c r="DVO243" s="334"/>
      <c r="DVP243" s="334"/>
      <c r="DVQ243" s="334"/>
      <c r="DVR243" s="334"/>
      <c r="DVS243" s="334"/>
      <c r="DVT243" s="334"/>
      <c r="DVU243" s="334"/>
      <c r="DVV243" s="334"/>
      <c r="DVW243" s="334"/>
      <c r="DVX243" s="334"/>
      <c r="DVY243" s="334"/>
      <c r="DVZ243" s="334"/>
      <c r="DWA243" s="334"/>
      <c r="DWB243" s="334"/>
      <c r="DWC243" s="334"/>
      <c r="DWD243" s="334"/>
      <c r="DWE243" s="334"/>
      <c r="DWF243" s="334"/>
      <c r="DWG243" s="334"/>
      <c r="DWH243" s="334"/>
      <c r="DWI243" s="334"/>
      <c r="DWJ243" s="334"/>
      <c r="DWK243" s="334"/>
      <c r="DWL243" s="334"/>
      <c r="DWM243" s="334"/>
      <c r="DWN243" s="334"/>
      <c r="DWO243" s="334"/>
      <c r="DWP243" s="334"/>
      <c r="DWQ243" s="334"/>
      <c r="DWR243" s="334"/>
      <c r="DWS243" s="334"/>
      <c r="DWT243" s="334"/>
      <c r="DWU243" s="334"/>
      <c r="DWV243" s="334"/>
      <c r="DWW243" s="334"/>
      <c r="DWX243" s="334"/>
      <c r="DWY243" s="334"/>
      <c r="DWZ243" s="334"/>
      <c r="DXA243" s="334"/>
      <c r="DXB243" s="334"/>
      <c r="DXC243" s="334"/>
      <c r="DXD243" s="334"/>
      <c r="DXE243" s="334"/>
      <c r="DXF243" s="334"/>
      <c r="DXG243" s="334"/>
      <c r="DXH243" s="334"/>
      <c r="DXI243" s="334"/>
      <c r="DXJ243" s="334"/>
      <c r="DXK243" s="334"/>
      <c r="DXL243" s="334"/>
      <c r="DXM243" s="334"/>
      <c r="DXN243" s="334"/>
      <c r="DXO243" s="334"/>
      <c r="DXP243" s="334"/>
      <c r="DXQ243" s="334"/>
      <c r="DXR243" s="334"/>
      <c r="DXS243" s="334"/>
      <c r="DXT243" s="334"/>
      <c r="DXU243" s="334"/>
      <c r="DXV243" s="334"/>
      <c r="DXW243" s="334"/>
      <c r="DXX243" s="334"/>
      <c r="DXY243" s="334"/>
      <c r="DXZ243" s="334"/>
      <c r="DYA243" s="334"/>
      <c r="DYB243" s="334"/>
      <c r="DYC243" s="334"/>
      <c r="DYD243" s="334"/>
      <c r="DYE243" s="334"/>
      <c r="DYF243" s="334"/>
      <c r="DYG243" s="334"/>
      <c r="DYH243" s="334"/>
      <c r="DYI243" s="334"/>
      <c r="DYJ243" s="334"/>
      <c r="DYK243" s="334"/>
      <c r="DYL243" s="334"/>
      <c r="DYM243" s="334"/>
      <c r="DYN243" s="334"/>
      <c r="DYO243" s="334"/>
      <c r="DYP243" s="334"/>
      <c r="DYQ243" s="334"/>
      <c r="DYR243" s="334"/>
      <c r="DYS243" s="334"/>
      <c r="DYT243" s="334"/>
      <c r="DYU243" s="334"/>
      <c r="DYV243" s="334"/>
      <c r="DYW243" s="334"/>
      <c r="DYX243" s="334"/>
      <c r="DYY243" s="334"/>
      <c r="DYZ243" s="334"/>
      <c r="DZA243" s="334"/>
      <c r="DZB243" s="334"/>
      <c r="DZC243" s="334"/>
      <c r="DZD243" s="334"/>
      <c r="DZE243" s="334"/>
      <c r="DZF243" s="334"/>
      <c r="DZG243" s="334"/>
      <c r="DZH243" s="334"/>
      <c r="DZI243" s="334"/>
      <c r="DZJ243" s="334"/>
      <c r="DZK243" s="334"/>
      <c r="DZL243" s="334"/>
      <c r="DZM243" s="334"/>
      <c r="DZN243" s="334"/>
      <c r="DZO243" s="334"/>
      <c r="DZP243" s="334"/>
      <c r="DZQ243" s="334"/>
      <c r="DZR243" s="334"/>
      <c r="DZS243" s="334"/>
      <c r="DZT243" s="334"/>
      <c r="DZU243" s="334"/>
      <c r="DZV243" s="334"/>
      <c r="DZW243" s="334"/>
      <c r="DZX243" s="334"/>
      <c r="DZY243" s="334"/>
      <c r="DZZ243" s="334"/>
      <c r="EAA243" s="334"/>
      <c r="EAB243" s="334"/>
      <c r="EAC243" s="334"/>
      <c r="EAD243" s="334"/>
      <c r="EAE243" s="334"/>
      <c r="EAF243" s="334"/>
      <c r="EAG243" s="334"/>
      <c r="EAH243" s="334"/>
      <c r="EAI243" s="334"/>
      <c r="EAJ243" s="334"/>
      <c r="EAK243" s="334"/>
      <c r="EAL243" s="334"/>
      <c r="EAM243" s="334"/>
      <c r="EAN243" s="334"/>
      <c r="EAO243" s="334"/>
      <c r="EAP243" s="334"/>
      <c r="EAQ243" s="334"/>
      <c r="EAR243" s="334"/>
      <c r="EAS243" s="334"/>
      <c r="EAT243" s="334"/>
      <c r="EAU243" s="334"/>
      <c r="EAV243" s="334"/>
      <c r="EAW243" s="334"/>
      <c r="EAX243" s="334"/>
      <c r="EAY243" s="334"/>
      <c r="EAZ243" s="334"/>
      <c r="EBA243" s="334"/>
      <c r="EBB243" s="334"/>
      <c r="EBC243" s="334"/>
      <c r="EBD243" s="334"/>
      <c r="EBE243" s="334"/>
      <c r="EBF243" s="334"/>
      <c r="EBG243" s="334"/>
      <c r="EBH243" s="334"/>
      <c r="EBI243" s="334"/>
      <c r="EBJ243" s="334"/>
      <c r="EBK243" s="334"/>
      <c r="EBL243" s="334"/>
      <c r="EBM243" s="334"/>
      <c r="EBN243" s="334"/>
      <c r="EBO243" s="334"/>
      <c r="EBP243" s="334"/>
      <c r="EBQ243" s="334"/>
      <c r="EBR243" s="334"/>
      <c r="EBS243" s="334"/>
      <c r="EBT243" s="334"/>
      <c r="EBU243" s="334"/>
      <c r="EBV243" s="334"/>
      <c r="EBW243" s="334"/>
      <c r="EBX243" s="334"/>
      <c r="EBY243" s="334"/>
      <c r="EBZ243" s="334"/>
      <c r="ECA243" s="334"/>
      <c r="ECB243" s="334"/>
      <c r="ECC243" s="334"/>
      <c r="ECD243" s="334"/>
      <c r="ECE243" s="334"/>
      <c r="ECF243" s="334"/>
      <c r="ECG243" s="334"/>
      <c r="ECH243" s="334"/>
      <c r="ECI243" s="334"/>
      <c r="ECJ243" s="334"/>
      <c r="ECK243" s="334"/>
      <c r="ECL243" s="334"/>
      <c r="ECM243" s="334"/>
      <c r="ECN243" s="334"/>
      <c r="ECO243" s="334"/>
      <c r="ECP243" s="334"/>
      <c r="ECQ243" s="334"/>
      <c r="ECR243" s="334"/>
      <c r="ECS243" s="334"/>
      <c r="ECT243" s="334"/>
      <c r="ECU243" s="334"/>
      <c r="ECV243" s="334"/>
      <c r="ECW243" s="334"/>
      <c r="ECX243" s="334"/>
      <c r="ECY243" s="334"/>
      <c r="ECZ243" s="334"/>
      <c r="EDA243" s="334"/>
      <c r="EDB243" s="334"/>
      <c r="EDC243" s="334"/>
      <c r="EDD243" s="334"/>
      <c r="EDE243" s="334"/>
      <c r="EDF243" s="334"/>
      <c r="EDG243" s="334"/>
      <c r="EDH243" s="334"/>
      <c r="EDI243" s="334"/>
      <c r="EDJ243" s="334"/>
      <c r="EDK243" s="334"/>
      <c r="EDL243" s="334"/>
      <c r="EDM243" s="334"/>
      <c r="EDN243" s="334"/>
      <c r="EDO243" s="334"/>
      <c r="EDP243" s="334"/>
      <c r="EDQ243" s="334"/>
      <c r="EDR243" s="334"/>
      <c r="EDS243" s="334"/>
      <c r="EDT243" s="334"/>
      <c r="EDU243" s="334"/>
      <c r="EDV243" s="334"/>
      <c r="EDW243" s="334"/>
      <c r="EDX243" s="334"/>
      <c r="EDY243" s="334"/>
      <c r="EDZ243" s="334"/>
      <c r="EEA243" s="334"/>
      <c r="EEB243" s="334"/>
      <c r="EEC243" s="334"/>
      <c r="EED243" s="334"/>
      <c r="EEE243" s="334"/>
      <c r="EEF243" s="334"/>
      <c r="EEG243" s="334"/>
      <c r="EEH243" s="334"/>
      <c r="EEI243" s="334"/>
      <c r="EEJ243" s="334"/>
      <c r="EEK243" s="334"/>
      <c r="EEL243" s="334"/>
      <c r="EEM243" s="334"/>
      <c r="EEN243" s="334"/>
      <c r="EEO243" s="334"/>
      <c r="EEP243" s="334"/>
      <c r="EEQ243" s="334"/>
      <c r="EER243" s="334"/>
      <c r="EES243" s="334"/>
      <c r="EET243" s="334"/>
      <c r="EEU243" s="334"/>
      <c r="EEV243" s="334"/>
      <c r="EEW243" s="334"/>
      <c r="EEX243" s="334"/>
      <c r="EEY243" s="334"/>
      <c r="EEZ243" s="334"/>
      <c r="EFA243" s="334"/>
      <c r="EFB243" s="334"/>
      <c r="EFC243" s="334"/>
      <c r="EFD243" s="334"/>
      <c r="EFE243" s="334"/>
      <c r="EFF243" s="334"/>
      <c r="EFG243" s="334"/>
      <c r="EFH243" s="334"/>
      <c r="EFI243" s="334"/>
      <c r="EFJ243" s="334"/>
      <c r="EFK243" s="334"/>
      <c r="EFL243" s="334"/>
      <c r="EFM243" s="334"/>
      <c r="EFN243" s="334"/>
      <c r="EFO243" s="334"/>
      <c r="EFP243" s="334"/>
      <c r="EFQ243" s="334"/>
      <c r="EFR243" s="334"/>
      <c r="EFS243" s="334"/>
      <c r="EFT243" s="334"/>
      <c r="EFU243" s="334"/>
      <c r="EFV243" s="334"/>
      <c r="EFW243" s="334"/>
      <c r="EFX243" s="334"/>
      <c r="EFY243" s="334"/>
      <c r="EFZ243" s="334"/>
      <c r="EGA243" s="334"/>
      <c r="EGB243" s="334"/>
      <c r="EGC243" s="334"/>
      <c r="EGD243" s="334"/>
      <c r="EGE243" s="334"/>
      <c r="EGF243" s="334"/>
      <c r="EGG243" s="334"/>
      <c r="EGH243" s="334"/>
      <c r="EGI243" s="334"/>
      <c r="EGJ243" s="334"/>
      <c r="EGK243" s="334"/>
      <c r="EGL243" s="334"/>
      <c r="EGM243" s="334"/>
      <c r="EGN243" s="334"/>
      <c r="EGO243" s="334"/>
      <c r="EGP243" s="334"/>
      <c r="EGQ243" s="334"/>
      <c r="EGR243" s="334"/>
      <c r="EGS243" s="334"/>
      <c r="EGT243" s="334"/>
      <c r="EGU243" s="334"/>
      <c r="EGV243" s="334"/>
      <c r="EGW243" s="334"/>
      <c r="EGX243" s="334"/>
      <c r="EGY243" s="334"/>
      <c r="EGZ243" s="334"/>
      <c r="EHA243" s="334"/>
      <c r="EHB243" s="334"/>
      <c r="EHC243" s="334"/>
      <c r="EHD243" s="334"/>
      <c r="EHE243" s="334"/>
      <c r="EHF243" s="334"/>
      <c r="EHG243" s="334"/>
      <c r="EHH243" s="334"/>
      <c r="EHI243" s="334"/>
      <c r="EHJ243" s="334"/>
      <c r="EHK243" s="334"/>
      <c r="EHL243" s="334"/>
      <c r="EHM243" s="334"/>
      <c r="EHN243" s="334"/>
      <c r="EHO243" s="334"/>
      <c r="EHP243" s="334"/>
      <c r="EHQ243" s="334"/>
      <c r="EHR243" s="334"/>
      <c r="EHS243" s="334"/>
      <c r="EHT243" s="334"/>
      <c r="EHU243" s="334"/>
      <c r="EHV243" s="334"/>
      <c r="EHW243" s="334"/>
      <c r="EHX243" s="334"/>
      <c r="EHY243" s="334"/>
      <c r="EHZ243" s="334"/>
      <c r="EIA243" s="334"/>
      <c r="EIB243" s="334"/>
      <c r="EIC243" s="334"/>
      <c r="EID243" s="334"/>
      <c r="EIE243" s="334"/>
      <c r="EIF243" s="334"/>
      <c r="EIG243" s="334"/>
      <c r="EIH243" s="334"/>
      <c r="EII243" s="334"/>
      <c r="EIJ243" s="334"/>
      <c r="EIK243" s="334"/>
      <c r="EIL243" s="334"/>
      <c r="EIM243" s="334"/>
      <c r="EIN243" s="334"/>
      <c r="EIO243" s="334"/>
      <c r="EIP243" s="334"/>
      <c r="EIQ243" s="334"/>
      <c r="EIR243" s="334"/>
      <c r="EIS243" s="334"/>
      <c r="EIT243" s="334"/>
      <c r="EIU243" s="334"/>
      <c r="EIV243" s="334"/>
      <c r="EIW243" s="334"/>
      <c r="EIX243" s="334"/>
      <c r="EIY243" s="334"/>
      <c r="EIZ243" s="334"/>
      <c r="EJA243" s="334"/>
      <c r="EJB243" s="334"/>
      <c r="EJC243" s="334"/>
      <c r="EJD243" s="334"/>
      <c r="EJE243" s="334"/>
      <c r="EJF243" s="334"/>
      <c r="EJG243" s="334"/>
      <c r="EJH243" s="334"/>
      <c r="EJI243" s="334"/>
      <c r="EJJ243" s="334"/>
      <c r="EJK243" s="334"/>
      <c r="EJL243" s="334"/>
      <c r="EJM243" s="334"/>
      <c r="EJN243" s="334"/>
      <c r="EJO243" s="334"/>
      <c r="EJP243" s="334"/>
      <c r="EJQ243" s="334"/>
      <c r="EJR243" s="334"/>
      <c r="EJS243" s="334"/>
      <c r="EJT243" s="334"/>
      <c r="EJU243" s="334"/>
      <c r="EJV243" s="334"/>
      <c r="EJW243" s="334"/>
      <c r="EJX243" s="334"/>
      <c r="EJY243" s="334"/>
      <c r="EJZ243" s="334"/>
      <c r="EKA243" s="334"/>
      <c r="EKB243" s="334"/>
      <c r="EKC243" s="334"/>
      <c r="EKD243" s="334"/>
      <c r="EKE243" s="334"/>
      <c r="EKF243" s="334"/>
      <c r="EKG243" s="334"/>
      <c r="EKH243" s="334"/>
      <c r="EKI243" s="334"/>
      <c r="EKJ243" s="334"/>
      <c r="EKK243" s="334"/>
      <c r="EKL243" s="334"/>
      <c r="EKM243" s="334"/>
      <c r="EKN243" s="334"/>
      <c r="EKO243" s="334"/>
      <c r="EKP243" s="334"/>
      <c r="EKQ243" s="334"/>
      <c r="EKR243" s="334"/>
      <c r="EKS243" s="334"/>
      <c r="EKT243" s="334"/>
      <c r="EKU243" s="334"/>
      <c r="EKV243" s="334"/>
      <c r="EKW243" s="334"/>
      <c r="EKX243" s="334"/>
      <c r="EKY243" s="334"/>
      <c r="EKZ243" s="334"/>
      <c r="ELA243" s="334"/>
      <c r="ELB243" s="334"/>
      <c r="ELC243" s="334"/>
      <c r="ELD243" s="334"/>
      <c r="ELE243" s="334"/>
      <c r="ELF243" s="334"/>
      <c r="ELG243" s="334"/>
      <c r="ELH243" s="334"/>
      <c r="ELI243" s="334"/>
      <c r="ELJ243" s="334"/>
      <c r="ELK243" s="334"/>
      <c r="ELL243" s="334"/>
      <c r="ELM243" s="334"/>
      <c r="ELN243" s="334"/>
      <c r="ELO243" s="334"/>
      <c r="ELP243" s="334"/>
      <c r="ELQ243" s="334"/>
      <c r="ELR243" s="334"/>
      <c r="ELS243" s="334"/>
      <c r="ELT243" s="334"/>
      <c r="ELU243" s="334"/>
      <c r="ELV243" s="334"/>
      <c r="ELW243" s="334"/>
      <c r="ELX243" s="334"/>
      <c r="ELY243" s="334"/>
      <c r="ELZ243" s="334"/>
      <c r="EMA243" s="334"/>
      <c r="EMB243" s="334"/>
      <c r="EMC243" s="334"/>
      <c r="EMD243" s="334"/>
      <c r="EME243" s="334"/>
      <c r="EMF243" s="334"/>
      <c r="EMG243" s="334"/>
      <c r="EMH243" s="334"/>
      <c r="EMI243" s="334"/>
      <c r="EMJ243" s="334"/>
      <c r="EMK243" s="334"/>
      <c r="EML243" s="334"/>
      <c r="EMM243" s="334"/>
      <c r="EMN243" s="334"/>
      <c r="EMO243" s="334"/>
      <c r="EMP243" s="334"/>
      <c r="EMQ243" s="334"/>
      <c r="EMR243" s="334"/>
      <c r="EMS243" s="334"/>
      <c r="EMT243" s="334"/>
      <c r="EMU243" s="334"/>
      <c r="EMV243" s="334"/>
      <c r="EMW243" s="334"/>
      <c r="EMX243" s="334"/>
      <c r="EMY243" s="334"/>
      <c r="EMZ243" s="334"/>
      <c r="ENA243" s="334"/>
      <c r="ENB243" s="334"/>
      <c r="ENC243" s="334"/>
      <c r="END243" s="334"/>
      <c r="ENE243" s="334"/>
      <c r="ENF243" s="334"/>
      <c r="ENG243" s="334"/>
      <c r="ENH243" s="334"/>
      <c r="ENI243" s="334"/>
      <c r="ENJ243" s="334"/>
      <c r="ENK243" s="334"/>
      <c r="ENL243" s="334"/>
      <c r="ENM243" s="334"/>
      <c r="ENN243" s="334"/>
      <c r="ENO243" s="334"/>
      <c r="ENP243" s="334"/>
      <c r="ENQ243" s="334"/>
      <c r="ENR243" s="334"/>
      <c r="ENS243" s="334"/>
      <c r="ENT243" s="334"/>
      <c r="ENU243" s="334"/>
      <c r="ENV243" s="334"/>
      <c r="ENW243" s="334"/>
      <c r="ENX243" s="334"/>
      <c r="ENY243" s="334"/>
      <c r="ENZ243" s="334"/>
      <c r="EOA243" s="334"/>
      <c r="EOB243" s="334"/>
      <c r="EOC243" s="334"/>
      <c r="EOD243" s="334"/>
      <c r="EOE243" s="334"/>
      <c r="EOF243" s="334"/>
      <c r="EOG243" s="334"/>
      <c r="EOH243" s="334"/>
      <c r="EOI243" s="334"/>
      <c r="EOJ243" s="334"/>
      <c r="EOK243" s="334"/>
      <c r="EOL243" s="334"/>
      <c r="EOM243" s="334"/>
      <c r="EON243" s="334"/>
      <c r="EOO243" s="334"/>
      <c r="EOP243" s="334"/>
      <c r="EOQ243" s="334"/>
      <c r="EOR243" s="334"/>
      <c r="EOS243" s="334"/>
      <c r="EOT243" s="334"/>
      <c r="EOU243" s="334"/>
      <c r="EOV243" s="334"/>
      <c r="EOW243" s="334"/>
      <c r="EOX243" s="334"/>
      <c r="EOY243" s="334"/>
      <c r="EOZ243" s="334"/>
      <c r="EPA243" s="334"/>
      <c r="EPB243" s="334"/>
      <c r="EPC243" s="334"/>
      <c r="EPD243" s="334"/>
      <c r="EPE243" s="334"/>
      <c r="EPF243" s="334"/>
      <c r="EPG243" s="334"/>
      <c r="EPH243" s="334"/>
      <c r="EPI243" s="334"/>
      <c r="EPJ243" s="334"/>
      <c r="EPK243" s="334"/>
      <c r="EPL243" s="334"/>
      <c r="EPM243" s="334"/>
      <c r="EPN243" s="334"/>
      <c r="EPO243" s="334"/>
      <c r="EPP243" s="334"/>
      <c r="EPQ243" s="334"/>
      <c r="EPR243" s="334"/>
      <c r="EPS243" s="334"/>
      <c r="EPT243" s="334"/>
      <c r="EPU243" s="334"/>
      <c r="EPV243" s="334"/>
      <c r="EPW243" s="334"/>
      <c r="EPX243" s="334"/>
      <c r="EPY243" s="334"/>
      <c r="EPZ243" s="334"/>
      <c r="EQA243" s="334"/>
      <c r="EQB243" s="334"/>
      <c r="EQC243" s="334"/>
      <c r="EQD243" s="334"/>
      <c r="EQE243" s="334"/>
      <c r="EQF243" s="334"/>
      <c r="EQG243" s="334"/>
      <c r="EQH243" s="334"/>
      <c r="EQI243" s="334"/>
      <c r="EQJ243" s="334"/>
      <c r="EQK243" s="334"/>
      <c r="EQL243" s="334"/>
      <c r="EQM243" s="334"/>
      <c r="EQN243" s="334"/>
      <c r="EQO243" s="334"/>
      <c r="EQP243" s="334"/>
      <c r="EQQ243" s="334"/>
      <c r="EQR243" s="334"/>
      <c r="EQS243" s="334"/>
      <c r="EQT243" s="334"/>
      <c r="EQU243" s="334"/>
      <c r="EQV243" s="334"/>
      <c r="EQW243" s="334"/>
      <c r="EQX243" s="334"/>
      <c r="EQY243" s="334"/>
      <c r="EQZ243" s="334"/>
      <c r="ERA243" s="334"/>
      <c r="ERB243" s="334"/>
      <c r="ERC243" s="334"/>
      <c r="ERD243" s="334"/>
      <c r="ERE243" s="334"/>
      <c r="ERF243" s="334"/>
      <c r="ERG243" s="334"/>
      <c r="ERH243" s="334"/>
      <c r="ERI243" s="334"/>
      <c r="ERJ243" s="334"/>
      <c r="ERK243" s="334"/>
      <c r="ERL243" s="334"/>
      <c r="ERM243" s="334"/>
      <c r="ERN243" s="334"/>
      <c r="ERO243" s="334"/>
      <c r="ERP243" s="334"/>
      <c r="ERQ243" s="334"/>
      <c r="ERR243" s="334"/>
      <c r="ERS243" s="334"/>
      <c r="ERT243" s="334"/>
      <c r="ERU243" s="334"/>
      <c r="ERV243" s="334"/>
      <c r="ERW243" s="334"/>
      <c r="ERX243" s="334"/>
      <c r="ERY243" s="334"/>
      <c r="ERZ243" s="334"/>
      <c r="ESA243" s="334"/>
      <c r="ESB243" s="334"/>
      <c r="ESC243" s="334"/>
      <c r="ESD243" s="334"/>
      <c r="ESE243" s="334"/>
      <c r="ESF243" s="334"/>
      <c r="ESG243" s="334"/>
      <c r="ESH243" s="334"/>
      <c r="ESI243" s="334"/>
      <c r="ESJ243" s="334"/>
      <c r="ESK243" s="334"/>
      <c r="ESL243" s="334"/>
      <c r="ESM243" s="334"/>
      <c r="ESN243" s="334"/>
      <c r="ESO243" s="334"/>
      <c r="ESP243" s="334"/>
      <c r="ESQ243" s="334"/>
      <c r="ESR243" s="334"/>
      <c r="ESS243" s="334"/>
      <c r="EST243" s="334"/>
      <c r="ESU243" s="334"/>
      <c r="ESV243" s="334"/>
      <c r="ESW243" s="334"/>
      <c r="ESX243" s="334"/>
      <c r="ESY243" s="334"/>
      <c r="ESZ243" s="334"/>
      <c r="ETA243" s="334"/>
      <c r="ETB243" s="334"/>
      <c r="ETC243" s="334"/>
      <c r="ETD243" s="334"/>
      <c r="ETE243" s="334"/>
      <c r="ETF243" s="334"/>
      <c r="ETG243" s="334"/>
      <c r="ETH243" s="334"/>
      <c r="ETI243" s="334"/>
      <c r="ETJ243" s="334"/>
      <c r="ETK243" s="334"/>
      <c r="ETL243" s="334"/>
      <c r="ETM243" s="334"/>
      <c r="ETN243" s="334"/>
      <c r="ETO243" s="334"/>
      <c r="ETP243" s="334"/>
      <c r="ETQ243" s="334"/>
      <c r="ETR243" s="334"/>
      <c r="ETS243" s="334"/>
      <c r="ETT243" s="334"/>
      <c r="ETU243" s="334"/>
      <c r="ETV243" s="334"/>
      <c r="ETW243" s="334"/>
      <c r="ETX243" s="334"/>
      <c r="ETY243" s="334"/>
      <c r="ETZ243" s="334"/>
      <c r="EUA243" s="334"/>
      <c r="EUB243" s="334"/>
      <c r="EUC243" s="334"/>
      <c r="EUD243" s="334"/>
      <c r="EUE243" s="334"/>
      <c r="EUF243" s="334"/>
      <c r="EUG243" s="334"/>
      <c r="EUH243" s="334"/>
      <c r="EUI243" s="334"/>
      <c r="EUJ243" s="334"/>
      <c r="EUK243" s="334"/>
      <c r="EUL243" s="334"/>
      <c r="EUM243" s="334"/>
      <c r="EUN243" s="334"/>
      <c r="EUO243" s="334"/>
      <c r="EUP243" s="334"/>
      <c r="EUQ243" s="334"/>
      <c r="EUR243" s="334"/>
      <c r="EUS243" s="334"/>
      <c r="EUT243" s="334"/>
      <c r="EUU243" s="334"/>
      <c r="EUV243" s="334"/>
      <c r="EUW243" s="334"/>
      <c r="EUX243" s="334"/>
      <c r="EUY243" s="334"/>
      <c r="EUZ243" s="334"/>
      <c r="EVA243" s="334"/>
      <c r="EVB243" s="334"/>
      <c r="EVC243" s="334"/>
      <c r="EVD243" s="334"/>
      <c r="EVE243" s="334"/>
      <c r="EVF243" s="334"/>
      <c r="EVG243" s="334"/>
      <c r="EVH243" s="334"/>
      <c r="EVI243" s="334"/>
      <c r="EVJ243" s="334"/>
      <c r="EVK243" s="334"/>
      <c r="EVL243" s="334"/>
      <c r="EVM243" s="334"/>
      <c r="EVN243" s="334"/>
      <c r="EVO243" s="334"/>
      <c r="EVP243" s="334"/>
      <c r="EVQ243" s="334"/>
      <c r="EVR243" s="334"/>
      <c r="EVS243" s="334"/>
      <c r="EVT243" s="334"/>
      <c r="EVU243" s="334"/>
      <c r="EVV243" s="334"/>
      <c r="EVW243" s="334"/>
      <c r="EVX243" s="334"/>
      <c r="EVY243" s="334"/>
      <c r="EVZ243" s="334"/>
      <c r="EWA243" s="334"/>
      <c r="EWB243" s="334"/>
      <c r="EWC243" s="334"/>
      <c r="EWD243" s="334"/>
      <c r="EWE243" s="334"/>
      <c r="EWF243" s="334"/>
      <c r="EWG243" s="334"/>
      <c r="EWH243" s="334"/>
      <c r="EWI243" s="334"/>
      <c r="EWJ243" s="334"/>
      <c r="EWK243" s="334"/>
      <c r="EWL243" s="334"/>
      <c r="EWM243" s="334"/>
      <c r="EWN243" s="334"/>
      <c r="EWO243" s="334"/>
      <c r="EWP243" s="334"/>
      <c r="EWQ243" s="334"/>
      <c r="EWR243" s="334"/>
      <c r="EWS243" s="334"/>
      <c r="EWT243" s="334"/>
      <c r="EWU243" s="334"/>
      <c r="EWV243" s="334"/>
      <c r="EWW243" s="334"/>
      <c r="EWX243" s="334"/>
      <c r="EWY243" s="334"/>
      <c r="EWZ243" s="334"/>
      <c r="EXA243" s="334"/>
      <c r="EXB243" s="334"/>
      <c r="EXC243" s="334"/>
      <c r="EXD243" s="334"/>
      <c r="EXE243" s="334"/>
      <c r="EXF243" s="334"/>
      <c r="EXG243" s="334"/>
      <c r="EXH243" s="334"/>
      <c r="EXI243" s="334"/>
      <c r="EXJ243" s="334"/>
      <c r="EXK243" s="334"/>
      <c r="EXL243" s="334"/>
      <c r="EXM243" s="334"/>
      <c r="EXN243" s="334"/>
      <c r="EXO243" s="334"/>
      <c r="EXP243" s="334"/>
      <c r="EXQ243" s="334"/>
      <c r="EXR243" s="334"/>
      <c r="EXS243" s="334"/>
      <c r="EXT243" s="334"/>
      <c r="EXU243" s="334"/>
      <c r="EXV243" s="334"/>
      <c r="EXW243" s="334"/>
      <c r="EXX243" s="334"/>
      <c r="EXY243" s="334"/>
      <c r="EXZ243" s="334"/>
      <c r="EYA243" s="334"/>
      <c r="EYB243" s="334"/>
      <c r="EYC243" s="334"/>
      <c r="EYD243" s="334"/>
      <c r="EYE243" s="334"/>
      <c r="EYF243" s="334"/>
      <c r="EYG243" s="334"/>
      <c r="EYH243" s="334"/>
      <c r="EYI243" s="334"/>
      <c r="EYJ243" s="334"/>
      <c r="EYK243" s="334"/>
      <c r="EYL243" s="334"/>
      <c r="EYM243" s="334"/>
      <c r="EYN243" s="334"/>
      <c r="EYO243" s="334"/>
      <c r="EYP243" s="334"/>
      <c r="EYQ243" s="334"/>
      <c r="EYR243" s="334"/>
      <c r="EYS243" s="334"/>
      <c r="EYT243" s="334"/>
      <c r="EYU243" s="334"/>
      <c r="EYV243" s="334"/>
      <c r="EYW243" s="334"/>
      <c r="EYX243" s="334"/>
      <c r="EYY243" s="334"/>
      <c r="EYZ243" s="334"/>
      <c r="EZA243" s="334"/>
      <c r="EZB243" s="334"/>
      <c r="EZC243" s="334"/>
      <c r="EZD243" s="334"/>
      <c r="EZE243" s="334"/>
      <c r="EZF243" s="334"/>
      <c r="EZG243" s="334"/>
      <c r="EZH243" s="334"/>
      <c r="EZI243" s="334"/>
      <c r="EZJ243" s="334"/>
      <c r="EZK243" s="334"/>
      <c r="EZL243" s="334"/>
      <c r="EZM243" s="334"/>
      <c r="EZN243" s="334"/>
      <c r="EZO243" s="334"/>
      <c r="EZP243" s="334"/>
      <c r="EZQ243" s="334"/>
      <c r="EZR243" s="334"/>
      <c r="EZS243" s="334"/>
      <c r="EZT243" s="334"/>
      <c r="EZU243" s="334"/>
      <c r="EZV243" s="334"/>
      <c r="EZW243" s="334"/>
      <c r="EZX243" s="334"/>
      <c r="EZY243" s="334"/>
      <c r="EZZ243" s="334"/>
      <c r="FAA243" s="334"/>
      <c r="FAB243" s="334"/>
      <c r="FAC243" s="334"/>
      <c r="FAD243" s="334"/>
      <c r="FAE243" s="334"/>
      <c r="FAF243" s="334"/>
      <c r="FAG243" s="334"/>
      <c r="FAH243" s="334"/>
      <c r="FAI243" s="334"/>
      <c r="FAJ243" s="334"/>
      <c r="FAK243" s="334"/>
      <c r="FAL243" s="334"/>
      <c r="FAM243" s="334"/>
      <c r="FAN243" s="334"/>
      <c r="FAO243" s="334"/>
      <c r="FAP243" s="334"/>
      <c r="FAQ243" s="334"/>
      <c r="FAR243" s="334"/>
      <c r="FAS243" s="334"/>
      <c r="FAT243" s="334"/>
      <c r="FAU243" s="334"/>
      <c r="FAV243" s="334"/>
      <c r="FAW243" s="334"/>
      <c r="FAX243" s="334"/>
      <c r="FAY243" s="334"/>
      <c r="FAZ243" s="334"/>
      <c r="FBA243" s="334"/>
      <c r="FBB243" s="334"/>
      <c r="FBC243" s="334"/>
      <c r="FBD243" s="334"/>
      <c r="FBE243" s="334"/>
      <c r="FBF243" s="334"/>
      <c r="FBG243" s="334"/>
      <c r="FBH243" s="334"/>
      <c r="FBI243" s="334"/>
      <c r="FBJ243" s="334"/>
      <c r="FBK243" s="334"/>
      <c r="FBL243" s="334"/>
      <c r="FBM243" s="334"/>
      <c r="FBN243" s="334"/>
      <c r="FBO243" s="334"/>
      <c r="FBP243" s="334"/>
      <c r="FBQ243" s="334"/>
      <c r="FBR243" s="334"/>
      <c r="FBS243" s="334"/>
      <c r="FBT243" s="334"/>
      <c r="FBU243" s="334"/>
      <c r="FBV243" s="334"/>
      <c r="FBW243" s="334"/>
      <c r="FBX243" s="334"/>
      <c r="FBY243" s="334"/>
      <c r="FBZ243" s="334"/>
      <c r="FCA243" s="334"/>
      <c r="FCB243" s="334"/>
      <c r="FCC243" s="334"/>
      <c r="FCD243" s="334"/>
      <c r="FCE243" s="334"/>
      <c r="FCF243" s="334"/>
      <c r="FCG243" s="334"/>
      <c r="FCH243" s="334"/>
      <c r="FCI243" s="334"/>
      <c r="FCJ243" s="334"/>
      <c r="FCK243" s="334"/>
      <c r="FCL243" s="334"/>
      <c r="FCM243" s="334"/>
      <c r="FCN243" s="334"/>
      <c r="FCO243" s="334"/>
      <c r="FCP243" s="334"/>
      <c r="FCQ243" s="334"/>
      <c r="FCR243" s="334"/>
      <c r="FCS243" s="334"/>
      <c r="FCT243" s="334"/>
      <c r="FCU243" s="334"/>
      <c r="FCV243" s="334"/>
      <c r="FCW243" s="334"/>
      <c r="FCX243" s="334"/>
      <c r="FCY243" s="334"/>
      <c r="FCZ243" s="334"/>
      <c r="FDA243" s="334"/>
      <c r="FDB243" s="334"/>
      <c r="FDC243" s="334"/>
      <c r="FDD243" s="334"/>
      <c r="FDE243" s="334"/>
      <c r="FDF243" s="334"/>
      <c r="FDG243" s="334"/>
      <c r="FDH243" s="334"/>
      <c r="FDI243" s="334"/>
      <c r="FDJ243" s="334"/>
      <c r="FDK243" s="334"/>
      <c r="FDL243" s="334"/>
      <c r="FDM243" s="334"/>
      <c r="FDN243" s="334"/>
      <c r="FDO243" s="334"/>
      <c r="FDP243" s="334"/>
      <c r="FDQ243" s="334"/>
      <c r="FDR243" s="334"/>
      <c r="FDS243" s="334"/>
      <c r="FDT243" s="334"/>
      <c r="FDU243" s="334"/>
      <c r="FDV243" s="334"/>
      <c r="FDW243" s="334"/>
      <c r="FDX243" s="334"/>
      <c r="FDY243" s="334"/>
      <c r="FDZ243" s="334"/>
      <c r="FEA243" s="334"/>
      <c r="FEB243" s="334"/>
      <c r="FEC243" s="334"/>
      <c r="FED243" s="334"/>
      <c r="FEE243" s="334"/>
      <c r="FEF243" s="334"/>
      <c r="FEG243" s="334"/>
      <c r="FEH243" s="334"/>
      <c r="FEI243" s="334"/>
      <c r="FEJ243" s="334"/>
      <c r="FEK243" s="334"/>
      <c r="FEL243" s="334"/>
      <c r="FEM243" s="334"/>
      <c r="FEN243" s="334"/>
      <c r="FEO243" s="334"/>
      <c r="FEP243" s="334"/>
      <c r="FEQ243" s="334"/>
      <c r="FER243" s="334"/>
      <c r="FES243" s="334"/>
      <c r="FET243" s="334"/>
      <c r="FEU243" s="334"/>
      <c r="FEV243" s="334"/>
      <c r="FEW243" s="334"/>
      <c r="FEX243" s="334"/>
      <c r="FEY243" s="334"/>
      <c r="FEZ243" s="334"/>
      <c r="FFA243" s="334"/>
      <c r="FFB243" s="334"/>
      <c r="FFC243" s="334"/>
      <c r="FFD243" s="334"/>
      <c r="FFE243" s="334"/>
      <c r="FFF243" s="334"/>
      <c r="FFG243" s="334"/>
      <c r="FFH243" s="334"/>
      <c r="FFI243" s="334"/>
      <c r="FFJ243" s="334"/>
      <c r="FFK243" s="334"/>
      <c r="FFL243" s="334"/>
      <c r="FFM243" s="334"/>
      <c r="FFN243" s="334"/>
      <c r="FFO243" s="334"/>
      <c r="FFP243" s="334"/>
      <c r="FFQ243" s="334"/>
      <c r="FFR243" s="334"/>
      <c r="FFS243" s="334"/>
      <c r="FFT243" s="334"/>
      <c r="FFU243" s="334"/>
      <c r="FFV243" s="334"/>
      <c r="FFW243" s="334"/>
      <c r="FFX243" s="334"/>
      <c r="FFY243" s="334"/>
      <c r="FFZ243" s="334"/>
      <c r="FGA243" s="334"/>
      <c r="FGB243" s="334"/>
      <c r="FGC243" s="334"/>
      <c r="FGD243" s="334"/>
      <c r="FGE243" s="334"/>
      <c r="FGF243" s="334"/>
      <c r="FGG243" s="334"/>
      <c r="FGH243" s="334"/>
      <c r="FGI243" s="334"/>
      <c r="FGJ243" s="334"/>
      <c r="FGK243" s="334"/>
      <c r="FGL243" s="334"/>
      <c r="FGM243" s="334"/>
      <c r="FGN243" s="334"/>
      <c r="FGO243" s="334"/>
      <c r="FGP243" s="334"/>
      <c r="FGQ243" s="334"/>
      <c r="FGR243" s="334"/>
      <c r="FGS243" s="334"/>
      <c r="FGT243" s="334"/>
      <c r="FGU243" s="334"/>
      <c r="FGV243" s="334"/>
      <c r="FGW243" s="334"/>
      <c r="FGX243" s="334"/>
      <c r="FGY243" s="334"/>
      <c r="FGZ243" s="334"/>
      <c r="FHA243" s="334"/>
      <c r="FHB243" s="334"/>
      <c r="FHC243" s="334"/>
      <c r="FHD243" s="334"/>
      <c r="FHE243" s="334"/>
      <c r="FHF243" s="334"/>
      <c r="FHG243" s="334"/>
      <c r="FHH243" s="334"/>
      <c r="FHI243" s="334"/>
      <c r="FHJ243" s="334"/>
      <c r="FHK243" s="334"/>
      <c r="FHL243" s="334"/>
      <c r="FHM243" s="334"/>
      <c r="FHN243" s="334"/>
      <c r="FHO243" s="334"/>
      <c r="FHP243" s="334"/>
      <c r="FHQ243" s="334"/>
      <c r="FHR243" s="334"/>
      <c r="FHS243" s="334"/>
      <c r="FHT243" s="334"/>
      <c r="FHU243" s="334"/>
      <c r="FHV243" s="334"/>
      <c r="FHW243" s="334"/>
      <c r="FHX243" s="334"/>
      <c r="FHY243" s="334"/>
      <c r="FHZ243" s="334"/>
      <c r="FIA243" s="334"/>
      <c r="FIB243" s="334"/>
      <c r="FIC243" s="334"/>
      <c r="FID243" s="334"/>
      <c r="FIE243" s="334"/>
      <c r="FIF243" s="334"/>
      <c r="FIG243" s="334"/>
      <c r="FIH243" s="334"/>
      <c r="FII243" s="334"/>
      <c r="FIJ243" s="334"/>
      <c r="FIK243" s="334"/>
      <c r="FIL243" s="334"/>
      <c r="FIM243" s="334"/>
      <c r="FIN243" s="334"/>
      <c r="FIO243" s="334"/>
      <c r="FIP243" s="334"/>
      <c r="FIQ243" s="334"/>
      <c r="FIR243" s="334"/>
      <c r="FIS243" s="334"/>
      <c r="FIT243" s="334"/>
      <c r="FIU243" s="334"/>
      <c r="FIV243" s="334"/>
      <c r="FIW243" s="334"/>
      <c r="FIX243" s="334"/>
      <c r="FIY243" s="334"/>
      <c r="FIZ243" s="334"/>
      <c r="FJA243" s="334"/>
      <c r="FJB243" s="334"/>
      <c r="FJC243" s="334"/>
      <c r="FJD243" s="334"/>
      <c r="FJE243" s="334"/>
      <c r="FJF243" s="334"/>
      <c r="FJG243" s="334"/>
      <c r="FJH243" s="334"/>
      <c r="FJI243" s="334"/>
      <c r="FJJ243" s="334"/>
      <c r="FJK243" s="334"/>
      <c r="FJL243" s="334"/>
      <c r="FJM243" s="334"/>
      <c r="FJN243" s="334"/>
      <c r="FJO243" s="334"/>
      <c r="FJP243" s="334"/>
      <c r="FJQ243" s="334"/>
      <c r="FJR243" s="334"/>
      <c r="FJS243" s="334"/>
      <c r="FJT243" s="334"/>
      <c r="FJU243" s="334"/>
      <c r="FJV243" s="334"/>
      <c r="FJW243" s="334"/>
      <c r="FJX243" s="334"/>
      <c r="FJY243" s="334"/>
      <c r="FJZ243" s="334"/>
      <c r="FKA243" s="334"/>
      <c r="FKB243" s="334"/>
      <c r="FKC243" s="334"/>
      <c r="FKD243" s="334"/>
      <c r="FKE243" s="334"/>
      <c r="FKF243" s="334"/>
      <c r="FKG243" s="334"/>
      <c r="FKH243" s="334"/>
      <c r="FKI243" s="334"/>
      <c r="FKJ243" s="334"/>
      <c r="FKK243" s="334"/>
      <c r="FKL243" s="334"/>
      <c r="FKM243" s="334"/>
      <c r="FKN243" s="334"/>
      <c r="FKO243" s="334"/>
      <c r="FKP243" s="334"/>
      <c r="FKQ243" s="334"/>
      <c r="FKR243" s="334"/>
      <c r="FKS243" s="334"/>
      <c r="FKT243" s="334"/>
      <c r="FKU243" s="334"/>
      <c r="FKV243" s="334"/>
      <c r="FKW243" s="334"/>
      <c r="FKX243" s="334"/>
      <c r="FKY243" s="334"/>
      <c r="FKZ243" s="334"/>
      <c r="FLA243" s="334"/>
      <c r="FLB243" s="334"/>
      <c r="FLC243" s="334"/>
      <c r="FLD243" s="334"/>
      <c r="FLE243" s="334"/>
      <c r="FLF243" s="334"/>
      <c r="FLG243" s="334"/>
      <c r="FLH243" s="334"/>
      <c r="FLI243" s="334"/>
      <c r="FLJ243" s="334"/>
      <c r="FLK243" s="334"/>
      <c r="FLL243" s="334"/>
      <c r="FLM243" s="334"/>
      <c r="FLN243" s="334"/>
      <c r="FLO243" s="334"/>
      <c r="FLP243" s="334"/>
      <c r="FLQ243" s="334"/>
      <c r="FLR243" s="334"/>
      <c r="FLS243" s="334"/>
      <c r="FLT243" s="334"/>
      <c r="FLU243" s="334"/>
      <c r="FLV243" s="334"/>
      <c r="FLW243" s="334"/>
      <c r="FLX243" s="334"/>
      <c r="FLY243" s="334"/>
      <c r="FLZ243" s="334"/>
      <c r="FMA243" s="334"/>
      <c r="FMB243" s="334"/>
      <c r="FMC243" s="334"/>
      <c r="FMD243" s="334"/>
      <c r="FME243" s="334"/>
      <c r="FMF243" s="334"/>
      <c r="FMG243" s="334"/>
      <c r="FMH243" s="334"/>
      <c r="FMI243" s="334"/>
      <c r="FMJ243" s="334"/>
      <c r="FMK243" s="334"/>
      <c r="FML243" s="334"/>
      <c r="FMM243" s="334"/>
      <c r="FMN243" s="334"/>
      <c r="FMO243" s="334"/>
      <c r="FMP243" s="334"/>
      <c r="FMQ243" s="334"/>
      <c r="FMR243" s="334"/>
      <c r="FMS243" s="334"/>
      <c r="FMT243" s="334"/>
      <c r="FMU243" s="334"/>
      <c r="FMV243" s="334"/>
      <c r="FMW243" s="334"/>
      <c r="FMX243" s="334"/>
      <c r="FMY243" s="334"/>
      <c r="FMZ243" s="334"/>
      <c r="FNA243" s="334"/>
      <c r="FNB243" s="334"/>
      <c r="FNC243" s="334"/>
      <c r="FND243" s="334"/>
      <c r="FNE243" s="334"/>
      <c r="FNF243" s="334"/>
      <c r="FNG243" s="334"/>
      <c r="FNH243" s="334"/>
      <c r="FNI243" s="334"/>
      <c r="FNJ243" s="334"/>
      <c r="FNK243" s="334"/>
      <c r="FNL243" s="334"/>
      <c r="FNM243" s="334"/>
      <c r="FNN243" s="334"/>
      <c r="FNO243" s="334"/>
      <c r="FNP243" s="334"/>
      <c r="FNQ243" s="334"/>
      <c r="FNR243" s="334"/>
      <c r="FNS243" s="334"/>
      <c r="FNT243" s="334"/>
      <c r="FNU243" s="334"/>
      <c r="FNV243" s="334"/>
      <c r="FNW243" s="334"/>
      <c r="FNX243" s="334"/>
      <c r="FNY243" s="334"/>
      <c r="FNZ243" s="334"/>
      <c r="FOA243" s="334"/>
      <c r="FOB243" s="334"/>
      <c r="FOC243" s="334"/>
      <c r="FOD243" s="334"/>
      <c r="FOE243" s="334"/>
      <c r="FOF243" s="334"/>
      <c r="FOG243" s="334"/>
      <c r="FOH243" s="334"/>
      <c r="FOI243" s="334"/>
      <c r="FOJ243" s="334"/>
      <c r="FOK243" s="334"/>
      <c r="FOL243" s="334"/>
      <c r="FOM243" s="334"/>
      <c r="FON243" s="334"/>
      <c r="FOO243" s="334"/>
      <c r="FOP243" s="334"/>
      <c r="FOQ243" s="334"/>
      <c r="FOR243" s="334"/>
      <c r="FOS243" s="334"/>
      <c r="FOT243" s="334"/>
      <c r="FOU243" s="334"/>
      <c r="FOV243" s="334"/>
      <c r="FOW243" s="334"/>
      <c r="FOX243" s="334"/>
      <c r="FOY243" s="334"/>
      <c r="FOZ243" s="334"/>
      <c r="FPA243" s="334"/>
      <c r="FPB243" s="334"/>
      <c r="FPC243" s="334"/>
      <c r="FPD243" s="334"/>
      <c r="FPE243" s="334"/>
      <c r="FPF243" s="334"/>
      <c r="FPG243" s="334"/>
      <c r="FPH243" s="334"/>
      <c r="FPI243" s="334"/>
      <c r="FPJ243" s="334"/>
      <c r="FPK243" s="334"/>
      <c r="FPL243" s="334"/>
      <c r="FPM243" s="334"/>
      <c r="FPN243" s="334"/>
      <c r="FPO243" s="334"/>
      <c r="FPP243" s="334"/>
      <c r="FPQ243" s="334"/>
      <c r="FPR243" s="334"/>
      <c r="FPS243" s="334"/>
      <c r="FPT243" s="334"/>
      <c r="FPU243" s="334"/>
      <c r="FPV243" s="334"/>
      <c r="FPW243" s="334"/>
      <c r="FPX243" s="334"/>
      <c r="FPY243" s="334"/>
      <c r="FPZ243" s="334"/>
      <c r="FQA243" s="334"/>
      <c r="FQB243" s="334"/>
      <c r="FQC243" s="334"/>
      <c r="FQD243" s="334"/>
      <c r="FQE243" s="334"/>
      <c r="FQF243" s="334"/>
      <c r="FQG243" s="334"/>
      <c r="FQH243" s="334"/>
      <c r="FQI243" s="334"/>
      <c r="FQJ243" s="334"/>
      <c r="FQK243" s="334"/>
      <c r="FQL243" s="334"/>
      <c r="FQM243" s="334"/>
      <c r="FQN243" s="334"/>
      <c r="FQO243" s="334"/>
      <c r="FQP243" s="334"/>
      <c r="FQQ243" s="334"/>
      <c r="FQR243" s="334"/>
      <c r="FQS243" s="334"/>
      <c r="FQT243" s="334"/>
      <c r="FQU243" s="334"/>
      <c r="FQV243" s="334"/>
      <c r="FQW243" s="334"/>
      <c r="FQX243" s="334"/>
      <c r="FQY243" s="334"/>
      <c r="FQZ243" s="334"/>
      <c r="FRA243" s="334"/>
      <c r="FRB243" s="334"/>
      <c r="FRC243" s="334"/>
      <c r="FRD243" s="334"/>
      <c r="FRE243" s="334"/>
      <c r="FRF243" s="334"/>
      <c r="FRG243" s="334"/>
      <c r="FRH243" s="334"/>
      <c r="FRI243" s="334"/>
      <c r="FRJ243" s="334"/>
      <c r="FRK243" s="334"/>
      <c r="FRL243" s="334"/>
      <c r="FRM243" s="334"/>
      <c r="FRN243" s="334"/>
      <c r="FRO243" s="334"/>
      <c r="FRP243" s="334"/>
      <c r="FRQ243" s="334"/>
      <c r="FRR243" s="334"/>
      <c r="FRS243" s="334"/>
      <c r="FRT243" s="334"/>
      <c r="FRU243" s="334"/>
      <c r="FRV243" s="334"/>
      <c r="FRW243" s="334"/>
      <c r="FRX243" s="334"/>
      <c r="FRY243" s="334"/>
      <c r="FRZ243" s="334"/>
      <c r="FSA243" s="334"/>
      <c r="FSB243" s="334"/>
      <c r="FSC243" s="334"/>
      <c r="FSD243" s="334"/>
      <c r="FSE243" s="334"/>
      <c r="FSF243" s="334"/>
      <c r="FSG243" s="334"/>
      <c r="FSH243" s="334"/>
      <c r="FSI243" s="334"/>
      <c r="FSJ243" s="334"/>
      <c r="FSK243" s="334"/>
      <c r="FSL243" s="334"/>
      <c r="FSM243" s="334"/>
      <c r="FSN243" s="334"/>
      <c r="FSO243" s="334"/>
      <c r="FSP243" s="334"/>
      <c r="FSQ243" s="334"/>
      <c r="FSR243" s="334"/>
      <c r="FSS243" s="334"/>
      <c r="FST243" s="334"/>
      <c r="FSU243" s="334"/>
      <c r="FSV243" s="334"/>
      <c r="FSW243" s="334"/>
      <c r="FSX243" s="334"/>
      <c r="FSY243" s="334"/>
      <c r="FSZ243" s="334"/>
      <c r="FTA243" s="334"/>
      <c r="FTB243" s="334"/>
      <c r="FTC243" s="334"/>
      <c r="FTD243" s="334"/>
      <c r="FTE243" s="334"/>
      <c r="FTF243" s="334"/>
      <c r="FTG243" s="334"/>
      <c r="FTH243" s="334"/>
      <c r="FTI243" s="334"/>
      <c r="FTJ243" s="334"/>
      <c r="FTK243" s="334"/>
      <c r="FTL243" s="334"/>
      <c r="FTM243" s="334"/>
      <c r="FTN243" s="334"/>
      <c r="FTO243" s="334"/>
      <c r="FTP243" s="334"/>
      <c r="FTQ243" s="334"/>
      <c r="FTR243" s="334"/>
      <c r="FTS243" s="334"/>
      <c r="FTT243" s="334"/>
      <c r="FTU243" s="334"/>
      <c r="FTV243" s="334"/>
      <c r="FTW243" s="334"/>
      <c r="FTX243" s="334"/>
      <c r="FTY243" s="334"/>
      <c r="FTZ243" s="334"/>
      <c r="FUA243" s="334"/>
      <c r="FUB243" s="334"/>
      <c r="FUC243" s="334"/>
      <c r="FUD243" s="334"/>
      <c r="FUE243" s="334"/>
      <c r="FUF243" s="334"/>
      <c r="FUG243" s="334"/>
      <c r="FUH243" s="334"/>
      <c r="FUI243" s="334"/>
      <c r="FUJ243" s="334"/>
      <c r="FUK243" s="334"/>
      <c r="FUL243" s="334"/>
      <c r="FUM243" s="334"/>
      <c r="FUN243" s="334"/>
      <c r="FUO243" s="334"/>
      <c r="FUP243" s="334"/>
      <c r="FUQ243" s="334"/>
      <c r="FUR243" s="334"/>
      <c r="FUS243" s="334"/>
      <c r="FUT243" s="334"/>
      <c r="FUU243" s="334"/>
      <c r="FUV243" s="334"/>
      <c r="FUW243" s="334"/>
      <c r="FUX243" s="334"/>
      <c r="FUY243" s="334"/>
      <c r="FUZ243" s="334"/>
      <c r="FVA243" s="334"/>
      <c r="FVB243" s="334"/>
      <c r="FVC243" s="334"/>
      <c r="FVD243" s="334"/>
      <c r="FVE243" s="334"/>
      <c r="FVF243" s="334"/>
      <c r="FVG243" s="334"/>
      <c r="FVH243" s="334"/>
      <c r="FVI243" s="334"/>
      <c r="FVJ243" s="334"/>
      <c r="FVK243" s="334"/>
      <c r="FVL243" s="334"/>
      <c r="FVM243" s="334"/>
      <c r="FVN243" s="334"/>
      <c r="FVO243" s="334"/>
      <c r="FVP243" s="334"/>
      <c r="FVQ243" s="334"/>
      <c r="FVR243" s="334"/>
      <c r="FVS243" s="334"/>
      <c r="FVT243" s="334"/>
      <c r="FVU243" s="334"/>
      <c r="FVV243" s="334"/>
      <c r="FVW243" s="334"/>
      <c r="FVX243" s="334"/>
      <c r="FVY243" s="334"/>
      <c r="FVZ243" s="334"/>
      <c r="FWA243" s="334"/>
      <c r="FWB243" s="334"/>
      <c r="FWC243" s="334"/>
      <c r="FWD243" s="334"/>
      <c r="FWE243" s="334"/>
      <c r="FWF243" s="334"/>
      <c r="FWG243" s="334"/>
      <c r="FWH243" s="334"/>
      <c r="FWI243" s="334"/>
      <c r="FWJ243" s="334"/>
      <c r="FWK243" s="334"/>
      <c r="FWL243" s="334"/>
      <c r="FWM243" s="334"/>
      <c r="FWN243" s="334"/>
      <c r="FWO243" s="334"/>
      <c r="FWP243" s="334"/>
      <c r="FWQ243" s="334"/>
      <c r="FWR243" s="334"/>
      <c r="FWS243" s="334"/>
      <c r="FWT243" s="334"/>
      <c r="FWU243" s="334"/>
      <c r="FWV243" s="334"/>
      <c r="FWW243" s="334"/>
      <c r="FWX243" s="334"/>
      <c r="FWY243" s="334"/>
      <c r="FWZ243" s="334"/>
      <c r="FXA243" s="334"/>
      <c r="FXB243" s="334"/>
      <c r="FXC243" s="334"/>
      <c r="FXD243" s="334"/>
      <c r="FXE243" s="334"/>
      <c r="FXF243" s="334"/>
      <c r="FXG243" s="334"/>
      <c r="FXH243" s="334"/>
      <c r="FXI243" s="334"/>
      <c r="FXJ243" s="334"/>
      <c r="FXK243" s="334"/>
      <c r="FXL243" s="334"/>
      <c r="FXM243" s="334"/>
      <c r="FXN243" s="334"/>
      <c r="FXO243" s="334"/>
      <c r="FXP243" s="334"/>
      <c r="FXQ243" s="334"/>
      <c r="FXR243" s="334"/>
      <c r="FXS243" s="334"/>
      <c r="FXT243" s="334"/>
      <c r="FXU243" s="334"/>
      <c r="FXV243" s="334"/>
      <c r="FXW243" s="334"/>
      <c r="FXX243" s="334"/>
      <c r="FXY243" s="334"/>
      <c r="FXZ243" s="334"/>
      <c r="FYA243" s="334"/>
      <c r="FYB243" s="334"/>
      <c r="FYC243" s="334"/>
      <c r="FYD243" s="334"/>
      <c r="FYE243" s="334"/>
      <c r="FYF243" s="334"/>
      <c r="FYG243" s="334"/>
      <c r="FYH243" s="334"/>
      <c r="FYI243" s="334"/>
      <c r="FYJ243" s="334"/>
      <c r="FYK243" s="334"/>
      <c r="FYL243" s="334"/>
      <c r="FYM243" s="334"/>
      <c r="FYN243" s="334"/>
      <c r="FYO243" s="334"/>
      <c r="FYP243" s="334"/>
      <c r="FYQ243" s="334"/>
      <c r="FYR243" s="334"/>
      <c r="FYS243" s="334"/>
      <c r="FYT243" s="334"/>
      <c r="FYU243" s="334"/>
      <c r="FYV243" s="334"/>
      <c r="FYW243" s="334"/>
      <c r="FYX243" s="334"/>
      <c r="FYY243" s="334"/>
      <c r="FYZ243" s="334"/>
      <c r="FZA243" s="334"/>
      <c r="FZB243" s="334"/>
      <c r="FZC243" s="334"/>
      <c r="FZD243" s="334"/>
      <c r="FZE243" s="334"/>
      <c r="FZF243" s="334"/>
      <c r="FZG243" s="334"/>
      <c r="FZH243" s="334"/>
      <c r="FZI243" s="334"/>
      <c r="FZJ243" s="334"/>
      <c r="FZK243" s="334"/>
      <c r="FZL243" s="334"/>
      <c r="FZM243" s="334"/>
      <c r="FZN243" s="334"/>
      <c r="FZO243" s="334"/>
      <c r="FZP243" s="334"/>
      <c r="FZQ243" s="334"/>
      <c r="FZR243" s="334"/>
      <c r="FZS243" s="334"/>
      <c r="FZT243" s="334"/>
      <c r="FZU243" s="334"/>
      <c r="FZV243" s="334"/>
      <c r="FZW243" s="334"/>
      <c r="FZX243" s="334"/>
      <c r="FZY243" s="334"/>
      <c r="FZZ243" s="334"/>
      <c r="GAA243" s="334"/>
      <c r="GAB243" s="334"/>
      <c r="GAC243" s="334"/>
      <c r="GAD243" s="334"/>
      <c r="GAE243" s="334"/>
      <c r="GAF243" s="334"/>
      <c r="GAG243" s="334"/>
      <c r="GAH243" s="334"/>
      <c r="GAI243" s="334"/>
      <c r="GAJ243" s="334"/>
      <c r="GAK243" s="334"/>
      <c r="GAL243" s="334"/>
      <c r="GAM243" s="334"/>
      <c r="GAN243" s="334"/>
      <c r="GAO243" s="334"/>
      <c r="GAP243" s="334"/>
      <c r="GAQ243" s="334"/>
      <c r="GAR243" s="334"/>
      <c r="GAS243" s="334"/>
      <c r="GAT243" s="334"/>
      <c r="GAU243" s="334"/>
      <c r="GAV243" s="334"/>
      <c r="GAW243" s="334"/>
      <c r="GAX243" s="334"/>
      <c r="GAY243" s="334"/>
      <c r="GAZ243" s="334"/>
      <c r="GBA243" s="334"/>
      <c r="GBB243" s="334"/>
      <c r="GBC243" s="334"/>
      <c r="GBD243" s="334"/>
      <c r="GBE243" s="334"/>
      <c r="GBF243" s="334"/>
      <c r="GBG243" s="334"/>
      <c r="GBH243" s="334"/>
      <c r="GBI243" s="334"/>
      <c r="GBJ243" s="334"/>
      <c r="GBK243" s="334"/>
      <c r="GBL243" s="334"/>
      <c r="GBM243" s="334"/>
      <c r="GBN243" s="334"/>
      <c r="GBO243" s="334"/>
      <c r="GBP243" s="334"/>
      <c r="GBQ243" s="334"/>
      <c r="GBR243" s="334"/>
      <c r="GBS243" s="334"/>
      <c r="GBT243" s="334"/>
      <c r="GBU243" s="334"/>
      <c r="GBV243" s="334"/>
      <c r="GBW243" s="334"/>
      <c r="GBX243" s="334"/>
      <c r="GBY243" s="334"/>
      <c r="GBZ243" s="334"/>
      <c r="GCA243" s="334"/>
      <c r="GCB243" s="334"/>
      <c r="GCC243" s="334"/>
      <c r="GCD243" s="334"/>
      <c r="GCE243" s="334"/>
      <c r="GCF243" s="334"/>
      <c r="GCG243" s="334"/>
      <c r="GCH243" s="334"/>
      <c r="GCI243" s="334"/>
      <c r="GCJ243" s="334"/>
      <c r="GCK243" s="334"/>
      <c r="GCL243" s="334"/>
      <c r="GCM243" s="334"/>
      <c r="GCN243" s="334"/>
      <c r="GCO243" s="334"/>
      <c r="GCP243" s="334"/>
      <c r="GCQ243" s="334"/>
      <c r="GCR243" s="334"/>
      <c r="GCS243" s="334"/>
      <c r="GCT243" s="334"/>
      <c r="GCU243" s="334"/>
      <c r="GCV243" s="334"/>
      <c r="GCW243" s="334"/>
      <c r="GCX243" s="334"/>
      <c r="GCY243" s="334"/>
      <c r="GCZ243" s="334"/>
      <c r="GDA243" s="334"/>
      <c r="GDB243" s="334"/>
      <c r="GDC243" s="334"/>
      <c r="GDD243" s="334"/>
      <c r="GDE243" s="334"/>
      <c r="GDF243" s="334"/>
      <c r="GDG243" s="334"/>
      <c r="GDH243" s="334"/>
      <c r="GDI243" s="334"/>
      <c r="GDJ243" s="334"/>
      <c r="GDK243" s="334"/>
      <c r="GDL243" s="334"/>
      <c r="GDM243" s="334"/>
      <c r="GDN243" s="334"/>
      <c r="GDO243" s="334"/>
      <c r="GDP243" s="334"/>
      <c r="GDQ243" s="334"/>
      <c r="GDR243" s="334"/>
      <c r="GDS243" s="334"/>
      <c r="GDT243" s="334"/>
      <c r="GDU243" s="334"/>
      <c r="GDV243" s="334"/>
      <c r="GDW243" s="334"/>
      <c r="GDX243" s="334"/>
      <c r="GDY243" s="334"/>
      <c r="GDZ243" s="334"/>
      <c r="GEA243" s="334"/>
      <c r="GEB243" s="334"/>
      <c r="GEC243" s="334"/>
      <c r="GED243" s="334"/>
      <c r="GEE243" s="334"/>
      <c r="GEF243" s="334"/>
      <c r="GEG243" s="334"/>
      <c r="GEH243" s="334"/>
      <c r="GEI243" s="334"/>
      <c r="GEJ243" s="334"/>
      <c r="GEK243" s="334"/>
      <c r="GEL243" s="334"/>
      <c r="GEM243" s="334"/>
      <c r="GEN243" s="334"/>
      <c r="GEO243" s="334"/>
      <c r="GEP243" s="334"/>
      <c r="GEQ243" s="334"/>
      <c r="GER243" s="334"/>
      <c r="GES243" s="334"/>
      <c r="GET243" s="334"/>
      <c r="GEU243" s="334"/>
      <c r="GEV243" s="334"/>
      <c r="GEW243" s="334"/>
      <c r="GEX243" s="334"/>
      <c r="GEY243" s="334"/>
      <c r="GEZ243" s="334"/>
      <c r="GFA243" s="334"/>
      <c r="GFB243" s="334"/>
      <c r="GFC243" s="334"/>
      <c r="GFD243" s="334"/>
      <c r="GFE243" s="334"/>
      <c r="GFF243" s="334"/>
      <c r="GFG243" s="334"/>
      <c r="GFH243" s="334"/>
      <c r="GFI243" s="334"/>
      <c r="GFJ243" s="334"/>
      <c r="GFK243" s="334"/>
      <c r="GFL243" s="334"/>
      <c r="GFM243" s="334"/>
      <c r="GFN243" s="334"/>
      <c r="GFO243" s="334"/>
      <c r="GFP243" s="334"/>
      <c r="GFQ243" s="334"/>
      <c r="GFR243" s="334"/>
      <c r="GFS243" s="334"/>
      <c r="GFT243" s="334"/>
      <c r="GFU243" s="334"/>
      <c r="GFV243" s="334"/>
      <c r="GFW243" s="334"/>
      <c r="GFX243" s="334"/>
      <c r="GFY243" s="334"/>
      <c r="GFZ243" s="334"/>
      <c r="GGA243" s="334"/>
      <c r="GGB243" s="334"/>
      <c r="GGC243" s="334"/>
      <c r="GGD243" s="334"/>
      <c r="GGE243" s="334"/>
      <c r="GGF243" s="334"/>
      <c r="GGG243" s="334"/>
      <c r="GGH243" s="334"/>
      <c r="GGI243" s="334"/>
      <c r="GGJ243" s="334"/>
      <c r="GGK243" s="334"/>
      <c r="GGL243" s="334"/>
      <c r="GGM243" s="334"/>
      <c r="GGN243" s="334"/>
      <c r="GGO243" s="334"/>
      <c r="GGP243" s="334"/>
      <c r="GGQ243" s="334"/>
      <c r="GGR243" s="334"/>
      <c r="GGS243" s="334"/>
      <c r="GGT243" s="334"/>
      <c r="GGU243" s="334"/>
      <c r="GGV243" s="334"/>
      <c r="GGW243" s="334"/>
      <c r="GGX243" s="334"/>
      <c r="GGY243" s="334"/>
      <c r="GGZ243" s="334"/>
      <c r="GHA243" s="334"/>
      <c r="GHB243" s="334"/>
      <c r="GHC243" s="334"/>
      <c r="GHD243" s="334"/>
      <c r="GHE243" s="334"/>
      <c r="GHF243" s="334"/>
      <c r="GHG243" s="334"/>
      <c r="GHH243" s="334"/>
      <c r="GHI243" s="334"/>
      <c r="GHJ243" s="334"/>
      <c r="GHK243" s="334"/>
      <c r="GHL243" s="334"/>
      <c r="GHM243" s="334"/>
      <c r="GHN243" s="334"/>
      <c r="GHO243" s="334"/>
      <c r="GHP243" s="334"/>
      <c r="GHQ243" s="334"/>
      <c r="GHR243" s="334"/>
      <c r="GHS243" s="334"/>
      <c r="GHT243" s="334"/>
      <c r="GHU243" s="334"/>
      <c r="GHV243" s="334"/>
      <c r="GHW243" s="334"/>
      <c r="GHX243" s="334"/>
      <c r="GHY243" s="334"/>
      <c r="GHZ243" s="334"/>
      <c r="GIA243" s="334"/>
      <c r="GIB243" s="334"/>
      <c r="GIC243" s="334"/>
      <c r="GID243" s="334"/>
      <c r="GIE243" s="334"/>
      <c r="GIF243" s="334"/>
      <c r="GIG243" s="334"/>
      <c r="GIH243" s="334"/>
      <c r="GII243" s="334"/>
      <c r="GIJ243" s="334"/>
      <c r="GIK243" s="334"/>
      <c r="GIL243" s="334"/>
      <c r="GIM243" s="334"/>
      <c r="GIN243" s="334"/>
      <c r="GIO243" s="334"/>
      <c r="GIP243" s="334"/>
      <c r="GIQ243" s="334"/>
      <c r="GIR243" s="334"/>
      <c r="GIS243" s="334"/>
      <c r="GIT243" s="334"/>
      <c r="GIU243" s="334"/>
      <c r="GIV243" s="334"/>
      <c r="GIW243" s="334"/>
      <c r="GIX243" s="334"/>
      <c r="GIY243" s="334"/>
      <c r="GIZ243" s="334"/>
      <c r="GJA243" s="334"/>
      <c r="GJB243" s="334"/>
      <c r="GJC243" s="334"/>
      <c r="GJD243" s="334"/>
      <c r="GJE243" s="334"/>
      <c r="GJF243" s="334"/>
      <c r="GJG243" s="334"/>
      <c r="GJH243" s="334"/>
      <c r="GJI243" s="334"/>
      <c r="GJJ243" s="334"/>
      <c r="GJK243" s="334"/>
      <c r="GJL243" s="334"/>
      <c r="GJM243" s="334"/>
      <c r="GJN243" s="334"/>
      <c r="GJO243" s="334"/>
      <c r="GJP243" s="334"/>
      <c r="GJQ243" s="334"/>
      <c r="GJR243" s="334"/>
      <c r="GJS243" s="334"/>
      <c r="GJT243" s="334"/>
      <c r="GJU243" s="334"/>
      <c r="GJV243" s="334"/>
      <c r="GJW243" s="334"/>
      <c r="GJX243" s="334"/>
      <c r="GJY243" s="334"/>
      <c r="GJZ243" s="334"/>
      <c r="GKA243" s="334"/>
      <c r="GKB243" s="334"/>
      <c r="GKC243" s="334"/>
      <c r="GKD243" s="334"/>
      <c r="GKE243" s="334"/>
      <c r="GKF243" s="334"/>
      <c r="GKG243" s="334"/>
      <c r="GKH243" s="334"/>
      <c r="GKI243" s="334"/>
      <c r="GKJ243" s="334"/>
      <c r="GKK243" s="334"/>
      <c r="GKL243" s="334"/>
      <c r="GKM243" s="334"/>
      <c r="GKN243" s="334"/>
      <c r="GKO243" s="334"/>
      <c r="GKP243" s="334"/>
      <c r="GKQ243" s="334"/>
      <c r="GKR243" s="334"/>
      <c r="GKS243" s="334"/>
      <c r="GKT243" s="334"/>
      <c r="GKU243" s="334"/>
      <c r="GKV243" s="334"/>
      <c r="GKW243" s="334"/>
      <c r="GKX243" s="334"/>
      <c r="GKY243" s="334"/>
      <c r="GKZ243" s="334"/>
      <c r="GLA243" s="334"/>
      <c r="GLB243" s="334"/>
      <c r="GLC243" s="334"/>
      <c r="GLD243" s="334"/>
      <c r="GLE243" s="334"/>
      <c r="GLF243" s="334"/>
      <c r="GLG243" s="334"/>
      <c r="GLH243" s="334"/>
      <c r="GLI243" s="334"/>
      <c r="GLJ243" s="334"/>
      <c r="GLK243" s="334"/>
      <c r="GLL243" s="334"/>
      <c r="GLM243" s="334"/>
      <c r="GLN243" s="334"/>
      <c r="GLO243" s="334"/>
      <c r="GLP243" s="334"/>
      <c r="GLQ243" s="334"/>
      <c r="GLR243" s="334"/>
      <c r="GLS243" s="334"/>
      <c r="GLT243" s="334"/>
      <c r="GLU243" s="334"/>
      <c r="GLV243" s="334"/>
      <c r="GLW243" s="334"/>
      <c r="GLX243" s="334"/>
      <c r="GLY243" s="334"/>
      <c r="GLZ243" s="334"/>
      <c r="GMA243" s="334"/>
      <c r="GMB243" s="334"/>
      <c r="GMC243" s="334"/>
      <c r="GMD243" s="334"/>
      <c r="GME243" s="334"/>
      <c r="GMF243" s="334"/>
      <c r="GMG243" s="334"/>
      <c r="GMH243" s="334"/>
      <c r="GMI243" s="334"/>
      <c r="GMJ243" s="334"/>
      <c r="GMK243" s="334"/>
      <c r="GML243" s="334"/>
      <c r="GMM243" s="334"/>
      <c r="GMN243" s="334"/>
      <c r="GMO243" s="334"/>
      <c r="GMP243" s="334"/>
      <c r="GMQ243" s="334"/>
      <c r="GMR243" s="334"/>
      <c r="GMS243" s="334"/>
      <c r="GMT243" s="334"/>
      <c r="GMU243" s="334"/>
      <c r="GMV243" s="334"/>
      <c r="GMW243" s="334"/>
      <c r="GMX243" s="334"/>
      <c r="GMY243" s="334"/>
      <c r="GMZ243" s="334"/>
      <c r="GNA243" s="334"/>
      <c r="GNB243" s="334"/>
      <c r="GNC243" s="334"/>
      <c r="GND243" s="334"/>
      <c r="GNE243" s="334"/>
      <c r="GNF243" s="334"/>
      <c r="GNG243" s="334"/>
      <c r="GNH243" s="334"/>
      <c r="GNI243" s="334"/>
      <c r="GNJ243" s="334"/>
      <c r="GNK243" s="334"/>
      <c r="GNL243" s="334"/>
      <c r="GNM243" s="334"/>
      <c r="GNN243" s="334"/>
      <c r="GNO243" s="334"/>
      <c r="GNP243" s="334"/>
      <c r="GNQ243" s="334"/>
      <c r="GNR243" s="334"/>
      <c r="GNS243" s="334"/>
      <c r="GNT243" s="334"/>
      <c r="GNU243" s="334"/>
      <c r="GNV243" s="334"/>
      <c r="GNW243" s="334"/>
      <c r="GNX243" s="334"/>
      <c r="GNY243" s="334"/>
      <c r="GNZ243" s="334"/>
      <c r="GOA243" s="334"/>
      <c r="GOB243" s="334"/>
      <c r="GOC243" s="334"/>
      <c r="GOD243" s="334"/>
      <c r="GOE243" s="334"/>
      <c r="GOF243" s="334"/>
      <c r="GOG243" s="334"/>
      <c r="GOH243" s="334"/>
      <c r="GOI243" s="334"/>
      <c r="GOJ243" s="334"/>
      <c r="GOK243" s="334"/>
      <c r="GOL243" s="334"/>
      <c r="GOM243" s="334"/>
      <c r="GON243" s="334"/>
      <c r="GOO243" s="334"/>
      <c r="GOP243" s="334"/>
      <c r="GOQ243" s="334"/>
      <c r="GOR243" s="334"/>
      <c r="GOS243" s="334"/>
      <c r="GOT243" s="334"/>
      <c r="GOU243" s="334"/>
      <c r="GOV243" s="334"/>
      <c r="GOW243" s="334"/>
      <c r="GOX243" s="334"/>
      <c r="GOY243" s="334"/>
      <c r="GOZ243" s="334"/>
      <c r="GPA243" s="334"/>
      <c r="GPB243" s="334"/>
      <c r="GPC243" s="334"/>
      <c r="GPD243" s="334"/>
      <c r="GPE243" s="334"/>
      <c r="GPF243" s="334"/>
      <c r="GPG243" s="334"/>
      <c r="GPH243" s="334"/>
      <c r="GPI243" s="334"/>
      <c r="GPJ243" s="334"/>
      <c r="GPK243" s="334"/>
      <c r="GPL243" s="334"/>
      <c r="GPM243" s="334"/>
      <c r="GPN243" s="334"/>
      <c r="GPO243" s="334"/>
      <c r="GPP243" s="334"/>
      <c r="GPQ243" s="334"/>
      <c r="GPR243" s="334"/>
      <c r="GPS243" s="334"/>
      <c r="GPT243" s="334"/>
      <c r="GPU243" s="334"/>
      <c r="GPV243" s="334"/>
      <c r="GPW243" s="334"/>
      <c r="GPX243" s="334"/>
      <c r="GPY243" s="334"/>
      <c r="GPZ243" s="334"/>
      <c r="GQA243" s="334"/>
      <c r="GQB243" s="334"/>
      <c r="GQC243" s="334"/>
      <c r="GQD243" s="334"/>
      <c r="GQE243" s="334"/>
      <c r="GQF243" s="334"/>
      <c r="GQG243" s="334"/>
      <c r="GQH243" s="334"/>
      <c r="GQI243" s="334"/>
      <c r="GQJ243" s="334"/>
      <c r="GQK243" s="334"/>
      <c r="GQL243" s="334"/>
      <c r="GQM243" s="334"/>
      <c r="GQN243" s="334"/>
      <c r="GQO243" s="334"/>
      <c r="GQP243" s="334"/>
      <c r="GQQ243" s="334"/>
      <c r="GQR243" s="334"/>
      <c r="GQS243" s="334"/>
      <c r="GQT243" s="334"/>
      <c r="GQU243" s="334"/>
      <c r="GQV243" s="334"/>
      <c r="GQW243" s="334"/>
      <c r="GQX243" s="334"/>
      <c r="GQY243" s="334"/>
      <c r="GQZ243" s="334"/>
      <c r="GRA243" s="334"/>
      <c r="GRB243" s="334"/>
      <c r="GRC243" s="334"/>
      <c r="GRD243" s="334"/>
      <c r="GRE243" s="334"/>
      <c r="GRF243" s="334"/>
      <c r="GRG243" s="334"/>
      <c r="GRH243" s="334"/>
      <c r="GRI243" s="334"/>
      <c r="GRJ243" s="334"/>
      <c r="GRK243" s="334"/>
      <c r="GRL243" s="334"/>
      <c r="GRM243" s="334"/>
      <c r="GRN243" s="334"/>
      <c r="GRO243" s="334"/>
      <c r="GRP243" s="334"/>
      <c r="GRQ243" s="334"/>
      <c r="GRR243" s="334"/>
      <c r="GRS243" s="334"/>
      <c r="GRT243" s="334"/>
      <c r="GRU243" s="334"/>
      <c r="GRV243" s="334"/>
      <c r="GRW243" s="334"/>
      <c r="GRX243" s="334"/>
      <c r="GRY243" s="334"/>
      <c r="GRZ243" s="334"/>
      <c r="GSA243" s="334"/>
      <c r="GSB243" s="334"/>
      <c r="GSC243" s="334"/>
      <c r="GSD243" s="334"/>
      <c r="GSE243" s="334"/>
      <c r="GSF243" s="334"/>
      <c r="GSG243" s="334"/>
      <c r="GSH243" s="334"/>
      <c r="GSI243" s="334"/>
      <c r="GSJ243" s="334"/>
      <c r="GSK243" s="334"/>
      <c r="GSL243" s="334"/>
      <c r="GSM243" s="334"/>
      <c r="GSN243" s="334"/>
      <c r="GSO243" s="334"/>
      <c r="GSP243" s="334"/>
      <c r="GSQ243" s="334"/>
      <c r="GSR243" s="334"/>
      <c r="GSS243" s="334"/>
      <c r="GST243" s="334"/>
      <c r="GSU243" s="334"/>
      <c r="GSV243" s="334"/>
      <c r="GSW243" s="334"/>
      <c r="GSX243" s="334"/>
      <c r="GSY243" s="334"/>
      <c r="GSZ243" s="334"/>
      <c r="GTA243" s="334"/>
      <c r="GTB243" s="334"/>
      <c r="GTC243" s="334"/>
      <c r="GTD243" s="334"/>
      <c r="GTE243" s="334"/>
      <c r="GTF243" s="334"/>
      <c r="GTG243" s="334"/>
      <c r="GTH243" s="334"/>
      <c r="GTI243" s="334"/>
      <c r="GTJ243" s="334"/>
      <c r="GTK243" s="334"/>
      <c r="GTL243" s="334"/>
      <c r="GTM243" s="334"/>
      <c r="GTN243" s="334"/>
      <c r="GTO243" s="334"/>
      <c r="GTP243" s="334"/>
      <c r="GTQ243" s="334"/>
      <c r="GTR243" s="334"/>
      <c r="GTS243" s="334"/>
      <c r="GTT243" s="334"/>
      <c r="GTU243" s="334"/>
      <c r="GTV243" s="334"/>
      <c r="GTW243" s="334"/>
      <c r="GTX243" s="334"/>
      <c r="GTY243" s="334"/>
      <c r="GTZ243" s="334"/>
      <c r="GUA243" s="334"/>
      <c r="GUB243" s="334"/>
      <c r="GUC243" s="334"/>
      <c r="GUD243" s="334"/>
      <c r="GUE243" s="334"/>
      <c r="GUF243" s="334"/>
      <c r="GUG243" s="334"/>
      <c r="GUH243" s="334"/>
      <c r="GUI243" s="334"/>
      <c r="GUJ243" s="334"/>
      <c r="GUK243" s="334"/>
      <c r="GUL243" s="334"/>
      <c r="GUM243" s="334"/>
      <c r="GUN243" s="334"/>
      <c r="GUO243" s="334"/>
      <c r="GUP243" s="334"/>
      <c r="GUQ243" s="334"/>
      <c r="GUR243" s="334"/>
      <c r="GUS243" s="334"/>
      <c r="GUT243" s="334"/>
      <c r="GUU243" s="334"/>
      <c r="GUV243" s="334"/>
      <c r="GUW243" s="334"/>
      <c r="GUX243" s="334"/>
      <c r="GUY243" s="334"/>
      <c r="GUZ243" s="334"/>
      <c r="GVA243" s="334"/>
      <c r="GVB243" s="334"/>
      <c r="GVC243" s="334"/>
      <c r="GVD243" s="334"/>
      <c r="GVE243" s="334"/>
      <c r="GVF243" s="334"/>
      <c r="GVG243" s="334"/>
      <c r="GVH243" s="334"/>
      <c r="GVI243" s="334"/>
      <c r="GVJ243" s="334"/>
      <c r="GVK243" s="334"/>
      <c r="GVL243" s="334"/>
      <c r="GVM243" s="334"/>
      <c r="GVN243" s="334"/>
      <c r="GVO243" s="334"/>
      <c r="GVP243" s="334"/>
      <c r="GVQ243" s="334"/>
      <c r="GVR243" s="334"/>
      <c r="GVS243" s="334"/>
      <c r="GVT243" s="334"/>
      <c r="GVU243" s="334"/>
      <c r="GVV243" s="334"/>
      <c r="GVW243" s="334"/>
      <c r="GVX243" s="334"/>
      <c r="GVY243" s="334"/>
      <c r="GVZ243" s="334"/>
      <c r="GWA243" s="334"/>
      <c r="GWB243" s="334"/>
      <c r="GWC243" s="334"/>
      <c r="GWD243" s="334"/>
      <c r="GWE243" s="334"/>
      <c r="GWF243" s="334"/>
      <c r="GWG243" s="334"/>
      <c r="GWH243" s="334"/>
      <c r="GWI243" s="334"/>
      <c r="GWJ243" s="334"/>
      <c r="GWK243" s="334"/>
      <c r="GWL243" s="334"/>
      <c r="GWM243" s="334"/>
      <c r="GWN243" s="334"/>
      <c r="GWO243" s="334"/>
      <c r="GWP243" s="334"/>
      <c r="GWQ243" s="334"/>
      <c r="GWR243" s="334"/>
      <c r="GWS243" s="334"/>
      <c r="GWT243" s="334"/>
      <c r="GWU243" s="334"/>
      <c r="GWV243" s="334"/>
      <c r="GWW243" s="334"/>
      <c r="GWX243" s="334"/>
      <c r="GWY243" s="334"/>
      <c r="GWZ243" s="334"/>
      <c r="GXA243" s="334"/>
      <c r="GXB243" s="334"/>
      <c r="GXC243" s="334"/>
      <c r="GXD243" s="334"/>
      <c r="GXE243" s="334"/>
      <c r="GXF243" s="334"/>
      <c r="GXG243" s="334"/>
      <c r="GXH243" s="334"/>
      <c r="GXI243" s="334"/>
      <c r="GXJ243" s="334"/>
      <c r="GXK243" s="334"/>
      <c r="GXL243" s="334"/>
      <c r="GXM243" s="334"/>
      <c r="GXN243" s="334"/>
      <c r="GXO243" s="334"/>
      <c r="GXP243" s="334"/>
      <c r="GXQ243" s="334"/>
      <c r="GXR243" s="334"/>
      <c r="GXS243" s="334"/>
      <c r="GXT243" s="334"/>
      <c r="GXU243" s="334"/>
      <c r="GXV243" s="334"/>
      <c r="GXW243" s="334"/>
      <c r="GXX243" s="334"/>
      <c r="GXY243" s="334"/>
      <c r="GXZ243" s="334"/>
      <c r="GYA243" s="334"/>
      <c r="GYB243" s="334"/>
      <c r="GYC243" s="334"/>
      <c r="GYD243" s="334"/>
      <c r="GYE243" s="334"/>
      <c r="GYF243" s="334"/>
      <c r="GYG243" s="334"/>
      <c r="GYH243" s="334"/>
      <c r="GYI243" s="334"/>
      <c r="GYJ243" s="334"/>
      <c r="GYK243" s="334"/>
      <c r="GYL243" s="334"/>
      <c r="GYM243" s="334"/>
      <c r="GYN243" s="334"/>
      <c r="GYO243" s="334"/>
      <c r="GYP243" s="334"/>
      <c r="GYQ243" s="334"/>
      <c r="GYR243" s="334"/>
      <c r="GYS243" s="334"/>
      <c r="GYT243" s="334"/>
      <c r="GYU243" s="334"/>
      <c r="GYV243" s="334"/>
      <c r="GYW243" s="334"/>
      <c r="GYX243" s="334"/>
      <c r="GYY243" s="334"/>
      <c r="GYZ243" s="334"/>
      <c r="GZA243" s="334"/>
      <c r="GZB243" s="334"/>
      <c r="GZC243" s="334"/>
      <c r="GZD243" s="334"/>
      <c r="GZE243" s="334"/>
      <c r="GZF243" s="334"/>
      <c r="GZG243" s="334"/>
      <c r="GZH243" s="334"/>
      <c r="GZI243" s="334"/>
      <c r="GZJ243" s="334"/>
      <c r="GZK243" s="334"/>
      <c r="GZL243" s="334"/>
      <c r="GZM243" s="334"/>
      <c r="GZN243" s="334"/>
      <c r="GZO243" s="334"/>
      <c r="GZP243" s="334"/>
      <c r="GZQ243" s="334"/>
      <c r="GZR243" s="334"/>
      <c r="GZS243" s="334"/>
      <c r="GZT243" s="334"/>
      <c r="GZU243" s="334"/>
      <c r="GZV243" s="334"/>
      <c r="GZW243" s="334"/>
      <c r="GZX243" s="334"/>
      <c r="GZY243" s="334"/>
      <c r="GZZ243" s="334"/>
      <c r="HAA243" s="334"/>
      <c r="HAB243" s="334"/>
      <c r="HAC243" s="334"/>
      <c r="HAD243" s="334"/>
      <c r="HAE243" s="334"/>
      <c r="HAF243" s="334"/>
      <c r="HAG243" s="334"/>
      <c r="HAH243" s="334"/>
      <c r="HAI243" s="334"/>
      <c r="HAJ243" s="334"/>
      <c r="HAK243" s="334"/>
      <c r="HAL243" s="334"/>
      <c r="HAM243" s="334"/>
      <c r="HAN243" s="334"/>
      <c r="HAO243" s="334"/>
      <c r="HAP243" s="334"/>
      <c r="HAQ243" s="334"/>
      <c r="HAR243" s="334"/>
      <c r="HAS243" s="334"/>
      <c r="HAT243" s="334"/>
      <c r="HAU243" s="334"/>
      <c r="HAV243" s="334"/>
      <c r="HAW243" s="334"/>
      <c r="HAX243" s="334"/>
      <c r="HAY243" s="334"/>
      <c r="HAZ243" s="334"/>
      <c r="HBA243" s="334"/>
      <c r="HBB243" s="334"/>
      <c r="HBC243" s="334"/>
      <c r="HBD243" s="334"/>
      <c r="HBE243" s="334"/>
      <c r="HBF243" s="334"/>
      <c r="HBG243" s="334"/>
      <c r="HBH243" s="334"/>
      <c r="HBI243" s="334"/>
      <c r="HBJ243" s="334"/>
      <c r="HBK243" s="334"/>
      <c r="HBL243" s="334"/>
      <c r="HBM243" s="334"/>
      <c r="HBN243" s="334"/>
      <c r="HBO243" s="334"/>
      <c r="HBP243" s="334"/>
      <c r="HBQ243" s="334"/>
      <c r="HBR243" s="334"/>
      <c r="HBS243" s="334"/>
      <c r="HBT243" s="334"/>
      <c r="HBU243" s="334"/>
      <c r="HBV243" s="334"/>
      <c r="HBW243" s="334"/>
      <c r="HBX243" s="334"/>
      <c r="HBY243" s="334"/>
      <c r="HBZ243" s="334"/>
      <c r="HCA243" s="334"/>
      <c r="HCB243" s="334"/>
      <c r="HCC243" s="334"/>
      <c r="HCD243" s="334"/>
      <c r="HCE243" s="334"/>
      <c r="HCF243" s="334"/>
      <c r="HCG243" s="334"/>
      <c r="HCH243" s="334"/>
      <c r="HCI243" s="334"/>
      <c r="HCJ243" s="334"/>
      <c r="HCK243" s="334"/>
      <c r="HCL243" s="334"/>
      <c r="HCM243" s="334"/>
      <c r="HCN243" s="334"/>
      <c r="HCO243" s="334"/>
      <c r="HCP243" s="334"/>
      <c r="HCQ243" s="334"/>
      <c r="HCR243" s="334"/>
      <c r="HCS243" s="334"/>
      <c r="HCT243" s="334"/>
      <c r="HCU243" s="334"/>
      <c r="HCV243" s="334"/>
      <c r="HCW243" s="334"/>
      <c r="HCX243" s="334"/>
      <c r="HCY243" s="334"/>
      <c r="HCZ243" s="334"/>
      <c r="HDA243" s="334"/>
      <c r="HDB243" s="334"/>
      <c r="HDC243" s="334"/>
      <c r="HDD243" s="334"/>
      <c r="HDE243" s="334"/>
      <c r="HDF243" s="334"/>
      <c r="HDG243" s="334"/>
      <c r="HDH243" s="334"/>
      <c r="HDI243" s="334"/>
      <c r="HDJ243" s="334"/>
      <c r="HDK243" s="334"/>
      <c r="HDL243" s="334"/>
      <c r="HDM243" s="334"/>
      <c r="HDN243" s="334"/>
      <c r="HDO243" s="334"/>
      <c r="HDP243" s="334"/>
      <c r="HDQ243" s="334"/>
      <c r="HDR243" s="334"/>
      <c r="HDS243" s="334"/>
      <c r="HDT243" s="334"/>
      <c r="HDU243" s="334"/>
      <c r="HDV243" s="334"/>
      <c r="HDW243" s="334"/>
      <c r="HDX243" s="334"/>
      <c r="HDY243" s="334"/>
      <c r="HDZ243" s="334"/>
      <c r="HEA243" s="334"/>
      <c r="HEB243" s="334"/>
      <c r="HEC243" s="334"/>
      <c r="HED243" s="334"/>
      <c r="HEE243" s="334"/>
      <c r="HEF243" s="334"/>
      <c r="HEG243" s="334"/>
      <c r="HEH243" s="334"/>
      <c r="HEI243" s="334"/>
      <c r="HEJ243" s="334"/>
      <c r="HEK243" s="334"/>
      <c r="HEL243" s="334"/>
      <c r="HEM243" s="334"/>
      <c r="HEN243" s="334"/>
      <c r="HEO243" s="334"/>
      <c r="HEP243" s="334"/>
      <c r="HEQ243" s="334"/>
      <c r="HER243" s="334"/>
      <c r="HES243" s="334"/>
      <c r="HET243" s="334"/>
      <c r="HEU243" s="334"/>
      <c r="HEV243" s="334"/>
      <c r="HEW243" s="334"/>
      <c r="HEX243" s="334"/>
      <c r="HEY243" s="334"/>
      <c r="HEZ243" s="334"/>
      <c r="HFA243" s="334"/>
      <c r="HFB243" s="334"/>
      <c r="HFC243" s="334"/>
      <c r="HFD243" s="334"/>
      <c r="HFE243" s="334"/>
      <c r="HFF243" s="334"/>
      <c r="HFG243" s="334"/>
      <c r="HFH243" s="334"/>
      <c r="HFI243" s="334"/>
      <c r="HFJ243" s="334"/>
      <c r="HFK243" s="334"/>
      <c r="HFL243" s="334"/>
      <c r="HFM243" s="334"/>
      <c r="HFN243" s="334"/>
      <c r="HFO243" s="334"/>
      <c r="HFP243" s="334"/>
      <c r="HFQ243" s="334"/>
      <c r="HFR243" s="334"/>
      <c r="HFS243" s="334"/>
      <c r="HFT243" s="334"/>
      <c r="HFU243" s="334"/>
      <c r="HFV243" s="334"/>
      <c r="HFW243" s="334"/>
      <c r="HFX243" s="334"/>
      <c r="HFY243" s="334"/>
      <c r="HFZ243" s="334"/>
      <c r="HGA243" s="334"/>
      <c r="HGB243" s="334"/>
      <c r="HGC243" s="334"/>
      <c r="HGD243" s="334"/>
      <c r="HGE243" s="334"/>
      <c r="HGF243" s="334"/>
      <c r="HGG243" s="334"/>
      <c r="HGH243" s="334"/>
      <c r="HGI243" s="334"/>
      <c r="HGJ243" s="334"/>
      <c r="HGK243" s="334"/>
      <c r="HGL243" s="334"/>
      <c r="HGM243" s="334"/>
      <c r="HGN243" s="334"/>
      <c r="HGO243" s="334"/>
      <c r="HGP243" s="334"/>
      <c r="HGQ243" s="334"/>
      <c r="HGR243" s="334"/>
      <c r="HGS243" s="334"/>
      <c r="HGT243" s="334"/>
      <c r="HGU243" s="334"/>
      <c r="HGV243" s="334"/>
      <c r="HGW243" s="334"/>
      <c r="HGX243" s="334"/>
      <c r="HGY243" s="334"/>
      <c r="HGZ243" s="334"/>
      <c r="HHA243" s="334"/>
      <c r="HHB243" s="334"/>
      <c r="HHC243" s="334"/>
      <c r="HHD243" s="334"/>
      <c r="HHE243" s="334"/>
      <c r="HHF243" s="334"/>
      <c r="HHG243" s="334"/>
      <c r="HHH243" s="334"/>
      <c r="HHI243" s="334"/>
      <c r="HHJ243" s="334"/>
      <c r="HHK243" s="334"/>
      <c r="HHL243" s="334"/>
      <c r="HHM243" s="334"/>
      <c r="HHN243" s="334"/>
      <c r="HHO243" s="334"/>
      <c r="HHP243" s="334"/>
      <c r="HHQ243" s="334"/>
      <c r="HHR243" s="334"/>
      <c r="HHS243" s="334"/>
      <c r="HHT243" s="334"/>
      <c r="HHU243" s="334"/>
      <c r="HHV243" s="334"/>
      <c r="HHW243" s="334"/>
      <c r="HHX243" s="334"/>
      <c r="HHY243" s="334"/>
      <c r="HHZ243" s="334"/>
      <c r="HIA243" s="334"/>
      <c r="HIB243" s="334"/>
      <c r="HIC243" s="334"/>
      <c r="HID243" s="334"/>
      <c r="HIE243" s="334"/>
      <c r="HIF243" s="334"/>
      <c r="HIG243" s="334"/>
      <c r="HIH243" s="334"/>
      <c r="HII243" s="334"/>
      <c r="HIJ243" s="334"/>
      <c r="HIK243" s="334"/>
      <c r="HIL243" s="334"/>
      <c r="HIM243" s="334"/>
      <c r="HIN243" s="334"/>
      <c r="HIO243" s="334"/>
      <c r="HIP243" s="334"/>
      <c r="HIQ243" s="334"/>
      <c r="HIR243" s="334"/>
      <c r="HIS243" s="334"/>
      <c r="HIT243" s="334"/>
      <c r="HIU243" s="334"/>
      <c r="HIV243" s="334"/>
      <c r="HIW243" s="334"/>
      <c r="HIX243" s="334"/>
      <c r="HIY243" s="334"/>
      <c r="HIZ243" s="334"/>
      <c r="HJA243" s="334"/>
      <c r="HJB243" s="334"/>
      <c r="HJC243" s="334"/>
      <c r="HJD243" s="334"/>
      <c r="HJE243" s="334"/>
      <c r="HJF243" s="334"/>
      <c r="HJG243" s="334"/>
      <c r="HJH243" s="334"/>
      <c r="HJI243" s="334"/>
      <c r="HJJ243" s="334"/>
      <c r="HJK243" s="334"/>
      <c r="HJL243" s="334"/>
      <c r="HJM243" s="334"/>
      <c r="HJN243" s="334"/>
      <c r="HJO243" s="334"/>
      <c r="HJP243" s="334"/>
      <c r="HJQ243" s="334"/>
      <c r="HJR243" s="334"/>
      <c r="HJS243" s="334"/>
      <c r="HJT243" s="334"/>
      <c r="HJU243" s="334"/>
      <c r="HJV243" s="334"/>
      <c r="HJW243" s="334"/>
      <c r="HJX243" s="334"/>
      <c r="HJY243" s="334"/>
      <c r="HJZ243" s="334"/>
      <c r="HKA243" s="334"/>
      <c r="HKB243" s="334"/>
      <c r="HKC243" s="334"/>
      <c r="HKD243" s="334"/>
      <c r="HKE243" s="334"/>
      <c r="HKF243" s="334"/>
      <c r="HKG243" s="334"/>
      <c r="HKH243" s="334"/>
      <c r="HKI243" s="334"/>
      <c r="HKJ243" s="334"/>
      <c r="HKK243" s="334"/>
      <c r="HKL243" s="334"/>
      <c r="HKM243" s="334"/>
      <c r="HKN243" s="334"/>
      <c r="HKO243" s="334"/>
      <c r="HKP243" s="334"/>
      <c r="HKQ243" s="334"/>
      <c r="HKR243" s="334"/>
      <c r="HKS243" s="334"/>
      <c r="HKT243" s="334"/>
      <c r="HKU243" s="334"/>
      <c r="HKV243" s="334"/>
      <c r="HKW243" s="334"/>
      <c r="HKX243" s="334"/>
      <c r="HKY243" s="334"/>
      <c r="HKZ243" s="334"/>
      <c r="HLA243" s="334"/>
      <c r="HLB243" s="334"/>
      <c r="HLC243" s="334"/>
      <c r="HLD243" s="334"/>
      <c r="HLE243" s="334"/>
      <c r="HLF243" s="334"/>
      <c r="HLG243" s="334"/>
      <c r="HLH243" s="334"/>
      <c r="HLI243" s="334"/>
      <c r="HLJ243" s="334"/>
      <c r="HLK243" s="334"/>
      <c r="HLL243" s="334"/>
      <c r="HLM243" s="334"/>
      <c r="HLN243" s="334"/>
      <c r="HLO243" s="334"/>
      <c r="HLP243" s="334"/>
      <c r="HLQ243" s="334"/>
      <c r="HLR243" s="334"/>
      <c r="HLS243" s="334"/>
      <c r="HLT243" s="334"/>
      <c r="HLU243" s="334"/>
      <c r="HLV243" s="334"/>
      <c r="HLW243" s="334"/>
      <c r="HLX243" s="334"/>
      <c r="HLY243" s="334"/>
      <c r="HLZ243" s="334"/>
      <c r="HMA243" s="334"/>
      <c r="HMB243" s="334"/>
      <c r="HMC243" s="334"/>
      <c r="HMD243" s="334"/>
      <c r="HME243" s="334"/>
      <c r="HMF243" s="334"/>
      <c r="HMG243" s="334"/>
      <c r="HMH243" s="334"/>
      <c r="HMI243" s="334"/>
      <c r="HMJ243" s="334"/>
      <c r="HMK243" s="334"/>
      <c r="HML243" s="334"/>
      <c r="HMM243" s="334"/>
      <c r="HMN243" s="334"/>
      <c r="HMO243" s="334"/>
      <c r="HMP243" s="334"/>
      <c r="HMQ243" s="334"/>
      <c r="HMR243" s="334"/>
      <c r="HMS243" s="334"/>
      <c r="HMT243" s="334"/>
      <c r="HMU243" s="334"/>
      <c r="HMV243" s="334"/>
      <c r="HMW243" s="334"/>
      <c r="HMX243" s="334"/>
      <c r="HMY243" s="334"/>
      <c r="HMZ243" s="334"/>
      <c r="HNA243" s="334"/>
      <c r="HNB243" s="334"/>
      <c r="HNC243" s="334"/>
      <c r="HND243" s="334"/>
      <c r="HNE243" s="334"/>
      <c r="HNF243" s="334"/>
      <c r="HNG243" s="334"/>
      <c r="HNH243" s="334"/>
      <c r="HNI243" s="334"/>
      <c r="HNJ243" s="334"/>
      <c r="HNK243" s="334"/>
      <c r="HNL243" s="334"/>
      <c r="HNM243" s="334"/>
      <c r="HNN243" s="334"/>
      <c r="HNO243" s="334"/>
      <c r="HNP243" s="334"/>
      <c r="HNQ243" s="334"/>
      <c r="HNR243" s="334"/>
      <c r="HNS243" s="334"/>
      <c r="HNT243" s="334"/>
      <c r="HNU243" s="334"/>
      <c r="HNV243" s="334"/>
      <c r="HNW243" s="334"/>
      <c r="HNX243" s="334"/>
      <c r="HNY243" s="334"/>
      <c r="HNZ243" s="334"/>
      <c r="HOA243" s="334"/>
      <c r="HOB243" s="334"/>
      <c r="HOC243" s="334"/>
      <c r="HOD243" s="334"/>
      <c r="HOE243" s="334"/>
      <c r="HOF243" s="334"/>
      <c r="HOG243" s="334"/>
      <c r="HOH243" s="334"/>
      <c r="HOI243" s="334"/>
      <c r="HOJ243" s="334"/>
      <c r="HOK243" s="334"/>
      <c r="HOL243" s="334"/>
      <c r="HOM243" s="334"/>
      <c r="HON243" s="334"/>
      <c r="HOO243" s="334"/>
      <c r="HOP243" s="334"/>
      <c r="HOQ243" s="334"/>
      <c r="HOR243" s="334"/>
      <c r="HOS243" s="334"/>
      <c r="HOT243" s="334"/>
      <c r="HOU243" s="334"/>
      <c r="HOV243" s="334"/>
      <c r="HOW243" s="334"/>
      <c r="HOX243" s="334"/>
      <c r="HOY243" s="334"/>
      <c r="HOZ243" s="334"/>
      <c r="HPA243" s="334"/>
      <c r="HPB243" s="334"/>
      <c r="HPC243" s="334"/>
      <c r="HPD243" s="334"/>
      <c r="HPE243" s="334"/>
      <c r="HPF243" s="334"/>
      <c r="HPG243" s="334"/>
      <c r="HPH243" s="334"/>
      <c r="HPI243" s="334"/>
      <c r="HPJ243" s="334"/>
      <c r="HPK243" s="334"/>
      <c r="HPL243" s="334"/>
      <c r="HPM243" s="334"/>
      <c r="HPN243" s="334"/>
      <c r="HPO243" s="334"/>
      <c r="HPP243" s="334"/>
      <c r="HPQ243" s="334"/>
      <c r="HPR243" s="334"/>
      <c r="HPS243" s="334"/>
      <c r="HPT243" s="334"/>
      <c r="HPU243" s="334"/>
      <c r="HPV243" s="334"/>
      <c r="HPW243" s="334"/>
      <c r="HPX243" s="334"/>
      <c r="HPY243" s="334"/>
      <c r="HPZ243" s="334"/>
      <c r="HQA243" s="334"/>
      <c r="HQB243" s="334"/>
      <c r="HQC243" s="334"/>
      <c r="HQD243" s="334"/>
      <c r="HQE243" s="334"/>
      <c r="HQF243" s="334"/>
      <c r="HQG243" s="334"/>
      <c r="HQH243" s="334"/>
      <c r="HQI243" s="334"/>
      <c r="HQJ243" s="334"/>
      <c r="HQK243" s="334"/>
      <c r="HQL243" s="334"/>
      <c r="HQM243" s="334"/>
      <c r="HQN243" s="334"/>
      <c r="HQO243" s="334"/>
      <c r="HQP243" s="334"/>
      <c r="HQQ243" s="334"/>
      <c r="HQR243" s="334"/>
      <c r="HQS243" s="334"/>
      <c r="HQT243" s="334"/>
      <c r="HQU243" s="334"/>
      <c r="HQV243" s="334"/>
      <c r="HQW243" s="334"/>
      <c r="HQX243" s="334"/>
      <c r="HQY243" s="334"/>
      <c r="HQZ243" s="334"/>
      <c r="HRA243" s="334"/>
      <c r="HRB243" s="334"/>
      <c r="HRC243" s="334"/>
      <c r="HRD243" s="334"/>
      <c r="HRE243" s="334"/>
      <c r="HRF243" s="334"/>
      <c r="HRG243" s="334"/>
      <c r="HRH243" s="334"/>
      <c r="HRI243" s="334"/>
      <c r="HRJ243" s="334"/>
      <c r="HRK243" s="334"/>
      <c r="HRL243" s="334"/>
      <c r="HRM243" s="334"/>
      <c r="HRN243" s="334"/>
      <c r="HRO243" s="334"/>
      <c r="HRP243" s="334"/>
      <c r="HRQ243" s="334"/>
      <c r="HRR243" s="334"/>
      <c r="HRS243" s="334"/>
      <c r="HRT243" s="334"/>
      <c r="HRU243" s="334"/>
      <c r="HRV243" s="334"/>
      <c r="HRW243" s="334"/>
      <c r="HRX243" s="334"/>
      <c r="HRY243" s="334"/>
      <c r="HRZ243" s="334"/>
      <c r="HSA243" s="334"/>
      <c r="HSB243" s="334"/>
      <c r="HSC243" s="334"/>
      <c r="HSD243" s="334"/>
      <c r="HSE243" s="334"/>
      <c r="HSF243" s="334"/>
      <c r="HSG243" s="334"/>
      <c r="HSH243" s="334"/>
      <c r="HSI243" s="334"/>
      <c r="HSJ243" s="334"/>
      <c r="HSK243" s="334"/>
      <c r="HSL243" s="334"/>
      <c r="HSM243" s="334"/>
      <c r="HSN243" s="334"/>
      <c r="HSO243" s="334"/>
      <c r="HSP243" s="334"/>
      <c r="HSQ243" s="334"/>
      <c r="HSR243" s="334"/>
      <c r="HSS243" s="334"/>
      <c r="HST243" s="334"/>
      <c r="HSU243" s="334"/>
      <c r="HSV243" s="334"/>
      <c r="HSW243" s="334"/>
      <c r="HSX243" s="334"/>
      <c r="HSY243" s="334"/>
      <c r="HSZ243" s="334"/>
      <c r="HTA243" s="334"/>
      <c r="HTB243" s="334"/>
      <c r="HTC243" s="334"/>
      <c r="HTD243" s="334"/>
      <c r="HTE243" s="334"/>
      <c r="HTF243" s="334"/>
      <c r="HTG243" s="334"/>
      <c r="HTH243" s="334"/>
      <c r="HTI243" s="334"/>
      <c r="HTJ243" s="334"/>
      <c r="HTK243" s="334"/>
      <c r="HTL243" s="334"/>
      <c r="HTM243" s="334"/>
      <c r="HTN243" s="334"/>
      <c r="HTO243" s="334"/>
      <c r="HTP243" s="334"/>
      <c r="HTQ243" s="334"/>
      <c r="HTR243" s="334"/>
      <c r="HTS243" s="334"/>
      <c r="HTT243" s="334"/>
      <c r="HTU243" s="334"/>
      <c r="HTV243" s="334"/>
      <c r="HTW243" s="334"/>
      <c r="HTX243" s="334"/>
      <c r="HTY243" s="334"/>
      <c r="HTZ243" s="334"/>
      <c r="HUA243" s="334"/>
      <c r="HUB243" s="334"/>
      <c r="HUC243" s="334"/>
      <c r="HUD243" s="334"/>
      <c r="HUE243" s="334"/>
      <c r="HUF243" s="334"/>
      <c r="HUG243" s="334"/>
      <c r="HUH243" s="334"/>
      <c r="HUI243" s="334"/>
      <c r="HUJ243" s="334"/>
      <c r="HUK243" s="334"/>
      <c r="HUL243" s="334"/>
      <c r="HUM243" s="334"/>
      <c r="HUN243" s="334"/>
      <c r="HUO243" s="334"/>
      <c r="HUP243" s="334"/>
      <c r="HUQ243" s="334"/>
      <c r="HUR243" s="334"/>
      <c r="HUS243" s="334"/>
      <c r="HUT243" s="334"/>
      <c r="HUU243" s="334"/>
      <c r="HUV243" s="334"/>
      <c r="HUW243" s="334"/>
      <c r="HUX243" s="334"/>
      <c r="HUY243" s="334"/>
      <c r="HUZ243" s="334"/>
      <c r="HVA243" s="334"/>
      <c r="HVB243" s="334"/>
      <c r="HVC243" s="334"/>
      <c r="HVD243" s="334"/>
      <c r="HVE243" s="334"/>
      <c r="HVF243" s="334"/>
      <c r="HVG243" s="334"/>
      <c r="HVH243" s="334"/>
      <c r="HVI243" s="334"/>
      <c r="HVJ243" s="334"/>
      <c r="HVK243" s="334"/>
      <c r="HVL243" s="334"/>
      <c r="HVM243" s="334"/>
      <c r="HVN243" s="334"/>
      <c r="HVO243" s="334"/>
      <c r="HVP243" s="334"/>
      <c r="HVQ243" s="334"/>
      <c r="HVR243" s="334"/>
      <c r="HVS243" s="334"/>
      <c r="HVT243" s="334"/>
      <c r="HVU243" s="334"/>
      <c r="HVV243" s="334"/>
      <c r="HVW243" s="334"/>
      <c r="HVX243" s="334"/>
      <c r="HVY243" s="334"/>
      <c r="HVZ243" s="334"/>
      <c r="HWA243" s="334"/>
      <c r="HWB243" s="334"/>
      <c r="HWC243" s="334"/>
      <c r="HWD243" s="334"/>
      <c r="HWE243" s="334"/>
      <c r="HWF243" s="334"/>
      <c r="HWG243" s="334"/>
      <c r="HWH243" s="334"/>
      <c r="HWI243" s="334"/>
      <c r="HWJ243" s="334"/>
      <c r="HWK243" s="334"/>
      <c r="HWL243" s="334"/>
      <c r="HWM243" s="334"/>
      <c r="HWN243" s="334"/>
      <c r="HWO243" s="334"/>
      <c r="HWP243" s="334"/>
      <c r="HWQ243" s="334"/>
      <c r="HWR243" s="334"/>
      <c r="HWS243" s="334"/>
      <c r="HWT243" s="334"/>
      <c r="HWU243" s="334"/>
      <c r="HWV243" s="334"/>
      <c r="HWW243" s="334"/>
      <c r="HWX243" s="334"/>
      <c r="HWY243" s="334"/>
      <c r="HWZ243" s="334"/>
      <c r="HXA243" s="334"/>
      <c r="HXB243" s="334"/>
      <c r="HXC243" s="334"/>
      <c r="HXD243" s="334"/>
      <c r="HXE243" s="334"/>
      <c r="HXF243" s="334"/>
      <c r="HXG243" s="334"/>
      <c r="HXH243" s="334"/>
      <c r="HXI243" s="334"/>
      <c r="HXJ243" s="334"/>
      <c r="HXK243" s="334"/>
      <c r="HXL243" s="334"/>
      <c r="HXM243" s="334"/>
      <c r="HXN243" s="334"/>
      <c r="HXO243" s="334"/>
      <c r="HXP243" s="334"/>
      <c r="HXQ243" s="334"/>
      <c r="HXR243" s="334"/>
      <c r="HXS243" s="334"/>
      <c r="HXT243" s="334"/>
      <c r="HXU243" s="334"/>
      <c r="HXV243" s="334"/>
      <c r="HXW243" s="334"/>
      <c r="HXX243" s="334"/>
      <c r="HXY243" s="334"/>
      <c r="HXZ243" s="334"/>
      <c r="HYA243" s="334"/>
      <c r="HYB243" s="334"/>
      <c r="HYC243" s="334"/>
      <c r="HYD243" s="334"/>
      <c r="HYE243" s="334"/>
      <c r="HYF243" s="334"/>
      <c r="HYG243" s="334"/>
      <c r="HYH243" s="334"/>
      <c r="HYI243" s="334"/>
      <c r="HYJ243" s="334"/>
      <c r="HYK243" s="334"/>
      <c r="HYL243" s="334"/>
      <c r="HYM243" s="334"/>
      <c r="HYN243" s="334"/>
      <c r="HYO243" s="334"/>
      <c r="HYP243" s="334"/>
      <c r="HYQ243" s="334"/>
      <c r="HYR243" s="334"/>
      <c r="HYS243" s="334"/>
      <c r="HYT243" s="334"/>
      <c r="HYU243" s="334"/>
      <c r="HYV243" s="334"/>
      <c r="HYW243" s="334"/>
      <c r="HYX243" s="334"/>
      <c r="HYY243" s="334"/>
      <c r="HYZ243" s="334"/>
      <c r="HZA243" s="334"/>
      <c r="HZB243" s="334"/>
      <c r="HZC243" s="334"/>
      <c r="HZD243" s="334"/>
      <c r="HZE243" s="334"/>
      <c r="HZF243" s="334"/>
      <c r="HZG243" s="334"/>
      <c r="HZH243" s="334"/>
      <c r="HZI243" s="334"/>
      <c r="HZJ243" s="334"/>
      <c r="HZK243" s="334"/>
      <c r="HZL243" s="334"/>
      <c r="HZM243" s="334"/>
      <c r="HZN243" s="334"/>
      <c r="HZO243" s="334"/>
      <c r="HZP243" s="334"/>
      <c r="HZQ243" s="334"/>
      <c r="HZR243" s="334"/>
      <c r="HZS243" s="334"/>
      <c r="HZT243" s="334"/>
      <c r="HZU243" s="334"/>
      <c r="HZV243" s="334"/>
      <c r="HZW243" s="334"/>
      <c r="HZX243" s="334"/>
      <c r="HZY243" s="334"/>
      <c r="HZZ243" s="334"/>
      <c r="IAA243" s="334"/>
      <c r="IAB243" s="334"/>
      <c r="IAC243" s="334"/>
      <c r="IAD243" s="334"/>
      <c r="IAE243" s="334"/>
      <c r="IAF243" s="334"/>
      <c r="IAG243" s="334"/>
      <c r="IAH243" s="334"/>
      <c r="IAI243" s="334"/>
      <c r="IAJ243" s="334"/>
      <c r="IAK243" s="334"/>
      <c r="IAL243" s="334"/>
      <c r="IAM243" s="334"/>
      <c r="IAN243" s="334"/>
      <c r="IAO243" s="334"/>
      <c r="IAP243" s="334"/>
      <c r="IAQ243" s="334"/>
      <c r="IAR243" s="334"/>
      <c r="IAS243" s="334"/>
      <c r="IAT243" s="334"/>
      <c r="IAU243" s="334"/>
      <c r="IAV243" s="334"/>
      <c r="IAW243" s="334"/>
      <c r="IAX243" s="334"/>
      <c r="IAY243" s="334"/>
      <c r="IAZ243" s="334"/>
      <c r="IBA243" s="334"/>
      <c r="IBB243" s="334"/>
      <c r="IBC243" s="334"/>
      <c r="IBD243" s="334"/>
      <c r="IBE243" s="334"/>
      <c r="IBF243" s="334"/>
      <c r="IBG243" s="334"/>
      <c r="IBH243" s="334"/>
      <c r="IBI243" s="334"/>
      <c r="IBJ243" s="334"/>
      <c r="IBK243" s="334"/>
      <c r="IBL243" s="334"/>
      <c r="IBM243" s="334"/>
      <c r="IBN243" s="334"/>
      <c r="IBO243" s="334"/>
      <c r="IBP243" s="334"/>
      <c r="IBQ243" s="334"/>
      <c r="IBR243" s="334"/>
      <c r="IBS243" s="334"/>
      <c r="IBT243" s="334"/>
      <c r="IBU243" s="334"/>
      <c r="IBV243" s="334"/>
      <c r="IBW243" s="334"/>
      <c r="IBX243" s="334"/>
      <c r="IBY243" s="334"/>
      <c r="IBZ243" s="334"/>
      <c r="ICA243" s="334"/>
      <c r="ICB243" s="334"/>
      <c r="ICC243" s="334"/>
      <c r="ICD243" s="334"/>
      <c r="ICE243" s="334"/>
      <c r="ICF243" s="334"/>
      <c r="ICG243" s="334"/>
      <c r="ICH243" s="334"/>
      <c r="ICI243" s="334"/>
      <c r="ICJ243" s="334"/>
      <c r="ICK243" s="334"/>
      <c r="ICL243" s="334"/>
      <c r="ICM243" s="334"/>
      <c r="ICN243" s="334"/>
      <c r="ICO243" s="334"/>
      <c r="ICP243" s="334"/>
      <c r="ICQ243" s="334"/>
      <c r="ICR243" s="334"/>
      <c r="ICS243" s="334"/>
      <c r="ICT243" s="334"/>
      <c r="ICU243" s="334"/>
      <c r="ICV243" s="334"/>
      <c r="ICW243" s="334"/>
      <c r="ICX243" s="334"/>
      <c r="ICY243" s="334"/>
      <c r="ICZ243" s="334"/>
      <c r="IDA243" s="334"/>
      <c r="IDB243" s="334"/>
      <c r="IDC243" s="334"/>
      <c r="IDD243" s="334"/>
      <c r="IDE243" s="334"/>
      <c r="IDF243" s="334"/>
      <c r="IDG243" s="334"/>
      <c r="IDH243" s="334"/>
      <c r="IDI243" s="334"/>
      <c r="IDJ243" s="334"/>
      <c r="IDK243" s="334"/>
      <c r="IDL243" s="334"/>
      <c r="IDM243" s="334"/>
      <c r="IDN243" s="334"/>
      <c r="IDO243" s="334"/>
      <c r="IDP243" s="334"/>
      <c r="IDQ243" s="334"/>
      <c r="IDR243" s="334"/>
      <c r="IDS243" s="334"/>
      <c r="IDT243" s="334"/>
      <c r="IDU243" s="334"/>
      <c r="IDV243" s="334"/>
      <c r="IDW243" s="334"/>
      <c r="IDX243" s="334"/>
      <c r="IDY243" s="334"/>
      <c r="IDZ243" s="334"/>
      <c r="IEA243" s="334"/>
      <c r="IEB243" s="334"/>
      <c r="IEC243" s="334"/>
      <c r="IED243" s="334"/>
      <c r="IEE243" s="334"/>
      <c r="IEF243" s="334"/>
      <c r="IEG243" s="334"/>
      <c r="IEH243" s="334"/>
      <c r="IEI243" s="334"/>
      <c r="IEJ243" s="334"/>
      <c r="IEK243" s="334"/>
      <c r="IEL243" s="334"/>
      <c r="IEM243" s="334"/>
      <c r="IEN243" s="334"/>
      <c r="IEO243" s="334"/>
      <c r="IEP243" s="334"/>
      <c r="IEQ243" s="334"/>
      <c r="IER243" s="334"/>
      <c r="IES243" s="334"/>
      <c r="IET243" s="334"/>
      <c r="IEU243" s="334"/>
      <c r="IEV243" s="334"/>
      <c r="IEW243" s="334"/>
      <c r="IEX243" s="334"/>
      <c r="IEY243" s="334"/>
      <c r="IEZ243" s="334"/>
      <c r="IFA243" s="334"/>
      <c r="IFB243" s="334"/>
      <c r="IFC243" s="334"/>
      <c r="IFD243" s="334"/>
      <c r="IFE243" s="334"/>
      <c r="IFF243" s="334"/>
      <c r="IFG243" s="334"/>
      <c r="IFH243" s="334"/>
      <c r="IFI243" s="334"/>
      <c r="IFJ243" s="334"/>
      <c r="IFK243" s="334"/>
      <c r="IFL243" s="334"/>
      <c r="IFM243" s="334"/>
      <c r="IFN243" s="334"/>
      <c r="IFO243" s="334"/>
      <c r="IFP243" s="334"/>
      <c r="IFQ243" s="334"/>
      <c r="IFR243" s="334"/>
      <c r="IFS243" s="334"/>
      <c r="IFT243" s="334"/>
      <c r="IFU243" s="334"/>
      <c r="IFV243" s="334"/>
      <c r="IFW243" s="334"/>
      <c r="IFX243" s="334"/>
      <c r="IFY243" s="334"/>
      <c r="IFZ243" s="334"/>
      <c r="IGA243" s="334"/>
      <c r="IGB243" s="334"/>
      <c r="IGC243" s="334"/>
      <c r="IGD243" s="334"/>
      <c r="IGE243" s="334"/>
      <c r="IGF243" s="334"/>
      <c r="IGG243" s="334"/>
      <c r="IGH243" s="334"/>
      <c r="IGI243" s="334"/>
      <c r="IGJ243" s="334"/>
      <c r="IGK243" s="334"/>
      <c r="IGL243" s="334"/>
      <c r="IGM243" s="334"/>
      <c r="IGN243" s="334"/>
      <c r="IGO243" s="334"/>
      <c r="IGP243" s="334"/>
      <c r="IGQ243" s="334"/>
      <c r="IGR243" s="334"/>
      <c r="IGS243" s="334"/>
      <c r="IGT243" s="334"/>
      <c r="IGU243" s="334"/>
      <c r="IGV243" s="334"/>
      <c r="IGW243" s="334"/>
      <c r="IGX243" s="334"/>
      <c r="IGY243" s="334"/>
      <c r="IGZ243" s="334"/>
      <c r="IHA243" s="334"/>
      <c r="IHB243" s="334"/>
      <c r="IHC243" s="334"/>
      <c r="IHD243" s="334"/>
      <c r="IHE243" s="334"/>
      <c r="IHF243" s="334"/>
      <c r="IHG243" s="334"/>
      <c r="IHH243" s="334"/>
      <c r="IHI243" s="334"/>
      <c r="IHJ243" s="334"/>
      <c r="IHK243" s="334"/>
      <c r="IHL243" s="334"/>
      <c r="IHM243" s="334"/>
      <c r="IHN243" s="334"/>
      <c r="IHO243" s="334"/>
      <c r="IHP243" s="334"/>
      <c r="IHQ243" s="334"/>
      <c r="IHR243" s="334"/>
      <c r="IHS243" s="334"/>
      <c r="IHT243" s="334"/>
      <c r="IHU243" s="334"/>
      <c r="IHV243" s="334"/>
      <c r="IHW243" s="334"/>
      <c r="IHX243" s="334"/>
      <c r="IHY243" s="334"/>
      <c r="IHZ243" s="334"/>
      <c r="IIA243" s="334"/>
      <c r="IIB243" s="334"/>
      <c r="IIC243" s="334"/>
      <c r="IID243" s="334"/>
      <c r="IIE243" s="334"/>
      <c r="IIF243" s="334"/>
      <c r="IIG243" s="334"/>
      <c r="IIH243" s="334"/>
      <c r="III243" s="334"/>
      <c r="IIJ243" s="334"/>
      <c r="IIK243" s="334"/>
      <c r="IIL243" s="334"/>
      <c r="IIM243" s="334"/>
      <c r="IIN243" s="334"/>
      <c r="IIO243" s="334"/>
      <c r="IIP243" s="334"/>
      <c r="IIQ243" s="334"/>
      <c r="IIR243" s="334"/>
      <c r="IIS243" s="334"/>
      <c r="IIT243" s="334"/>
      <c r="IIU243" s="334"/>
      <c r="IIV243" s="334"/>
      <c r="IIW243" s="334"/>
      <c r="IIX243" s="334"/>
      <c r="IIY243" s="334"/>
      <c r="IIZ243" s="334"/>
      <c r="IJA243" s="334"/>
      <c r="IJB243" s="334"/>
      <c r="IJC243" s="334"/>
      <c r="IJD243" s="334"/>
      <c r="IJE243" s="334"/>
      <c r="IJF243" s="334"/>
      <c r="IJG243" s="334"/>
      <c r="IJH243" s="334"/>
      <c r="IJI243" s="334"/>
      <c r="IJJ243" s="334"/>
      <c r="IJK243" s="334"/>
      <c r="IJL243" s="334"/>
      <c r="IJM243" s="334"/>
      <c r="IJN243" s="334"/>
      <c r="IJO243" s="334"/>
      <c r="IJP243" s="334"/>
      <c r="IJQ243" s="334"/>
      <c r="IJR243" s="334"/>
      <c r="IJS243" s="334"/>
      <c r="IJT243" s="334"/>
      <c r="IJU243" s="334"/>
      <c r="IJV243" s="334"/>
      <c r="IJW243" s="334"/>
      <c r="IJX243" s="334"/>
      <c r="IJY243" s="334"/>
      <c r="IJZ243" s="334"/>
      <c r="IKA243" s="334"/>
      <c r="IKB243" s="334"/>
      <c r="IKC243" s="334"/>
      <c r="IKD243" s="334"/>
      <c r="IKE243" s="334"/>
      <c r="IKF243" s="334"/>
      <c r="IKG243" s="334"/>
      <c r="IKH243" s="334"/>
      <c r="IKI243" s="334"/>
      <c r="IKJ243" s="334"/>
      <c r="IKK243" s="334"/>
      <c r="IKL243" s="334"/>
      <c r="IKM243" s="334"/>
      <c r="IKN243" s="334"/>
      <c r="IKO243" s="334"/>
      <c r="IKP243" s="334"/>
      <c r="IKQ243" s="334"/>
      <c r="IKR243" s="334"/>
      <c r="IKS243" s="334"/>
      <c r="IKT243" s="334"/>
      <c r="IKU243" s="334"/>
      <c r="IKV243" s="334"/>
      <c r="IKW243" s="334"/>
      <c r="IKX243" s="334"/>
      <c r="IKY243" s="334"/>
      <c r="IKZ243" s="334"/>
      <c r="ILA243" s="334"/>
      <c r="ILB243" s="334"/>
      <c r="ILC243" s="334"/>
      <c r="ILD243" s="334"/>
      <c r="ILE243" s="334"/>
      <c r="ILF243" s="334"/>
      <c r="ILG243" s="334"/>
      <c r="ILH243" s="334"/>
      <c r="ILI243" s="334"/>
      <c r="ILJ243" s="334"/>
      <c r="ILK243" s="334"/>
      <c r="ILL243" s="334"/>
      <c r="ILM243" s="334"/>
      <c r="ILN243" s="334"/>
      <c r="ILO243" s="334"/>
      <c r="ILP243" s="334"/>
      <c r="ILQ243" s="334"/>
      <c r="ILR243" s="334"/>
      <c r="ILS243" s="334"/>
      <c r="ILT243" s="334"/>
      <c r="ILU243" s="334"/>
      <c r="ILV243" s="334"/>
      <c r="ILW243" s="334"/>
      <c r="ILX243" s="334"/>
      <c r="ILY243" s="334"/>
      <c r="ILZ243" s="334"/>
      <c r="IMA243" s="334"/>
      <c r="IMB243" s="334"/>
      <c r="IMC243" s="334"/>
      <c r="IMD243" s="334"/>
      <c r="IME243" s="334"/>
      <c r="IMF243" s="334"/>
      <c r="IMG243" s="334"/>
      <c r="IMH243" s="334"/>
      <c r="IMI243" s="334"/>
      <c r="IMJ243" s="334"/>
      <c r="IMK243" s="334"/>
      <c r="IML243" s="334"/>
      <c r="IMM243" s="334"/>
      <c r="IMN243" s="334"/>
      <c r="IMO243" s="334"/>
      <c r="IMP243" s="334"/>
      <c r="IMQ243" s="334"/>
      <c r="IMR243" s="334"/>
      <c r="IMS243" s="334"/>
      <c r="IMT243" s="334"/>
      <c r="IMU243" s="334"/>
      <c r="IMV243" s="334"/>
      <c r="IMW243" s="334"/>
      <c r="IMX243" s="334"/>
      <c r="IMY243" s="334"/>
      <c r="IMZ243" s="334"/>
      <c r="INA243" s="334"/>
      <c r="INB243" s="334"/>
      <c r="INC243" s="334"/>
      <c r="IND243" s="334"/>
      <c r="INE243" s="334"/>
      <c r="INF243" s="334"/>
      <c r="ING243" s="334"/>
      <c r="INH243" s="334"/>
      <c r="INI243" s="334"/>
      <c r="INJ243" s="334"/>
      <c r="INK243" s="334"/>
      <c r="INL243" s="334"/>
      <c r="INM243" s="334"/>
      <c r="INN243" s="334"/>
      <c r="INO243" s="334"/>
      <c r="INP243" s="334"/>
      <c r="INQ243" s="334"/>
      <c r="INR243" s="334"/>
      <c r="INS243" s="334"/>
      <c r="INT243" s="334"/>
      <c r="INU243" s="334"/>
      <c r="INV243" s="334"/>
      <c r="INW243" s="334"/>
      <c r="INX243" s="334"/>
      <c r="INY243" s="334"/>
      <c r="INZ243" s="334"/>
      <c r="IOA243" s="334"/>
      <c r="IOB243" s="334"/>
      <c r="IOC243" s="334"/>
      <c r="IOD243" s="334"/>
      <c r="IOE243" s="334"/>
      <c r="IOF243" s="334"/>
      <c r="IOG243" s="334"/>
      <c r="IOH243" s="334"/>
      <c r="IOI243" s="334"/>
      <c r="IOJ243" s="334"/>
      <c r="IOK243" s="334"/>
      <c r="IOL243" s="334"/>
      <c r="IOM243" s="334"/>
      <c r="ION243" s="334"/>
      <c r="IOO243" s="334"/>
      <c r="IOP243" s="334"/>
      <c r="IOQ243" s="334"/>
      <c r="IOR243" s="334"/>
      <c r="IOS243" s="334"/>
      <c r="IOT243" s="334"/>
      <c r="IOU243" s="334"/>
      <c r="IOV243" s="334"/>
      <c r="IOW243" s="334"/>
      <c r="IOX243" s="334"/>
      <c r="IOY243" s="334"/>
      <c r="IOZ243" s="334"/>
      <c r="IPA243" s="334"/>
      <c r="IPB243" s="334"/>
      <c r="IPC243" s="334"/>
      <c r="IPD243" s="334"/>
      <c r="IPE243" s="334"/>
      <c r="IPF243" s="334"/>
      <c r="IPG243" s="334"/>
      <c r="IPH243" s="334"/>
      <c r="IPI243" s="334"/>
      <c r="IPJ243" s="334"/>
      <c r="IPK243" s="334"/>
      <c r="IPL243" s="334"/>
      <c r="IPM243" s="334"/>
      <c r="IPN243" s="334"/>
      <c r="IPO243" s="334"/>
      <c r="IPP243" s="334"/>
      <c r="IPQ243" s="334"/>
      <c r="IPR243" s="334"/>
      <c r="IPS243" s="334"/>
      <c r="IPT243" s="334"/>
      <c r="IPU243" s="334"/>
      <c r="IPV243" s="334"/>
      <c r="IPW243" s="334"/>
      <c r="IPX243" s="334"/>
      <c r="IPY243" s="334"/>
      <c r="IPZ243" s="334"/>
      <c r="IQA243" s="334"/>
      <c r="IQB243" s="334"/>
      <c r="IQC243" s="334"/>
      <c r="IQD243" s="334"/>
      <c r="IQE243" s="334"/>
      <c r="IQF243" s="334"/>
      <c r="IQG243" s="334"/>
      <c r="IQH243" s="334"/>
      <c r="IQI243" s="334"/>
      <c r="IQJ243" s="334"/>
      <c r="IQK243" s="334"/>
      <c r="IQL243" s="334"/>
      <c r="IQM243" s="334"/>
      <c r="IQN243" s="334"/>
      <c r="IQO243" s="334"/>
      <c r="IQP243" s="334"/>
      <c r="IQQ243" s="334"/>
      <c r="IQR243" s="334"/>
      <c r="IQS243" s="334"/>
      <c r="IQT243" s="334"/>
      <c r="IQU243" s="334"/>
      <c r="IQV243" s="334"/>
      <c r="IQW243" s="334"/>
      <c r="IQX243" s="334"/>
      <c r="IQY243" s="334"/>
      <c r="IQZ243" s="334"/>
      <c r="IRA243" s="334"/>
      <c r="IRB243" s="334"/>
      <c r="IRC243" s="334"/>
      <c r="IRD243" s="334"/>
      <c r="IRE243" s="334"/>
      <c r="IRF243" s="334"/>
      <c r="IRG243" s="334"/>
      <c r="IRH243" s="334"/>
      <c r="IRI243" s="334"/>
      <c r="IRJ243" s="334"/>
      <c r="IRK243" s="334"/>
      <c r="IRL243" s="334"/>
      <c r="IRM243" s="334"/>
      <c r="IRN243" s="334"/>
      <c r="IRO243" s="334"/>
      <c r="IRP243" s="334"/>
      <c r="IRQ243" s="334"/>
      <c r="IRR243" s="334"/>
      <c r="IRS243" s="334"/>
      <c r="IRT243" s="334"/>
      <c r="IRU243" s="334"/>
      <c r="IRV243" s="334"/>
      <c r="IRW243" s="334"/>
      <c r="IRX243" s="334"/>
      <c r="IRY243" s="334"/>
      <c r="IRZ243" s="334"/>
      <c r="ISA243" s="334"/>
      <c r="ISB243" s="334"/>
      <c r="ISC243" s="334"/>
      <c r="ISD243" s="334"/>
      <c r="ISE243" s="334"/>
      <c r="ISF243" s="334"/>
      <c r="ISG243" s="334"/>
      <c r="ISH243" s="334"/>
      <c r="ISI243" s="334"/>
      <c r="ISJ243" s="334"/>
      <c r="ISK243" s="334"/>
      <c r="ISL243" s="334"/>
      <c r="ISM243" s="334"/>
      <c r="ISN243" s="334"/>
      <c r="ISO243" s="334"/>
      <c r="ISP243" s="334"/>
      <c r="ISQ243" s="334"/>
      <c r="ISR243" s="334"/>
      <c r="ISS243" s="334"/>
      <c r="IST243" s="334"/>
      <c r="ISU243" s="334"/>
      <c r="ISV243" s="334"/>
      <c r="ISW243" s="334"/>
      <c r="ISX243" s="334"/>
      <c r="ISY243" s="334"/>
      <c r="ISZ243" s="334"/>
      <c r="ITA243" s="334"/>
      <c r="ITB243" s="334"/>
      <c r="ITC243" s="334"/>
      <c r="ITD243" s="334"/>
      <c r="ITE243" s="334"/>
      <c r="ITF243" s="334"/>
      <c r="ITG243" s="334"/>
      <c r="ITH243" s="334"/>
      <c r="ITI243" s="334"/>
      <c r="ITJ243" s="334"/>
      <c r="ITK243" s="334"/>
      <c r="ITL243" s="334"/>
      <c r="ITM243" s="334"/>
      <c r="ITN243" s="334"/>
      <c r="ITO243" s="334"/>
      <c r="ITP243" s="334"/>
      <c r="ITQ243" s="334"/>
      <c r="ITR243" s="334"/>
      <c r="ITS243" s="334"/>
      <c r="ITT243" s="334"/>
      <c r="ITU243" s="334"/>
      <c r="ITV243" s="334"/>
      <c r="ITW243" s="334"/>
      <c r="ITX243" s="334"/>
      <c r="ITY243" s="334"/>
      <c r="ITZ243" s="334"/>
      <c r="IUA243" s="334"/>
      <c r="IUB243" s="334"/>
      <c r="IUC243" s="334"/>
      <c r="IUD243" s="334"/>
      <c r="IUE243" s="334"/>
      <c r="IUF243" s="334"/>
      <c r="IUG243" s="334"/>
      <c r="IUH243" s="334"/>
      <c r="IUI243" s="334"/>
      <c r="IUJ243" s="334"/>
      <c r="IUK243" s="334"/>
      <c r="IUL243" s="334"/>
      <c r="IUM243" s="334"/>
      <c r="IUN243" s="334"/>
      <c r="IUO243" s="334"/>
      <c r="IUP243" s="334"/>
      <c r="IUQ243" s="334"/>
      <c r="IUR243" s="334"/>
      <c r="IUS243" s="334"/>
      <c r="IUT243" s="334"/>
      <c r="IUU243" s="334"/>
      <c r="IUV243" s="334"/>
      <c r="IUW243" s="334"/>
      <c r="IUX243" s="334"/>
      <c r="IUY243" s="334"/>
      <c r="IUZ243" s="334"/>
      <c r="IVA243" s="334"/>
      <c r="IVB243" s="334"/>
      <c r="IVC243" s="334"/>
      <c r="IVD243" s="334"/>
      <c r="IVE243" s="334"/>
      <c r="IVF243" s="334"/>
      <c r="IVG243" s="334"/>
      <c r="IVH243" s="334"/>
      <c r="IVI243" s="334"/>
      <c r="IVJ243" s="334"/>
      <c r="IVK243" s="334"/>
      <c r="IVL243" s="334"/>
      <c r="IVM243" s="334"/>
      <c r="IVN243" s="334"/>
      <c r="IVO243" s="334"/>
      <c r="IVP243" s="334"/>
      <c r="IVQ243" s="334"/>
      <c r="IVR243" s="334"/>
      <c r="IVS243" s="334"/>
      <c r="IVT243" s="334"/>
      <c r="IVU243" s="334"/>
      <c r="IVV243" s="334"/>
      <c r="IVW243" s="334"/>
      <c r="IVX243" s="334"/>
      <c r="IVY243" s="334"/>
      <c r="IVZ243" s="334"/>
      <c r="IWA243" s="334"/>
      <c r="IWB243" s="334"/>
      <c r="IWC243" s="334"/>
      <c r="IWD243" s="334"/>
      <c r="IWE243" s="334"/>
      <c r="IWF243" s="334"/>
      <c r="IWG243" s="334"/>
      <c r="IWH243" s="334"/>
      <c r="IWI243" s="334"/>
      <c r="IWJ243" s="334"/>
      <c r="IWK243" s="334"/>
      <c r="IWL243" s="334"/>
      <c r="IWM243" s="334"/>
      <c r="IWN243" s="334"/>
      <c r="IWO243" s="334"/>
      <c r="IWP243" s="334"/>
      <c r="IWQ243" s="334"/>
      <c r="IWR243" s="334"/>
      <c r="IWS243" s="334"/>
      <c r="IWT243" s="334"/>
      <c r="IWU243" s="334"/>
      <c r="IWV243" s="334"/>
      <c r="IWW243" s="334"/>
      <c r="IWX243" s="334"/>
      <c r="IWY243" s="334"/>
      <c r="IWZ243" s="334"/>
      <c r="IXA243" s="334"/>
      <c r="IXB243" s="334"/>
      <c r="IXC243" s="334"/>
      <c r="IXD243" s="334"/>
      <c r="IXE243" s="334"/>
      <c r="IXF243" s="334"/>
      <c r="IXG243" s="334"/>
      <c r="IXH243" s="334"/>
      <c r="IXI243" s="334"/>
      <c r="IXJ243" s="334"/>
      <c r="IXK243" s="334"/>
      <c r="IXL243" s="334"/>
      <c r="IXM243" s="334"/>
      <c r="IXN243" s="334"/>
      <c r="IXO243" s="334"/>
      <c r="IXP243" s="334"/>
      <c r="IXQ243" s="334"/>
      <c r="IXR243" s="334"/>
      <c r="IXS243" s="334"/>
      <c r="IXT243" s="334"/>
      <c r="IXU243" s="334"/>
      <c r="IXV243" s="334"/>
      <c r="IXW243" s="334"/>
      <c r="IXX243" s="334"/>
      <c r="IXY243" s="334"/>
      <c r="IXZ243" s="334"/>
      <c r="IYA243" s="334"/>
      <c r="IYB243" s="334"/>
      <c r="IYC243" s="334"/>
      <c r="IYD243" s="334"/>
      <c r="IYE243" s="334"/>
      <c r="IYF243" s="334"/>
      <c r="IYG243" s="334"/>
      <c r="IYH243" s="334"/>
      <c r="IYI243" s="334"/>
      <c r="IYJ243" s="334"/>
      <c r="IYK243" s="334"/>
      <c r="IYL243" s="334"/>
      <c r="IYM243" s="334"/>
      <c r="IYN243" s="334"/>
      <c r="IYO243" s="334"/>
      <c r="IYP243" s="334"/>
      <c r="IYQ243" s="334"/>
      <c r="IYR243" s="334"/>
      <c r="IYS243" s="334"/>
      <c r="IYT243" s="334"/>
      <c r="IYU243" s="334"/>
      <c r="IYV243" s="334"/>
      <c r="IYW243" s="334"/>
      <c r="IYX243" s="334"/>
      <c r="IYY243" s="334"/>
      <c r="IYZ243" s="334"/>
      <c r="IZA243" s="334"/>
      <c r="IZB243" s="334"/>
      <c r="IZC243" s="334"/>
      <c r="IZD243" s="334"/>
      <c r="IZE243" s="334"/>
      <c r="IZF243" s="334"/>
      <c r="IZG243" s="334"/>
      <c r="IZH243" s="334"/>
      <c r="IZI243" s="334"/>
      <c r="IZJ243" s="334"/>
      <c r="IZK243" s="334"/>
      <c r="IZL243" s="334"/>
      <c r="IZM243" s="334"/>
      <c r="IZN243" s="334"/>
      <c r="IZO243" s="334"/>
      <c r="IZP243" s="334"/>
      <c r="IZQ243" s="334"/>
      <c r="IZR243" s="334"/>
      <c r="IZS243" s="334"/>
      <c r="IZT243" s="334"/>
      <c r="IZU243" s="334"/>
      <c r="IZV243" s="334"/>
      <c r="IZW243" s="334"/>
      <c r="IZX243" s="334"/>
      <c r="IZY243" s="334"/>
      <c r="IZZ243" s="334"/>
      <c r="JAA243" s="334"/>
      <c r="JAB243" s="334"/>
      <c r="JAC243" s="334"/>
      <c r="JAD243" s="334"/>
      <c r="JAE243" s="334"/>
      <c r="JAF243" s="334"/>
      <c r="JAG243" s="334"/>
      <c r="JAH243" s="334"/>
      <c r="JAI243" s="334"/>
      <c r="JAJ243" s="334"/>
      <c r="JAK243" s="334"/>
      <c r="JAL243" s="334"/>
      <c r="JAM243" s="334"/>
      <c r="JAN243" s="334"/>
      <c r="JAO243" s="334"/>
      <c r="JAP243" s="334"/>
      <c r="JAQ243" s="334"/>
      <c r="JAR243" s="334"/>
      <c r="JAS243" s="334"/>
      <c r="JAT243" s="334"/>
      <c r="JAU243" s="334"/>
      <c r="JAV243" s="334"/>
      <c r="JAW243" s="334"/>
      <c r="JAX243" s="334"/>
      <c r="JAY243" s="334"/>
      <c r="JAZ243" s="334"/>
      <c r="JBA243" s="334"/>
      <c r="JBB243" s="334"/>
      <c r="JBC243" s="334"/>
      <c r="JBD243" s="334"/>
      <c r="JBE243" s="334"/>
      <c r="JBF243" s="334"/>
      <c r="JBG243" s="334"/>
      <c r="JBH243" s="334"/>
      <c r="JBI243" s="334"/>
      <c r="JBJ243" s="334"/>
      <c r="JBK243" s="334"/>
      <c r="JBL243" s="334"/>
      <c r="JBM243" s="334"/>
      <c r="JBN243" s="334"/>
      <c r="JBO243" s="334"/>
      <c r="JBP243" s="334"/>
      <c r="JBQ243" s="334"/>
      <c r="JBR243" s="334"/>
      <c r="JBS243" s="334"/>
      <c r="JBT243" s="334"/>
      <c r="JBU243" s="334"/>
      <c r="JBV243" s="334"/>
      <c r="JBW243" s="334"/>
      <c r="JBX243" s="334"/>
      <c r="JBY243" s="334"/>
      <c r="JBZ243" s="334"/>
      <c r="JCA243" s="334"/>
      <c r="JCB243" s="334"/>
      <c r="JCC243" s="334"/>
      <c r="JCD243" s="334"/>
      <c r="JCE243" s="334"/>
      <c r="JCF243" s="334"/>
      <c r="JCG243" s="334"/>
      <c r="JCH243" s="334"/>
      <c r="JCI243" s="334"/>
      <c r="JCJ243" s="334"/>
      <c r="JCK243" s="334"/>
      <c r="JCL243" s="334"/>
      <c r="JCM243" s="334"/>
      <c r="JCN243" s="334"/>
      <c r="JCO243" s="334"/>
      <c r="JCP243" s="334"/>
      <c r="JCQ243" s="334"/>
      <c r="JCR243" s="334"/>
      <c r="JCS243" s="334"/>
      <c r="JCT243" s="334"/>
      <c r="JCU243" s="334"/>
      <c r="JCV243" s="334"/>
      <c r="JCW243" s="334"/>
      <c r="JCX243" s="334"/>
      <c r="JCY243" s="334"/>
      <c r="JCZ243" s="334"/>
      <c r="JDA243" s="334"/>
      <c r="JDB243" s="334"/>
      <c r="JDC243" s="334"/>
      <c r="JDD243" s="334"/>
      <c r="JDE243" s="334"/>
      <c r="JDF243" s="334"/>
      <c r="JDG243" s="334"/>
      <c r="JDH243" s="334"/>
      <c r="JDI243" s="334"/>
      <c r="JDJ243" s="334"/>
      <c r="JDK243" s="334"/>
      <c r="JDL243" s="334"/>
      <c r="JDM243" s="334"/>
      <c r="JDN243" s="334"/>
      <c r="JDO243" s="334"/>
      <c r="JDP243" s="334"/>
      <c r="JDQ243" s="334"/>
      <c r="JDR243" s="334"/>
      <c r="JDS243" s="334"/>
      <c r="JDT243" s="334"/>
      <c r="JDU243" s="334"/>
      <c r="JDV243" s="334"/>
      <c r="JDW243" s="334"/>
      <c r="JDX243" s="334"/>
      <c r="JDY243" s="334"/>
      <c r="JDZ243" s="334"/>
      <c r="JEA243" s="334"/>
      <c r="JEB243" s="334"/>
      <c r="JEC243" s="334"/>
      <c r="JED243" s="334"/>
      <c r="JEE243" s="334"/>
      <c r="JEF243" s="334"/>
      <c r="JEG243" s="334"/>
      <c r="JEH243" s="334"/>
      <c r="JEI243" s="334"/>
      <c r="JEJ243" s="334"/>
      <c r="JEK243" s="334"/>
      <c r="JEL243" s="334"/>
      <c r="JEM243" s="334"/>
      <c r="JEN243" s="334"/>
      <c r="JEO243" s="334"/>
      <c r="JEP243" s="334"/>
      <c r="JEQ243" s="334"/>
      <c r="JER243" s="334"/>
      <c r="JES243" s="334"/>
      <c r="JET243" s="334"/>
      <c r="JEU243" s="334"/>
      <c r="JEV243" s="334"/>
      <c r="JEW243" s="334"/>
      <c r="JEX243" s="334"/>
      <c r="JEY243" s="334"/>
      <c r="JEZ243" s="334"/>
      <c r="JFA243" s="334"/>
      <c r="JFB243" s="334"/>
      <c r="JFC243" s="334"/>
      <c r="JFD243" s="334"/>
      <c r="JFE243" s="334"/>
      <c r="JFF243" s="334"/>
      <c r="JFG243" s="334"/>
      <c r="JFH243" s="334"/>
      <c r="JFI243" s="334"/>
      <c r="JFJ243" s="334"/>
      <c r="JFK243" s="334"/>
      <c r="JFL243" s="334"/>
      <c r="JFM243" s="334"/>
      <c r="JFN243" s="334"/>
      <c r="JFO243" s="334"/>
      <c r="JFP243" s="334"/>
      <c r="JFQ243" s="334"/>
      <c r="JFR243" s="334"/>
      <c r="JFS243" s="334"/>
      <c r="JFT243" s="334"/>
      <c r="JFU243" s="334"/>
      <c r="JFV243" s="334"/>
      <c r="JFW243" s="334"/>
      <c r="JFX243" s="334"/>
      <c r="JFY243" s="334"/>
      <c r="JFZ243" s="334"/>
      <c r="JGA243" s="334"/>
      <c r="JGB243" s="334"/>
      <c r="JGC243" s="334"/>
      <c r="JGD243" s="334"/>
      <c r="JGE243" s="334"/>
      <c r="JGF243" s="334"/>
      <c r="JGG243" s="334"/>
      <c r="JGH243" s="334"/>
      <c r="JGI243" s="334"/>
      <c r="JGJ243" s="334"/>
      <c r="JGK243" s="334"/>
      <c r="JGL243" s="334"/>
      <c r="JGM243" s="334"/>
      <c r="JGN243" s="334"/>
      <c r="JGO243" s="334"/>
      <c r="JGP243" s="334"/>
      <c r="JGQ243" s="334"/>
      <c r="JGR243" s="334"/>
      <c r="JGS243" s="334"/>
      <c r="JGT243" s="334"/>
      <c r="JGU243" s="334"/>
      <c r="JGV243" s="334"/>
      <c r="JGW243" s="334"/>
      <c r="JGX243" s="334"/>
      <c r="JGY243" s="334"/>
      <c r="JGZ243" s="334"/>
      <c r="JHA243" s="334"/>
      <c r="JHB243" s="334"/>
      <c r="JHC243" s="334"/>
      <c r="JHD243" s="334"/>
      <c r="JHE243" s="334"/>
      <c r="JHF243" s="334"/>
      <c r="JHG243" s="334"/>
      <c r="JHH243" s="334"/>
      <c r="JHI243" s="334"/>
      <c r="JHJ243" s="334"/>
      <c r="JHK243" s="334"/>
      <c r="JHL243" s="334"/>
      <c r="JHM243" s="334"/>
      <c r="JHN243" s="334"/>
      <c r="JHO243" s="334"/>
      <c r="JHP243" s="334"/>
      <c r="JHQ243" s="334"/>
      <c r="JHR243" s="334"/>
      <c r="JHS243" s="334"/>
      <c r="JHT243" s="334"/>
      <c r="JHU243" s="334"/>
      <c r="JHV243" s="334"/>
      <c r="JHW243" s="334"/>
      <c r="JHX243" s="334"/>
      <c r="JHY243" s="334"/>
      <c r="JHZ243" s="334"/>
      <c r="JIA243" s="334"/>
      <c r="JIB243" s="334"/>
      <c r="JIC243" s="334"/>
      <c r="JID243" s="334"/>
      <c r="JIE243" s="334"/>
      <c r="JIF243" s="334"/>
      <c r="JIG243" s="334"/>
      <c r="JIH243" s="334"/>
      <c r="JII243" s="334"/>
      <c r="JIJ243" s="334"/>
      <c r="JIK243" s="334"/>
      <c r="JIL243" s="334"/>
      <c r="JIM243" s="334"/>
      <c r="JIN243" s="334"/>
      <c r="JIO243" s="334"/>
      <c r="JIP243" s="334"/>
      <c r="JIQ243" s="334"/>
      <c r="JIR243" s="334"/>
      <c r="JIS243" s="334"/>
      <c r="JIT243" s="334"/>
      <c r="JIU243" s="334"/>
      <c r="JIV243" s="334"/>
      <c r="JIW243" s="334"/>
      <c r="JIX243" s="334"/>
      <c r="JIY243" s="334"/>
      <c r="JIZ243" s="334"/>
      <c r="JJA243" s="334"/>
      <c r="JJB243" s="334"/>
      <c r="JJC243" s="334"/>
      <c r="JJD243" s="334"/>
      <c r="JJE243" s="334"/>
      <c r="JJF243" s="334"/>
      <c r="JJG243" s="334"/>
      <c r="JJH243" s="334"/>
      <c r="JJI243" s="334"/>
      <c r="JJJ243" s="334"/>
      <c r="JJK243" s="334"/>
      <c r="JJL243" s="334"/>
      <c r="JJM243" s="334"/>
      <c r="JJN243" s="334"/>
      <c r="JJO243" s="334"/>
      <c r="JJP243" s="334"/>
      <c r="JJQ243" s="334"/>
      <c r="JJR243" s="334"/>
      <c r="JJS243" s="334"/>
      <c r="JJT243" s="334"/>
      <c r="JJU243" s="334"/>
      <c r="JJV243" s="334"/>
      <c r="JJW243" s="334"/>
      <c r="JJX243" s="334"/>
      <c r="JJY243" s="334"/>
      <c r="JJZ243" s="334"/>
      <c r="JKA243" s="334"/>
      <c r="JKB243" s="334"/>
      <c r="JKC243" s="334"/>
      <c r="JKD243" s="334"/>
      <c r="JKE243" s="334"/>
      <c r="JKF243" s="334"/>
      <c r="JKG243" s="334"/>
      <c r="JKH243" s="334"/>
      <c r="JKI243" s="334"/>
      <c r="JKJ243" s="334"/>
      <c r="JKK243" s="334"/>
      <c r="JKL243" s="334"/>
      <c r="JKM243" s="334"/>
      <c r="JKN243" s="334"/>
      <c r="JKO243" s="334"/>
      <c r="JKP243" s="334"/>
      <c r="JKQ243" s="334"/>
      <c r="JKR243" s="334"/>
      <c r="JKS243" s="334"/>
      <c r="JKT243" s="334"/>
      <c r="JKU243" s="334"/>
      <c r="JKV243" s="334"/>
      <c r="JKW243" s="334"/>
      <c r="JKX243" s="334"/>
      <c r="JKY243" s="334"/>
      <c r="JKZ243" s="334"/>
      <c r="JLA243" s="334"/>
      <c r="JLB243" s="334"/>
      <c r="JLC243" s="334"/>
      <c r="JLD243" s="334"/>
      <c r="JLE243" s="334"/>
      <c r="JLF243" s="334"/>
      <c r="JLG243" s="334"/>
      <c r="JLH243" s="334"/>
      <c r="JLI243" s="334"/>
      <c r="JLJ243" s="334"/>
      <c r="JLK243" s="334"/>
      <c r="JLL243" s="334"/>
      <c r="JLM243" s="334"/>
      <c r="JLN243" s="334"/>
      <c r="JLO243" s="334"/>
      <c r="JLP243" s="334"/>
      <c r="JLQ243" s="334"/>
      <c r="JLR243" s="334"/>
      <c r="JLS243" s="334"/>
      <c r="JLT243" s="334"/>
      <c r="JLU243" s="334"/>
      <c r="JLV243" s="334"/>
      <c r="JLW243" s="334"/>
      <c r="JLX243" s="334"/>
      <c r="JLY243" s="334"/>
      <c r="JLZ243" s="334"/>
      <c r="JMA243" s="334"/>
      <c r="JMB243" s="334"/>
      <c r="JMC243" s="334"/>
      <c r="JMD243" s="334"/>
      <c r="JME243" s="334"/>
      <c r="JMF243" s="334"/>
      <c r="JMG243" s="334"/>
      <c r="JMH243" s="334"/>
      <c r="JMI243" s="334"/>
      <c r="JMJ243" s="334"/>
      <c r="JMK243" s="334"/>
      <c r="JML243" s="334"/>
      <c r="JMM243" s="334"/>
      <c r="JMN243" s="334"/>
      <c r="JMO243" s="334"/>
      <c r="JMP243" s="334"/>
      <c r="JMQ243" s="334"/>
      <c r="JMR243" s="334"/>
      <c r="JMS243" s="334"/>
      <c r="JMT243" s="334"/>
      <c r="JMU243" s="334"/>
      <c r="JMV243" s="334"/>
      <c r="JMW243" s="334"/>
      <c r="JMX243" s="334"/>
      <c r="JMY243" s="334"/>
      <c r="JMZ243" s="334"/>
      <c r="JNA243" s="334"/>
      <c r="JNB243" s="334"/>
      <c r="JNC243" s="334"/>
      <c r="JND243" s="334"/>
      <c r="JNE243" s="334"/>
      <c r="JNF243" s="334"/>
      <c r="JNG243" s="334"/>
      <c r="JNH243" s="334"/>
      <c r="JNI243" s="334"/>
      <c r="JNJ243" s="334"/>
      <c r="JNK243" s="334"/>
      <c r="JNL243" s="334"/>
      <c r="JNM243" s="334"/>
      <c r="JNN243" s="334"/>
      <c r="JNO243" s="334"/>
      <c r="JNP243" s="334"/>
      <c r="JNQ243" s="334"/>
      <c r="JNR243" s="334"/>
      <c r="JNS243" s="334"/>
      <c r="JNT243" s="334"/>
      <c r="JNU243" s="334"/>
      <c r="JNV243" s="334"/>
      <c r="JNW243" s="334"/>
      <c r="JNX243" s="334"/>
      <c r="JNY243" s="334"/>
      <c r="JNZ243" s="334"/>
      <c r="JOA243" s="334"/>
      <c r="JOB243" s="334"/>
      <c r="JOC243" s="334"/>
      <c r="JOD243" s="334"/>
      <c r="JOE243" s="334"/>
      <c r="JOF243" s="334"/>
      <c r="JOG243" s="334"/>
      <c r="JOH243" s="334"/>
      <c r="JOI243" s="334"/>
      <c r="JOJ243" s="334"/>
      <c r="JOK243" s="334"/>
      <c r="JOL243" s="334"/>
      <c r="JOM243" s="334"/>
      <c r="JON243" s="334"/>
      <c r="JOO243" s="334"/>
      <c r="JOP243" s="334"/>
      <c r="JOQ243" s="334"/>
      <c r="JOR243" s="334"/>
      <c r="JOS243" s="334"/>
      <c r="JOT243" s="334"/>
      <c r="JOU243" s="334"/>
      <c r="JOV243" s="334"/>
      <c r="JOW243" s="334"/>
      <c r="JOX243" s="334"/>
      <c r="JOY243" s="334"/>
      <c r="JOZ243" s="334"/>
      <c r="JPA243" s="334"/>
      <c r="JPB243" s="334"/>
      <c r="JPC243" s="334"/>
      <c r="JPD243" s="334"/>
      <c r="JPE243" s="334"/>
      <c r="JPF243" s="334"/>
      <c r="JPG243" s="334"/>
      <c r="JPH243" s="334"/>
      <c r="JPI243" s="334"/>
      <c r="JPJ243" s="334"/>
      <c r="JPK243" s="334"/>
      <c r="JPL243" s="334"/>
      <c r="JPM243" s="334"/>
      <c r="JPN243" s="334"/>
      <c r="JPO243" s="334"/>
      <c r="JPP243" s="334"/>
      <c r="JPQ243" s="334"/>
      <c r="JPR243" s="334"/>
      <c r="JPS243" s="334"/>
      <c r="JPT243" s="334"/>
      <c r="JPU243" s="334"/>
      <c r="JPV243" s="334"/>
      <c r="JPW243" s="334"/>
      <c r="JPX243" s="334"/>
      <c r="JPY243" s="334"/>
      <c r="JPZ243" s="334"/>
      <c r="JQA243" s="334"/>
      <c r="JQB243" s="334"/>
      <c r="JQC243" s="334"/>
      <c r="JQD243" s="334"/>
      <c r="JQE243" s="334"/>
      <c r="JQF243" s="334"/>
      <c r="JQG243" s="334"/>
      <c r="JQH243" s="334"/>
      <c r="JQI243" s="334"/>
      <c r="JQJ243" s="334"/>
      <c r="JQK243" s="334"/>
      <c r="JQL243" s="334"/>
      <c r="JQM243" s="334"/>
      <c r="JQN243" s="334"/>
      <c r="JQO243" s="334"/>
      <c r="JQP243" s="334"/>
      <c r="JQQ243" s="334"/>
      <c r="JQR243" s="334"/>
      <c r="JQS243" s="334"/>
      <c r="JQT243" s="334"/>
      <c r="JQU243" s="334"/>
      <c r="JQV243" s="334"/>
      <c r="JQW243" s="334"/>
      <c r="JQX243" s="334"/>
      <c r="JQY243" s="334"/>
      <c r="JQZ243" s="334"/>
      <c r="JRA243" s="334"/>
      <c r="JRB243" s="334"/>
      <c r="JRC243" s="334"/>
      <c r="JRD243" s="334"/>
      <c r="JRE243" s="334"/>
      <c r="JRF243" s="334"/>
      <c r="JRG243" s="334"/>
      <c r="JRH243" s="334"/>
      <c r="JRI243" s="334"/>
      <c r="JRJ243" s="334"/>
      <c r="JRK243" s="334"/>
      <c r="JRL243" s="334"/>
      <c r="JRM243" s="334"/>
      <c r="JRN243" s="334"/>
      <c r="JRO243" s="334"/>
      <c r="JRP243" s="334"/>
      <c r="JRQ243" s="334"/>
      <c r="JRR243" s="334"/>
      <c r="JRS243" s="334"/>
      <c r="JRT243" s="334"/>
      <c r="JRU243" s="334"/>
      <c r="JRV243" s="334"/>
      <c r="JRW243" s="334"/>
      <c r="JRX243" s="334"/>
      <c r="JRY243" s="334"/>
      <c r="JRZ243" s="334"/>
      <c r="JSA243" s="334"/>
      <c r="JSB243" s="334"/>
      <c r="JSC243" s="334"/>
      <c r="JSD243" s="334"/>
      <c r="JSE243" s="334"/>
      <c r="JSF243" s="334"/>
      <c r="JSG243" s="334"/>
      <c r="JSH243" s="334"/>
      <c r="JSI243" s="334"/>
      <c r="JSJ243" s="334"/>
      <c r="JSK243" s="334"/>
      <c r="JSL243" s="334"/>
      <c r="JSM243" s="334"/>
      <c r="JSN243" s="334"/>
      <c r="JSO243" s="334"/>
      <c r="JSP243" s="334"/>
      <c r="JSQ243" s="334"/>
      <c r="JSR243" s="334"/>
      <c r="JSS243" s="334"/>
      <c r="JST243" s="334"/>
      <c r="JSU243" s="334"/>
      <c r="JSV243" s="334"/>
      <c r="JSW243" s="334"/>
      <c r="JSX243" s="334"/>
      <c r="JSY243" s="334"/>
      <c r="JSZ243" s="334"/>
      <c r="JTA243" s="334"/>
      <c r="JTB243" s="334"/>
      <c r="JTC243" s="334"/>
      <c r="JTD243" s="334"/>
      <c r="JTE243" s="334"/>
      <c r="JTF243" s="334"/>
      <c r="JTG243" s="334"/>
      <c r="JTH243" s="334"/>
      <c r="JTI243" s="334"/>
      <c r="JTJ243" s="334"/>
      <c r="JTK243" s="334"/>
      <c r="JTL243" s="334"/>
      <c r="JTM243" s="334"/>
      <c r="JTN243" s="334"/>
      <c r="JTO243" s="334"/>
      <c r="JTP243" s="334"/>
      <c r="JTQ243" s="334"/>
      <c r="JTR243" s="334"/>
      <c r="JTS243" s="334"/>
      <c r="JTT243" s="334"/>
      <c r="JTU243" s="334"/>
      <c r="JTV243" s="334"/>
      <c r="JTW243" s="334"/>
      <c r="JTX243" s="334"/>
      <c r="JTY243" s="334"/>
      <c r="JTZ243" s="334"/>
      <c r="JUA243" s="334"/>
      <c r="JUB243" s="334"/>
      <c r="JUC243" s="334"/>
      <c r="JUD243" s="334"/>
      <c r="JUE243" s="334"/>
      <c r="JUF243" s="334"/>
      <c r="JUG243" s="334"/>
      <c r="JUH243" s="334"/>
      <c r="JUI243" s="334"/>
      <c r="JUJ243" s="334"/>
      <c r="JUK243" s="334"/>
      <c r="JUL243" s="334"/>
      <c r="JUM243" s="334"/>
      <c r="JUN243" s="334"/>
      <c r="JUO243" s="334"/>
      <c r="JUP243" s="334"/>
      <c r="JUQ243" s="334"/>
      <c r="JUR243" s="334"/>
      <c r="JUS243" s="334"/>
      <c r="JUT243" s="334"/>
      <c r="JUU243" s="334"/>
      <c r="JUV243" s="334"/>
      <c r="JUW243" s="334"/>
      <c r="JUX243" s="334"/>
      <c r="JUY243" s="334"/>
      <c r="JUZ243" s="334"/>
      <c r="JVA243" s="334"/>
      <c r="JVB243" s="334"/>
      <c r="JVC243" s="334"/>
      <c r="JVD243" s="334"/>
      <c r="JVE243" s="334"/>
      <c r="JVF243" s="334"/>
      <c r="JVG243" s="334"/>
      <c r="JVH243" s="334"/>
      <c r="JVI243" s="334"/>
      <c r="JVJ243" s="334"/>
      <c r="JVK243" s="334"/>
      <c r="JVL243" s="334"/>
      <c r="JVM243" s="334"/>
      <c r="JVN243" s="334"/>
      <c r="JVO243" s="334"/>
      <c r="JVP243" s="334"/>
      <c r="JVQ243" s="334"/>
      <c r="JVR243" s="334"/>
      <c r="JVS243" s="334"/>
      <c r="JVT243" s="334"/>
      <c r="JVU243" s="334"/>
      <c r="JVV243" s="334"/>
      <c r="JVW243" s="334"/>
      <c r="JVX243" s="334"/>
      <c r="JVY243" s="334"/>
      <c r="JVZ243" s="334"/>
      <c r="JWA243" s="334"/>
      <c r="JWB243" s="334"/>
      <c r="JWC243" s="334"/>
      <c r="JWD243" s="334"/>
      <c r="JWE243" s="334"/>
      <c r="JWF243" s="334"/>
      <c r="JWG243" s="334"/>
      <c r="JWH243" s="334"/>
      <c r="JWI243" s="334"/>
      <c r="JWJ243" s="334"/>
      <c r="JWK243" s="334"/>
      <c r="JWL243" s="334"/>
      <c r="JWM243" s="334"/>
      <c r="JWN243" s="334"/>
      <c r="JWO243" s="334"/>
      <c r="JWP243" s="334"/>
      <c r="JWQ243" s="334"/>
      <c r="JWR243" s="334"/>
      <c r="JWS243" s="334"/>
      <c r="JWT243" s="334"/>
      <c r="JWU243" s="334"/>
      <c r="JWV243" s="334"/>
      <c r="JWW243" s="334"/>
      <c r="JWX243" s="334"/>
      <c r="JWY243" s="334"/>
      <c r="JWZ243" s="334"/>
      <c r="JXA243" s="334"/>
      <c r="JXB243" s="334"/>
      <c r="JXC243" s="334"/>
      <c r="JXD243" s="334"/>
      <c r="JXE243" s="334"/>
      <c r="JXF243" s="334"/>
      <c r="JXG243" s="334"/>
      <c r="JXH243" s="334"/>
      <c r="JXI243" s="334"/>
      <c r="JXJ243" s="334"/>
      <c r="JXK243" s="334"/>
      <c r="JXL243" s="334"/>
      <c r="JXM243" s="334"/>
      <c r="JXN243" s="334"/>
      <c r="JXO243" s="334"/>
      <c r="JXP243" s="334"/>
      <c r="JXQ243" s="334"/>
      <c r="JXR243" s="334"/>
      <c r="JXS243" s="334"/>
      <c r="JXT243" s="334"/>
      <c r="JXU243" s="334"/>
      <c r="JXV243" s="334"/>
      <c r="JXW243" s="334"/>
      <c r="JXX243" s="334"/>
      <c r="JXY243" s="334"/>
      <c r="JXZ243" s="334"/>
      <c r="JYA243" s="334"/>
      <c r="JYB243" s="334"/>
      <c r="JYC243" s="334"/>
      <c r="JYD243" s="334"/>
      <c r="JYE243" s="334"/>
      <c r="JYF243" s="334"/>
      <c r="JYG243" s="334"/>
      <c r="JYH243" s="334"/>
      <c r="JYI243" s="334"/>
      <c r="JYJ243" s="334"/>
      <c r="JYK243" s="334"/>
      <c r="JYL243" s="334"/>
      <c r="JYM243" s="334"/>
      <c r="JYN243" s="334"/>
      <c r="JYO243" s="334"/>
      <c r="JYP243" s="334"/>
      <c r="JYQ243" s="334"/>
      <c r="JYR243" s="334"/>
      <c r="JYS243" s="334"/>
      <c r="JYT243" s="334"/>
      <c r="JYU243" s="334"/>
      <c r="JYV243" s="334"/>
      <c r="JYW243" s="334"/>
      <c r="JYX243" s="334"/>
      <c r="JYY243" s="334"/>
      <c r="JYZ243" s="334"/>
      <c r="JZA243" s="334"/>
      <c r="JZB243" s="334"/>
      <c r="JZC243" s="334"/>
      <c r="JZD243" s="334"/>
      <c r="JZE243" s="334"/>
      <c r="JZF243" s="334"/>
      <c r="JZG243" s="334"/>
      <c r="JZH243" s="334"/>
      <c r="JZI243" s="334"/>
      <c r="JZJ243" s="334"/>
      <c r="JZK243" s="334"/>
      <c r="JZL243" s="334"/>
      <c r="JZM243" s="334"/>
      <c r="JZN243" s="334"/>
      <c r="JZO243" s="334"/>
      <c r="JZP243" s="334"/>
      <c r="JZQ243" s="334"/>
      <c r="JZR243" s="334"/>
      <c r="JZS243" s="334"/>
      <c r="JZT243" s="334"/>
      <c r="JZU243" s="334"/>
      <c r="JZV243" s="334"/>
      <c r="JZW243" s="334"/>
      <c r="JZX243" s="334"/>
      <c r="JZY243" s="334"/>
      <c r="JZZ243" s="334"/>
      <c r="KAA243" s="334"/>
      <c r="KAB243" s="334"/>
      <c r="KAC243" s="334"/>
      <c r="KAD243" s="334"/>
      <c r="KAE243" s="334"/>
      <c r="KAF243" s="334"/>
      <c r="KAG243" s="334"/>
      <c r="KAH243" s="334"/>
      <c r="KAI243" s="334"/>
      <c r="KAJ243" s="334"/>
      <c r="KAK243" s="334"/>
      <c r="KAL243" s="334"/>
      <c r="KAM243" s="334"/>
      <c r="KAN243" s="334"/>
      <c r="KAO243" s="334"/>
      <c r="KAP243" s="334"/>
      <c r="KAQ243" s="334"/>
      <c r="KAR243" s="334"/>
      <c r="KAS243" s="334"/>
      <c r="KAT243" s="334"/>
      <c r="KAU243" s="334"/>
      <c r="KAV243" s="334"/>
      <c r="KAW243" s="334"/>
      <c r="KAX243" s="334"/>
      <c r="KAY243" s="334"/>
      <c r="KAZ243" s="334"/>
      <c r="KBA243" s="334"/>
      <c r="KBB243" s="334"/>
      <c r="KBC243" s="334"/>
      <c r="KBD243" s="334"/>
      <c r="KBE243" s="334"/>
      <c r="KBF243" s="334"/>
      <c r="KBG243" s="334"/>
      <c r="KBH243" s="334"/>
      <c r="KBI243" s="334"/>
      <c r="KBJ243" s="334"/>
      <c r="KBK243" s="334"/>
      <c r="KBL243" s="334"/>
      <c r="KBM243" s="334"/>
      <c r="KBN243" s="334"/>
      <c r="KBO243" s="334"/>
      <c r="KBP243" s="334"/>
      <c r="KBQ243" s="334"/>
      <c r="KBR243" s="334"/>
      <c r="KBS243" s="334"/>
      <c r="KBT243" s="334"/>
      <c r="KBU243" s="334"/>
      <c r="KBV243" s="334"/>
      <c r="KBW243" s="334"/>
      <c r="KBX243" s="334"/>
      <c r="KBY243" s="334"/>
      <c r="KBZ243" s="334"/>
      <c r="KCA243" s="334"/>
      <c r="KCB243" s="334"/>
      <c r="KCC243" s="334"/>
      <c r="KCD243" s="334"/>
      <c r="KCE243" s="334"/>
      <c r="KCF243" s="334"/>
      <c r="KCG243" s="334"/>
      <c r="KCH243" s="334"/>
      <c r="KCI243" s="334"/>
      <c r="KCJ243" s="334"/>
      <c r="KCK243" s="334"/>
      <c r="KCL243" s="334"/>
      <c r="KCM243" s="334"/>
      <c r="KCN243" s="334"/>
      <c r="KCO243" s="334"/>
      <c r="KCP243" s="334"/>
      <c r="KCQ243" s="334"/>
      <c r="KCR243" s="334"/>
      <c r="KCS243" s="334"/>
      <c r="KCT243" s="334"/>
      <c r="KCU243" s="334"/>
      <c r="KCV243" s="334"/>
      <c r="KCW243" s="334"/>
      <c r="KCX243" s="334"/>
      <c r="KCY243" s="334"/>
      <c r="KCZ243" s="334"/>
      <c r="KDA243" s="334"/>
      <c r="KDB243" s="334"/>
      <c r="KDC243" s="334"/>
      <c r="KDD243" s="334"/>
      <c r="KDE243" s="334"/>
      <c r="KDF243" s="334"/>
      <c r="KDG243" s="334"/>
      <c r="KDH243" s="334"/>
      <c r="KDI243" s="334"/>
      <c r="KDJ243" s="334"/>
      <c r="KDK243" s="334"/>
      <c r="KDL243" s="334"/>
      <c r="KDM243" s="334"/>
      <c r="KDN243" s="334"/>
      <c r="KDO243" s="334"/>
      <c r="KDP243" s="334"/>
      <c r="KDQ243" s="334"/>
      <c r="KDR243" s="334"/>
      <c r="KDS243" s="334"/>
      <c r="KDT243" s="334"/>
      <c r="KDU243" s="334"/>
      <c r="KDV243" s="334"/>
      <c r="KDW243" s="334"/>
      <c r="KDX243" s="334"/>
      <c r="KDY243" s="334"/>
      <c r="KDZ243" s="334"/>
      <c r="KEA243" s="334"/>
      <c r="KEB243" s="334"/>
      <c r="KEC243" s="334"/>
      <c r="KED243" s="334"/>
      <c r="KEE243" s="334"/>
      <c r="KEF243" s="334"/>
      <c r="KEG243" s="334"/>
      <c r="KEH243" s="334"/>
      <c r="KEI243" s="334"/>
      <c r="KEJ243" s="334"/>
      <c r="KEK243" s="334"/>
      <c r="KEL243" s="334"/>
      <c r="KEM243" s="334"/>
      <c r="KEN243" s="334"/>
      <c r="KEO243" s="334"/>
      <c r="KEP243" s="334"/>
      <c r="KEQ243" s="334"/>
      <c r="KER243" s="334"/>
      <c r="KES243" s="334"/>
      <c r="KET243" s="334"/>
      <c r="KEU243" s="334"/>
      <c r="KEV243" s="334"/>
      <c r="KEW243" s="334"/>
      <c r="KEX243" s="334"/>
      <c r="KEY243" s="334"/>
      <c r="KEZ243" s="334"/>
      <c r="KFA243" s="334"/>
      <c r="KFB243" s="334"/>
      <c r="KFC243" s="334"/>
      <c r="KFD243" s="334"/>
      <c r="KFE243" s="334"/>
      <c r="KFF243" s="334"/>
      <c r="KFG243" s="334"/>
      <c r="KFH243" s="334"/>
      <c r="KFI243" s="334"/>
      <c r="KFJ243" s="334"/>
      <c r="KFK243" s="334"/>
      <c r="KFL243" s="334"/>
      <c r="KFM243" s="334"/>
      <c r="KFN243" s="334"/>
      <c r="KFO243" s="334"/>
      <c r="KFP243" s="334"/>
      <c r="KFQ243" s="334"/>
      <c r="KFR243" s="334"/>
      <c r="KFS243" s="334"/>
      <c r="KFT243" s="334"/>
      <c r="KFU243" s="334"/>
      <c r="KFV243" s="334"/>
      <c r="KFW243" s="334"/>
      <c r="KFX243" s="334"/>
      <c r="KFY243" s="334"/>
      <c r="KFZ243" s="334"/>
      <c r="KGA243" s="334"/>
      <c r="KGB243" s="334"/>
      <c r="KGC243" s="334"/>
      <c r="KGD243" s="334"/>
      <c r="KGE243" s="334"/>
      <c r="KGF243" s="334"/>
      <c r="KGG243" s="334"/>
      <c r="KGH243" s="334"/>
      <c r="KGI243" s="334"/>
      <c r="KGJ243" s="334"/>
      <c r="KGK243" s="334"/>
      <c r="KGL243" s="334"/>
      <c r="KGM243" s="334"/>
      <c r="KGN243" s="334"/>
      <c r="KGO243" s="334"/>
      <c r="KGP243" s="334"/>
      <c r="KGQ243" s="334"/>
      <c r="KGR243" s="334"/>
      <c r="KGS243" s="334"/>
      <c r="KGT243" s="334"/>
      <c r="KGU243" s="334"/>
      <c r="KGV243" s="334"/>
      <c r="KGW243" s="334"/>
      <c r="KGX243" s="334"/>
      <c r="KGY243" s="334"/>
      <c r="KGZ243" s="334"/>
      <c r="KHA243" s="334"/>
      <c r="KHB243" s="334"/>
      <c r="KHC243" s="334"/>
      <c r="KHD243" s="334"/>
      <c r="KHE243" s="334"/>
      <c r="KHF243" s="334"/>
      <c r="KHG243" s="334"/>
      <c r="KHH243" s="334"/>
      <c r="KHI243" s="334"/>
      <c r="KHJ243" s="334"/>
      <c r="KHK243" s="334"/>
      <c r="KHL243" s="334"/>
      <c r="KHM243" s="334"/>
      <c r="KHN243" s="334"/>
      <c r="KHO243" s="334"/>
      <c r="KHP243" s="334"/>
      <c r="KHQ243" s="334"/>
      <c r="KHR243" s="334"/>
      <c r="KHS243" s="334"/>
      <c r="KHT243" s="334"/>
      <c r="KHU243" s="334"/>
      <c r="KHV243" s="334"/>
      <c r="KHW243" s="334"/>
      <c r="KHX243" s="334"/>
      <c r="KHY243" s="334"/>
      <c r="KHZ243" s="334"/>
      <c r="KIA243" s="334"/>
      <c r="KIB243" s="334"/>
      <c r="KIC243" s="334"/>
      <c r="KID243" s="334"/>
      <c r="KIE243" s="334"/>
      <c r="KIF243" s="334"/>
      <c r="KIG243" s="334"/>
      <c r="KIH243" s="334"/>
      <c r="KII243" s="334"/>
      <c r="KIJ243" s="334"/>
      <c r="KIK243" s="334"/>
      <c r="KIL243" s="334"/>
      <c r="KIM243" s="334"/>
      <c r="KIN243" s="334"/>
      <c r="KIO243" s="334"/>
      <c r="KIP243" s="334"/>
      <c r="KIQ243" s="334"/>
      <c r="KIR243" s="334"/>
      <c r="KIS243" s="334"/>
      <c r="KIT243" s="334"/>
      <c r="KIU243" s="334"/>
      <c r="KIV243" s="334"/>
      <c r="KIW243" s="334"/>
      <c r="KIX243" s="334"/>
      <c r="KIY243" s="334"/>
      <c r="KIZ243" s="334"/>
      <c r="KJA243" s="334"/>
      <c r="KJB243" s="334"/>
      <c r="KJC243" s="334"/>
      <c r="KJD243" s="334"/>
      <c r="KJE243" s="334"/>
      <c r="KJF243" s="334"/>
      <c r="KJG243" s="334"/>
      <c r="KJH243" s="334"/>
      <c r="KJI243" s="334"/>
      <c r="KJJ243" s="334"/>
      <c r="KJK243" s="334"/>
      <c r="KJL243" s="334"/>
      <c r="KJM243" s="334"/>
      <c r="KJN243" s="334"/>
      <c r="KJO243" s="334"/>
      <c r="KJP243" s="334"/>
      <c r="KJQ243" s="334"/>
      <c r="KJR243" s="334"/>
      <c r="KJS243" s="334"/>
      <c r="KJT243" s="334"/>
      <c r="KJU243" s="334"/>
      <c r="KJV243" s="334"/>
      <c r="KJW243" s="334"/>
      <c r="KJX243" s="334"/>
      <c r="KJY243" s="334"/>
      <c r="KJZ243" s="334"/>
      <c r="KKA243" s="334"/>
      <c r="KKB243" s="334"/>
      <c r="KKC243" s="334"/>
      <c r="KKD243" s="334"/>
      <c r="KKE243" s="334"/>
      <c r="KKF243" s="334"/>
      <c r="KKG243" s="334"/>
      <c r="KKH243" s="334"/>
      <c r="KKI243" s="334"/>
      <c r="KKJ243" s="334"/>
      <c r="KKK243" s="334"/>
      <c r="KKL243" s="334"/>
      <c r="KKM243" s="334"/>
      <c r="KKN243" s="334"/>
      <c r="KKO243" s="334"/>
      <c r="KKP243" s="334"/>
      <c r="KKQ243" s="334"/>
      <c r="KKR243" s="334"/>
      <c r="KKS243" s="334"/>
      <c r="KKT243" s="334"/>
      <c r="KKU243" s="334"/>
      <c r="KKV243" s="334"/>
      <c r="KKW243" s="334"/>
      <c r="KKX243" s="334"/>
      <c r="KKY243" s="334"/>
      <c r="KKZ243" s="334"/>
      <c r="KLA243" s="334"/>
      <c r="KLB243" s="334"/>
      <c r="KLC243" s="334"/>
      <c r="KLD243" s="334"/>
      <c r="KLE243" s="334"/>
      <c r="KLF243" s="334"/>
      <c r="KLG243" s="334"/>
      <c r="KLH243" s="334"/>
      <c r="KLI243" s="334"/>
      <c r="KLJ243" s="334"/>
      <c r="KLK243" s="334"/>
      <c r="KLL243" s="334"/>
      <c r="KLM243" s="334"/>
      <c r="KLN243" s="334"/>
      <c r="KLO243" s="334"/>
      <c r="KLP243" s="334"/>
      <c r="KLQ243" s="334"/>
      <c r="KLR243" s="334"/>
      <c r="KLS243" s="334"/>
      <c r="KLT243" s="334"/>
      <c r="KLU243" s="334"/>
      <c r="KLV243" s="334"/>
      <c r="KLW243" s="334"/>
      <c r="KLX243" s="334"/>
      <c r="KLY243" s="334"/>
      <c r="KLZ243" s="334"/>
      <c r="KMA243" s="334"/>
      <c r="KMB243" s="334"/>
      <c r="KMC243" s="334"/>
      <c r="KMD243" s="334"/>
      <c r="KME243" s="334"/>
      <c r="KMF243" s="334"/>
      <c r="KMG243" s="334"/>
      <c r="KMH243" s="334"/>
      <c r="KMI243" s="334"/>
      <c r="KMJ243" s="334"/>
      <c r="KMK243" s="334"/>
      <c r="KML243" s="334"/>
      <c r="KMM243" s="334"/>
      <c r="KMN243" s="334"/>
      <c r="KMO243" s="334"/>
      <c r="KMP243" s="334"/>
      <c r="KMQ243" s="334"/>
      <c r="KMR243" s="334"/>
      <c r="KMS243" s="334"/>
      <c r="KMT243" s="334"/>
      <c r="KMU243" s="334"/>
      <c r="KMV243" s="334"/>
      <c r="KMW243" s="334"/>
      <c r="KMX243" s="334"/>
      <c r="KMY243" s="334"/>
      <c r="KMZ243" s="334"/>
      <c r="KNA243" s="334"/>
      <c r="KNB243" s="334"/>
      <c r="KNC243" s="334"/>
      <c r="KND243" s="334"/>
      <c r="KNE243" s="334"/>
      <c r="KNF243" s="334"/>
      <c r="KNG243" s="334"/>
      <c r="KNH243" s="334"/>
      <c r="KNI243" s="334"/>
      <c r="KNJ243" s="334"/>
      <c r="KNK243" s="334"/>
      <c r="KNL243" s="334"/>
      <c r="KNM243" s="334"/>
      <c r="KNN243" s="334"/>
      <c r="KNO243" s="334"/>
      <c r="KNP243" s="334"/>
      <c r="KNQ243" s="334"/>
      <c r="KNR243" s="334"/>
      <c r="KNS243" s="334"/>
      <c r="KNT243" s="334"/>
      <c r="KNU243" s="334"/>
      <c r="KNV243" s="334"/>
      <c r="KNW243" s="334"/>
      <c r="KNX243" s="334"/>
      <c r="KNY243" s="334"/>
      <c r="KNZ243" s="334"/>
      <c r="KOA243" s="334"/>
      <c r="KOB243" s="334"/>
      <c r="KOC243" s="334"/>
      <c r="KOD243" s="334"/>
      <c r="KOE243" s="334"/>
      <c r="KOF243" s="334"/>
      <c r="KOG243" s="334"/>
      <c r="KOH243" s="334"/>
      <c r="KOI243" s="334"/>
      <c r="KOJ243" s="334"/>
      <c r="KOK243" s="334"/>
      <c r="KOL243" s="334"/>
      <c r="KOM243" s="334"/>
      <c r="KON243" s="334"/>
      <c r="KOO243" s="334"/>
      <c r="KOP243" s="334"/>
      <c r="KOQ243" s="334"/>
      <c r="KOR243" s="334"/>
      <c r="KOS243" s="334"/>
      <c r="KOT243" s="334"/>
      <c r="KOU243" s="334"/>
      <c r="KOV243" s="334"/>
      <c r="KOW243" s="334"/>
      <c r="KOX243" s="334"/>
      <c r="KOY243" s="334"/>
      <c r="KOZ243" s="334"/>
      <c r="KPA243" s="334"/>
      <c r="KPB243" s="334"/>
      <c r="KPC243" s="334"/>
      <c r="KPD243" s="334"/>
      <c r="KPE243" s="334"/>
      <c r="KPF243" s="334"/>
      <c r="KPG243" s="334"/>
      <c r="KPH243" s="334"/>
      <c r="KPI243" s="334"/>
      <c r="KPJ243" s="334"/>
      <c r="KPK243" s="334"/>
      <c r="KPL243" s="334"/>
      <c r="KPM243" s="334"/>
      <c r="KPN243" s="334"/>
      <c r="KPO243" s="334"/>
      <c r="KPP243" s="334"/>
      <c r="KPQ243" s="334"/>
      <c r="KPR243" s="334"/>
      <c r="KPS243" s="334"/>
      <c r="KPT243" s="334"/>
      <c r="KPU243" s="334"/>
      <c r="KPV243" s="334"/>
      <c r="KPW243" s="334"/>
      <c r="KPX243" s="334"/>
      <c r="KPY243" s="334"/>
      <c r="KPZ243" s="334"/>
      <c r="KQA243" s="334"/>
      <c r="KQB243" s="334"/>
      <c r="KQC243" s="334"/>
      <c r="KQD243" s="334"/>
      <c r="KQE243" s="334"/>
      <c r="KQF243" s="334"/>
      <c r="KQG243" s="334"/>
      <c r="KQH243" s="334"/>
      <c r="KQI243" s="334"/>
      <c r="KQJ243" s="334"/>
      <c r="KQK243" s="334"/>
      <c r="KQL243" s="334"/>
      <c r="KQM243" s="334"/>
      <c r="KQN243" s="334"/>
      <c r="KQO243" s="334"/>
      <c r="KQP243" s="334"/>
      <c r="KQQ243" s="334"/>
      <c r="KQR243" s="334"/>
      <c r="KQS243" s="334"/>
      <c r="KQT243" s="334"/>
      <c r="KQU243" s="334"/>
      <c r="KQV243" s="334"/>
      <c r="KQW243" s="334"/>
      <c r="KQX243" s="334"/>
      <c r="KQY243" s="334"/>
      <c r="KQZ243" s="334"/>
      <c r="KRA243" s="334"/>
      <c r="KRB243" s="334"/>
      <c r="KRC243" s="334"/>
      <c r="KRD243" s="334"/>
      <c r="KRE243" s="334"/>
      <c r="KRF243" s="334"/>
      <c r="KRG243" s="334"/>
      <c r="KRH243" s="334"/>
      <c r="KRI243" s="334"/>
      <c r="KRJ243" s="334"/>
      <c r="KRK243" s="334"/>
      <c r="KRL243" s="334"/>
      <c r="KRM243" s="334"/>
      <c r="KRN243" s="334"/>
      <c r="KRO243" s="334"/>
      <c r="KRP243" s="334"/>
      <c r="KRQ243" s="334"/>
      <c r="KRR243" s="334"/>
      <c r="KRS243" s="334"/>
      <c r="KRT243" s="334"/>
      <c r="KRU243" s="334"/>
      <c r="KRV243" s="334"/>
      <c r="KRW243" s="334"/>
      <c r="KRX243" s="334"/>
      <c r="KRY243" s="334"/>
      <c r="KRZ243" s="334"/>
      <c r="KSA243" s="334"/>
      <c r="KSB243" s="334"/>
      <c r="KSC243" s="334"/>
      <c r="KSD243" s="334"/>
      <c r="KSE243" s="334"/>
      <c r="KSF243" s="334"/>
      <c r="KSG243" s="334"/>
      <c r="KSH243" s="334"/>
      <c r="KSI243" s="334"/>
      <c r="KSJ243" s="334"/>
      <c r="KSK243" s="334"/>
      <c r="KSL243" s="334"/>
      <c r="KSM243" s="334"/>
      <c r="KSN243" s="334"/>
      <c r="KSO243" s="334"/>
      <c r="KSP243" s="334"/>
      <c r="KSQ243" s="334"/>
      <c r="KSR243" s="334"/>
      <c r="KSS243" s="334"/>
      <c r="KST243" s="334"/>
      <c r="KSU243" s="334"/>
      <c r="KSV243" s="334"/>
      <c r="KSW243" s="334"/>
      <c r="KSX243" s="334"/>
      <c r="KSY243" s="334"/>
      <c r="KSZ243" s="334"/>
      <c r="KTA243" s="334"/>
      <c r="KTB243" s="334"/>
      <c r="KTC243" s="334"/>
      <c r="KTD243" s="334"/>
      <c r="KTE243" s="334"/>
      <c r="KTF243" s="334"/>
      <c r="KTG243" s="334"/>
      <c r="KTH243" s="334"/>
      <c r="KTI243" s="334"/>
      <c r="KTJ243" s="334"/>
      <c r="KTK243" s="334"/>
      <c r="KTL243" s="334"/>
      <c r="KTM243" s="334"/>
      <c r="KTN243" s="334"/>
      <c r="KTO243" s="334"/>
      <c r="KTP243" s="334"/>
      <c r="KTQ243" s="334"/>
      <c r="KTR243" s="334"/>
      <c r="KTS243" s="334"/>
      <c r="KTT243" s="334"/>
      <c r="KTU243" s="334"/>
      <c r="KTV243" s="334"/>
      <c r="KTW243" s="334"/>
      <c r="KTX243" s="334"/>
      <c r="KTY243" s="334"/>
      <c r="KTZ243" s="334"/>
      <c r="KUA243" s="334"/>
      <c r="KUB243" s="334"/>
      <c r="KUC243" s="334"/>
      <c r="KUD243" s="334"/>
      <c r="KUE243" s="334"/>
      <c r="KUF243" s="334"/>
      <c r="KUG243" s="334"/>
      <c r="KUH243" s="334"/>
      <c r="KUI243" s="334"/>
      <c r="KUJ243" s="334"/>
      <c r="KUK243" s="334"/>
      <c r="KUL243" s="334"/>
      <c r="KUM243" s="334"/>
      <c r="KUN243" s="334"/>
      <c r="KUO243" s="334"/>
      <c r="KUP243" s="334"/>
      <c r="KUQ243" s="334"/>
      <c r="KUR243" s="334"/>
      <c r="KUS243" s="334"/>
      <c r="KUT243" s="334"/>
      <c r="KUU243" s="334"/>
      <c r="KUV243" s="334"/>
      <c r="KUW243" s="334"/>
      <c r="KUX243" s="334"/>
      <c r="KUY243" s="334"/>
      <c r="KUZ243" s="334"/>
      <c r="KVA243" s="334"/>
      <c r="KVB243" s="334"/>
      <c r="KVC243" s="334"/>
      <c r="KVD243" s="334"/>
      <c r="KVE243" s="334"/>
      <c r="KVF243" s="334"/>
      <c r="KVG243" s="334"/>
      <c r="KVH243" s="334"/>
      <c r="KVI243" s="334"/>
      <c r="KVJ243" s="334"/>
      <c r="KVK243" s="334"/>
      <c r="KVL243" s="334"/>
      <c r="KVM243" s="334"/>
      <c r="KVN243" s="334"/>
      <c r="KVO243" s="334"/>
      <c r="KVP243" s="334"/>
      <c r="KVQ243" s="334"/>
      <c r="KVR243" s="334"/>
      <c r="KVS243" s="334"/>
      <c r="KVT243" s="334"/>
      <c r="KVU243" s="334"/>
      <c r="KVV243" s="334"/>
      <c r="KVW243" s="334"/>
      <c r="KVX243" s="334"/>
      <c r="KVY243" s="334"/>
      <c r="KVZ243" s="334"/>
      <c r="KWA243" s="334"/>
      <c r="KWB243" s="334"/>
      <c r="KWC243" s="334"/>
      <c r="KWD243" s="334"/>
      <c r="KWE243" s="334"/>
      <c r="KWF243" s="334"/>
      <c r="KWG243" s="334"/>
      <c r="KWH243" s="334"/>
      <c r="KWI243" s="334"/>
      <c r="KWJ243" s="334"/>
      <c r="KWK243" s="334"/>
      <c r="KWL243" s="334"/>
      <c r="KWM243" s="334"/>
      <c r="KWN243" s="334"/>
      <c r="KWO243" s="334"/>
      <c r="KWP243" s="334"/>
      <c r="KWQ243" s="334"/>
      <c r="KWR243" s="334"/>
      <c r="KWS243" s="334"/>
      <c r="KWT243" s="334"/>
      <c r="KWU243" s="334"/>
      <c r="KWV243" s="334"/>
      <c r="KWW243" s="334"/>
      <c r="KWX243" s="334"/>
      <c r="KWY243" s="334"/>
      <c r="KWZ243" s="334"/>
      <c r="KXA243" s="334"/>
      <c r="KXB243" s="334"/>
      <c r="KXC243" s="334"/>
      <c r="KXD243" s="334"/>
      <c r="KXE243" s="334"/>
      <c r="KXF243" s="334"/>
      <c r="KXG243" s="334"/>
      <c r="KXH243" s="334"/>
      <c r="KXI243" s="334"/>
      <c r="KXJ243" s="334"/>
      <c r="KXK243" s="334"/>
      <c r="KXL243" s="334"/>
      <c r="KXM243" s="334"/>
      <c r="KXN243" s="334"/>
      <c r="KXO243" s="334"/>
      <c r="KXP243" s="334"/>
      <c r="KXQ243" s="334"/>
      <c r="KXR243" s="334"/>
      <c r="KXS243" s="334"/>
      <c r="KXT243" s="334"/>
      <c r="KXU243" s="334"/>
      <c r="KXV243" s="334"/>
      <c r="KXW243" s="334"/>
      <c r="KXX243" s="334"/>
      <c r="KXY243" s="334"/>
      <c r="KXZ243" s="334"/>
      <c r="KYA243" s="334"/>
      <c r="KYB243" s="334"/>
      <c r="KYC243" s="334"/>
      <c r="KYD243" s="334"/>
      <c r="KYE243" s="334"/>
      <c r="KYF243" s="334"/>
      <c r="KYG243" s="334"/>
      <c r="KYH243" s="334"/>
      <c r="KYI243" s="334"/>
      <c r="KYJ243" s="334"/>
      <c r="KYK243" s="334"/>
      <c r="KYL243" s="334"/>
      <c r="KYM243" s="334"/>
      <c r="KYN243" s="334"/>
      <c r="KYO243" s="334"/>
      <c r="KYP243" s="334"/>
      <c r="KYQ243" s="334"/>
      <c r="KYR243" s="334"/>
      <c r="KYS243" s="334"/>
      <c r="KYT243" s="334"/>
      <c r="KYU243" s="334"/>
      <c r="KYV243" s="334"/>
      <c r="KYW243" s="334"/>
      <c r="KYX243" s="334"/>
      <c r="KYY243" s="334"/>
      <c r="KYZ243" s="334"/>
      <c r="KZA243" s="334"/>
      <c r="KZB243" s="334"/>
      <c r="KZC243" s="334"/>
      <c r="KZD243" s="334"/>
      <c r="KZE243" s="334"/>
      <c r="KZF243" s="334"/>
      <c r="KZG243" s="334"/>
      <c r="KZH243" s="334"/>
      <c r="KZI243" s="334"/>
      <c r="KZJ243" s="334"/>
      <c r="KZK243" s="334"/>
      <c r="KZL243" s="334"/>
      <c r="KZM243" s="334"/>
      <c r="KZN243" s="334"/>
      <c r="KZO243" s="334"/>
      <c r="KZP243" s="334"/>
      <c r="KZQ243" s="334"/>
      <c r="KZR243" s="334"/>
      <c r="KZS243" s="334"/>
      <c r="KZT243" s="334"/>
      <c r="KZU243" s="334"/>
      <c r="KZV243" s="334"/>
      <c r="KZW243" s="334"/>
      <c r="KZX243" s="334"/>
      <c r="KZY243" s="334"/>
      <c r="KZZ243" s="334"/>
      <c r="LAA243" s="334"/>
      <c r="LAB243" s="334"/>
      <c r="LAC243" s="334"/>
      <c r="LAD243" s="334"/>
      <c r="LAE243" s="334"/>
      <c r="LAF243" s="334"/>
      <c r="LAG243" s="334"/>
      <c r="LAH243" s="334"/>
      <c r="LAI243" s="334"/>
      <c r="LAJ243" s="334"/>
      <c r="LAK243" s="334"/>
      <c r="LAL243" s="334"/>
      <c r="LAM243" s="334"/>
      <c r="LAN243" s="334"/>
      <c r="LAO243" s="334"/>
      <c r="LAP243" s="334"/>
      <c r="LAQ243" s="334"/>
      <c r="LAR243" s="334"/>
      <c r="LAS243" s="334"/>
      <c r="LAT243" s="334"/>
      <c r="LAU243" s="334"/>
      <c r="LAV243" s="334"/>
      <c r="LAW243" s="334"/>
      <c r="LAX243" s="334"/>
      <c r="LAY243" s="334"/>
      <c r="LAZ243" s="334"/>
      <c r="LBA243" s="334"/>
      <c r="LBB243" s="334"/>
      <c r="LBC243" s="334"/>
      <c r="LBD243" s="334"/>
      <c r="LBE243" s="334"/>
      <c r="LBF243" s="334"/>
      <c r="LBG243" s="334"/>
      <c r="LBH243" s="334"/>
      <c r="LBI243" s="334"/>
      <c r="LBJ243" s="334"/>
      <c r="LBK243" s="334"/>
      <c r="LBL243" s="334"/>
      <c r="LBM243" s="334"/>
      <c r="LBN243" s="334"/>
      <c r="LBO243" s="334"/>
      <c r="LBP243" s="334"/>
      <c r="LBQ243" s="334"/>
      <c r="LBR243" s="334"/>
      <c r="LBS243" s="334"/>
      <c r="LBT243" s="334"/>
      <c r="LBU243" s="334"/>
      <c r="LBV243" s="334"/>
      <c r="LBW243" s="334"/>
      <c r="LBX243" s="334"/>
      <c r="LBY243" s="334"/>
      <c r="LBZ243" s="334"/>
      <c r="LCA243" s="334"/>
      <c r="LCB243" s="334"/>
      <c r="LCC243" s="334"/>
      <c r="LCD243" s="334"/>
      <c r="LCE243" s="334"/>
      <c r="LCF243" s="334"/>
      <c r="LCG243" s="334"/>
      <c r="LCH243" s="334"/>
      <c r="LCI243" s="334"/>
      <c r="LCJ243" s="334"/>
      <c r="LCK243" s="334"/>
      <c r="LCL243" s="334"/>
      <c r="LCM243" s="334"/>
      <c r="LCN243" s="334"/>
      <c r="LCO243" s="334"/>
      <c r="LCP243" s="334"/>
      <c r="LCQ243" s="334"/>
      <c r="LCR243" s="334"/>
      <c r="LCS243" s="334"/>
      <c r="LCT243" s="334"/>
      <c r="LCU243" s="334"/>
      <c r="LCV243" s="334"/>
      <c r="LCW243" s="334"/>
      <c r="LCX243" s="334"/>
      <c r="LCY243" s="334"/>
      <c r="LCZ243" s="334"/>
      <c r="LDA243" s="334"/>
      <c r="LDB243" s="334"/>
      <c r="LDC243" s="334"/>
      <c r="LDD243" s="334"/>
      <c r="LDE243" s="334"/>
      <c r="LDF243" s="334"/>
      <c r="LDG243" s="334"/>
      <c r="LDH243" s="334"/>
      <c r="LDI243" s="334"/>
      <c r="LDJ243" s="334"/>
      <c r="LDK243" s="334"/>
      <c r="LDL243" s="334"/>
      <c r="LDM243" s="334"/>
      <c r="LDN243" s="334"/>
      <c r="LDO243" s="334"/>
      <c r="LDP243" s="334"/>
      <c r="LDQ243" s="334"/>
      <c r="LDR243" s="334"/>
      <c r="LDS243" s="334"/>
      <c r="LDT243" s="334"/>
      <c r="LDU243" s="334"/>
      <c r="LDV243" s="334"/>
      <c r="LDW243" s="334"/>
      <c r="LDX243" s="334"/>
      <c r="LDY243" s="334"/>
      <c r="LDZ243" s="334"/>
      <c r="LEA243" s="334"/>
      <c r="LEB243" s="334"/>
      <c r="LEC243" s="334"/>
      <c r="LED243" s="334"/>
      <c r="LEE243" s="334"/>
      <c r="LEF243" s="334"/>
      <c r="LEG243" s="334"/>
      <c r="LEH243" s="334"/>
      <c r="LEI243" s="334"/>
      <c r="LEJ243" s="334"/>
      <c r="LEK243" s="334"/>
      <c r="LEL243" s="334"/>
      <c r="LEM243" s="334"/>
      <c r="LEN243" s="334"/>
      <c r="LEO243" s="334"/>
      <c r="LEP243" s="334"/>
      <c r="LEQ243" s="334"/>
      <c r="LER243" s="334"/>
      <c r="LES243" s="334"/>
      <c r="LET243" s="334"/>
      <c r="LEU243" s="334"/>
      <c r="LEV243" s="334"/>
      <c r="LEW243" s="334"/>
      <c r="LEX243" s="334"/>
      <c r="LEY243" s="334"/>
      <c r="LEZ243" s="334"/>
      <c r="LFA243" s="334"/>
      <c r="LFB243" s="334"/>
      <c r="LFC243" s="334"/>
      <c r="LFD243" s="334"/>
      <c r="LFE243" s="334"/>
      <c r="LFF243" s="334"/>
      <c r="LFG243" s="334"/>
      <c r="LFH243" s="334"/>
      <c r="LFI243" s="334"/>
      <c r="LFJ243" s="334"/>
      <c r="LFK243" s="334"/>
      <c r="LFL243" s="334"/>
      <c r="LFM243" s="334"/>
      <c r="LFN243" s="334"/>
      <c r="LFO243" s="334"/>
      <c r="LFP243" s="334"/>
      <c r="LFQ243" s="334"/>
      <c r="LFR243" s="334"/>
      <c r="LFS243" s="334"/>
      <c r="LFT243" s="334"/>
      <c r="LFU243" s="334"/>
      <c r="LFV243" s="334"/>
      <c r="LFW243" s="334"/>
      <c r="LFX243" s="334"/>
      <c r="LFY243" s="334"/>
      <c r="LFZ243" s="334"/>
      <c r="LGA243" s="334"/>
      <c r="LGB243" s="334"/>
      <c r="LGC243" s="334"/>
      <c r="LGD243" s="334"/>
      <c r="LGE243" s="334"/>
      <c r="LGF243" s="334"/>
      <c r="LGG243" s="334"/>
      <c r="LGH243" s="334"/>
      <c r="LGI243" s="334"/>
      <c r="LGJ243" s="334"/>
      <c r="LGK243" s="334"/>
      <c r="LGL243" s="334"/>
      <c r="LGM243" s="334"/>
      <c r="LGN243" s="334"/>
      <c r="LGO243" s="334"/>
      <c r="LGP243" s="334"/>
      <c r="LGQ243" s="334"/>
      <c r="LGR243" s="334"/>
      <c r="LGS243" s="334"/>
      <c r="LGT243" s="334"/>
      <c r="LGU243" s="334"/>
      <c r="LGV243" s="334"/>
      <c r="LGW243" s="334"/>
      <c r="LGX243" s="334"/>
      <c r="LGY243" s="334"/>
      <c r="LGZ243" s="334"/>
      <c r="LHA243" s="334"/>
      <c r="LHB243" s="334"/>
      <c r="LHC243" s="334"/>
      <c r="LHD243" s="334"/>
      <c r="LHE243" s="334"/>
      <c r="LHF243" s="334"/>
      <c r="LHG243" s="334"/>
      <c r="LHH243" s="334"/>
      <c r="LHI243" s="334"/>
      <c r="LHJ243" s="334"/>
      <c r="LHK243" s="334"/>
      <c r="LHL243" s="334"/>
      <c r="LHM243" s="334"/>
      <c r="LHN243" s="334"/>
      <c r="LHO243" s="334"/>
      <c r="LHP243" s="334"/>
      <c r="LHQ243" s="334"/>
      <c r="LHR243" s="334"/>
      <c r="LHS243" s="334"/>
      <c r="LHT243" s="334"/>
      <c r="LHU243" s="334"/>
      <c r="LHV243" s="334"/>
      <c r="LHW243" s="334"/>
      <c r="LHX243" s="334"/>
      <c r="LHY243" s="334"/>
      <c r="LHZ243" s="334"/>
      <c r="LIA243" s="334"/>
      <c r="LIB243" s="334"/>
      <c r="LIC243" s="334"/>
      <c r="LID243" s="334"/>
      <c r="LIE243" s="334"/>
      <c r="LIF243" s="334"/>
      <c r="LIG243" s="334"/>
      <c r="LIH243" s="334"/>
      <c r="LII243" s="334"/>
      <c r="LIJ243" s="334"/>
      <c r="LIK243" s="334"/>
      <c r="LIL243" s="334"/>
      <c r="LIM243" s="334"/>
      <c r="LIN243" s="334"/>
      <c r="LIO243" s="334"/>
      <c r="LIP243" s="334"/>
      <c r="LIQ243" s="334"/>
      <c r="LIR243" s="334"/>
      <c r="LIS243" s="334"/>
      <c r="LIT243" s="334"/>
      <c r="LIU243" s="334"/>
      <c r="LIV243" s="334"/>
      <c r="LIW243" s="334"/>
      <c r="LIX243" s="334"/>
      <c r="LIY243" s="334"/>
      <c r="LIZ243" s="334"/>
      <c r="LJA243" s="334"/>
      <c r="LJB243" s="334"/>
      <c r="LJC243" s="334"/>
      <c r="LJD243" s="334"/>
      <c r="LJE243" s="334"/>
      <c r="LJF243" s="334"/>
      <c r="LJG243" s="334"/>
      <c r="LJH243" s="334"/>
      <c r="LJI243" s="334"/>
      <c r="LJJ243" s="334"/>
      <c r="LJK243" s="334"/>
      <c r="LJL243" s="334"/>
      <c r="LJM243" s="334"/>
      <c r="LJN243" s="334"/>
      <c r="LJO243" s="334"/>
      <c r="LJP243" s="334"/>
      <c r="LJQ243" s="334"/>
      <c r="LJR243" s="334"/>
      <c r="LJS243" s="334"/>
      <c r="LJT243" s="334"/>
      <c r="LJU243" s="334"/>
      <c r="LJV243" s="334"/>
      <c r="LJW243" s="334"/>
      <c r="LJX243" s="334"/>
      <c r="LJY243" s="334"/>
      <c r="LJZ243" s="334"/>
      <c r="LKA243" s="334"/>
      <c r="LKB243" s="334"/>
      <c r="LKC243" s="334"/>
      <c r="LKD243" s="334"/>
      <c r="LKE243" s="334"/>
      <c r="LKF243" s="334"/>
      <c r="LKG243" s="334"/>
      <c r="LKH243" s="334"/>
      <c r="LKI243" s="334"/>
      <c r="LKJ243" s="334"/>
      <c r="LKK243" s="334"/>
      <c r="LKL243" s="334"/>
      <c r="LKM243" s="334"/>
      <c r="LKN243" s="334"/>
      <c r="LKO243" s="334"/>
      <c r="LKP243" s="334"/>
      <c r="LKQ243" s="334"/>
      <c r="LKR243" s="334"/>
      <c r="LKS243" s="334"/>
      <c r="LKT243" s="334"/>
      <c r="LKU243" s="334"/>
      <c r="LKV243" s="334"/>
      <c r="LKW243" s="334"/>
      <c r="LKX243" s="334"/>
      <c r="LKY243" s="334"/>
      <c r="LKZ243" s="334"/>
      <c r="LLA243" s="334"/>
      <c r="LLB243" s="334"/>
      <c r="LLC243" s="334"/>
      <c r="LLD243" s="334"/>
      <c r="LLE243" s="334"/>
      <c r="LLF243" s="334"/>
      <c r="LLG243" s="334"/>
      <c r="LLH243" s="334"/>
      <c r="LLI243" s="334"/>
      <c r="LLJ243" s="334"/>
      <c r="LLK243" s="334"/>
      <c r="LLL243" s="334"/>
      <c r="LLM243" s="334"/>
      <c r="LLN243" s="334"/>
      <c r="LLO243" s="334"/>
      <c r="LLP243" s="334"/>
      <c r="LLQ243" s="334"/>
      <c r="LLR243" s="334"/>
      <c r="LLS243" s="334"/>
      <c r="LLT243" s="334"/>
      <c r="LLU243" s="334"/>
      <c r="LLV243" s="334"/>
      <c r="LLW243" s="334"/>
      <c r="LLX243" s="334"/>
      <c r="LLY243" s="334"/>
      <c r="LLZ243" s="334"/>
      <c r="LMA243" s="334"/>
      <c r="LMB243" s="334"/>
      <c r="LMC243" s="334"/>
      <c r="LMD243" s="334"/>
      <c r="LME243" s="334"/>
      <c r="LMF243" s="334"/>
      <c r="LMG243" s="334"/>
      <c r="LMH243" s="334"/>
      <c r="LMI243" s="334"/>
      <c r="LMJ243" s="334"/>
      <c r="LMK243" s="334"/>
      <c r="LML243" s="334"/>
      <c r="LMM243" s="334"/>
      <c r="LMN243" s="334"/>
      <c r="LMO243" s="334"/>
      <c r="LMP243" s="334"/>
      <c r="LMQ243" s="334"/>
      <c r="LMR243" s="334"/>
      <c r="LMS243" s="334"/>
      <c r="LMT243" s="334"/>
      <c r="LMU243" s="334"/>
      <c r="LMV243" s="334"/>
      <c r="LMW243" s="334"/>
      <c r="LMX243" s="334"/>
      <c r="LMY243" s="334"/>
      <c r="LMZ243" s="334"/>
      <c r="LNA243" s="334"/>
      <c r="LNB243" s="334"/>
      <c r="LNC243" s="334"/>
      <c r="LND243" s="334"/>
      <c r="LNE243" s="334"/>
      <c r="LNF243" s="334"/>
      <c r="LNG243" s="334"/>
      <c r="LNH243" s="334"/>
      <c r="LNI243" s="334"/>
      <c r="LNJ243" s="334"/>
      <c r="LNK243" s="334"/>
      <c r="LNL243" s="334"/>
      <c r="LNM243" s="334"/>
      <c r="LNN243" s="334"/>
      <c r="LNO243" s="334"/>
      <c r="LNP243" s="334"/>
      <c r="LNQ243" s="334"/>
      <c r="LNR243" s="334"/>
      <c r="LNS243" s="334"/>
      <c r="LNT243" s="334"/>
      <c r="LNU243" s="334"/>
      <c r="LNV243" s="334"/>
      <c r="LNW243" s="334"/>
      <c r="LNX243" s="334"/>
      <c r="LNY243" s="334"/>
      <c r="LNZ243" s="334"/>
      <c r="LOA243" s="334"/>
      <c r="LOB243" s="334"/>
      <c r="LOC243" s="334"/>
      <c r="LOD243" s="334"/>
      <c r="LOE243" s="334"/>
      <c r="LOF243" s="334"/>
      <c r="LOG243" s="334"/>
      <c r="LOH243" s="334"/>
      <c r="LOI243" s="334"/>
      <c r="LOJ243" s="334"/>
      <c r="LOK243" s="334"/>
      <c r="LOL243" s="334"/>
      <c r="LOM243" s="334"/>
      <c r="LON243" s="334"/>
      <c r="LOO243" s="334"/>
      <c r="LOP243" s="334"/>
      <c r="LOQ243" s="334"/>
      <c r="LOR243" s="334"/>
      <c r="LOS243" s="334"/>
      <c r="LOT243" s="334"/>
      <c r="LOU243" s="334"/>
      <c r="LOV243" s="334"/>
      <c r="LOW243" s="334"/>
      <c r="LOX243" s="334"/>
      <c r="LOY243" s="334"/>
      <c r="LOZ243" s="334"/>
      <c r="LPA243" s="334"/>
      <c r="LPB243" s="334"/>
      <c r="LPC243" s="334"/>
      <c r="LPD243" s="334"/>
      <c r="LPE243" s="334"/>
      <c r="LPF243" s="334"/>
      <c r="LPG243" s="334"/>
      <c r="LPH243" s="334"/>
      <c r="LPI243" s="334"/>
      <c r="LPJ243" s="334"/>
      <c r="LPK243" s="334"/>
      <c r="LPL243" s="334"/>
      <c r="LPM243" s="334"/>
      <c r="LPN243" s="334"/>
      <c r="LPO243" s="334"/>
      <c r="LPP243" s="334"/>
      <c r="LPQ243" s="334"/>
      <c r="LPR243" s="334"/>
      <c r="LPS243" s="334"/>
      <c r="LPT243" s="334"/>
      <c r="LPU243" s="334"/>
      <c r="LPV243" s="334"/>
      <c r="LPW243" s="334"/>
      <c r="LPX243" s="334"/>
      <c r="LPY243" s="334"/>
      <c r="LPZ243" s="334"/>
      <c r="LQA243" s="334"/>
      <c r="LQB243" s="334"/>
      <c r="LQC243" s="334"/>
      <c r="LQD243" s="334"/>
      <c r="LQE243" s="334"/>
      <c r="LQF243" s="334"/>
      <c r="LQG243" s="334"/>
      <c r="LQH243" s="334"/>
      <c r="LQI243" s="334"/>
      <c r="LQJ243" s="334"/>
      <c r="LQK243" s="334"/>
      <c r="LQL243" s="334"/>
      <c r="LQM243" s="334"/>
      <c r="LQN243" s="334"/>
      <c r="LQO243" s="334"/>
      <c r="LQP243" s="334"/>
      <c r="LQQ243" s="334"/>
      <c r="LQR243" s="334"/>
      <c r="LQS243" s="334"/>
      <c r="LQT243" s="334"/>
      <c r="LQU243" s="334"/>
      <c r="LQV243" s="334"/>
      <c r="LQW243" s="334"/>
      <c r="LQX243" s="334"/>
      <c r="LQY243" s="334"/>
      <c r="LQZ243" s="334"/>
      <c r="LRA243" s="334"/>
      <c r="LRB243" s="334"/>
      <c r="LRC243" s="334"/>
      <c r="LRD243" s="334"/>
      <c r="LRE243" s="334"/>
      <c r="LRF243" s="334"/>
      <c r="LRG243" s="334"/>
      <c r="LRH243" s="334"/>
      <c r="LRI243" s="334"/>
      <c r="LRJ243" s="334"/>
      <c r="LRK243" s="334"/>
      <c r="LRL243" s="334"/>
      <c r="LRM243" s="334"/>
      <c r="LRN243" s="334"/>
      <c r="LRO243" s="334"/>
      <c r="LRP243" s="334"/>
      <c r="LRQ243" s="334"/>
      <c r="LRR243" s="334"/>
      <c r="LRS243" s="334"/>
      <c r="LRT243" s="334"/>
      <c r="LRU243" s="334"/>
      <c r="LRV243" s="334"/>
      <c r="LRW243" s="334"/>
      <c r="LRX243" s="334"/>
      <c r="LRY243" s="334"/>
      <c r="LRZ243" s="334"/>
      <c r="LSA243" s="334"/>
      <c r="LSB243" s="334"/>
      <c r="LSC243" s="334"/>
      <c r="LSD243" s="334"/>
      <c r="LSE243" s="334"/>
      <c r="LSF243" s="334"/>
      <c r="LSG243" s="334"/>
      <c r="LSH243" s="334"/>
      <c r="LSI243" s="334"/>
      <c r="LSJ243" s="334"/>
      <c r="LSK243" s="334"/>
      <c r="LSL243" s="334"/>
      <c r="LSM243" s="334"/>
      <c r="LSN243" s="334"/>
      <c r="LSO243" s="334"/>
      <c r="LSP243" s="334"/>
      <c r="LSQ243" s="334"/>
      <c r="LSR243" s="334"/>
      <c r="LSS243" s="334"/>
      <c r="LST243" s="334"/>
      <c r="LSU243" s="334"/>
      <c r="LSV243" s="334"/>
      <c r="LSW243" s="334"/>
      <c r="LSX243" s="334"/>
      <c r="LSY243" s="334"/>
      <c r="LSZ243" s="334"/>
      <c r="LTA243" s="334"/>
      <c r="LTB243" s="334"/>
      <c r="LTC243" s="334"/>
      <c r="LTD243" s="334"/>
      <c r="LTE243" s="334"/>
      <c r="LTF243" s="334"/>
      <c r="LTG243" s="334"/>
      <c r="LTH243" s="334"/>
      <c r="LTI243" s="334"/>
      <c r="LTJ243" s="334"/>
      <c r="LTK243" s="334"/>
      <c r="LTL243" s="334"/>
      <c r="LTM243" s="334"/>
      <c r="LTN243" s="334"/>
      <c r="LTO243" s="334"/>
      <c r="LTP243" s="334"/>
      <c r="LTQ243" s="334"/>
      <c r="LTR243" s="334"/>
      <c r="LTS243" s="334"/>
      <c r="LTT243" s="334"/>
      <c r="LTU243" s="334"/>
      <c r="LTV243" s="334"/>
      <c r="LTW243" s="334"/>
      <c r="LTX243" s="334"/>
      <c r="LTY243" s="334"/>
      <c r="LTZ243" s="334"/>
      <c r="LUA243" s="334"/>
      <c r="LUB243" s="334"/>
      <c r="LUC243" s="334"/>
      <c r="LUD243" s="334"/>
      <c r="LUE243" s="334"/>
      <c r="LUF243" s="334"/>
      <c r="LUG243" s="334"/>
      <c r="LUH243" s="334"/>
      <c r="LUI243" s="334"/>
      <c r="LUJ243" s="334"/>
      <c r="LUK243" s="334"/>
      <c r="LUL243" s="334"/>
      <c r="LUM243" s="334"/>
      <c r="LUN243" s="334"/>
      <c r="LUO243" s="334"/>
      <c r="LUP243" s="334"/>
      <c r="LUQ243" s="334"/>
      <c r="LUR243" s="334"/>
      <c r="LUS243" s="334"/>
      <c r="LUT243" s="334"/>
      <c r="LUU243" s="334"/>
      <c r="LUV243" s="334"/>
      <c r="LUW243" s="334"/>
      <c r="LUX243" s="334"/>
      <c r="LUY243" s="334"/>
      <c r="LUZ243" s="334"/>
      <c r="LVA243" s="334"/>
      <c r="LVB243" s="334"/>
      <c r="LVC243" s="334"/>
      <c r="LVD243" s="334"/>
      <c r="LVE243" s="334"/>
      <c r="LVF243" s="334"/>
      <c r="LVG243" s="334"/>
      <c r="LVH243" s="334"/>
      <c r="LVI243" s="334"/>
      <c r="LVJ243" s="334"/>
      <c r="LVK243" s="334"/>
      <c r="LVL243" s="334"/>
      <c r="LVM243" s="334"/>
      <c r="LVN243" s="334"/>
      <c r="LVO243" s="334"/>
      <c r="LVP243" s="334"/>
      <c r="LVQ243" s="334"/>
      <c r="LVR243" s="334"/>
      <c r="LVS243" s="334"/>
      <c r="LVT243" s="334"/>
      <c r="LVU243" s="334"/>
      <c r="LVV243" s="334"/>
      <c r="LVW243" s="334"/>
      <c r="LVX243" s="334"/>
      <c r="LVY243" s="334"/>
      <c r="LVZ243" s="334"/>
      <c r="LWA243" s="334"/>
      <c r="LWB243" s="334"/>
      <c r="LWC243" s="334"/>
      <c r="LWD243" s="334"/>
      <c r="LWE243" s="334"/>
      <c r="LWF243" s="334"/>
      <c r="LWG243" s="334"/>
      <c r="LWH243" s="334"/>
      <c r="LWI243" s="334"/>
      <c r="LWJ243" s="334"/>
      <c r="LWK243" s="334"/>
      <c r="LWL243" s="334"/>
      <c r="LWM243" s="334"/>
      <c r="LWN243" s="334"/>
      <c r="LWO243" s="334"/>
      <c r="LWP243" s="334"/>
      <c r="LWQ243" s="334"/>
      <c r="LWR243" s="334"/>
      <c r="LWS243" s="334"/>
      <c r="LWT243" s="334"/>
      <c r="LWU243" s="334"/>
      <c r="LWV243" s="334"/>
      <c r="LWW243" s="334"/>
      <c r="LWX243" s="334"/>
      <c r="LWY243" s="334"/>
      <c r="LWZ243" s="334"/>
      <c r="LXA243" s="334"/>
      <c r="LXB243" s="334"/>
      <c r="LXC243" s="334"/>
      <c r="LXD243" s="334"/>
      <c r="LXE243" s="334"/>
      <c r="LXF243" s="334"/>
      <c r="LXG243" s="334"/>
      <c r="LXH243" s="334"/>
      <c r="LXI243" s="334"/>
      <c r="LXJ243" s="334"/>
      <c r="LXK243" s="334"/>
      <c r="LXL243" s="334"/>
      <c r="LXM243" s="334"/>
      <c r="LXN243" s="334"/>
      <c r="LXO243" s="334"/>
      <c r="LXP243" s="334"/>
      <c r="LXQ243" s="334"/>
      <c r="LXR243" s="334"/>
      <c r="LXS243" s="334"/>
      <c r="LXT243" s="334"/>
      <c r="LXU243" s="334"/>
      <c r="LXV243" s="334"/>
      <c r="LXW243" s="334"/>
      <c r="LXX243" s="334"/>
      <c r="LXY243" s="334"/>
      <c r="LXZ243" s="334"/>
      <c r="LYA243" s="334"/>
      <c r="LYB243" s="334"/>
      <c r="LYC243" s="334"/>
      <c r="LYD243" s="334"/>
      <c r="LYE243" s="334"/>
      <c r="LYF243" s="334"/>
      <c r="LYG243" s="334"/>
      <c r="LYH243" s="334"/>
      <c r="LYI243" s="334"/>
      <c r="LYJ243" s="334"/>
      <c r="LYK243" s="334"/>
      <c r="LYL243" s="334"/>
      <c r="LYM243" s="334"/>
      <c r="LYN243" s="334"/>
      <c r="LYO243" s="334"/>
      <c r="LYP243" s="334"/>
      <c r="LYQ243" s="334"/>
      <c r="LYR243" s="334"/>
      <c r="LYS243" s="334"/>
      <c r="LYT243" s="334"/>
      <c r="LYU243" s="334"/>
      <c r="LYV243" s="334"/>
      <c r="LYW243" s="334"/>
      <c r="LYX243" s="334"/>
      <c r="LYY243" s="334"/>
      <c r="LYZ243" s="334"/>
      <c r="LZA243" s="334"/>
      <c r="LZB243" s="334"/>
      <c r="LZC243" s="334"/>
      <c r="LZD243" s="334"/>
      <c r="LZE243" s="334"/>
      <c r="LZF243" s="334"/>
      <c r="LZG243" s="334"/>
      <c r="LZH243" s="334"/>
      <c r="LZI243" s="334"/>
      <c r="LZJ243" s="334"/>
      <c r="LZK243" s="334"/>
      <c r="LZL243" s="334"/>
      <c r="LZM243" s="334"/>
      <c r="LZN243" s="334"/>
      <c r="LZO243" s="334"/>
      <c r="LZP243" s="334"/>
      <c r="LZQ243" s="334"/>
      <c r="LZR243" s="334"/>
      <c r="LZS243" s="334"/>
      <c r="LZT243" s="334"/>
      <c r="LZU243" s="334"/>
      <c r="LZV243" s="334"/>
      <c r="LZW243" s="334"/>
      <c r="LZX243" s="334"/>
      <c r="LZY243" s="334"/>
      <c r="LZZ243" s="334"/>
      <c r="MAA243" s="334"/>
      <c r="MAB243" s="334"/>
      <c r="MAC243" s="334"/>
      <c r="MAD243" s="334"/>
      <c r="MAE243" s="334"/>
      <c r="MAF243" s="334"/>
      <c r="MAG243" s="334"/>
      <c r="MAH243" s="334"/>
      <c r="MAI243" s="334"/>
      <c r="MAJ243" s="334"/>
      <c r="MAK243" s="334"/>
      <c r="MAL243" s="334"/>
      <c r="MAM243" s="334"/>
      <c r="MAN243" s="334"/>
      <c r="MAO243" s="334"/>
      <c r="MAP243" s="334"/>
      <c r="MAQ243" s="334"/>
      <c r="MAR243" s="334"/>
      <c r="MAS243" s="334"/>
      <c r="MAT243" s="334"/>
      <c r="MAU243" s="334"/>
      <c r="MAV243" s="334"/>
      <c r="MAW243" s="334"/>
      <c r="MAX243" s="334"/>
      <c r="MAY243" s="334"/>
      <c r="MAZ243" s="334"/>
      <c r="MBA243" s="334"/>
      <c r="MBB243" s="334"/>
      <c r="MBC243" s="334"/>
      <c r="MBD243" s="334"/>
      <c r="MBE243" s="334"/>
      <c r="MBF243" s="334"/>
      <c r="MBG243" s="334"/>
      <c r="MBH243" s="334"/>
      <c r="MBI243" s="334"/>
      <c r="MBJ243" s="334"/>
      <c r="MBK243" s="334"/>
      <c r="MBL243" s="334"/>
      <c r="MBM243" s="334"/>
      <c r="MBN243" s="334"/>
      <c r="MBO243" s="334"/>
      <c r="MBP243" s="334"/>
      <c r="MBQ243" s="334"/>
      <c r="MBR243" s="334"/>
      <c r="MBS243" s="334"/>
      <c r="MBT243" s="334"/>
      <c r="MBU243" s="334"/>
      <c r="MBV243" s="334"/>
      <c r="MBW243" s="334"/>
      <c r="MBX243" s="334"/>
      <c r="MBY243" s="334"/>
      <c r="MBZ243" s="334"/>
      <c r="MCA243" s="334"/>
      <c r="MCB243" s="334"/>
      <c r="MCC243" s="334"/>
      <c r="MCD243" s="334"/>
      <c r="MCE243" s="334"/>
      <c r="MCF243" s="334"/>
      <c r="MCG243" s="334"/>
      <c r="MCH243" s="334"/>
      <c r="MCI243" s="334"/>
      <c r="MCJ243" s="334"/>
      <c r="MCK243" s="334"/>
      <c r="MCL243" s="334"/>
      <c r="MCM243" s="334"/>
      <c r="MCN243" s="334"/>
      <c r="MCO243" s="334"/>
      <c r="MCP243" s="334"/>
      <c r="MCQ243" s="334"/>
      <c r="MCR243" s="334"/>
      <c r="MCS243" s="334"/>
      <c r="MCT243" s="334"/>
      <c r="MCU243" s="334"/>
      <c r="MCV243" s="334"/>
      <c r="MCW243" s="334"/>
      <c r="MCX243" s="334"/>
      <c r="MCY243" s="334"/>
      <c r="MCZ243" s="334"/>
      <c r="MDA243" s="334"/>
      <c r="MDB243" s="334"/>
      <c r="MDC243" s="334"/>
      <c r="MDD243" s="334"/>
      <c r="MDE243" s="334"/>
      <c r="MDF243" s="334"/>
      <c r="MDG243" s="334"/>
      <c r="MDH243" s="334"/>
      <c r="MDI243" s="334"/>
      <c r="MDJ243" s="334"/>
      <c r="MDK243" s="334"/>
      <c r="MDL243" s="334"/>
      <c r="MDM243" s="334"/>
      <c r="MDN243" s="334"/>
      <c r="MDO243" s="334"/>
      <c r="MDP243" s="334"/>
      <c r="MDQ243" s="334"/>
      <c r="MDR243" s="334"/>
      <c r="MDS243" s="334"/>
      <c r="MDT243" s="334"/>
      <c r="MDU243" s="334"/>
      <c r="MDV243" s="334"/>
      <c r="MDW243" s="334"/>
      <c r="MDX243" s="334"/>
      <c r="MDY243" s="334"/>
      <c r="MDZ243" s="334"/>
      <c r="MEA243" s="334"/>
      <c r="MEB243" s="334"/>
      <c r="MEC243" s="334"/>
      <c r="MED243" s="334"/>
      <c r="MEE243" s="334"/>
      <c r="MEF243" s="334"/>
      <c r="MEG243" s="334"/>
      <c r="MEH243" s="334"/>
      <c r="MEI243" s="334"/>
      <c r="MEJ243" s="334"/>
      <c r="MEK243" s="334"/>
      <c r="MEL243" s="334"/>
      <c r="MEM243" s="334"/>
      <c r="MEN243" s="334"/>
      <c r="MEO243" s="334"/>
      <c r="MEP243" s="334"/>
      <c r="MEQ243" s="334"/>
      <c r="MER243" s="334"/>
      <c r="MES243" s="334"/>
      <c r="MET243" s="334"/>
      <c r="MEU243" s="334"/>
      <c r="MEV243" s="334"/>
      <c r="MEW243" s="334"/>
      <c r="MEX243" s="334"/>
      <c r="MEY243" s="334"/>
      <c r="MEZ243" s="334"/>
      <c r="MFA243" s="334"/>
      <c r="MFB243" s="334"/>
      <c r="MFC243" s="334"/>
      <c r="MFD243" s="334"/>
      <c r="MFE243" s="334"/>
      <c r="MFF243" s="334"/>
      <c r="MFG243" s="334"/>
      <c r="MFH243" s="334"/>
      <c r="MFI243" s="334"/>
      <c r="MFJ243" s="334"/>
      <c r="MFK243" s="334"/>
      <c r="MFL243" s="334"/>
      <c r="MFM243" s="334"/>
      <c r="MFN243" s="334"/>
      <c r="MFO243" s="334"/>
      <c r="MFP243" s="334"/>
      <c r="MFQ243" s="334"/>
      <c r="MFR243" s="334"/>
      <c r="MFS243" s="334"/>
      <c r="MFT243" s="334"/>
      <c r="MFU243" s="334"/>
      <c r="MFV243" s="334"/>
      <c r="MFW243" s="334"/>
      <c r="MFX243" s="334"/>
      <c r="MFY243" s="334"/>
      <c r="MFZ243" s="334"/>
      <c r="MGA243" s="334"/>
      <c r="MGB243" s="334"/>
      <c r="MGC243" s="334"/>
      <c r="MGD243" s="334"/>
      <c r="MGE243" s="334"/>
      <c r="MGF243" s="334"/>
      <c r="MGG243" s="334"/>
      <c r="MGH243" s="334"/>
      <c r="MGI243" s="334"/>
      <c r="MGJ243" s="334"/>
      <c r="MGK243" s="334"/>
      <c r="MGL243" s="334"/>
      <c r="MGM243" s="334"/>
      <c r="MGN243" s="334"/>
      <c r="MGO243" s="334"/>
      <c r="MGP243" s="334"/>
      <c r="MGQ243" s="334"/>
      <c r="MGR243" s="334"/>
      <c r="MGS243" s="334"/>
      <c r="MGT243" s="334"/>
      <c r="MGU243" s="334"/>
      <c r="MGV243" s="334"/>
      <c r="MGW243" s="334"/>
      <c r="MGX243" s="334"/>
      <c r="MGY243" s="334"/>
      <c r="MGZ243" s="334"/>
      <c r="MHA243" s="334"/>
      <c r="MHB243" s="334"/>
      <c r="MHC243" s="334"/>
      <c r="MHD243" s="334"/>
      <c r="MHE243" s="334"/>
      <c r="MHF243" s="334"/>
      <c r="MHG243" s="334"/>
      <c r="MHH243" s="334"/>
      <c r="MHI243" s="334"/>
      <c r="MHJ243" s="334"/>
      <c r="MHK243" s="334"/>
      <c r="MHL243" s="334"/>
      <c r="MHM243" s="334"/>
      <c r="MHN243" s="334"/>
      <c r="MHO243" s="334"/>
      <c r="MHP243" s="334"/>
      <c r="MHQ243" s="334"/>
      <c r="MHR243" s="334"/>
      <c r="MHS243" s="334"/>
      <c r="MHT243" s="334"/>
      <c r="MHU243" s="334"/>
      <c r="MHV243" s="334"/>
      <c r="MHW243" s="334"/>
      <c r="MHX243" s="334"/>
      <c r="MHY243" s="334"/>
      <c r="MHZ243" s="334"/>
      <c r="MIA243" s="334"/>
      <c r="MIB243" s="334"/>
      <c r="MIC243" s="334"/>
      <c r="MID243" s="334"/>
      <c r="MIE243" s="334"/>
      <c r="MIF243" s="334"/>
      <c r="MIG243" s="334"/>
      <c r="MIH243" s="334"/>
      <c r="MII243" s="334"/>
      <c r="MIJ243" s="334"/>
      <c r="MIK243" s="334"/>
      <c r="MIL243" s="334"/>
      <c r="MIM243" s="334"/>
      <c r="MIN243" s="334"/>
      <c r="MIO243" s="334"/>
      <c r="MIP243" s="334"/>
      <c r="MIQ243" s="334"/>
      <c r="MIR243" s="334"/>
      <c r="MIS243" s="334"/>
      <c r="MIT243" s="334"/>
      <c r="MIU243" s="334"/>
      <c r="MIV243" s="334"/>
      <c r="MIW243" s="334"/>
      <c r="MIX243" s="334"/>
      <c r="MIY243" s="334"/>
      <c r="MIZ243" s="334"/>
      <c r="MJA243" s="334"/>
      <c r="MJB243" s="334"/>
      <c r="MJC243" s="334"/>
      <c r="MJD243" s="334"/>
      <c r="MJE243" s="334"/>
      <c r="MJF243" s="334"/>
      <c r="MJG243" s="334"/>
      <c r="MJH243" s="334"/>
      <c r="MJI243" s="334"/>
      <c r="MJJ243" s="334"/>
      <c r="MJK243" s="334"/>
      <c r="MJL243" s="334"/>
      <c r="MJM243" s="334"/>
      <c r="MJN243" s="334"/>
      <c r="MJO243" s="334"/>
      <c r="MJP243" s="334"/>
      <c r="MJQ243" s="334"/>
      <c r="MJR243" s="334"/>
      <c r="MJS243" s="334"/>
      <c r="MJT243" s="334"/>
      <c r="MJU243" s="334"/>
      <c r="MJV243" s="334"/>
      <c r="MJW243" s="334"/>
      <c r="MJX243" s="334"/>
      <c r="MJY243" s="334"/>
      <c r="MJZ243" s="334"/>
      <c r="MKA243" s="334"/>
      <c r="MKB243" s="334"/>
      <c r="MKC243" s="334"/>
      <c r="MKD243" s="334"/>
      <c r="MKE243" s="334"/>
      <c r="MKF243" s="334"/>
      <c r="MKG243" s="334"/>
      <c r="MKH243" s="334"/>
      <c r="MKI243" s="334"/>
      <c r="MKJ243" s="334"/>
      <c r="MKK243" s="334"/>
      <c r="MKL243" s="334"/>
      <c r="MKM243" s="334"/>
      <c r="MKN243" s="334"/>
      <c r="MKO243" s="334"/>
      <c r="MKP243" s="334"/>
      <c r="MKQ243" s="334"/>
      <c r="MKR243" s="334"/>
      <c r="MKS243" s="334"/>
      <c r="MKT243" s="334"/>
      <c r="MKU243" s="334"/>
      <c r="MKV243" s="334"/>
      <c r="MKW243" s="334"/>
      <c r="MKX243" s="334"/>
      <c r="MKY243" s="334"/>
      <c r="MKZ243" s="334"/>
      <c r="MLA243" s="334"/>
      <c r="MLB243" s="334"/>
      <c r="MLC243" s="334"/>
      <c r="MLD243" s="334"/>
      <c r="MLE243" s="334"/>
      <c r="MLF243" s="334"/>
      <c r="MLG243" s="334"/>
      <c r="MLH243" s="334"/>
      <c r="MLI243" s="334"/>
      <c r="MLJ243" s="334"/>
      <c r="MLK243" s="334"/>
      <c r="MLL243" s="334"/>
      <c r="MLM243" s="334"/>
      <c r="MLN243" s="334"/>
      <c r="MLO243" s="334"/>
      <c r="MLP243" s="334"/>
      <c r="MLQ243" s="334"/>
      <c r="MLR243" s="334"/>
      <c r="MLS243" s="334"/>
      <c r="MLT243" s="334"/>
      <c r="MLU243" s="334"/>
      <c r="MLV243" s="334"/>
      <c r="MLW243" s="334"/>
      <c r="MLX243" s="334"/>
      <c r="MLY243" s="334"/>
      <c r="MLZ243" s="334"/>
      <c r="MMA243" s="334"/>
      <c r="MMB243" s="334"/>
      <c r="MMC243" s="334"/>
      <c r="MMD243" s="334"/>
      <c r="MME243" s="334"/>
      <c r="MMF243" s="334"/>
      <c r="MMG243" s="334"/>
      <c r="MMH243" s="334"/>
      <c r="MMI243" s="334"/>
      <c r="MMJ243" s="334"/>
      <c r="MMK243" s="334"/>
      <c r="MML243" s="334"/>
      <c r="MMM243" s="334"/>
      <c r="MMN243" s="334"/>
      <c r="MMO243" s="334"/>
      <c r="MMP243" s="334"/>
      <c r="MMQ243" s="334"/>
      <c r="MMR243" s="334"/>
      <c r="MMS243" s="334"/>
      <c r="MMT243" s="334"/>
      <c r="MMU243" s="334"/>
      <c r="MMV243" s="334"/>
      <c r="MMW243" s="334"/>
      <c r="MMX243" s="334"/>
      <c r="MMY243" s="334"/>
      <c r="MMZ243" s="334"/>
      <c r="MNA243" s="334"/>
      <c r="MNB243" s="334"/>
      <c r="MNC243" s="334"/>
      <c r="MND243" s="334"/>
      <c r="MNE243" s="334"/>
      <c r="MNF243" s="334"/>
      <c r="MNG243" s="334"/>
      <c r="MNH243" s="334"/>
      <c r="MNI243" s="334"/>
      <c r="MNJ243" s="334"/>
      <c r="MNK243" s="334"/>
      <c r="MNL243" s="334"/>
      <c r="MNM243" s="334"/>
      <c r="MNN243" s="334"/>
      <c r="MNO243" s="334"/>
      <c r="MNP243" s="334"/>
      <c r="MNQ243" s="334"/>
      <c r="MNR243" s="334"/>
      <c r="MNS243" s="334"/>
      <c r="MNT243" s="334"/>
      <c r="MNU243" s="334"/>
      <c r="MNV243" s="334"/>
      <c r="MNW243" s="334"/>
      <c r="MNX243" s="334"/>
      <c r="MNY243" s="334"/>
      <c r="MNZ243" s="334"/>
      <c r="MOA243" s="334"/>
      <c r="MOB243" s="334"/>
      <c r="MOC243" s="334"/>
      <c r="MOD243" s="334"/>
      <c r="MOE243" s="334"/>
      <c r="MOF243" s="334"/>
      <c r="MOG243" s="334"/>
      <c r="MOH243" s="334"/>
      <c r="MOI243" s="334"/>
      <c r="MOJ243" s="334"/>
      <c r="MOK243" s="334"/>
      <c r="MOL243" s="334"/>
      <c r="MOM243" s="334"/>
      <c r="MON243" s="334"/>
      <c r="MOO243" s="334"/>
      <c r="MOP243" s="334"/>
      <c r="MOQ243" s="334"/>
      <c r="MOR243" s="334"/>
      <c r="MOS243" s="334"/>
      <c r="MOT243" s="334"/>
      <c r="MOU243" s="334"/>
      <c r="MOV243" s="334"/>
      <c r="MOW243" s="334"/>
      <c r="MOX243" s="334"/>
      <c r="MOY243" s="334"/>
      <c r="MOZ243" s="334"/>
      <c r="MPA243" s="334"/>
      <c r="MPB243" s="334"/>
      <c r="MPC243" s="334"/>
      <c r="MPD243" s="334"/>
      <c r="MPE243" s="334"/>
      <c r="MPF243" s="334"/>
      <c r="MPG243" s="334"/>
      <c r="MPH243" s="334"/>
      <c r="MPI243" s="334"/>
      <c r="MPJ243" s="334"/>
      <c r="MPK243" s="334"/>
      <c r="MPL243" s="334"/>
      <c r="MPM243" s="334"/>
      <c r="MPN243" s="334"/>
      <c r="MPO243" s="334"/>
      <c r="MPP243" s="334"/>
      <c r="MPQ243" s="334"/>
      <c r="MPR243" s="334"/>
      <c r="MPS243" s="334"/>
      <c r="MPT243" s="334"/>
      <c r="MPU243" s="334"/>
      <c r="MPV243" s="334"/>
      <c r="MPW243" s="334"/>
      <c r="MPX243" s="334"/>
      <c r="MPY243" s="334"/>
      <c r="MPZ243" s="334"/>
      <c r="MQA243" s="334"/>
      <c r="MQB243" s="334"/>
      <c r="MQC243" s="334"/>
      <c r="MQD243" s="334"/>
      <c r="MQE243" s="334"/>
      <c r="MQF243" s="334"/>
      <c r="MQG243" s="334"/>
      <c r="MQH243" s="334"/>
      <c r="MQI243" s="334"/>
      <c r="MQJ243" s="334"/>
      <c r="MQK243" s="334"/>
      <c r="MQL243" s="334"/>
      <c r="MQM243" s="334"/>
      <c r="MQN243" s="334"/>
      <c r="MQO243" s="334"/>
      <c r="MQP243" s="334"/>
      <c r="MQQ243" s="334"/>
      <c r="MQR243" s="334"/>
      <c r="MQS243" s="334"/>
      <c r="MQT243" s="334"/>
      <c r="MQU243" s="334"/>
      <c r="MQV243" s="334"/>
      <c r="MQW243" s="334"/>
      <c r="MQX243" s="334"/>
      <c r="MQY243" s="334"/>
      <c r="MQZ243" s="334"/>
      <c r="MRA243" s="334"/>
      <c r="MRB243" s="334"/>
      <c r="MRC243" s="334"/>
      <c r="MRD243" s="334"/>
      <c r="MRE243" s="334"/>
      <c r="MRF243" s="334"/>
      <c r="MRG243" s="334"/>
      <c r="MRH243" s="334"/>
      <c r="MRI243" s="334"/>
      <c r="MRJ243" s="334"/>
      <c r="MRK243" s="334"/>
      <c r="MRL243" s="334"/>
      <c r="MRM243" s="334"/>
      <c r="MRN243" s="334"/>
      <c r="MRO243" s="334"/>
      <c r="MRP243" s="334"/>
      <c r="MRQ243" s="334"/>
      <c r="MRR243" s="334"/>
      <c r="MRS243" s="334"/>
      <c r="MRT243" s="334"/>
      <c r="MRU243" s="334"/>
      <c r="MRV243" s="334"/>
      <c r="MRW243" s="334"/>
      <c r="MRX243" s="334"/>
      <c r="MRY243" s="334"/>
      <c r="MRZ243" s="334"/>
      <c r="MSA243" s="334"/>
      <c r="MSB243" s="334"/>
      <c r="MSC243" s="334"/>
      <c r="MSD243" s="334"/>
      <c r="MSE243" s="334"/>
      <c r="MSF243" s="334"/>
      <c r="MSG243" s="334"/>
      <c r="MSH243" s="334"/>
      <c r="MSI243" s="334"/>
      <c r="MSJ243" s="334"/>
      <c r="MSK243" s="334"/>
      <c r="MSL243" s="334"/>
      <c r="MSM243" s="334"/>
      <c r="MSN243" s="334"/>
      <c r="MSO243" s="334"/>
      <c r="MSP243" s="334"/>
      <c r="MSQ243" s="334"/>
      <c r="MSR243" s="334"/>
      <c r="MSS243" s="334"/>
      <c r="MST243" s="334"/>
      <c r="MSU243" s="334"/>
      <c r="MSV243" s="334"/>
      <c r="MSW243" s="334"/>
      <c r="MSX243" s="334"/>
      <c r="MSY243" s="334"/>
      <c r="MSZ243" s="334"/>
      <c r="MTA243" s="334"/>
      <c r="MTB243" s="334"/>
      <c r="MTC243" s="334"/>
      <c r="MTD243" s="334"/>
      <c r="MTE243" s="334"/>
      <c r="MTF243" s="334"/>
      <c r="MTG243" s="334"/>
      <c r="MTH243" s="334"/>
      <c r="MTI243" s="334"/>
      <c r="MTJ243" s="334"/>
      <c r="MTK243" s="334"/>
      <c r="MTL243" s="334"/>
      <c r="MTM243" s="334"/>
      <c r="MTN243" s="334"/>
      <c r="MTO243" s="334"/>
      <c r="MTP243" s="334"/>
      <c r="MTQ243" s="334"/>
      <c r="MTR243" s="334"/>
      <c r="MTS243" s="334"/>
      <c r="MTT243" s="334"/>
      <c r="MTU243" s="334"/>
      <c r="MTV243" s="334"/>
      <c r="MTW243" s="334"/>
      <c r="MTX243" s="334"/>
      <c r="MTY243" s="334"/>
      <c r="MTZ243" s="334"/>
      <c r="MUA243" s="334"/>
      <c r="MUB243" s="334"/>
      <c r="MUC243" s="334"/>
      <c r="MUD243" s="334"/>
      <c r="MUE243" s="334"/>
      <c r="MUF243" s="334"/>
      <c r="MUG243" s="334"/>
      <c r="MUH243" s="334"/>
      <c r="MUI243" s="334"/>
      <c r="MUJ243" s="334"/>
      <c r="MUK243" s="334"/>
      <c r="MUL243" s="334"/>
      <c r="MUM243" s="334"/>
      <c r="MUN243" s="334"/>
      <c r="MUO243" s="334"/>
      <c r="MUP243" s="334"/>
      <c r="MUQ243" s="334"/>
      <c r="MUR243" s="334"/>
      <c r="MUS243" s="334"/>
      <c r="MUT243" s="334"/>
      <c r="MUU243" s="334"/>
      <c r="MUV243" s="334"/>
      <c r="MUW243" s="334"/>
      <c r="MUX243" s="334"/>
      <c r="MUY243" s="334"/>
      <c r="MUZ243" s="334"/>
      <c r="MVA243" s="334"/>
      <c r="MVB243" s="334"/>
      <c r="MVC243" s="334"/>
      <c r="MVD243" s="334"/>
      <c r="MVE243" s="334"/>
      <c r="MVF243" s="334"/>
      <c r="MVG243" s="334"/>
      <c r="MVH243" s="334"/>
      <c r="MVI243" s="334"/>
      <c r="MVJ243" s="334"/>
      <c r="MVK243" s="334"/>
      <c r="MVL243" s="334"/>
      <c r="MVM243" s="334"/>
      <c r="MVN243" s="334"/>
      <c r="MVO243" s="334"/>
      <c r="MVP243" s="334"/>
      <c r="MVQ243" s="334"/>
      <c r="MVR243" s="334"/>
      <c r="MVS243" s="334"/>
      <c r="MVT243" s="334"/>
      <c r="MVU243" s="334"/>
      <c r="MVV243" s="334"/>
      <c r="MVW243" s="334"/>
      <c r="MVX243" s="334"/>
      <c r="MVY243" s="334"/>
      <c r="MVZ243" s="334"/>
      <c r="MWA243" s="334"/>
      <c r="MWB243" s="334"/>
      <c r="MWC243" s="334"/>
      <c r="MWD243" s="334"/>
      <c r="MWE243" s="334"/>
      <c r="MWF243" s="334"/>
      <c r="MWG243" s="334"/>
      <c r="MWH243" s="334"/>
      <c r="MWI243" s="334"/>
      <c r="MWJ243" s="334"/>
      <c r="MWK243" s="334"/>
      <c r="MWL243" s="334"/>
      <c r="MWM243" s="334"/>
      <c r="MWN243" s="334"/>
      <c r="MWO243" s="334"/>
      <c r="MWP243" s="334"/>
      <c r="MWQ243" s="334"/>
      <c r="MWR243" s="334"/>
      <c r="MWS243" s="334"/>
      <c r="MWT243" s="334"/>
      <c r="MWU243" s="334"/>
      <c r="MWV243" s="334"/>
      <c r="MWW243" s="334"/>
      <c r="MWX243" s="334"/>
      <c r="MWY243" s="334"/>
      <c r="MWZ243" s="334"/>
      <c r="MXA243" s="334"/>
      <c r="MXB243" s="334"/>
      <c r="MXC243" s="334"/>
      <c r="MXD243" s="334"/>
      <c r="MXE243" s="334"/>
      <c r="MXF243" s="334"/>
      <c r="MXG243" s="334"/>
      <c r="MXH243" s="334"/>
      <c r="MXI243" s="334"/>
      <c r="MXJ243" s="334"/>
      <c r="MXK243" s="334"/>
      <c r="MXL243" s="334"/>
      <c r="MXM243" s="334"/>
      <c r="MXN243" s="334"/>
      <c r="MXO243" s="334"/>
      <c r="MXP243" s="334"/>
      <c r="MXQ243" s="334"/>
      <c r="MXR243" s="334"/>
      <c r="MXS243" s="334"/>
      <c r="MXT243" s="334"/>
      <c r="MXU243" s="334"/>
      <c r="MXV243" s="334"/>
      <c r="MXW243" s="334"/>
      <c r="MXX243" s="334"/>
      <c r="MXY243" s="334"/>
      <c r="MXZ243" s="334"/>
      <c r="MYA243" s="334"/>
      <c r="MYB243" s="334"/>
      <c r="MYC243" s="334"/>
      <c r="MYD243" s="334"/>
      <c r="MYE243" s="334"/>
      <c r="MYF243" s="334"/>
      <c r="MYG243" s="334"/>
      <c r="MYH243" s="334"/>
      <c r="MYI243" s="334"/>
      <c r="MYJ243" s="334"/>
      <c r="MYK243" s="334"/>
      <c r="MYL243" s="334"/>
      <c r="MYM243" s="334"/>
      <c r="MYN243" s="334"/>
      <c r="MYO243" s="334"/>
      <c r="MYP243" s="334"/>
      <c r="MYQ243" s="334"/>
      <c r="MYR243" s="334"/>
      <c r="MYS243" s="334"/>
      <c r="MYT243" s="334"/>
      <c r="MYU243" s="334"/>
      <c r="MYV243" s="334"/>
      <c r="MYW243" s="334"/>
      <c r="MYX243" s="334"/>
      <c r="MYY243" s="334"/>
      <c r="MYZ243" s="334"/>
      <c r="MZA243" s="334"/>
      <c r="MZB243" s="334"/>
      <c r="MZC243" s="334"/>
      <c r="MZD243" s="334"/>
      <c r="MZE243" s="334"/>
      <c r="MZF243" s="334"/>
      <c r="MZG243" s="334"/>
      <c r="MZH243" s="334"/>
      <c r="MZI243" s="334"/>
      <c r="MZJ243" s="334"/>
      <c r="MZK243" s="334"/>
      <c r="MZL243" s="334"/>
      <c r="MZM243" s="334"/>
      <c r="MZN243" s="334"/>
      <c r="MZO243" s="334"/>
      <c r="MZP243" s="334"/>
      <c r="MZQ243" s="334"/>
      <c r="MZR243" s="334"/>
      <c r="MZS243" s="334"/>
      <c r="MZT243" s="334"/>
      <c r="MZU243" s="334"/>
      <c r="MZV243" s="334"/>
      <c r="MZW243" s="334"/>
      <c r="MZX243" s="334"/>
      <c r="MZY243" s="334"/>
      <c r="MZZ243" s="334"/>
      <c r="NAA243" s="334"/>
      <c r="NAB243" s="334"/>
      <c r="NAC243" s="334"/>
      <c r="NAD243" s="334"/>
      <c r="NAE243" s="334"/>
      <c r="NAF243" s="334"/>
      <c r="NAG243" s="334"/>
      <c r="NAH243" s="334"/>
      <c r="NAI243" s="334"/>
      <c r="NAJ243" s="334"/>
      <c r="NAK243" s="334"/>
      <c r="NAL243" s="334"/>
      <c r="NAM243" s="334"/>
      <c r="NAN243" s="334"/>
      <c r="NAO243" s="334"/>
      <c r="NAP243" s="334"/>
      <c r="NAQ243" s="334"/>
      <c r="NAR243" s="334"/>
      <c r="NAS243" s="334"/>
      <c r="NAT243" s="334"/>
      <c r="NAU243" s="334"/>
      <c r="NAV243" s="334"/>
      <c r="NAW243" s="334"/>
      <c r="NAX243" s="334"/>
      <c r="NAY243" s="334"/>
      <c r="NAZ243" s="334"/>
      <c r="NBA243" s="334"/>
      <c r="NBB243" s="334"/>
      <c r="NBC243" s="334"/>
      <c r="NBD243" s="334"/>
      <c r="NBE243" s="334"/>
      <c r="NBF243" s="334"/>
      <c r="NBG243" s="334"/>
      <c r="NBH243" s="334"/>
      <c r="NBI243" s="334"/>
      <c r="NBJ243" s="334"/>
      <c r="NBK243" s="334"/>
      <c r="NBL243" s="334"/>
      <c r="NBM243" s="334"/>
      <c r="NBN243" s="334"/>
      <c r="NBO243" s="334"/>
      <c r="NBP243" s="334"/>
      <c r="NBQ243" s="334"/>
      <c r="NBR243" s="334"/>
      <c r="NBS243" s="334"/>
      <c r="NBT243" s="334"/>
      <c r="NBU243" s="334"/>
      <c r="NBV243" s="334"/>
      <c r="NBW243" s="334"/>
      <c r="NBX243" s="334"/>
      <c r="NBY243" s="334"/>
      <c r="NBZ243" s="334"/>
      <c r="NCA243" s="334"/>
      <c r="NCB243" s="334"/>
      <c r="NCC243" s="334"/>
      <c r="NCD243" s="334"/>
      <c r="NCE243" s="334"/>
      <c r="NCF243" s="334"/>
      <c r="NCG243" s="334"/>
      <c r="NCH243" s="334"/>
      <c r="NCI243" s="334"/>
      <c r="NCJ243" s="334"/>
      <c r="NCK243" s="334"/>
      <c r="NCL243" s="334"/>
      <c r="NCM243" s="334"/>
      <c r="NCN243" s="334"/>
      <c r="NCO243" s="334"/>
      <c r="NCP243" s="334"/>
      <c r="NCQ243" s="334"/>
      <c r="NCR243" s="334"/>
      <c r="NCS243" s="334"/>
      <c r="NCT243" s="334"/>
      <c r="NCU243" s="334"/>
      <c r="NCV243" s="334"/>
      <c r="NCW243" s="334"/>
      <c r="NCX243" s="334"/>
      <c r="NCY243" s="334"/>
      <c r="NCZ243" s="334"/>
      <c r="NDA243" s="334"/>
      <c r="NDB243" s="334"/>
      <c r="NDC243" s="334"/>
      <c r="NDD243" s="334"/>
      <c r="NDE243" s="334"/>
      <c r="NDF243" s="334"/>
      <c r="NDG243" s="334"/>
      <c r="NDH243" s="334"/>
      <c r="NDI243" s="334"/>
      <c r="NDJ243" s="334"/>
      <c r="NDK243" s="334"/>
      <c r="NDL243" s="334"/>
      <c r="NDM243" s="334"/>
      <c r="NDN243" s="334"/>
      <c r="NDO243" s="334"/>
      <c r="NDP243" s="334"/>
      <c r="NDQ243" s="334"/>
      <c r="NDR243" s="334"/>
      <c r="NDS243" s="334"/>
      <c r="NDT243" s="334"/>
      <c r="NDU243" s="334"/>
      <c r="NDV243" s="334"/>
      <c r="NDW243" s="334"/>
      <c r="NDX243" s="334"/>
      <c r="NDY243" s="334"/>
      <c r="NDZ243" s="334"/>
      <c r="NEA243" s="334"/>
      <c r="NEB243" s="334"/>
      <c r="NEC243" s="334"/>
      <c r="NED243" s="334"/>
      <c r="NEE243" s="334"/>
      <c r="NEF243" s="334"/>
      <c r="NEG243" s="334"/>
      <c r="NEH243" s="334"/>
      <c r="NEI243" s="334"/>
      <c r="NEJ243" s="334"/>
      <c r="NEK243" s="334"/>
      <c r="NEL243" s="334"/>
      <c r="NEM243" s="334"/>
      <c r="NEN243" s="334"/>
      <c r="NEO243" s="334"/>
      <c r="NEP243" s="334"/>
      <c r="NEQ243" s="334"/>
      <c r="NER243" s="334"/>
      <c r="NES243" s="334"/>
      <c r="NET243" s="334"/>
      <c r="NEU243" s="334"/>
      <c r="NEV243" s="334"/>
      <c r="NEW243" s="334"/>
      <c r="NEX243" s="334"/>
      <c r="NEY243" s="334"/>
      <c r="NEZ243" s="334"/>
      <c r="NFA243" s="334"/>
      <c r="NFB243" s="334"/>
      <c r="NFC243" s="334"/>
      <c r="NFD243" s="334"/>
      <c r="NFE243" s="334"/>
      <c r="NFF243" s="334"/>
      <c r="NFG243" s="334"/>
      <c r="NFH243" s="334"/>
      <c r="NFI243" s="334"/>
      <c r="NFJ243" s="334"/>
      <c r="NFK243" s="334"/>
      <c r="NFL243" s="334"/>
      <c r="NFM243" s="334"/>
      <c r="NFN243" s="334"/>
      <c r="NFO243" s="334"/>
      <c r="NFP243" s="334"/>
      <c r="NFQ243" s="334"/>
      <c r="NFR243" s="334"/>
      <c r="NFS243" s="334"/>
      <c r="NFT243" s="334"/>
      <c r="NFU243" s="334"/>
      <c r="NFV243" s="334"/>
      <c r="NFW243" s="334"/>
      <c r="NFX243" s="334"/>
      <c r="NFY243" s="334"/>
      <c r="NFZ243" s="334"/>
      <c r="NGA243" s="334"/>
      <c r="NGB243" s="334"/>
      <c r="NGC243" s="334"/>
      <c r="NGD243" s="334"/>
      <c r="NGE243" s="334"/>
      <c r="NGF243" s="334"/>
      <c r="NGG243" s="334"/>
      <c r="NGH243" s="334"/>
      <c r="NGI243" s="334"/>
      <c r="NGJ243" s="334"/>
      <c r="NGK243" s="334"/>
      <c r="NGL243" s="334"/>
      <c r="NGM243" s="334"/>
      <c r="NGN243" s="334"/>
      <c r="NGO243" s="334"/>
      <c r="NGP243" s="334"/>
      <c r="NGQ243" s="334"/>
      <c r="NGR243" s="334"/>
      <c r="NGS243" s="334"/>
      <c r="NGT243" s="334"/>
      <c r="NGU243" s="334"/>
      <c r="NGV243" s="334"/>
      <c r="NGW243" s="334"/>
      <c r="NGX243" s="334"/>
      <c r="NGY243" s="334"/>
      <c r="NGZ243" s="334"/>
      <c r="NHA243" s="334"/>
      <c r="NHB243" s="334"/>
      <c r="NHC243" s="334"/>
      <c r="NHD243" s="334"/>
      <c r="NHE243" s="334"/>
      <c r="NHF243" s="334"/>
      <c r="NHG243" s="334"/>
      <c r="NHH243" s="334"/>
      <c r="NHI243" s="334"/>
      <c r="NHJ243" s="334"/>
      <c r="NHK243" s="334"/>
      <c r="NHL243" s="334"/>
      <c r="NHM243" s="334"/>
      <c r="NHN243" s="334"/>
      <c r="NHO243" s="334"/>
      <c r="NHP243" s="334"/>
      <c r="NHQ243" s="334"/>
      <c r="NHR243" s="334"/>
      <c r="NHS243" s="334"/>
      <c r="NHT243" s="334"/>
      <c r="NHU243" s="334"/>
      <c r="NHV243" s="334"/>
      <c r="NHW243" s="334"/>
      <c r="NHX243" s="334"/>
      <c r="NHY243" s="334"/>
      <c r="NHZ243" s="334"/>
      <c r="NIA243" s="334"/>
      <c r="NIB243" s="334"/>
      <c r="NIC243" s="334"/>
      <c r="NID243" s="334"/>
      <c r="NIE243" s="334"/>
      <c r="NIF243" s="334"/>
      <c r="NIG243" s="334"/>
      <c r="NIH243" s="334"/>
      <c r="NII243" s="334"/>
      <c r="NIJ243" s="334"/>
      <c r="NIK243" s="334"/>
      <c r="NIL243" s="334"/>
      <c r="NIM243" s="334"/>
      <c r="NIN243" s="334"/>
      <c r="NIO243" s="334"/>
      <c r="NIP243" s="334"/>
      <c r="NIQ243" s="334"/>
      <c r="NIR243" s="334"/>
      <c r="NIS243" s="334"/>
      <c r="NIT243" s="334"/>
      <c r="NIU243" s="334"/>
      <c r="NIV243" s="334"/>
      <c r="NIW243" s="334"/>
      <c r="NIX243" s="334"/>
      <c r="NIY243" s="334"/>
      <c r="NIZ243" s="334"/>
      <c r="NJA243" s="334"/>
      <c r="NJB243" s="334"/>
      <c r="NJC243" s="334"/>
      <c r="NJD243" s="334"/>
      <c r="NJE243" s="334"/>
      <c r="NJF243" s="334"/>
      <c r="NJG243" s="334"/>
      <c r="NJH243" s="334"/>
      <c r="NJI243" s="334"/>
      <c r="NJJ243" s="334"/>
      <c r="NJK243" s="334"/>
      <c r="NJL243" s="334"/>
      <c r="NJM243" s="334"/>
      <c r="NJN243" s="334"/>
      <c r="NJO243" s="334"/>
      <c r="NJP243" s="334"/>
      <c r="NJQ243" s="334"/>
      <c r="NJR243" s="334"/>
      <c r="NJS243" s="334"/>
      <c r="NJT243" s="334"/>
      <c r="NJU243" s="334"/>
      <c r="NJV243" s="334"/>
      <c r="NJW243" s="334"/>
      <c r="NJX243" s="334"/>
      <c r="NJY243" s="334"/>
      <c r="NJZ243" s="334"/>
      <c r="NKA243" s="334"/>
      <c r="NKB243" s="334"/>
      <c r="NKC243" s="334"/>
      <c r="NKD243" s="334"/>
      <c r="NKE243" s="334"/>
      <c r="NKF243" s="334"/>
      <c r="NKG243" s="334"/>
      <c r="NKH243" s="334"/>
      <c r="NKI243" s="334"/>
      <c r="NKJ243" s="334"/>
      <c r="NKK243" s="334"/>
      <c r="NKL243" s="334"/>
      <c r="NKM243" s="334"/>
      <c r="NKN243" s="334"/>
      <c r="NKO243" s="334"/>
      <c r="NKP243" s="334"/>
      <c r="NKQ243" s="334"/>
      <c r="NKR243" s="334"/>
      <c r="NKS243" s="334"/>
      <c r="NKT243" s="334"/>
      <c r="NKU243" s="334"/>
      <c r="NKV243" s="334"/>
      <c r="NKW243" s="334"/>
      <c r="NKX243" s="334"/>
      <c r="NKY243" s="334"/>
      <c r="NKZ243" s="334"/>
      <c r="NLA243" s="334"/>
      <c r="NLB243" s="334"/>
      <c r="NLC243" s="334"/>
      <c r="NLD243" s="334"/>
      <c r="NLE243" s="334"/>
      <c r="NLF243" s="334"/>
      <c r="NLG243" s="334"/>
      <c r="NLH243" s="334"/>
      <c r="NLI243" s="334"/>
      <c r="NLJ243" s="334"/>
      <c r="NLK243" s="334"/>
      <c r="NLL243" s="334"/>
      <c r="NLM243" s="334"/>
      <c r="NLN243" s="334"/>
      <c r="NLO243" s="334"/>
      <c r="NLP243" s="334"/>
      <c r="NLQ243" s="334"/>
      <c r="NLR243" s="334"/>
      <c r="NLS243" s="334"/>
      <c r="NLT243" s="334"/>
      <c r="NLU243" s="334"/>
      <c r="NLV243" s="334"/>
      <c r="NLW243" s="334"/>
      <c r="NLX243" s="334"/>
      <c r="NLY243" s="334"/>
      <c r="NLZ243" s="334"/>
      <c r="NMA243" s="334"/>
      <c r="NMB243" s="334"/>
      <c r="NMC243" s="334"/>
      <c r="NMD243" s="334"/>
      <c r="NME243" s="334"/>
      <c r="NMF243" s="334"/>
      <c r="NMG243" s="334"/>
      <c r="NMH243" s="334"/>
      <c r="NMI243" s="334"/>
      <c r="NMJ243" s="334"/>
      <c r="NMK243" s="334"/>
      <c r="NML243" s="334"/>
      <c r="NMM243" s="334"/>
      <c r="NMN243" s="334"/>
      <c r="NMO243" s="334"/>
      <c r="NMP243" s="334"/>
      <c r="NMQ243" s="334"/>
      <c r="NMR243" s="334"/>
      <c r="NMS243" s="334"/>
      <c r="NMT243" s="334"/>
      <c r="NMU243" s="334"/>
      <c r="NMV243" s="334"/>
      <c r="NMW243" s="334"/>
      <c r="NMX243" s="334"/>
      <c r="NMY243" s="334"/>
      <c r="NMZ243" s="334"/>
      <c r="NNA243" s="334"/>
      <c r="NNB243" s="334"/>
      <c r="NNC243" s="334"/>
      <c r="NND243" s="334"/>
      <c r="NNE243" s="334"/>
      <c r="NNF243" s="334"/>
      <c r="NNG243" s="334"/>
      <c r="NNH243" s="334"/>
      <c r="NNI243" s="334"/>
      <c r="NNJ243" s="334"/>
      <c r="NNK243" s="334"/>
      <c r="NNL243" s="334"/>
      <c r="NNM243" s="334"/>
      <c r="NNN243" s="334"/>
      <c r="NNO243" s="334"/>
      <c r="NNP243" s="334"/>
      <c r="NNQ243" s="334"/>
      <c r="NNR243" s="334"/>
      <c r="NNS243" s="334"/>
      <c r="NNT243" s="334"/>
      <c r="NNU243" s="334"/>
      <c r="NNV243" s="334"/>
      <c r="NNW243" s="334"/>
      <c r="NNX243" s="334"/>
      <c r="NNY243" s="334"/>
      <c r="NNZ243" s="334"/>
      <c r="NOA243" s="334"/>
      <c r="NOB243" s="334"/>
      <c r="NOC243" s="334"/>
      <c r="NOD243" s="334"/>
      <c r="NOE243" s="334"/>
      <c r="NOF243" s="334"/>
      <c r="NOG243" s="334"/>
      <c r="NOH243" s="334"/>
      <c r="NOI243" s="334"/>
      <c r="NOJ243" s="334"/>
      <c r="NOK243" s="334"/>
      <c r="NOL243" s="334"/>
      <c r="NOM243" s="334"/>
      <c r="NON243" s="334"/>
      <c r="NOO243" s="334"/>
      <c r="NOP243" s="334"/>
      <c r="NOQ243" s="334"/>
      <c r="NOR243" s="334"/>
      <c r="NOS243" s="334"/>
      <c r="NOT243" s="334"/>
      <c r="NOU243" s="334"/>
      <c r="NOV243" s="334"/>
      <c r="NOW243" s="334"/>
      <c r="NOX243" s="334"/>
      <c r="NOY243" s="334"/>
      <c r="NOZ243" s="334"/>
      <c r="NPA243" s="334"/>
      <c r="NPB243" s="334"/>
      <c r="NPC243" s="334"/>
      <c r="NPD243" s="334"/>
      <c r="NPE243" s="334"/>
      <c r="NPF243" s="334"/>
      <c r="NPG243" s="334"/>
      <c r="NPH243" s="334"/>
      <c r="NPI243" s="334"/>
      <c r="NPJ243" s="334"/>
      <c r="NPK243" s="334"/>
      <c r="NPL243" s="334"/>
      <c r="NPM243" s="334"/>
      <c r="NPN243" s="334"/>
      <c r="NPO243" s="334"/>
      <c r="NPP243" s="334"/>
      <c r="NPQ243" s="334"/>
      <c r="NPR243" s="334"/>
      <c r="NPS243" s="334"/>
      <c r="NPT243" s="334"/>
      <c r="NPU243" s="334"/>
      <c r="NPV243" s="334"/>
      <c r="NPW243" s="334"/>
      <c r="NPX243" s="334"/>
      <c r="NPY243" s="334"/>
      <c r="NPZ243" s="334"/>
      <c r="NQA243" s="334"/>
      <c r="NQB243" s="334"/>
      <c r="NQC243" s="334"/>
      <c r="NQD243" s="334"/>
      <c r="NQE243" s="334"/>
      <c r="NQF243" s="334"/>
      <c r="NQG243" s="334"/>
      <c r="NQH243" s="334"/>
      <c r="NQI243" s="334"/>
      <c r="NQJ243" s="334"/>
      <c r="NQK243" s="334"/>
      <c r="NQL243" s="334"/>
      <c r="NQM243" s="334"/>
      <c r="NQN243" s="334"/>
      <c r="NQO243" s="334"/>
      <c r="NQP243" s="334"/>
      <c r="NQQ243" s="334"/>
      <c r="NQR243" s="334"/>
      <c r="NQS243" s="334"/>
      <c r="NQT243" s="334"/>
      <c r="NQU243" s="334"/>
      <c r="NQV243" s="334"/>
      <c r="NQW243" s="334"/>
      <c r="NQX243" s="334"/>
      <c r="NQY243" s="334"/>
      <c r="NQZ243" s="334"/>
      <c r="NRA243" s="334"/>
      <c r="NRB243" s="334"/>
      <c r="NRC243" s="334"/>
      <c r="NRD243" s="334"/>
      <c r="NRE243" s="334"/>
      <c r="NRF243" s="334"/>
      <c r="NRG243" s="334"/>
      <c r="NRH243" s="334"/>
      <c r="NRI243" s="334"/>
      <c r="NRJ243" s="334"/>
      <c r="NRK243" s="334"/>
      <c r="NRL243" s="334"/>
      <c r="NRM243" s="334"/>
      <c r="NRN243" s="334"/>
      <c r="NRO243" s="334"/>
      <c r="NRP243" s="334"/>
      <c r="NRQ243" s="334"/>
      <c r="NRR243" s="334"/>
      <c r="NRS243" s="334"/>
      <c r="NRT243" s="334"/>
      <c r="NRU243" s="334"/>
      <c r="NRV243" s="334"/>
      <c r="NRW243" s="334"/>
      <c r="NRX243" s="334"/>
      <c r="NRY243" s="334"/>
      <c r="NRZ243" s="334"/>
      <c r="NSA243" s="334"/>
      <c r="NSB243" s="334"/>
      <c r="NSC243" s="334"/>
      <c r="NSD243" s="334"/>
      <c r="NSE243" s="334"/>
      <c r="NSF243" s="334"/>
      <c r="NSG243" s="334"/>
      <c r="NSH243" s="334"/>
      <c r="NSI243" s="334"/>
      <c r="NSJ243" s="334"/>
      <c r="NSK243" s="334"/>
      <c r="NSL243" s="334"/>
      <c r="NSM243" s="334"/>
      <c r="NSN243" s="334"/>
      <c r="NSO243" s="334"/>
      <c r="NSP243" s="334"/>
      <c r="NSQ243" s="334"/>
      <c r="NSR243" s="334"/>
      <c r="NSS243" s="334"/>
      <c r="NST243" s="334"/>
      <c r="NSU243" s="334"/>
      <c r="NSV243" s="334"/>
      <c r="NSW243" s="334"/>
      <c r="NSX243" s="334"/>
      <c r="NSY243" s="334"/>
      <c r="NSZ243" s="334"/>
      <c r="NTA243" s="334"/>
      <c r="NTB243" s="334"/>
      <c r="NTC243" s="334"/>
      <c r="NTD243" s="334"/>
      <c r="NTE243" s="334"/>
      <c r="NTF243" s="334"/>
      <c r="NTG243" s="334"/>
      <c r="NTH243" s="334"/>
      <c r="NTI243" s="334"/>
      <c r="NTJ243" s="334"/>
      <c r="NTK243" s="334"/>
      <c r="NTL243" s="334"/>
      <c r="NTM243" s="334"/>
      <c r="NTN243" s="334"/>
      <c r="NTO243" s="334"/>
      <c r="NTP243" s="334"/>
      <c r="NTQ243" s="334"/>
      <c r="NTR243" s="334"/>
      <c r="NTS243" s="334"/>
      <c r="NTT243" s="334"/>
      <c r="NTU243" s="334"/>
      <c r="NTV243" s="334"/>
      <c r="NTW243" s="334"/>
      <c r="NTX243" s="334"/>
      <c r="NTY243" s="334"/>
      <c r="NTZ243" s="334"/>
      <c r="NUA243" s="334"/>
      <c r="NUB243" s="334"/>
      <c r="NUC243" s="334"/>
      <c r="NUD243" s="334"/>
      <c r="NUE243" s="334"/>
      <c r="NUF243" s="334"/>
      <c r="NUG243" s="334"/>
      <c r="NUH243" s="334"/>
      <c r="NUI243" s="334"/>
      <c r="NUJ243" s="334"/>
      <c r="NUK243" s="334"/>
      <c r="NUL243" s="334"/>
      <c r="NUM243" s="334"/>
      <c r="NUN243" s="334"/>
      <c r="NUO243" s="334"/>
      <c r="NUP243" s="334"/>
      <c r="NUQ243" s="334"/>
      <c r="NUR243" s="334"/>
      <c r="NUS243" s="334"/>
      <c r="NUT243" s="334"/>
      <c r="NUU243" s="334"/>
      <c r="NUV243" s="334"/>
      <c r="NUW243" s="334"/>
      <c r="NUX243" s="334"/>
      <c r="NUY243" s="334"/>
      <c r="NUZ243" s="334"/>
      <c r="NVA243" s="334"/>
      <c r="NVB243" s="334"/>
      <c r="NVC243" s="334"/>
      <c r="NVD243" s="334"/>
      <c r="NVE243" s="334"/>
      <c r="NVF243" s="334"/>
      <c r="NVG243" s="334"/>
      <c r="NVH243" s="334"/>
      <c r="NVI243" s="334"/>
      <c r="NVJ243" s="334"/>
      <c r="NVK243" s="334"/>
      <c r="NVL243" s="334"/>
      <c r="NVM243" s="334"/>
      <c r="NVN243" s="334"/>
      <c r="NVO243" s="334"/>
      <c r="NVP243" s="334"/>
      <c r="NVQ243" s="334"/>
      <c r="NVR243" s="334"/>
      <c r="NVS243" s="334"/>
      <c r="NVT243" s="334"/>
      <c r="NVU243" s="334"/>
      <c r="NVV243" s="334"/>
      <c r="NVW243" s="334"/>
      <c r="NVX243" s="334"/>
      <c r="NVY243" s="334"/>
      <c r="NVZ243" s="334"/>
      <c r="NWA243" s="334"/>
      <c r="NWB243" s="334"/>
      <c r="NWC243" s="334"/>
      <c r="NWD243" s="334"/>
      <c r="NWE243" s="334"/>
      <c r="NWF243" s="334"/>
      <c r="NWG243" s="334"/>
      <c r="NWH243" s="334"/>
      <c r="NWI243" s="334"/>
      <c r="NWJ243" s="334"/>
      <c r="NWK243" s="334"/>
      <c r="NWL243" s="334"/>
      <c r="NWM243" s="334"/>
      <c r="NWN243" s="334"/>
      <c r="NWO243" s="334"/>
      <c r="NWP243" s="334"/>
      <c r="NWQ243" s="334"/>
      <c r="NWR243" s="334"/>
      <c r="NWS243" s="334"/>
      <c r="NWT243" s="334"/>
      <c r="NWU243" s="334"/>
      <c r="NWV243" s="334"/>
      <c r="NWW243" s="334"/>
      <c r="NWX243" s="334"/>
      <c r="NWY243" s="334"/>
      <c r="NWZ243" s="334"/>
      <c r="NXA243" s="334"/>
      <c r="NXB243" s="334"/>
      <c r="NXC243" s="334"/>
      <c r="NXD243" s="334"/>
      <c r="NXE243" s="334"/>
      <c r="NXF243" s="334"/>
      <c r="NXG243" s="334"/>
      <c r="NXH243" s="334"/>
      <c r="NXI243" s="334"/>
      <c r="NXJ243" s="334"/>
      <c r="NXK243" s="334"/>
      <c r="NXL243" s="334"/>
      <c r="NXM243" s="334"/>
      <c r="NXN243" s="334"/>
      <c r="NXO243" s="334"/>
      <c r="NXP243" s="334"/>
      <c r="NXQ243" s="334"/>
      <c r="NXR243" s="334"/>
      <c r="NXS243" s="334"/>
      <c r="NXT243" s="334"/>
      <c r="NXU243" s="334"/>
      <c r="NXV243" s="334"/>
      <c r="NXW243" s="334"/>
      <c r="NXX243" s="334"/>
      <c r="NXY243" s="334"/>
      <c r="NXZ243" s="334"/>
      <c r="NYA243" s="334"/>
      <c r="NYB243" s="334"/>
      <c r="NYC243" s="334"/>
      <c r="NYD243" s="334"/>
      <c r="NYE243" s="334"/>
      <c r="NYF243" s="334"/>
      <c r="NYG243" s="334"/>
      <c r="NYH243" s="334"/>
      <c r="NYI243" s="334"/>
      <c r="NYJ243" s="334"/>
      <c r="NYK243" s="334"/>
      <c r="NYL243" s="334"/>
      <c r="NYM243" s="334"/>
      <c r="NYN243" s="334"/>
      <c r="NYO243" s="334"/>
      <c r="NYP243" s="334"/>
      <c r="NYQ243" s="334"/>
      <c r="NYR243" s="334"/>
      <c r="NYS243" s="334"/>
      <c r="NYT243" s="334"/>
      <c r="NYU243" s="334"/>
      <c r="NYV243" s="334"/>
      <c r="NYW243" s="334"/>
      <c r="NYX243" s="334"/>
      <c r="NYY243" s="334"/>
      <c r="NYZ243" s="334"/>
      <c r="NZA243" s="334"/>
      <c r="NZB243" s="334"/>
      <c r="NZC243" s="334"/>
      <c r="NZD243" s="334"/>
      <c r="NZE243" s="334"/>
      <c r="NZF243" s="334"/>
      <c r="NZG243" s="334"/>
      <c r="NZH243" s="334"/>
      <c r="NZI243" s="334"/>
      <c r="NZJ243" s="334"/>
      <c r="NZK243" s="334"/>
      <c r="NZL243" s="334"/>
      <c r="NZM243" s="334"/>
      <c r="NZN243" s="334"/>
      <c r="NZO243" s="334"/>
      <c r="NZP243" s="334"/>
      <c r="NZQ243" s="334"/>
      <c r="NZR243" s="334"/>
      <c r="NZS243" s="334"/>
      <c r="NZT243" s="334"/>
      <c r="NZU243" s="334"/>
      <c r="NZV243" s="334"/>
      <c r="NZW243" s="334"/>
      <c r="NZX243" s="334"/>
      <c r="NZY243" s="334"/>
      <c r="NZZ243" s="334"/>
      <c r="OAA243" s="334"/>
      <c r="OAB243" s="334"/>
      <c r="OAC243" s="334"/>
      <c r="OAD243" s="334"/>
      <c r="OAE243" s="334"/>
      <c r="OAF243" s="334"/>
      <c r="OAG243" s="334"/>
      <c r="OAH243" s="334"/>
      <c r="OAI243" s="334"/>
      <c r="OAJ243" s="334"/>
      <c r="OAK243" s="334"/>
      <c r="OAL243" s="334"/>
      <c r="OAM243" s="334"/>
      <c r="OAN243" s="334"/>
      <c r="OAO243" s="334"/>
      <c r="OAP243" s="334"/>
      <c r="OAQ243" s="334"/>
      <c r="OAR243" s="334"/>
      <c r="OAS243" s="334"/>
      <c r="OAT243" s="334"/>
      <c r="OAU243" s="334"/>
      <c r="OAV243" s="334"/>
      <c r="OAW243" s="334"/>
      <c r="OAX243" s="334"/>
      <c r="OAY243" s="334"/>
      <c r="OAZ243" s="334"/>
      <c r="OBA243" s="334"/>
      <c r="OBB243" s="334"/>
      <c r="OBC243" s="334"/>
      <c r="OBD243" s="334"/>
      <c r="OBE243" s="334"/>
      <c r="OBF243" s="334"/>
      <c r="OBG243" s="334"/>
      <c r="OBH243" s="334"/>
      <c r="OBI243" s="334"/>
      <c r="OBJ243" s="334"/>
      <c r="OBK243" s="334"/>
      <c r="OBL243" s="334"/>
      <c r="OBM243" s="334"/>
      <c r="OBN243" s="334"/>
      <c r="OBO243" s="334"/>
      <c r="OBP243" s="334"/>
      <c r="OBQ243" s="334"/>
      <c r="OBR243" s="334"/>
      <c r="OBS243" s="334"/>
      <c r="OBT243" s="334"/>
      <c r="OBU243" s="334"/>
      <c r="OBV243" s="334"/>
      <c r="OBW243" s="334"/>
      <c r="OBX243" s="334"/>
      <c r="OBY243" s="334"/>
      <c r="OBZ243" s="334"/>
      <c r="OCA243" s="334"/>
      <c r="OCB243" s="334"/>
      <c r="OCC243" s="334"/>
      <c r="OCD243" s="334"/>
      <c r="OCE243" s="334"/>
      <c r="OCF243" s="334"/>
      <c r="OCG243" s="334"/>
      <c r="OCH243" s="334"/>
      <c r="OCI243" s="334"/>
      <c r="OCJ243" s="334"/>
      <c r="OCK243" s="334"/>
      <c r="OCL243" s="334"/>
      <c r="OCM243" s="334"/>
      <c r="OCN243" s="334"/>
      <c r="OCO243" s="334"/>
      <c r="OCP243" s="334"/>
      <c r="OCQ243" s="334"/>
      <c r="OCR243" s="334"/>
      <c r="OCS243" s="334"/>
      <c r="OCT243" s="334"/>
      <c r="OCU243" s="334"/>
      <c r="OCV243" s="334"/>
      <c r="OCW243" s="334"/>
      <c r="OCX243" s="334"/>
      <c r="OCY243" s="334"/>
      <c r="OCZ243" s="334"/>
      <c r="ODA243" s="334"/>
      <c r="ODB243" s="334"/>
      <c r="ODC243" s="334"/>
      <c r="ODD243" s="334"/>
      <c r="ODE243" s="334"/>
      <c r="ODF243" s="334"/>
      <c r="ODG243" s="334"/>
      <c r="ODH243" s="334"/>
      <c r="ODI243" s="334"/>
      <c r="ODJ243" s="334"/>
      <c r="ODK243" s="334"/>
      <c r="ODL243" s="334"/>
      <c r="ODM243" s="334"/>
      <c r="ODN243" s="334"/>
      <c r="ODO243" s="334"/>
      <c r="ODP243" s="334"/>
      <c r="ODQ243" s="334"/>
      <c r="ODR243" s="334"/>
      <c r="ODS243" s="334"/>
      <c r="ODT243" s="334"/>
      <c r="ODU243" s="334"/>
      <c r="ODV243" s="334"/>
      <c r="ODW243" s="334"/>
      <c r="ODX243" s="334"/>
      <c r="ODY243" s="334"/>
      <c r="ODZ243" s="334"/>
      <c r="OEA243" s="334"/>
      <c r="OEB243" s="334"/>
      <c r="OEC243" s="334"/>
      <c r="OED243" s="334"/>
      <c r="OEE243" s="334"/>
      <c r="OEF243" s="334"/>
      <c r="OEG243" s="334"/>
      <c r="OEH243" s="334"/>
      <c r="OEI243" s="334"/>
      <c r="OEJ243" s="334"/>
      <c r="OEK243" s="334"/>
      <c r="OEL243" s="334"/>
      <c r="OEM243" s="334"/>
      <c r="OEN243" s="334"/>
      <c r="OEO243" s="334"/>
      <c r="OEP243" s="334"/>
      <c r="OEQ243" s="334"/>
      <c r="OER243" s="334"/>
      <c r="OES243" s="334"/>
      <c r="OET243" s="334"/>
      <c r="OEU243" s="334"/>
      <c r="OEV243" s="334"/>
      <c r="OEW243" s="334"/>
      <c r="OEX243" s="334"/>
      <c r="OEY243" s="334"/>
      <c r="OEZ243" s="334"/>
      <c r="OFA243" s="334"/>
      <c r="OFB243" s="334"/>
      <c r="OFC243" s="334"/>
      <c r="OFD243" s="334"/>
      <c r="OFE243" s="334"/>
      <c r="OFF243" s="334"/>
      <c r="OFG243" s="334"/>
      <c r="OFH243" s="334"/>
      <c r="OFI243" s="334"/>
      <c r="OFJ243" s="334"/>
      <c r="OFK243" s="334"/>
      <c r="OFL243" s="334"/>
      <c r="OFM243" s="334"/>
      <c r="OFN243" s="334"/>
      <c r="OFO243" s="334"/>
      <c r="OFP243" s="334"/>
      <c r="OFQ243" s="334"/>
      <c r="OFR243" s="334"/>
      <c r="OFS243" s="334"/>
      <c r="OFT243" s="334"/>
      <c r="OFU243" s="334"/>
      <c r="OFV243" s="334"/>
      <c r="OFW243" s="334"/>
      <c r="OFX243" s="334"/>
      <c r="OFY243" s="334"/>
      <c r="OFZ243" s="334"/>
      <c r="OGA243" s="334"/>
      <c r="OGB243" s="334"/>
      <c r="OGC243" s="334"/>
      <c r="OGD243" s="334"/>
      <c r="OGE243" s="334"/>
      <c r="OGF243" s="334"/>
      <c r="OGG243" s="334"/>
      <c r="OGH243" s="334"/>
      <c r="OGI243" s="334"/>
      <c r="OGJ243" s="334"/>
      <c r="OGK243" s="334"/>
      <c r="OGL243" s="334"/>
      <c r="OGM243" s="334"/>
      <c r="OGN243" s="334"/>
      <c r="OGO243" s="334"/>
      <c r="OGP243" s="334"/>
      <c r="OGQ243" s="334"/>
      <c r="OGR243" s="334"/>
      <c r="OGS243" s="334"/>
      <c r="OGT243" s="334"/>
      <c r="OGU243" s="334"/>
      <c r="OGV243" s="334"/>
      <c r="OGW243" s="334"/>
      <c r="OGX243" s="334"/>
      <c r="OGY243" s="334"/>
      <c r="OGZ243" s="334"/>
      <c r="OHA243" s="334"/>
      <c r="OHB243" s="334"/>
      <c r="OHC243" s="334"/>
      <c r="OHD243" s="334"/>
      <c r="OHE243" s="334"/>
      <c r="OHF243" s="334"/>
      <c r="OHG243" s="334"/>
      <c r="OHH243" s="334"/>
      <c r="OHI243" s="334"/>
      <c r="OHJ243" s="334"/>
      <c r="OHK243" s="334"/>
      <c r="OHL243" s="334"/>
      <c r="OHM243" s="334"/>
      <c r="OHN243" s="334"/>
      <c r="OHO243" s="334"/>
      <c r="OHP243" s="334"/>
      <c r="OHQ243" s="334"/>
      <c r="OHR243" s="334"/>
      <c r="OHS243" s="334"/>
      <c r="OHT243" s="334"/>
      <c r="OHU243" s="334"/>
      <c r="OHV243" s="334"/>
      <c r="OHW243" s="334"/>
      <c r="OHX243" s="334"/>
      <c r="OHY243" s="334"/>
      <c r="OHZ243" s="334"/>
      <c r="OIA243" s="334"/>
      <c r="OIB243" s="334"/>
      <c r="OIC243" s="334"/>
      <c r="OID243" s="334"/>
      <c r="OIE243" s="334"/>
      <c r="OIF243" s="334"/>
      <c r="OIG243" s="334"/>
      <c r="OIH243" s="334"/>
      <c r="OII243" s="334"/>
      <c r="OIJ243" s="334"/>
      <c r="OIK243" s="334"/>
      <c r="OIL243" s="334"/>
      <c r="OIM243" s="334"/>
      <c r="OIN243" s="334"/>
      <c r="OIO243" s="334"/>
      <c r="OIP243" s="334"/>
      <c r="OIQ243" s="334"/>
      <c r="OIR243" s="334"/>
      <c r="OIS243" s="334"/>
      <c r="OIT243" s="334"/>
      <c r="OIU243" s="334"/>
      <c r="OIV243" s="334"/>
      <c r="OIW243" s="334"/>
      <c r="OIX243" s="334"/>
      <c r="OIY243" s="334"/>
      <c r="OIZ243" s="334"/>
      <c r="OJA243" s="334"/>
      <c r="OJB243" s="334"/>
      <c r="OJC243" s="334"/>
      <c r="OJD243" s="334"/>
      <c r="OJE243" s="334"/>
      <c r="OJF243" s="334"/>
      <c r="OJG243" s="334"/>
      <c r="OJH243" s="334"/>
      <c r="OJI243" s="334"/>
      <c r="OJJ243" s="334"/>
      <c r="OJK243" s="334"/>
      <c r="OJL243" s="334"/>
      <c r="OJM243" s="334"/>
      <c r="OJN243" s="334"/>
      <c r="OJO243" s="334"/>
      <c r="OJP243" s="334"/>
      <c r="OJQ243" s="334"/>
      <c r="OJR243" s="334"/>
      <c r="OJS243" s="334"/>
      <c r="OJT243" s="334"/>
      <c r="OJU243" s="334"/>
      <c r="OJV243" s="334"/>
      <c r="OJW243" s="334"/>
      <c r="OJX243" s="334"/>
      <c r="OJY243" s="334"/>
      <c r="OJZ243" s="334"/>
      <c r="OKA243" s="334"/>
      <c r="OKB243" s="334"/>
      <c r="OKC243" s="334"/>
      <c r="OKD243" s="334"/>
      <c r="OKE243" s="334"/>
      <c r="OKF243" s="334"/>
      <c r="OKG243" s="334"/>
      <c r="OKH243" s="334"/>
      <c r="OKI243" s="334"/>
      <c r="OKJ243" s="334"/>
      <c r="OKK243" s="334"/>
      <c r="OKL243" s="334"/>
      <c r="OKM243" s="334"/>
      <c r="OKN243" s="334"/>
      <c r="OKO243" s="334"/>
      <c r="OKP243" s="334"/>
      <c r="OKQ243" s="334"/>
      <c r="OKR243" s="334"/>
      <c r="OKS243" s="334"/>
      <c r="OKT243" s="334"/>
      <c r="OKU243" s="334"/>
      <c r="OKV243" s="334"/>
      <c r="OKW243" s="334"/>
      <c r="OKX243" s="334"/>
      <c r="OKY243" s="334"/>
      <c r="OKZ243" s="334"/>
      <c r="OLA243" s="334"/>
      <c r="OLB243" s="334"/>
      <c r="OLC243" s="334"/>
      <c r="OLD243" s="334"/>
      <c r="OLE243" s="334"/>
      <c r="OLF243" s="334"/>
      <c r="OLG243" s="334"/>
      <c r="OLH243" s="334"/>
      <c r="OLI243" s="334"/>
      <c r="OLJ243" s="334"/>
      <c r="OLK243" s="334"/>
      <c r="OLL243" s="334"/>
      <c r="OLM243" s="334"/>
      <c r="OLN243" s="334"/>
      <c r="OLO243" s="334"/>
      <c r="OLP243" s="334"/>
      <c r="OLQ243" s="334"/>
      <c r="OLR243" s="334"/>
      <c r="OLS243" s="334"/>
      <c r="OLT243" s="334"/>
      <c r="OLU243" s="334"/>
      <c r="OLV243" s="334"/>
      <c r="OLW243" s="334"/>
      <c r="OLX243" s="334"/>
      <c r="OLY243" s="334"/>
      <c r="OLZ243" s="334"/>
      <c r="OMA243" s="334"/>
      <c r="OMB243" s="334"/>
      <c r="OMC243" s="334"/>
      <c r="OMD243" s="334"/>
      <c r="OME243" s="334"/>
      <c r="OMF243" s="334"/>
      <c r="OMG243" s="334"/>
      <c r="OMH243" s="334"/>
      <c r="OMI243" s="334"/>
      <c r="OMJ243" s="334"/>
      <c r="OMK243" s="334"/>
      <c r="OML243" s="334"/>
      <c r="OMM243" s="334"/>
      <c r="OMN243" s="334"/>
      <c r="OMO243" s="334"/>
      <c r="OMP243" s="334"/>
      <c r="OMQ243" s="334"/>
      <c r="OMR243" s="334"/>
      <c r="OMS243" s="334"/>
      <c r="OMT243" s="334"/>
      <c r="OMU243" s="334"/>
      <c r="OMV243" s="334"/>
      <c r="OMW243" s="334"/>
      <c r="OMX243" s="334"/>
      <c r="OMY243" s="334"/>
      <c r="OMZ243" s="334"/>
      <c r="ONA243" s="334"/>
      <c r="ONB243" s="334"/>
      <c r="ONC243" s="334"/>
      <c r="OND243" s="334"/>
      <c r="ONE243" s="334"/>
      <c r="ONF243" s="334"/>
      <c r="ONG243" s="334"/>
      <c r="ONH243" s="334"/>
      <c r="ONI243" s="334"/>
      <c r="ONJ243" s="334"/>
      <c r="ONK243" s="334"/>
      <c r="ONL243" s="334"/>
      <c r="ONM243" s="334"/>
      <c r="ONN243" s="334"/>
      <c r="ONO243" s="334"/>
      <c r="ONP243" s="334"/>
      <c r="ONQ243" s="334"/>
      <c r="ONR243" s="334"/>
      <c r="ONS243" s="334"/>
      <c r="ONT243" s="334"/>
      <c r="ONU243" s="334"/>
      <c r="ONV243" s="334"/>
      <c r="ONW243" s="334"/>
      <c r="ONX243" s="334"/>
      <c r="ONY243" s="334"/>
      <c r="ONZ243" s="334"/>
      <c r="OOA243" s="334"/>
      <c r="OOB243" s="334"/>
      <c r="OOC243" s="334"/>
      <c r="OOD243" s="334"/>
      <c r="OOE243" s="334"/>
      <c r="OOF243" s="334"/>
      <c r="OOG243" s="334"/>
      <c r="OOH243" s="334"/>
      <c r="OOI243" s="334"/>
      <c r="OOJ243" s="334"/>
      <c r="OOK243" s="334"/>
      <c r="OOL243" s="334"/>
      <c r="OOM243" s="334"/>
      <c r="OON243" s="334"/>
      <c r="OOO243" s="334"/>
      <c r="OOP243" s="334"/>
      <c r="OOQ243" s="334"/>
      <c r="OOR243" s="334"/>
      <c r="OOS243" s="334"/>
      <c r="OOT243" s="334"/>
      <c r="OOU243" s="334"/>
      <c r="OOV243" s="334"/>
      <c r="OOW243" s="334"/>
      <c r="OOX243" s="334"/>
      <c r="OOY243" s="334"/>
      <c r="OOZ243" s="334"/>
      <c r="OPA243" s="334"/>
      <c r="OPB243" s="334"/>
      <c r="OPC243" s="334"/>
      <c r="OPD243" s="334"/>
      <c r="OPE243" s="334"/>
      <c r="OPF243" s="334"/>
      <c r="OPG243" s="334"/>
      <c r="OPH243" s="334"/>
      <c r="OPI243" s="334"/>
      <c r="OPJ243" s="334"/>
      <c r="OPK243" s="334"/>
      <c r="OPL243" s="334"/>
      <c r="OPM243" s="334"/>
      <c r="OPN243" s="334"/>
      <c r="OPO243" s="334"/>
      <c r="OPP243" s="334"/>
      <c r="OPQ243" s="334"/>
      <c r="OPR243" s="334"/>
      <c r="OPS243" s="334"/>
      <c r="OPT243" s="334"/>
      <c r="OPU243" s="334"/>
      <c r="OPV243" s="334"/>
      <c r="OPW243" s="334"/>
      <c r="OPX243" s="334"/>
      <c r="OPY243" s="334"/>
      <c r="OPZ243" s="334"/>
      <c r="OQA243" s="334"/>
      <c r="OQB243" s="334"/>
      <c r="OQC243" s="334"/>
      <c r="OQD243" s="334"/>
      <c r="OQE243" s="334"/>
      <c r="OQF243" s="334"/>
      <c r="OQG243" s="334"/>
      <c r="OQH243" s="334"/>
      <c r="OQI243" s="334"/>
      <c r="OQJ243" s="334"/>
      <c r="OQK243" s="334"/>
      <c r="OQL243" s="334"/>
      <c r="OQM243" s="334"/>
      <c r="OQN243" s="334"/>
      <c r="OQO243" s="334"/>
      <c r="OQP243" s="334"/>
      <c r="OQQ243" s="334"/>
      <c r="OQR243" s="334"/>
      <c r="OQS243" s="334"/>
      <c r="OQT243" s="334"/>
      <c r="OQU243" s="334"/>
      <c r="OQV243" s="334"/>
      <c r="OQW243" s="334"/>
      <c r="OQX243" s="334"/>
      <c r="OQY243" s="334"/>
      <c r="OQZ243" s="334"/>
      <c r="ORA243" s="334"/>
      <c r="ORB243" s="334"/>
      <c r="ORC243" s="334"/>
      <c r="ORD243" s="334"/>
      <c r="ORE243" s="334"/>
      <c r="ORF243" s="334"/>
      <c r="ORG243" s="334"/>
      <c r="ORH243" s="334"/>
      <c r="ORI243" s="334"/>
      <c r="ORJ243" s="334"/>
      <c r="ORK243" s="334"/>
      <c r="ORL243" s="334"/>
      <c r="ORM243" s="334"/>
      <c r="ORN243" s="334"/>
      <c r="ORO243" s="334"/>
      <c r="ORP243" s="334"/>
      <c r="ORQ243" s="334"/>
      <c r="ORR243" s="334"/>
      <c r="ORS243" s="334"/>
      <c r="ORT243" s="334"/>
      <c r="ORU243" s="334"/>
      <c r="ORV243" s="334"/>
      <c r="ORW243" s="334"/>
      <c r="ORX243" s="334"/>
      <c r="ORY243" s="334"/>
      <c r="ORZ243" s="334"/>
      <c r="OSA243" s="334"/>
      <c r="OSB243" s="334"/>
      <c r="OSC243" s="334"/>
      <c r="OSD243" s="334"/>
      <c r="OSE243" s="334"/>
      <c r="OSF243" s="334"/>
      <c r="OSG243" s="334"/>
      <c r="OSH243" s="334"/>
      <c r="OSI243" s="334"/>
      <c r="OSJ243" s="334"/>
      <c r="OSK243" s="334"/>
      <c r="OSL243" s="334"/>
      <c r="OSM243" s="334"/>
      <c r="OSN243" s="334"/>
      <c r="OSO243" s="334"/>
      <c r="OSP243" s="334"/>
      <c r="OSQ243" s="334"/>
      <c r="OSR243" s="334"/>
      <c r="OSS243" s="334"/>
      <c r="OST243" s="334"/>
      <c r="OSU243" s="334"/>
      <c r="OSV243" s="334"/>
      <c r="OSW243" s="334"/>
      <c r="OSX243" s="334"/>
      <c r="OSY243" s="334"/>
      <c r="OSZ243" s="334"/>
      <c r="OTA243" s="334"/>
      <c r="OTB243" s="334"/>
      <c r="OTC243" s="334"/>
      <c r="OTD243" s="334"/>
      <c r="OTE243" s="334"/>
      <c r="OTF243" s="334"/>
      <c r="OTG243" s="334"/>
      <c r="OTH243" s="334"/>
      <c r="OTI243" s="334"/>
      <c r="OTJ243" s="334"/>
      <c r="OTK243" s="334"/>
      <c r="OTL243" s="334"/>
      <c r="OTM243" s="334"/>
      <c r="OTN243" s="334"/>
      <c r="OTO243" s="334"/>
      <c r="OTP243" s="334"/>
      <c r="OTQ243" s="334"/>
      <c r="OTR243" s="334"/>
      <c r="OTS243" s="334"/>
      <c r="OTT243" s="334"/>
      <c r="OTU243" s="334"/>
      <c r="OTV243" s="334"/>
      <c r="OTW243" s="334"/>
      <c r="OTX243" s="334"/>
      <c r="OTY243" s="334"/>
      <c r="OTZ243" s="334"/>
      <c r="OUA243" s="334"/>
      <c r="OUB243" s="334"/>
      <c r="OUC243" s="334"/>
      <c r="OUD243" s="334"/>
      <c r="OUE243" s="334"/>
      <c r="OUF243" s="334"/>
      <c r="OUG243" s="334"/>
      <c r="OUH243" s="334"/>
      <c r="OUI243" s="334"/>
      <c r="OUJ243" s="334"/>
      <c r="OUK243" s="334"/>
      <c r="OUL243" s="334"/>
      <c r="OUM243" s="334"/>
      <c r="OUN243" s="334"/>
      <c r="OUO243" s="334"/>
      <c r="OUP243" s="334"/>
      <c r="OUQ243" s="334"/>
      <c r="OUR243" s="334"/>
      <c r="OUS243" s="334"/>
      <c r="OUT243" s="334"/>
      <c r="OUU243" s="334"/>
      <c r="OUV243" s="334"/>
      <c r="OUW243" s="334"/>
      <c r="OUX243" s="334"/>
      <c r="OUY243" s="334"/>
      <c r="OUZ243" s="334"/>
      <c r="OVA243" s="334"/>
      <c r="OVB243" s="334"/>
      <c r="OVC243" s="334"/>
      <c r="OVD243" s="334"/>
      <c r="OVE243" s="334"/>
      <c r="OVF243" s="334"/>
      <c r="OVG243" s="334"/>
      <c r="OVH243" s="334"/>
      <c r="OVI243" s="334"/>
      <c r="OVJ243" s="334"/>
      <c r="OVK243" s="334"/>
      <c r="OVL243" s="334"/>
      <c r="OVM243" s="334"/>
      <c r="OVN243" s="334"/>
      <c r="OVO243" s="334"/>
      <c r="OVP243" s="334"/>
      <c r="OVQ243" s="334"/>
      <c r="OVR243" s="334"/>
      <c r="OVS243" s="334"/>
      <c r="OVT243" s="334"/>
      <c r="OVU243" s="334"/>
      <c r="OVV243" s="334"/>
      <c r="OVW243" s="334"/>
      <c r="OVX243" s="334"/>
      <c r="OVY243" s="334"/>
      <c r="OVZ243" s="334"/>
      <c r="OWA243" s="334"/>
      <c r="OWB243" s="334"/>
      <c r="OWC243" s="334"/>
      <c r="OWD243" s="334"/>
      <c r="OWE243" s="334"/>
      <c r="OWF243" s="334"/>
      <c r="OWG243" s="334"/>
      <c r="OWH243" s="334"/>
      <c r="OWI243" s="334"/>
      <c r="OWJ243" s="334"/>
      <c r="OWK243" s="334"/>
      <c r="OWL243" s="334"/>
      <c r="OWM243" s="334"/>
      <c r="OWN243" s="334"/>
      <c r="OWO243" s="334"/>
      <c r="OWP243" s="334"/>
      <c r="OWQ243" s="334"/>
      <c r="OWR243" s="334"/>
      <c r="OWS243" s="334"/>
      <c r="OWT243" s="334"/>
      <c r="OWU243" s="334"/>
      <c r="OWV243" s="334"/>
      <c r="OWW243" s="334"/>
      <c r="OWX243" s="334"/>
      <c r="OWY243" s="334"/>
      <c r="OWZ243" s="334"/>
      <c r="OXA243" s="334"/>
      <c r="OXB243" s="334"/>
      <c r="OXC243" s="334"/>
      <c r="OXD243" s="334"/>
      <c r="OXE243" s="334"/>
      <c r="OXF243" s="334"/>
      <c r="OXG243" s="334"/>
      <c r="OXH243" s="334"/>
      <c r="OXI243" s="334"/>
      <c r="OXJ243" s="334"/>
      <c r="OXK243" s="334"/>
      <c r="OXL243" s="334"/>
      <c r="OXM243" s="334"/>
      <c r="OXN243" s="334"/>
      <c r="OXO243" s="334"/>
      <c r="OXP243" s="334"/>
      <c r="OXQ243" s="334"/>
      <c r="OXR243" s="334"/>
      <c r="OXS243" s="334"/>
      <c r="OXT243" s="334"/>
      <c r="OXU243" s="334"/>
      <c r="OXV243" s="334"/>
      <c r="OXW243" s="334"/>
      <c r="OXX243" s="334"/>
      <c r="OXY243" s="334"/>
      <c r="OXZ243" s="334"/>
      <c r="OYA243" s="334"/>
      <c r="OYB243" s="334"/>
      <c r="OYC243" s="334"/>
      <c r="OYD243" s="334"/>
      <c r="OYE243" s="334"/>
      <c r="OYF243" s="334"/>
      <c r="OYG243" s="334"/>
      <c r="OYH243" s="334"/>
      <c r="OYI243" s="334"/>
      <c r="OYJ243" s="334"/>
      <c r="OYK243" s="334"/>
      <c r="OYL243" s="334"/>
      <c r="OYM243" s="334"/>
      <c r="OYN243" s="334"/>
      <c r="OYO243" s="334"/>
      <c r="OYP243" s="334"/>
      <c r="OYQ243" s="334"/>
      <c r="OYR243" s="334"/>
      <c r="OYS243" s="334"/>
      <c r="OYT243" s="334"/>
      <c r="OYU243" s="334"/>
      <c r="OYV243" s="334"/>
      <c r="OYW243" s="334"/>
      <c r="OYX243" s="334"/>
      <c r="OYY243" s="334"/>
      <c r="OYZ243" s="334"/>
      <c r="OZA243" s="334"/>
      <c r="OZB243" s="334"/>
      <c r="OZC243" s="334"/>
      <c r="OZD243" s="334"/>
      <c r="OZE243" s="334"/>
      <c r="OZF243" s="334"/>
      <c r="OZG243" s="334"/>
      <c r="OZH243" s="334"/>
      <c r="OZI243" s="334"/>
      <c r="OZJ243" s="334"/>
      <c r="OZK243" s="334"/>
      <c r="OZL243" s="334"/>
      <c r="OZM243" s="334"/>
      <c r="OZN243" s="334"/>
      <c r="OZO243" s="334"/>
      <c r="OZP243" s="334"/>
      <c r="OZQ243" s="334"/>
      <c r="OZR243" s="334"/>
      <c r="OZS243" s="334"/>
      <c r="OZT243" s="334"/>
      <c r="OZU243" s="334"/>
      <c r="OZV243" s="334"/>
      <c r="OZW243" s="334"/>
      <c r="OZX243" s="334"/>
      <c r="OZY243" s="334"/>
      <c r="OZZ243" s="334"/>
      <c r="PAA243" s="334"/>
      <c r="PAB243" s="334"/>
      <c r="PAC243" s="334"/>
      <c r="PAD243" s="334"/>
      <c r="PAE243" s="334"/>
      <c r="PAF243" s="334"/>
      <c r="PAG243" s="334"/>
      <c r="PAH243" s="334"/>
      <c r="PAI243" s="334"/>
      <c r="PAJ243" s="334"/>
      <c r="PAK243" s="334"/>
      <c r="PAL243" s="334"/>
      <c r="PAM243" s="334"/>
      <c r="PAN243" s="334"/>
      <c r="PAO243" s="334"/>
      <c r="PAP243" s="334"/>
      <c r="PAQ243" s="334"/>
      <c r="PAR243" s="334"/>
      <c r="PAS243" s="334"/>
      <c r="PAT243" s="334"/>
      <c r="PAU243" s="334"/>
      <c r="PAV243" s="334"/>
      <c r="PAW243" s="334"/>
      <c r="PAX243" s="334"/>
      <c r="PAY243" s="334"/>
      <c r="PAZ243" s="334"/>
      <c r="PBA243" s="334"/>
      <c r="PBB243" s="334"/>
      <c r="PBC243" s="334"/>
      <c r="PBD243" s="334"/>
      <c r="PBE243" s="334"/>
      <c r="PBF243" s="334"/>
      <c r="PBG243" s="334"/>
      <c r="PBH243" s="334"/>
      <c r="PBI243" s="334"/>
      <c r="PBJ243" s="334"/>
      <c r="PBK243" s="334"/>
      <c r="PBL243" s="334"/>
      <c r="PBM243" s="334"/>
      <c r="PBN243" s="334"/>
      <c r="PBO243" s="334"/>
      <c r="PBP243" s="334"/>
      <c r="PBQ243" s="334"/>
      <c r="PBR243" s="334"/>
      <c r="PBS243" s="334"/>
      <c r="PBT243" s="334"/>
      <c r="PBU243" s="334"/>
      <c r="PBV243" s="334"/>
      <c r="PBW243" s="334"/>
      <c r="PBX243" s="334"/>
      <c r="PBY243" s="334"/>
      <c r="PBZ243" s="334"/>
      <c r="PCA243" s="334"/>
      <c r="PCB243" s="334"/>
      <c r="PCC243" s="334"/>
      <c r="PCD243" s="334"/>
      <c r="PCE243" s="334"/>
      <c r="PCF243" s="334"/>
      <c r="PCG243" s="334"/>
      <c r="PCH243" s="334"/>
      <c r="PCI243" s="334"/>
      <c r="PCJ243" s="334"/>
      <c r="PCK243" s="334"/>
      <c r="PCL243" s="334"/>
      <c r="PCM243" s="334"/>
      <c r="PCN243" s="334"/>
      <c r="PCO243" s="334"/>
      <c r="PCP243" s="334"/>
      <c r="PCQ243" s="334"/>
      <c r="PCR243" s="334"/>
      <c r="PCS243" s="334"/>
      <c r="PCT243" s="334"/>
      <c r="PCU243" s="334"/>
      <c r="PCV243" s="334"/>
      <c r="PCW243" s="334"/>
      <c r="PCX243" s="334"/>
      <c r="PCY243" s="334"/>
      <c r="PCZ243" s="334"/>
      <c r="PDA243" s="334"/>
      <c r="PDB243" s="334"/>
      <c r="PDC243" s="334"/>
      <c r="PDD243" s="334"/>
      <c r="PDE243" s="334"/>
      <c r="PDF243" s="334"/>
      <c r="PDG243" s="334"/>
      <c r="PDH243" s="334"/>
      <c r="PDI243" s="334"/>
      <c r="PDJ243" s="334"/>
      <c r="PDK243" s="334"/>
      <c r="PDL243" s="334"/>
      <c r="PDM243" s="334"/>
      <c r="PDN243" s="334"/>
      <c r="PDO243" s="334"/>
      <c r="PDP243" s="334"/>
      <c r="PDQ243" s="334"/>
      <c r="PDR243" s="334"/>
      <c r="PDS243" s="334"/>
      <c r="PDT243" s="334"/>
      <c r="PDU243" s="334"/>
      <c r="PDV243" s="334"/>
      <c r="PDW243" s="334"/>
      <c r="PDX243" s="334"/>
      <c r="PDY243" s="334"/>
      <c r="PDZ243" s="334"/>
      <c r="PEA243" s="334"/>
      <c r="PEB243" s="334"/>
      <c r="PEC243" s="334"/>
      <c r="PED243" s="334"/>
      <c r="PEE243" s="334"/>
      <c r="PEF243" s="334"/>
      <c r="PEG243" s="334"/>
      <c r="PEH243" s="334"/>
      <c r="PEI243" s="334"/>
      <c r="PEJ243" s="334"/>
      <c r="PEK243" s="334"/>
      <c r="PEL243" s="334"/>
      <c r="PEM243" s="334"/>
      <c r="PEN243" s="334"/>
      <c r="PEO243" s="334"/>
      <c r="PEP243" s="334"/>
      <c r="PEQ243" s="334"/>
      <c r="PER243" s="334"/>
      <c r="PES243" s="334"/>
      <c r="PET243" s="334"/>
      <c r="PEU243" s="334"/>
      <c r="PEV243" s="334"/>
      <c r="PEW243" s="334"/>
      <c r="PEX243" s="334"/>
      <c r="PEY243" s="334"/>
      <c r="PEZ243" s="334"/>
      <c r="PFA243" s="334"/>
      <c r="PFB243" s="334"/>
      <c r="PFC243" s="334"/>
      <c r="PFD243" s="334"/>
      <c r="PFE243" s="334"/>
      <c r="PFF243" s="334"/>
      <c r="PFG243" s="334"/>
      <c r="PFH243" s="334"/>
      <c r="PFI243" s="334"/>
      <c r="PFJ243" s="334"/>
      <c r="PFK243" s="334"/>
      <c r="PFL243" s="334"/>
      <c r="PFM243" s="334"/>
      <c r="PFN243" s="334"/>
      <c r="PFO243" s="334"/>
      <c r="PFP243" s="334"/>
      <c r="PFQ243" s="334"/>
      <c r="PFR243" s="334"/>
      <c r="PFS243" s="334"/>
      <c r="PFT243" s="334"/>
      <c r="PFU243" s="334"/>
      <c r="PFV243" s="334"/>
      <c r="PFW243" s="334"/>
      <c r="PFX243" s="334"/>
      <c r="PFY243" s="334"/>
      <c r="PFZ243" s="334"/>
      <c r="PGA243" s="334"/>
      <c r="PGB243" s="334"/>
      <c r="PGC243" s="334"/>
      <c r="PGD243" s="334"/>
      <c r="PGE243" s="334"/>
      <c r="PGF243" s="334"/>
      <c r="PGG243" s="334"/>
      <c r="PGH243" s="334"/>
      <c r="PGI243" s="334"/>
      <c r="PGJ243" s="334"/>
      <c r="PGK243" s="334"/>
      <c r="PGL243" s="334"/>
      <c r="PGM243" s="334"/>
      <c r="PGN243" s="334"/>
      <c r="PGO243" s="334"/>
      <c r="PGP243" s="334"/>
      <c r="PGQ243" s="334"/>
      <c r="PGR243" s="334"/>
      <c r="PGS243" s="334"/>
      <c r="PGT243" s="334"/>
      <c r="PGU243" s="334"/>
      <c r="PGV243" s="334"/>
      <c r="PGW243" s="334"/>
      <c r="PGX243" s="334"/>
      <c r="PGY243" s="334"/>
      <c r="PGZ243" s="334"/>
      <c r="PHA243" s="334"/>
      <c r="PHB243" s="334"/>
      <c r="PHC243" s="334"/>
      <c r="PHD243" s="334"/>
      <c r="PHE243" s="334"/>
      <c r="PHF243" s="334"/>
      <c r="PHG243" s="334"/>
      <c r="PHH243" s="334"/>
      <c r="PHI243" s="334"/>
      <c r="PHJ243" s="334"/>
      <c r="PHK243" s="334"/>
      <c r="PHL243" s="334"/>
      <c r="PHM243" s="334"/>
      <c r="PHN243" s="334"/>
      <c r="PHO243" s="334"/>
      <c r="PHP243" s="334"/>
      <c r="PHQ243" s="334"/>
      <c r="PHR243" s="334"/>
      <c r="PHS243" s="334"/>
      <c r="PHT243" s="334"/>
      <c r="PHU243" s="334"/>
      <c r="PHV243" s="334"/>
      <c r="PHW243" s="334"/>
      <c r="PHX243" s="334"/>
      <c r="PHY243" s="334"/>
      <c r="PHZ243" s="334"/>
      <c r="PIA243" s="334"/>
      <c r="PIB243" s="334"/>
      <c r="PIC243" s="334"/>
      <c r="PID243" s="334"/>
      <c r="PIE243" s="334"/>
      <c r="PIF243" s="334"/>
      <c r="PIG243" s="334"/>
      <c r="PIH243" s="334"/>
      <c r="PII243" s="334"/>
      <c r="PIJ243" s="334"/>
      <c r="PIK243" s="334"/>
      <c r="PIL243" s="334"/>
      <c r="PIM243" s="334"/>
      <c r="PIN243" s="334"/>
      <c r="PIO243" s="334"/>
      <c r="PIP243" s="334"/>
      <c r="PIQ243" s="334"/>
      <c r="PIR243" s="334"/>
      <c r="PIS243" s="334"/>
      <c r="PIT243" s="334"/>
      <c r="PIU243" s="334"/>
      <c r="PIV243" s="334"/>
      <c r="PIW243" s="334"/>
      <c r="PIX243" s="334"/>
      <c r="PIY243" s="334"/>
      <c r="PIZ243" s="334"/>
      <c r="PJA243" s="334"/>
      <c r="PJB243" s="334"/>
      <c r="PJC243" s="334"/>
      <c r="PJD243" s="334"/>
      <c r="PJE243" s="334"/>
      <c r="PJF243" s="334"/>
      <c r="PJG243" s="334"/>
      <c r="PJH243" s="334"/>
      <c r="PJI243" s="334"/>
      <c r="PJJ243" s="334"/>
      <c r="PJK243" s="334"/>
      <c r="PJL243" s="334"/>
      <c r="PJM243" s="334"/>
      <c r="PJN243" s="334"/>
      <c r="PJO243" s="334"/>
      <c r="PJP243" s="334"/>
      <c r="PJQ243" s="334"/>
      <c r="PJR243" s="334"/>
      <c r="PJS243" s="334"/>
      <c r="PJT243" s="334"/>
      <c r="PJU243" s="334"/>
      <c r="PJV243" s="334"/>
      <c r="PJW243" s="334"/>
      <c r="PJX243" s="334"/>
      <c r="PJY243" s="334"/>
      <c r="PJZ243" s="334"/>
      <c r="PKA243" s="334"/>
      <c r="PKB243" s="334"/>
      <c r="PKC243" s="334"/>
      <c r="PKD243" s="334"/>
      <c r="PKE243" s="334"/>
      <c r="PKF243" s="334"/>
      <c r="PKG243" s="334"/>
      <c r="PKH243" s="334"/>
      <c r="PKI243" s="334"/>
      <c r="PKJ243" s="334"/>
      <c r="PKK243" s="334"/>
      <c r="PKL243" s="334"/>
      <c r="PKM243" s="334"/>
      <c r="PKN243" s="334"/>
      <c r="PKO243" s="334"/>
      <c r="PKP243" s="334"/>
      <c r="PKQ243" s="334"/>
      <c r="PKR243" s="334"/>
      <c r="PKS243" s="334"/>
      <c r="PKT243" s="334"/>
      <c r="PKU243" s="334"/>
      <c r="PKV243" s="334"/>
      <c r="PKW243" s="334"/>
      <c r="PKX243" s="334"/>
      <c r="PKY243" s="334"/>
      <c r="PKZ243" s="334"/>
      <c r="PLA243" s="334"/>
      <c r="PLB243" s="334"/>
      <c r="PLC243" s="334"/>
      <c r="PLD243" s="334"/>
      <c r="PLE243" s="334"/>
      <c r="PLF243" s="334"/>
      <c r="PLG243" s="334"/>
      <c r="PLH243" s="334"/>
      <c r="PLI243" s="334"/>
      <c r="PLJ243" s="334"/>
      <c r="PLK243" s="334"/>
      <c r="PLL243" s="334"/>
      <c r="PLM243" s="334"/>
      <c r="PLN243" s="334"/>
      <c r="PLO243" s="334"/>
      <c r="PLP243" s="334"/>
      <c r="PLQ243" s="334"/>
      <c r="PLR243" s="334"/>
      <c r="PLS243" s="334"/>
      <c r="PLT243" s="334"/>
      <c r="PLU243" s="334"/>
      <c r="PLV243" s="334"/>
      <c r="PLW243" s="334"/>
      <c r="PLX243" s="334"/>
      <c r="PLY243" s="334"/>
      <c r="PLZ243" s="334"/>
      <c r="PMA243" s="334"/>
      <c r="PMB243" s="334"/>
      <c r="PMC243" s="334"/>
      <c r="PMD243" s="334"/>
      <c r="PME243" s="334"/>
      <c r="PMF243" s="334"/>
      <c r="PMG243" s="334"/>
      <c r="PMH243" s="334"/>
      <c r="PMI243" s="334"/>
      <c r="PMJ243" s="334"/>
      <c r="PMK243" s="334"/>
      <c r="PML243" s="334"/>
      <c r="PMM243" s="334"/>
      <c r="PMN243" s="334"/>
      <c r="PMO243" s="334"/>
      <c r="PMP243" s="334"/>
      <c r="PMQ243" s="334"/>
      <c r="PMR243" s="334"/>
      <c r="PMS243" s="334"/>
      <c r="PMT243" s="334"/>
      <c r="PMU243" s="334"/>
      <c r="PMV243" s="334"/>
      <c r="PMW243" s="334"/>
      <c r="PMX243" s="334"/>
      <c r="PMY243" s="334"/>
      <c r="PMZ243" s="334"/>
      <c r="PNA243" s="334"/>
      <c r="PNB243" s="334"/>
      <c r="PNC243" s="334"/>
      <c r="PND243" s="334"/>
      <c r="PNE243" s="334"/>
      <c r="PNF243" s="334"/>
      <c r="PNG243" s="334"/>
      <c r="PNH243" s="334"/>
      <c r="PNI243" s="334"/>
      <c r="PNJ243" s="334"/>
      <c r="PNK243" s="334"/>
      <c r="PNL243" s="334"/>
      <c r="PNM243" s="334"/>
      <c r="PNN243" s="334"/>
      <c r="PNO243" s="334"/>
      <c r="PNP243" s="334"/>
      <c r="PNQ243" s="334"/>
      <c r="PNR243" s="334"/>
      <c r="PNS243" s="334"/>
      <c r="PNT243" s="334"/>
      <c r="PNU243" s="334"/>
      <c r="PNV243" s="334"/>
      <c r="PNW243" s="334"/>
      <c r="PNX243" s="334"/>
      <c r="PNY243" s="334"/>
      <c r="PNZ243" s="334"/>
      <c r="POA243" s="334"/>
      <c r="POB243" s="334"/>
      <c r="POC243" s="334"/>
      <c r="POD243" s="334"/>
      <c r="POE243" s="334"/>
      <c r="POF243" s="334"/>
      <c r="POG243" s="334"/>
      <c r="POH243" s="334"/>
      <c r="POI243" s="334"/>
      <c r="POJ243" s="334"/>
      <c r="POK243" s="334"/>
      <c r="POL243" s="334"/>
      <c r="POM243" s="334"/>
      <c r="PON243" s="334"/>
      <c r="POO243" s="334"/>
      <c r="POP243" s="334"/>
      <c r="POQ243" s="334"/>
      <c r="POR243" s="334"/>
      <c r="POS243" s="334"/>
      <c r="POT243" s="334"/>
      <c r="POU243" s="334"/>
      <c r="POV243" s="334"/>
      <c r="POW243" s="334"/>
      <c r="POX243" s="334"/>
      <c r="POY243" s="334"/>
      <c r="POZ243" s="334"/>
      <c r="PPA243" s="334"/>
      <c r="PPB243" s="334"/>
      <c r="PPC243" s="334"/>
      <c r="PPD243" s="334"/>
      <c r="PPE243" s="334"/>
      <c r="PPF243" s="334"/>
      <c r="PPG243" s="334"/>
      <c r="PPH243" s="334"/>
      <c r="PPI243" s="334"/>
      <c r="PPJ243" s="334"/>
      <c r="PPK243" s="334"/>
      <c r="PPL243" s="334"/>
      <c r="PPM243" s="334"/>
      <c r="PPN243" s="334"/>
      <c r="PPO243" s="334"/>
      <c r="PPP243" s="334"/>
      <c r="PPQ243" s="334"/>
      <c r="PPR243" s="334"/>
      <c r="PPS243" s="334"/>
      <c r="PPT243" s="334"/>
      <c r="PPU243" s="334"/>
      <c r="PPV243" s="334"/>
      <c r="PPW243" s="334"/>
      <c r="PPX243" s="334"/>
      <c r="PPY243" s="334"/>
      <c r="PPZ243" s="334"/>
      <c r="PQA243" s="334"/>
      <c r="PQB243" s="334"/>
      <c r="PQC243" s="334"/>
      <c r="PQD243" s="334"/>
      <c r="PQE243" s="334"/>
      <c r="PQF243" s="334"/>
      <c r="PQG243" s="334"/>
      <c r="PQH243" s="334"/>
      <c r="PQI243" s="334"/>
      <c r="PQJ243" s="334"/>
      <c r="PQK243" s="334"/>
      <c r="PQL243" s="334"/>
      <c r="PQM243" s="334"/>
      <c r="PQN243" s="334"/>
      <c r="PQO243" s="334"/>
      <c r="PQP243" s="334"/>
      <c r="PQQ243" s="334"/>
      <c r="PQR243" s="334"/>
      <c r="PQS243" s="334"/>
      <c r="PQT243" s="334"/>
      <c r="PQU243" s="334"/>
      <c r="PQV243" s="334"/>
      <c r="PQW243" s="334"/>
      <c r="PQX243" s="334"/>
      <c r="PQY243" s="334"/>
      <c r="PQZ243" s="334"/>
      <c r="PRA243" s="334"/>
      <c r="PRB243" s="334"/>
      <c r="PRC243" s="334"/>
      <c r="PRD243" s="334"/>
      <c r="PRE243" s="334"/>
      <c r="PRF243" s="334"/>
      <c r="PRG243" s="334"/>
      <c r="PRH243" s="334"/>
      <c r="PRI243" s="334"/>
      <c r="PRJ243" s="334"/>
      <c r="PRK243" s="334"/>
      <c r="PRL243" s="334"/>
      <c r="PRM243" s="334"/>
      <c r="PRN243" s="334"/>
      <c r="PRO243" s="334"/>
      <c r="PRP243" s="334"/>
      <c r="PRQ243" s="334"/>
      <c r="PRR243" s="334"/>
      <c r="PRS243" s="334"/>
      <c r="PRT243" s="334"/>
      <c r="PRU243" s="334"/>
      <c r="PRV243" s="334"/>
      <c r="PRW243" s="334"/>
      <c r="PRX243" s="334"/>
      <c r="PRY243" s="334"/>
      <c r="PRZ243" s="334"/>
      <c r="PSA243" s="334"/>
      <c r="PSB243" s="334"/>
      <c r="PSC243" s="334"/>
      <c r="PSD243" s="334"/>
      <c r="PSE243" s="334"/>
      <c r="PSF243" s="334"/>
      <c r="PSG243" s="334"/>
      <c r="PSH243" s="334"/>
      <c r="PSI243" s="334"/>
      <c r="PSJ243" s="334"/>
      <c r="PSK243" s="334"/>
      <c r="PSL243" s="334"/>
      <c r="PSM243" s="334"/>
      <c r="PSN243" s="334"/>
      <c r="PSO243" s="334"/>
      <c r="PSP243" s="334"/>
      <c r="PSQ243" s="334"/>
      <c r="PSR243" s="334"/>
      <c r="PSS243" s="334"/>
      <c r="PST243" s="334"/>
      <c r="PSU243" s="334"/>
      <c r="PSV243" s="334"/>
      <c r="PSW243" s="334"/>
      <c r="PSX243" s="334"/>
      <c r="PSY243" s="334"/>
      <c r="PSZ243" s="334"/>
      <c r="PTA243" s="334"/>
      <c r="PTB243" s="334"/>
      <c r="PTC243" s="334"/>
      <c r="PTD243" s="334"/>
      <c r="PTE243" s="334"/>
      <c r="PTF243" s="334"/>
      <c r="PTG243" s="334"/>
      <c r="PTH243" s="334"/>
      <c r="PTI243" s="334"/>
      <c r="PTJ243" s="334"/>
      <c r="PTK243" s="334"/>
      <c r="PTL243" s="334"/>
      <c r="PTM243" s="334"/>
      <c r="PTN243" s="334"/>
      <c r="PTO243" s="334"/>
      <c r="PTP243" s="334"/>
      <c r="PTQ243" s="334"/>
      <c r="PTR243" s="334"/>
      <c r="PTS243" s="334"/>
      <c r="PTT243" s="334"/>
      <c r="PTU243" s="334"/>
      <c r="PTV243" s="334"/>
      <c r="PTW243" s="334"/>
      <c r="PTX243" s="334"/>
      <c r="PTY243" s="334"/>
      <c r="PTZ243" s="334"/>
      <c r="PUA243" s="334"/>
      <c r="PUB243" s="334"/>
      <c r="PUC243" s="334"/>
      <c r="PUD243" s="334"/>
      <c r="PUE243" s="334"/>
      <c r="PUF243" s="334"/>
      <c r="PUG243" s="334"/>
      <c r="PUH243" s="334"/>
      <c r="PUI243" s="334"/>
      <c r="PUJ243" s="334"/>
      <c r="PUK243" s="334"/>
      <c r="PUL243" s="334"/>
      <c r="PUM243" s="334"/>
      <c r="PUN243" s="334"/>
      <c r="PUO243" s="334"/>
      <c r="PUP243" s="334"/>
      <c r="PUQ243" s="334"/>
      <c r="PUR243" s="334"/>
      <c r="PUS243" s="334"/>
      <c r="PUT243" s="334"/>
      <c r="PUU243" s="334"/>
      <c r="PUV243" s="334"/>
      <c r="PUW243" s="334"/>
      <c r="PUX243" s="334"/>
      <c r="PUY243" s="334"/>
      <c r="PUZ243" s="334"/>
      <c r="PVA243" s="334"/>
      <c r="PVB243" s="334"/>
      <c r="PVC243" s="334"/>
      <c r="PVD243" s="334"/>
      <c r="PVE243" s="334"/>
      <c r="PVF243" s="334"/>
      <c r="PVG243" s="334"/>
      <c r="PVH243" s="334"/>
      <c r="PVI243" s="334"/>
      <c r="PVJ243" s="334"/>
      <c r="PVK243" s="334"/>
      <c r="PVL243" s="334"/>
      <c r="PVM243" s="334"/>
      <c r="PVN243" s="334"/>
      <c r="PVO243" s="334"/>
      <c r="PVP243" s="334"/>
      <c r="PVQ243" s="334"/>
      <c r="PVR243" s="334"/>
      <c r="PVS243" s="334"/>
      <c r="PVT243" s="334"/>
      <c r="PVU243" s="334"/>
      <c r="PVV243" s="334"/>
      <c r="PVW243" s="334"/>
      <c r="PVX243" s="334"/>
      <c r="PVY243" s="334"/>
      <c r="PVZ243" s="334"/>
      <c r="PWA243" s="334"/>
      <c r="PWB243" s="334"/>
      <c r="PWC243" s="334"/>
      <c r="PWD243" s="334"/>
      <c r="PWE243" s="334"/>
      <c r="PWF243" s="334"/>
      <c r="PWG243" s="334"/>
      <c r="PWH243" s="334"/>
      <c r="PWI243" s="334"/>
      <c r="PWJ243" s="334"/>
      <c r="PWK243" s="334"/>
      <c r="PWL243" s="334"/>
      <c r="PWM243" s="334"/>
      <c r="PWN243" s="334"/>
      <c r="PWO243" s="334"/>
      <c r="PWP243" s="334"/>
      <c r="PWQ243" s="334"/>
      <c r="PWR243" s="334"/>
      <c r="PWS243" s="334"/>
      <c r="PWT243" s="334"/>
      <c r="PWU243" s="334"/>
      <c r="PWV243" s="334"/>
      <c r="PWW243" s="334"/>
      <c r="PWX243" s="334"/>
      <c r="PWY243" s="334"/>
      <c r="PWZ243" s="334"/>
      <c r="PXA243" s="334"/>
      <c r="PXB243" s="334"/>
      <c r="PXC243" s="334"/>
      <c r="PXD243" s="334"/>
      <c r="PXE243" s="334"/>
      <c r="PXF243" s="334"/>
      <c r="PXG243" s="334"/>
      <c r="PXH243" s="334"/>
      <c r="PXI243" s="334"/>
      <c r="PXJ243" s="334"/>
      <c r="PXK243" s="334"/>
      <c r="PXL243" s="334"/>
      <c r="PXM243" s="334"/>
      <c r="PXN243" s="334"/>
      <c r="PXO243" s="334"/>
      <c r="PXP243" s="334"/>
      <c r="PXQ243" s="334"/>
      <c r="PXR243" s="334"/>
      <c r="PXS243" s="334"/>
      <c r="PXT243" s="334"/>
      <c r="PXU243" s="334"/>
      <c r="PXV243" s="334"/>
      <c r="PXW243" s="334"/>
      <c r="PXX243" s="334"/>
      <c r="PXY243" s="334"/>
      <c r="PXZ243" s="334"/>
      <c r="PYA243" s="334"/>
      <c r="PYB243" s="334"/>
      <c r="PYC243" s="334"/>
      <c r="PYD243" s="334"/>
      <c r="PYE243" s="334"/>
      <c r="PYF243" s="334"/>
      <c r="PYG243" s="334"/>
      <c r="PYH243" s="334"/>
      <c r="PYI243" s="334"/>
      <c r="PYJ243" s="334"/>
      <c r="PYK243" s="334"/>
      <c r="PYL243" s="334"/>
      <c r="PYM243" s="334"/>
      <c r="PYN243" s="334"/>
      <c r="PYO243" s="334"/>
      <c r="PYP243" s="334"/>
      <c r="PYQ243" s="334"/>
      <c r="PYR243" s="334"/>
      <c r="PYS243" s="334"/>
      <c r="PYT243" s="334"/>
      <c r="PYU243" s="334"/>
      <c r="PYV243" s="334"/>
      <c r="PYW243" s="334"/>
      <c r="PYX243" s="334"/>
      <c r="PYY243" s="334"/>
      <c r="PYZ243" s="334"/>
      <c r="PZA243" s="334"/>
      <c r="PZB243" s="334"/>
      <c r="PZC243" s="334"/>
      <c r="PZD243" s="334"/>
      <c r="PZE243" s="334"/>
      <c r="PZF243" s="334"/>
      <c r="PZG243" s="334"/>
      <c r="PZH243" s="334"/>
      <c r="PZI243" s="334"/>
      <c r="PZJ243" s="334"/>
      <c r="PZK243" s="334"/>
      <c r="PZL243" s="334"/>
      <c r="PZM243" s="334"/>
      <c r="PZN243" s="334"/>
      <c r="PZO243" s="334"/>
      <c r="PZP243" s="334"/>
      <c r="PZQ243" s="334"/>
      <c r="PZR243" s="334"/>
      <c r="PZS243" s="334"/>
      <c r="PZT243" s="334"/>
      <c r="PZU243" s="334"/>
      <c r="PZV243" s="334"/>
      <c r="PZW243" s="334"/>
      <c r="PZX243" s="334"/>
      <c r="PZY243" s="334"/>
      <c r="PZZ243" s="334"/>
      <c r="QAA243" s="334"/>
      <c r="QAB243" s="334"/>
      <c r="QAC243" s="334"/>
      <c r="QAD243" s="334"/>
      <c r="QAE243" s="334"/>
      <c r="QAF243" s="334"/>
      <c r="QAG243" s="334"/>
      <c r="QAH243" s="334"/>
      <c r="QAI243" s="334"/>
      <c r="QAJ243" s="334"/>
      <c r="QAK243" s="334"/>
      <c r="QAL243" s="334"/>
      <c r="QAM243" s="334"/>
      <c r="QAN243" s="334"/>
      <c r="QAO243" s="334"/>
      <c r="QAP243" s="334"/>
      <c r="QAQ243" s="334"/>
      <c r="QAR243" s="334"/>
      <c r="QAS243" s="334"/>
      <c r="QAT243" s="334"/>
      <c r="QAU243" s="334"/>
      <c r="QAV243" s="334"/>
      <c r="QAW243" s="334"/>
      <c r="QAX243" s="334"/>
      <c r="QAY243" s="334"/>
      <c r="QAZ243" s="334"/>
      <c r="QBA243" s="334"/>
      <c r="QBB243" s="334"/>
      <c r="QBC243" s="334"/>
      <c r="QBD243" s="334"/>
      <c r="QBE243" s="334"/>
      <c r="QBF243" s="334"/>
      <c r="QBG243" s="334"/>
      <c r="QBH243" s="334"/>
      <c r="QBI243" s="334"/>
      <c r="QBJ243" s="334"/>
      <c r="QBK243" s="334"/>
      <c r="QBL243" s="334"/>
      <c r="QBM243" s="334"/>
      <c r="QBN243" s="334"/>
      <c r="QBO243" s="334"/>
      <c r="QBP243" s="334"/>
      <c r="QBQ243" s="334"/>
      <c r="QBR243" s="334"/>
      <c r="QBS243" s="334"/>
      <c r="QBT243" s="334"/>
      <c r="QBU243" s="334"/>
      <c r="QBV243" s="334"/>
      <c r="QBW243" s="334"/>
      <c r="QBX243" s="334"/>
      <c r="QBY243" s="334"/>
      <c r="QBZ243" s="334"/>
      <c r="QCA243" s="334"/>
      <c r="QCB243" s="334"/>
      <c r="QCC243" s="334"/>
      <c r="QCD243" s="334"/>
      <c r="QCE243" s="334"/>
      <c r="QCF243" s="334"/>
      <c r="QCG243" s="334"/>
      <c r="QCH243" s="334"/>
      <c r="QCI243" s="334"/>
      <c r="QCJ243" s="334"/>
      <c r="QCK243" s="334"/>
      <c r="QCL243" s="334"/>
      <c r="QCM243" s="334"/>
      <c r="QCN243" s="334"/>
      <c r="QCO243" s="334"/>
      <c r="QCP243" s="334"/>
      <c r="QCQ243" s="334"/>
      <c r="QCR243" s="334"/>
      <c r="QCS243" s="334"/>
      <c r="QCT243" s="334"/>
      <c r="QCU243" s="334"/>
      <c r="QCV243" s="334"/>
      <c r="QCW243" s="334"/>
      <c r="QCX243" s="334"/>
      <c r="QCY243" s="334"/>
      <c r="QCZ243" s="334"/>
      <c r="QDA243" s="334"/>
      <c r="QDB243" s="334"/>
      <c r="QDC243" s="334"/>
      <c r="QDD243" s="334"/>
      <c r="QDE243" s="334"/>
      <c r="QDF243" s="334"/>
      <c r="QDG243" s="334"/>
      <c r="QDH243" s="334"/>
      <c r="QDI243" s="334"/>
      <c r="QDJ243" s="334"/>
      <c r="QDK243" s="334"/>
      <c r="QDL243" s="334"/>
      <c r="QDM243" s="334"/>
      <c r="QDN243" s="334"/>
      <c r="QDO243" s="334"/>
      <c r="QDP243" s="334"/>
      <c r="QDQ243" s="334"/>
      <c r="QDR243" s="334"/>
      <c r="QDS243" s="334"/>
      <c r="QDT243" s="334"/>
      <c r="QDU243" s="334"/>
      <c r="QDV243" s="334"/>
      <c r="QDW243" s="334"/>
      <c r="QDX243" s="334"/>
      <c r="QDY243" s="334"/>
      <c r="QDZ243" s="334"/>
      <c r="QEA243" s="334"/>
      <c r="QEB243" s="334"/>
      <c r="QEC243" s="334"/>
      <c r="QED243" s="334"/>
      <c r="QEE243" s="334"/>
      <c r="QEF243" s="334"/>
      <c r="QEG243" s="334"/>
      <c r="QEH243" s="334"/>
      <c r="QEI243" s="334"/>
      <c r="QEJ243" s="334"/>
      <c r="QEK243" s="334"/>
      <c r="QEL243" s="334"/>
      <c r="QEM243" s="334"/>
      <c r="QEN243" s="334"/>
      <c r="QEO243" s="334"/>
      <c r="QEP243" s="334"/>
      <c r="QEQ243" s="334"/>
      <c r="QER243" s="334"/>
      <c r="QES243" s="334"/>
      <c r="QET243" s="334"/>
      <c r="QEU243" s="334"/>
      <c r="QEV243" s="334"/>
      <c r="QEW243" s="334"/>
      <c r="QEX243" s="334"/>
      <c r="QEY243" s="334"/>
      <c r="QEZ243" s="334"/>
      <c r="QFA243" s="334"/>
      <c r="QFB243" s="334"/>
      <c r="QFC243" s="334"/>
      <c r="QFD243" s="334"/>
      <c r="QFE243" s="334"/>
      <c r="QFF243" s="334"/>
      <c r="QFG243" s="334"/>
      <c r="QFH243" s="334"/>
      <c r="QFI243" s="334"/>
      <c r="QFJ243" s="334"/>
      <c r="QFK243" s="334"/>
      <c r="QFL243" s="334"/>
      <c r="QFM243" s="334"/>
      <c r="QFN243" s="334"/>
      <c r="QFO243" s="334"/>
      <c r="QFP243" s="334"/>
      <c r="QFQ243" s="334"/>
      <c r="QFR243" s="334"/>
      <c r="QFS243" s="334"/>
      <c r="QFT243" s="334"/>
      <c r="QFU243" s="334"/>
      <c r="QFV243" s="334"/>
      <c r="QFW243" s="334"/>
      <c r="QFX243" s="334"/>
      <c r="QFY243" s="334"/>
      <c r="QFZ243" s="334"/>
      <c r="QGA243" s="334"/>
      <c r="QGB243" s="334"/>
      <c r="QGC243" s="334"/>
      <c r="QGD243" s="334"/>
      <c r="QGE243" s="334"/>
      <c r="QGF243" s="334"/>
      <c r="QGG243" s="334"/>
      <c r="QGH243" s="334"/>
      <c r="QGI243" s="334"/>
      <c r="QGJ243" s="334"/>
      <c r="QGK243" s="334"/>
      <c r="QGL243" s="334"/>
      <c r="QGM243" s="334"/>
      <c r="QGN243" s="334"/>
      <c r="QGO243" s="334"/>
      <c r="QGP243" s="334"/>
      <c r="QGQ243" s="334"/>
      <c r="QGR243" s="334"/>
      <c r="QGS243" s="334"/>
      <c r="QGT243" s="334"/>
      <c r="QGU243" s="334"/>
      <c r="QGV243" s="334"/>
      <c r="QGW243" s="334"/>
      <c r="QGX243" s="334"/>
      <c r="QGY243" s="334"/>
      <c r="QGZ243" s="334"/>
      <c r="QHA243" s="334"/>
      <c r="QHB243" s="334"/>
      <c r="QHC243" s="334"/>
      <c r="QHD243" s="334"/>
      <c r="QHE243" s="334"/>
      <c r="QHF243" s="334"/>
      <c r="QHG243" s="334"/>
      <c r="QHH243" s="334"/>
      <c r="QHI243" s="334"/>
      <c r="QHJ243" s="334"/>
      <c r="QHK243" s="334"/>
      <c r="QHL243" s="334"/>
      <c r="QHM243" s="334"/>
      <c r="QHN243" s="334"/>
      <c r="QHO243" s="334"/>
      <c r="QHP243" s="334"/>
      <c r="QHQ243" s="334"/>
      <c r="QHR243" s="334"/>
      <c r="QHS243" s="334"/>
      <c r="QHT243" s="334"/>
      <c r="QHU243" s="334"/>
      <c r="QHV243" s="334"/>
      <c r="QHW243" s="334"/>
      <c r="QHX243" s="334"/>
      <c r="QHY243" s="334"/>
      <c r="QHZ243" s="334"/>
      <c r="QIA243" s="334"/>
      <c r="QIB243" s="334"/>
      <c r="QIC243" s="334"/>
      <c r="QID243" s="334"/>
      <c r="QIE243" s="334"/>
      <c r="QIF243" s="334"/>
      <c r="QIG243" s="334"/>
      <c r="QIH243" s="334"/>
      <c r="QII243" s="334"/>
      <c r="QIJ243" s="334"/>
      <c r="QIK243" s="334"/>
      <c r="QIL243" s="334"/>
      <c r="QIM243" s="334"/>
      <c r="QIN243" s="334"/>
      <c r="QIO243" s="334"/>
      <c r="QIP243" s="334"/>
      <c r="QIQ243" s="334"/>
      <c r="QIR243" s="334"/>
      <c r="QIS243" s="334"/>
      <c r="QIT243" s="334"/>
      <c r="QIU243" s="334"/>
      <c r="QIV243" s="334"/>
      <c r="QIW243" s="334"/>
      <c r="QIX243" s="334"/>
      <c r="QIY243" s="334"/>
      <c r="QIZ243" s="334"/>
      <c r="QJA243" s="334"/>
      <c r="QJB243" s="334"/>
      <c r="QJC243" s="334"/>
      <c r="QJD243" s="334"/>
      <c r="QJE243" s="334"/>
      <c r="QJF243" s="334"/>
      <c r="QJG243" s="334"/>
      <c r="QJH243" s="334"/>
      <c r="QJI243" s="334"/>
      <c r="QJJ243" s="334"/>
      <c r="QJK243" s="334"/>
      <c r="QJL243" s="334"/>
      <c r="QJM243" s="334"/>
      <c r="QJN243" s="334"/>
      <c r="QJO243" s="334"/>
      <c r="QJP243" s="334"/>
      <c r="QJQ243" s="334"/>
      <c r="QJR243" s="334"/>
      <c r="QJS243" s="334"/>
      <c r="QJT243" s="334"/>
      <c r="QJU243" s="334"/>
      <c r="QJV243" s="334"/>
      <c r="QJW243" s="334"/>
      <c r="QJX243" s="334"/>
      <c r="QJY243" s="334"/>
      <c r="QJZ243" s="334"/>
      <c r="QKA243" s="334"/>
      <c r="QKB243" s="334"/>
      <c r="QKC243" s="334"/>
      <c r="QKD243" s="334"/>
      <c r="QKE243" s="334"/>
      <c r="QKF243" s="334"/>
      <c r="QKG243" s="334"/>
      <c r="QKH243" s="334"/>
      <c r="QKI243" s="334"/>
      <c r="QKJ243" s="334"/>
      <c r="QKK243" s="334"/>
      <c r="QKL243" s="334"/>
      <c r="QKM243" s="334"/>
      <c r="QKN243" s="334"/>
      <c r="QKO243" s="334"/>
      <c r="QKP243" s="334"/>
      <c r="QKQ243" s="334"/>
      <c r="QKR243" s="334"/>
      <c r="QKS243" s="334"/>
      <c r="QKT243" s="334"/>
      <c r="QKU243" s="334"/>
      <c r="QKV243" s="334"/>
      <c r="QKW243" s="334"/>
      <c r="QKX243" s="334"/>
      <c r="QKY243" s="334"/>
      <c r="QKZ243" s="334"/>
      <c r="QLA243" s="334"/>
      <c r="QLB243" s="334"/>
      <c r="QLC243" s="334"/>
      <c r="QLD243" s="334"/>
      <c r="QLE243" s="334"/>
      <c r="QLF243" s="334"/>
      <c r="QLG243" s="334"/>
      <c r="QLH243" s="334"/>
      <c r="QLI243" s="334"/>
      <c r="QLJ243" s="334"/>
      <c r="QLK243" s="334"/>
      <c r="QLL243" s="334"/>
      <c r="QLM243" s="334"/>
      <c r="QLN243" s="334"/>
      <c r="QLO243" s="334"/>
      <c r="QLP243" s="334"/>
      <c r="QLQ243" s="334"/>
      <c r="QLR243" s="334"/>
      <c r="QLS243" s="334"/>
      <c r="QLT243" s="334"/>
      <c r="QLU243" s="334"/>
      <c r="QLV243" s="334"/>
      <c r="QLW243" s="334"/>
      <c r="QLX243" s="334"/>
      <c r="QLY243" s="334"/>
      <c r="QLZ243" s="334"/>
      <c r="QMA243" s="334"/>
      <c r="QMB243" s="334"/>
      <c r="QMC243" s="334"/>
      <c r="QMD243" s="334"/>
      <c r="QME243" s="334"/>
      <c r="QMF243" s="334"/>
      <c r="QMG243" s="334"/>
      <c r="QMH243" s="334"/>
      <c r="QMI243" s="334"/>
      <c r="QMJ243" s="334"/>
      <c r="QMK243" s="334"/>
      <c r="QML243" s="334"/>
      <c r="QMM243" s="334"/>
      <c r="QMN243" s="334"/>
      <c r="QMO243" s="334"/>
      <c r="QMP243" s="334"/>
      <c r="QMQ243" s="334"/>
      <c r="QMR243" s="334"/>
      <c r="QMS243" s="334"/>
      <c r="QMT243" s="334"/>
      <c r="QMU243" s="334"/>
      <c r="QMV243" s="334"/>
      <c r="QMW243" s="334"/>
      <c r="QMX243" s="334"/>
      <c r="QMY243" s="334"/>
      <c r="QMZ243" s="334"/>
      <c r="QNA243" s="334"/>
      <c r="QNB243" s="334"/>
      <c r="QNC243" s="334"/>
      <c r="QND243" s="334"/>
      <c r="QNE243" s="334"/>
      <c r="QNF243" s="334"/>
      <c r="QNG243" s="334"/>
      <c r="QNH243" s="334"/>
      <c r="QNI243" s="334"/>
      <c r="QNJ243" s="334"/>
      <c r="QNK243" s="334"/>
      <c r="QNL243" s="334"/>
      <c r="QNM243" s="334"/>
      <c r="QNN243" s="334"/>
      <c r="QNO243" s="334"/>
      <c r="QNP243" s="334"/>
      <c r="QNQ243" s="334"/>
      <c r="QNR243" s="334"/>
      <c r="QNS243" s="334"/>
      <c r="QNT243" s="334"/>
      <c r="QNU243" s="334"/>
      <c r="QNV243" s="334"/>
      <c r="QNW243" s="334"/>
      <c r="QNX243" s="334"/>
      <c r="QNY243" s="334"/>
      <c r="QNZ243" s="334"/>
      <c r="QOA243" s="334"/>
      <c r="QOB243" s="334"/>
      <c r="QOC243" s="334"/>
      <c r="QOD243" s="334"/>
      <c r="QOE243" s="334"/>
      <c r="QOF243" s="334"/>
      <c r="QOG243" s="334"/>
      <c r="QOH243" s="334"/>
      <c r="QOI243" s="334"/>
      <c r="QOJ243" s="334"/>
      <c r="QOK243" s="334"/>
      <c r="QOL243" s="334"/>
      <c r="QOM243" s="334"/>
      <c r="QON243" s="334"/>
      <c r="QOO243" s="334"/>
      <c r="QOP243" s="334"/>
      <c r="QOQ243" s="334"/>
      <c r="QOR243" s="334"/>
      <c r="QOS243" s="334"/>
      <c r="QOT243" s="334"/>
      <c r="QOU243" s="334"/>
      <c r="QOV243" s="334"/>
      <c r="QOW243" s="334"/>
      <c r="QOX243" s="334"/>
      <c r="QOY243" s="334"/>
      <c r="QOZ243" s="334"/>
      <c r="QPA243" s="334"/>
      <c r="QPB243" s="334"/>
      <c r="QPC243" s="334"/>
      <c r="QPD243" s="334"/>
      <c r="QPE243" s="334"/>
      <c r="QPF243" s="334"/>
      <c r="QPG243" s="334"/>
      <c r="QPH243" s="334"/>
      <c r="QPI243" s="334"/>
      <c r="QPJ243" s="334"/>
      <c r="QPK243" s="334"/>
      <c r="QPL243" s="334"/>
      <c r="QPM243" s="334"/>
      <c r="QPN243" s="334"/>
      <c r="QPO243" s="334"/>
      <c r="QPP243" s="334"/>
      <c r="QPQ243" s="334"/>
      <c r="QPR243" s="334"/>
      <c r="QPS243" s="334"/>
      <c r="QPT243" s="334"/>
      <c r="QPU243" s="334"/>
      <c r="QPV243" s="334"/>
      <c r="QPW243" s="334"/>
      <c r="QPX243" s="334"/>
      <c r="QPY243" s="334"/>
      <c r="QPZ243" s="334"/>
      <c r="QQA243" s="334"/>
      <c r="QQB243" s="334"/>
      <c r="QQC243" s="334"/>
      <c r="QQD243" s="334"/>
      <c r="QQE243" s="334"/>
      <c r="QQF243" s="334"/>
      <c r="QQG243" s="334"/>
      <c r="QQH243" s="334"/>
      <c r="QQI243" s="334"/>
      <c r="QQJ243" s="334"/>
      <c r="QQK243" s="334"/>
      <c r="QQL243" s="334"/>
      <c r="QQM243" s="334"/>
      <c r="QQN243" s="334"/>
      <c r="QQO243" s="334"/>
      <c r="QQP243" s="334"/>
      <c r="QQQ243" s="334"/>
      <c r="QQR243" s="334"/>
      <c r="QQS243" s="334"/>
      <c r="QQT243" s="334"/>
      <c r="QQU243" s="334"/>
      <c r="QQV243" s="334"/>
      <c r="QQW243" s="334"/>
      <c r="QQX243" s="334"/>
      <c r="QQY243" s="334"/>
      <c r="QQZ243" s="334"/>
      <c r="QRA243" s="334"/>
      <c r="QRB243" s="334"/>
      <c r="QRC243" s="334"/>
      <c r="QRD243" s="334"/>
      <c r="QRE243" s="334"/>
      <c r="QRF243" s="334"/>
      <c r="QRG243" s="334"/>
      <c r="QRH243" s="334"/>
      <c r="QRI243" s="334"/>
      <c r="QRJ243" s="334"/>
      <c r="QRK243" s="334"/>
      <c r="QRL243" s="334"/>
      <c r="QRM243" s="334"/>
      <c r="QRN243" s="334"/>
      <c r="QRO243" s="334"/>
      <c r="QRP243" s="334"/>
      <c r="QRQ243" s="334"/>
      <c r="QRR243" s="334"/>
      <c r="QRS243" s="334"/>
      <c r="QRT243" s="334"/>
      <c r="QRU243" s="334"/>
      <c r="QRV243" s="334"/>
      <c r="QRW243" s="334"/>
      <c r="QRX243" s="334"/>
      <c r="QRY243" s="334"/>
      <c r="QRZ243" s="334"/>
      <c r="QSA243" s="334"/>
      <c r="QSB243" s="334"/>
      <c r="QSC243" s="334"/>
      <c r="QSD243" s="334"/>
      <c r="QSE243" s="334"/>
      <c r="QSF243" s="334"/>
      <c r="QSG243" s="334"/>
      <c r="QSH243" s="334"/>
      <c r="QSI243" s="334"/>
      <c r="QSJ243" s="334"/>
      <c r="QSK243" s="334"/>
      <c r="QSL243" s="334"/>
      <c r="QSM243" s="334"/>
      <c r="QSN243" s="334"/>
      <c r="QSO243" s="334"/>
      <c r="QSP243" s="334"/>
      <c r="QSQ243" s="334"/>
      <c r="QSR243" s="334"/>
      <c r="QSS243" s="334"/>
      <c r="QST243" s="334"/>
      <c r="QSU243" s="334"/>
      <c r="QSV243" s="334"/>
      <c r="QSW243" s="334"/>
      <c r="QSX243" s="334"/>
      <c r="QSY243" s="334"/>
      <c r="QSZ243" s="334"/>
      <c r="QTA243" s="334"/>
      <c r="QTB243" s="334"/>
      <c r="QTC243" s="334"/>
      <c r="QTD243" s="334"/>
      <c r="QTE243" s="334"/>
      <c r="QTF243" s="334"/>
      <c r="QTG243" s="334"/>
      <c r="QTH243" s="334"/>
      <c r="QTI243" s="334"/>
      <c r="QTJ243" s="334"/>
      <c r="QTK243" s="334"/>
      <c r="QTL243" s="334"/>
      <c r="QTM243" s="334"/>
      <c r="QTN243" s="334"/>
      <c r="QTO243" s="334"/>
      <c r="QTP243" s="334"/>
      <c r="QTQ243" s="334"/>
      <c r="QTR243" s="334"/>
      <c r="QTS243" s="334"/>
      <c r="QTT243" s="334"/>
      <c r="QTU243" s="334"/>
      <c r="QTV243" s="334"/>
      <c r="QTW243" s="334"/>
      <c r="QTX243" s="334"/>
      <c r="QTY243" s="334"/>
      <c r="QTZ243" s="334"/>
      <c r="QUA243" s="334"/>
      <c r="QUB243" s="334"/>
      <c r="QUC243" s="334"/>
      <c r="QUD243" s="334"/>
      <c r="QUE243" s="334"/>
      <c r="QUF243" s="334"/>
      <c r="QUG243" s="334"/>
      <c r="QUH243" s="334"/>
      <c r="QUI243" s="334"/>
      <c r="QUJ243" s="334"/>
      <c r="QUK243" s="334"/>
      <c r="QUL243" s="334"/>
      <c r="QUM243" s="334"/>
      <c r="QUN243" s="334"/>
      <c r="QUO243" s="334"/>
      <c r="QUP243" s="334"/>
      <c r="QUQ243" s="334"/>
      <c r="QUR243" s="334"/>
      <c r="QUS243" s="334"/>
      <c r="QUT243" s="334"/>
      <c r="QUU243" s="334"/>
      <c r="QUV243" s="334"/>
      <c r="QUW243" s="334"/>
      <c r="QUX243" s="334"/>
      <c r="QUY243" s="334"/>
      <c r="QUZ243" s="334"/>
      <c r="QVA243" s="334"/>
      <c r="QVB243" s="334"/>
      <c r="QVC243" s="334"/>
      <c r="QVD243" s="334"/>
      <c r="QVE243" s="334"/>
      <c r="QVF243" s="334"/>
      <c r="QVG243" s="334"/>
      <c r="QVH243" s="334"/>
      <c r="QVI243" s="334"/>
      <c r="QVJ243" s="334"/>
      <c r="QVK243" s="334"/>
      <c r="QVL243" s="334"/>
      <c r="QVM243" s="334"/>
      <c r="QVN243" s="334"/>
      <c r="QVO243" s="334"/>
      <c r="QVP243" s="334"/>
      <c r="QVQ243" s="334"/>
      <c r="QVR243" s="334"/>
      <c r="QVS243" s="334"/>
      <c r="QVT243" s="334"/>
      <c r="QVU243" s="334"/>
      <c r="QVV243" s="334"/>
      <c r="QVW243" s="334"/>
      <c r="QVX243" s="334"/>
      <c r="QVY243" s="334"/>
      <c r="QVZ243" s="334"/>
      <c r="QWA243" s="334"/>
      <c r="QWB243" s="334"/>
      <c r="QWC243" s="334"/>
      <c r="QWD243" s="334"/>
      <c r="QWE243" s="334"/>
      <c r="QWF243" s="334"/>
      <c r="QWG243" s="334"/>
      <c r="QWH243" s="334"/>
      <c r="QWI243" s="334"/>
      <c r="QWJ243" s="334"/>
      <c r="QWK243" s="334"/>
      <c r="QWL243" s="334"/>
      <c r="QWM243" s="334"/>
      <c r="QWN243" s="334"/>
      <c r="QWO243" s="334"/>
      <c r="QWP243" s="334"/>
      <c r="QWQ243" s="334"/>
      <c r="QWR243" s="334"/>
      <c r="QWS243" s="334"/>
      <c r="QWT243" s="334"/>
      <c r="QWU243" s="334"/>
      <c r="QWV243" s="334"/>
      <c r="QWW243" s="334"/>
      <c r="QWX243" s="334"/>
      <c r="QWY243" s="334"/>
      <c r="QWZ243" s="334"/>
      <c r="QXA243" s="334"/>
      <c r="QXB243" s="334"/>
      <c r="QXC243" s="334"/>
      <c r="QXD243" s="334"/>
      <c r="QXE243" s="334"/>
      <c r="QXF243" s="334"/>
      <c r="QXG243" s="334"/>
      <c r="QXH243" s="334"/>
      <c r="QXI243" s="334"/>
      <c r="QXJ243" s="334"/>
      <c r="QXK243" s="334"/>
      <c r="QXL243" s="334"/>
      <c r="QXM243" s="334"/>
      <c r="QXN243" s="334"/>
      <c r="QXO243" s="334"/>
      <c r="QXP243" s="334"/>
      <c r="QXQ243" s="334"/>
      <c r="QXR243" s="334"/>
      <c r="QXS243" s="334"/>
      <c r="QXT243" s="334"/>
      <c r="QXU243" s="334"/>
      <c r="QXV243" s="334"/>
      <c r="QXW243" s="334"/>
      <c r="QXX243" s="334"/>
      <c r="QXY243" s="334"/>
      <c r="QXZ243" s="334"/>
      <c r="QYA243" s="334"/>
      <c r="QYB243" s="334"/>
      <c r="QYC243" s="334"/>
      <c r="QYD243" s="334"/>
      <c r="QYE243" s="334"/>
      <c r="QYF243" s="334"/>
      <c r="QYG243" s="334"/>
      <c r="QYH243" s="334"/>
      <c r="QYI243" s="334"/>
      <c r="QYJ243" s="334"/>
      <c r="QYK243" s="334"/>
      <c r="QYL243" s="334"/>
      <c r="QYM243" s="334"/>
      <c r="QYN243" s="334"/>
      <c r="QYO243" s="334"/>
      <c r="QYP243" s="334"/>
      <c r="QYQ243" s="334"/>
      <c r="QYR243" s="334"/>
      <c r="QYS243" s="334"/>
      <c r="QYT243" s="334"/>
      <c r="QYU243" s="334"/>
      <c r="QYV243" s="334"/>
      <c r="QYW243" s="334"/>
      <c r="QYX243" s="334"/>
      <c r="QYY243" s="334"/>
      <c r="QYZ243" s="334"/>
      <c r="QZA243" s="334"/>
      <c r="QZB243" s="334"/>
      <c r="QZC243" s="334"/>
      <c r="QZD243" s="334"/>
      <c r="QZE243" s="334"/>
      <c r="QZF243" s="334"/>
      <c r="QZG243" s="334"/>
      <c r="QZH243" s="334"/>
      <c r="QZI243" s="334"/>
      <c r="QZJ243" s="334"/>
      <c r="QZK243" s="334"/>
      <c r="QZL243" s="334"/>
      <c r="QZM243" s="334"/>
      <c r="QZN243" s="334"/>
      <c r="QZO243" s="334"/>
      <c r="QZP243" s="334"/>
      <c r="QZQ243" s="334"/>
      <c r="QZR243" s="334"/>
      <c r="QZS243" s="334"/>
      <c r="QZT243" s="334"/>
      <c r="QZU243" s="334"/>
      <c r="QZV243" s="334"/>
      <c r="QZW243" s="334"/>
      <c r="QZX243" s="334"/>
      <c r="QZY243" s="334"/>
      <c r="QZZ243" s="334"/>
      <c r="RAA243" s="334"/>
      <c r="RAB243" s="334"/>
      <c r="RAC243" s="334"/>
      <c r="RAD243" s="334"/>
      <c r="RAE243" s="334"/>
      <c r="RAF243" s="334"/>
      <c r="RAG243" s="334"/>
      <c r="RAH243" s="334"/>
      <c r="RAI243" s="334"/>
      <c r="RAJ243" s="334"/>
      <c r="RAK243" s="334"/>
      <c r="RAL243" s="334"/>
      <c r="RAM243" s="334"/>
      <c r="RAN243" s="334"/>
      <c r="RAO243" s="334"/>
      <c r="RAP243" s="334"/>
      <c r="RAQ243" s="334"/>
      <c r="RAR243" s="334"/>
      <c r="RAS243" s="334"/>
      <c r="RAT243" s="334"/>
      <c r="RAU243" s="334"/>
      <c r="RAV243" s="334"/>
      <c r="RAW243" s="334"/>
      <c r="RAX243" s="334"/>
      <c r="RAY243" s="334"/>
      <c r="RAZ243" s="334"/>
      <c r="RBA243" s="334"/>
      <c r="RBB243" s="334"/>
      <c r="RBC243" s="334"/>
      <c r="RBD243" s="334"/>
      <c r="RBE243" s="334"/>
      <c r="RBF243" s="334"/>
      <c r="RBG243" s="334"/>
      <c r="RBH243" s="334"/>
      <c r="RBI243" s="334"/>
      <c r="RBJ243" s="334"/>
      <c r="RBK243" s="334"/>
      <c r="RBL243" s="334"/>
      <c r="RBM243" s="334"/>
      <c r="RBN243" s="334"/>
      <c r="RBO243" s="334"/>
      <c r="RBP243" s="334"/>
      <c r="RBQ243" s="334"/>
      <c r="RBR243" s="334"/>
      <c r="RBS243" s="334"/>
      <c r="RBT243" s="334"/>
      <c r="RBU243" s="334"/>
      <c r="RBV243" s="334"/>
      <c r="RBW243" s="334"/>
      <c r="RBX243" s="334"/>
      <c r="RBY243" s="334"/>
      <c r="RBZ243" s="334"/>
      <c r="RCA243" s="334"/>
      <c r="RCB243" s="334"/>
      <c r="RCC243" s="334"/>
      <c r="RCD243" s="334"/>
      <c r="RCE243" s="334"/>
      <c r="RCF243" s="334"/>
      <c r="RCG243" s="334"/>
      <c r="RCH243" s="334"/>
      <c r="RCI243" s="334"/>
      <c r="RCJ243" s="334"/>
      <c r="RCK243" s="334"/>
      <c r="RCL243" s="334"/>
      <c r="RCM243" s="334"/>
      <c r="RCN243" s="334"/>
      <c r="RCO243" s="334"/>
      <c r="RCP243" s="334"/>
      <c r="RCQ243" s="334"/>
      <c r="RCR243" s="334"/>
      <c r="RCS243" s="334"/>
      <c r="RCT243" s="334"/>
      <c r="RCU243" s="334"/>
      <c r="RCV243" s="334"/>
      <c r="RCW243" s="334"/>
      <c r="RCX243" s="334"/>
      <c r="RCY243" s="334"/>
      <c r="RCZ243" s="334"/>
      <c r="RDA243" s="334"/>
      <c r="RDB243" s="334"/>
      <c r="RDC243" s="334"/>
      <c r="RDD243" s="334"/>
      <c r="RDE243" s="334"/>
      <c r="RDF243" s="334"/>
      <c r="RDG243" s="334"/>
      <c r="RDH243" s="334"/>
      <c r="RDI243" s="334"/>
      <c r="RDJ243" s="334"/>
      <c r="RDK243" s="334"/>
      <c r="RDL243" s="334"/>
      <c r="RDM243" s="334"/>
      <c r="RDN243" s="334"/>
      <c r="RDO243" s="334"/>
      <c r="RDP243" s="334"/>
      <c r="RDQ243" s="334"/>
      <c r="RDR243" s="334"/>
      <c r="RDS243" s="334"/>
      <c r="RDT243" s="334"/>
      <c r="RDU243" s="334"/>
      <c r="RDV243" s="334"/>
      <c r="RDW243" s="334"/>
      <c r="RDX243" s="334"/>
      <c r="RDY243" s="334"/>
      <c r="RDZ243" s="334"/>
      <c r="REA243" s="334"/>
      <c r="REB243" s="334"/>
      <c r="REC243" s="334"/>
      <c r="RED243" s="334"/>
      <c r="REE243" s="334"/>
      <c r="REF243" s="334"/>
      <c r="REG243" s="334"/>
      <c r="REH243" s="334"/>
      <c r="REI243" s="334"/>
      <c r="REJ243" s="334"/>
      <c r="REK243" s="334"/>
      <c r="REL243" s="334"/>
      <c r="REM243" s="334"/>
      <c r="REN243" s="334"/>
      <c r="REO243" s="334"/>
      <c r="REP243" s="334"/>
      <c r="REQ243" s="334"/>
      <c r="RER243" s="334"/>
      <c r="RES243" s="334"/>
      <c r="RET243" s="334"/>
      <c r="REU243" s="334"/>
      <c r="REV243" s="334"/>
      <c r="REW243" s="334"/>
      <c r="REX243" s="334"/>
      <c r="REY243" s="334"/>
      <c r="REZ243" s="334"/>
      <c r="RFA243" s="334"/>
      <c r="RFB243" s="334"/>
      <c r="RFC243" s="334"/>
      <c r="RFD243" s="334"/>
      <c r="RFE243" s="334"/>
      <c r="RFF243" s="334"/>
      <c r="RFG243" s="334"/>
      <c r="RFH243" s="334"/>
      <c r="RFI243" s="334"/>
      <c r="RFJ243" s="334"/>
      <c r="RFK243" s="334"/>
      <c r="RFL243" s="334"/>
      <c r="RFM243" s="334"/>
      <c r="RFN243" s="334"/>
      <c r="RFO243" s="334"/>
      <c r="RFP243" s="334"/>
      <c r="RFQ243" s="334"/>
      <c r="RFR243" s="334"/>
      <c r="RFS243" s="334"/>
      <c r="RFT243" s="334"/>
      <c r="RFU243" s="334"/>
      <c r="RFV243" s="334"/>
      <c r="RFW243" s="334"/>
      <c r="RFX243" s="334"/>
      <c r="RFY243" s="334"/>
      <c r="RFZ243" s="334"/>
      <c r="RGA243" s="334"/>
      <c r="RGB243" s="334"/>
      <c r="RGC243" s="334"/>
      <c r="RGD243" s="334"/>
      <c r="RGE243" s="334"/>
      <c r="RGF243" s="334"/>
      <c r="RGG243" s="334"/>
      <c r="RGH243" s="334"/>
      <c r="RGI243" s="334"/>
      <c r="RGJ243" s="334"/>
      <c r="RGK243" s="334"/>
      <c r="RGL243" s="334"/>
      <c r="RGM243" s="334"/>
      <c r="RGN243" s="334"/>
      <c r="RGO243" s="334"/>
      <c r="RGP243" s="334"/>
      <c r="RGQ243" s="334"/>
      <c r="RGR243" s="334"/>
      <c r="RGS243" s="334"/>
      <c r="RGT243" s="334"/>
      <c r="RGU243" s="334"/>
      <c r="RGV243" s="334"/>
      <c r="RGW243" s="334"/>
      <c r="RGX243" s="334"/>
      <c r="RGY243" s="334"/>
      <c r="RGZ243" s="334"/>
      <c r="RHA243" s="334"/>
      <c r="RHB243" s="334"/>
      <c r="RHC243" s="334"/>
      <c r="RHD243" s="334"/>
      <c r="RHE243" s="334"/>
      <c r="RHF243" s="334"/>
      <c r="RHG243" s="334"/>
      <c r="RHH243" s="334"/>
      <c r="RHI243" s="334"/>
      <c r="RHJ243" s="334"/>
      <c r="RHK243" s="334"/>
      <c r="RHL243" s="334"/>
      <c r="RHM243" s="334"/>
      <c r="RHN243" s="334"/>
      <c r="RHO243" s="334"/>
      <c r="RHP243" s="334"/>
      <c r="RHQ243" s="334"/>
      <c r="RHR243" s="334"/>
      <c r="RHS243" s="334"/>
      <c r="RHT243" s="334"/>
      <c r="RHU243" s="334"/>
      <c r="RHV243" s="334"/>
      <c r="RHW243" s="334"/>
      <c r="RHX243" s="334"/>
      <c r="RHY243" s="334"/>
      <c r="RHZ243" s="334"/>
      <c r="RIA243" s="334"/>
      <c r="RIB243" s="334"/>
      <c r="RIC243" s="334"/>
      <c r="RID243" s="334"/>
      <c r="RIE243" s="334"/>
      <c r="RIF243" s="334"/>
      <c r="RIG243" s="334"/>
      <c r="RIH243" s="334"/>
      <c r="RII243" s="334"/>
      <c r="RIJ243" s="334"/>
      <c r="RIK243" s="334"/>
      <c r="RIL243" s="334"/>
      <c r="RIM243" s="334"/>
      <c r="RIN243" s="334"/>
      <c r="RIO243" s="334"/>
      <c r="RIP243" s="334"/>
      <c r="RIQ243" s="334"/>
      <c r="RIR243" s="334"/>
      <c r="RIS243" s="334"/>
      <c r="RIT243" s="334"/>
      <c r="RIU243" s="334"/>
      <c r="RIV243" s="334"/>
      <c r="RIW243" s="334"/>
      <c r="RIX243" s="334"/>
      <c r="RIY243" s="334"/>
      <c r="RIZ243" s="334"/>
      <c r="RJA243" s="334"/>
      <c r="RJB243" s="334"/>
      <c r="RJC243" s="334"/>
      <c r="RJD243" s="334"/>
      <c r="RJE243" s="334"/>
      <c r="RJF243" s="334"/>
      <c r="RJG243" s="334"/>
      <c r="RJH243" s="334"/>
      <c r="RJI243" s="334"/>
      <c r="RJJ243" s="334"/>
      <c r="RJK243" s="334"/>
      <c r="RJL243" s="334"/>
      <c r="RJM243" s="334"/>
      <c r="RJN243" s="334"/>
      <c r="RJO243" s="334"/>
      <c r="RJP243" s="334"/>
      <c r="RJQ243" s="334"/>
      <c r="RJR243" s="334"/>
      <c r="RJS243" s="334"/>
      <c r="RJT243" s="334"/>
      <c r="RJU243" s="334"/>
      <c r="RJV243" s="334"/>
      <c r="RJW243" s="334"/>
      <c r="RJX243" s="334"/>
      <c r="RJY243" s="334"/>
      <c r="RJZ243" s="334"/>
      <c r="RKA243" s="334"/>
      <c r="RKB243" s="334"/>
      <c r="RKC243" s="334"/>
      <c r="RKD243" s="334"/>
      <c r="RKE243" s="334"/>
      <c r="RKF243" s="334"/>
      <c r="RKG243" s="334"/>
      <c r="RKH243" s="334"/>
      <c r="RKI243" s="334"/>
      <c r="RKJ243" s="334"/>
      <c r="RKK243" s="334"/>
      <c r="RKL243" s="334"/>
      <c r="RKM243" s="334"/>
      <c r="RKN243" s="334"/>
      <c r="RKO243" s="334"/>
      <c r="RKP243" s="334"/>
      <c r="RKQ243" s="334"/>
      <c r="RKR243" s="334"/>
      <c r="RKS243" s="334"/>
      <c r="RKT243" s="334"/>
      <c r="RKU243" s="334"/>
      <c r="RKV243" s="334"/>
      <c r="RKW243" s="334"/>
      <c r="RKX243" s="334"/>
      <c r="RKY243" s="334"/>
      <c r="RKZ243" s="334"/>
      <c r="RLA243" s="334"/>
      <c r="RLB243" s="334"/>
      <c r="RLC243" s="334"/>
      <c r="RLD243" s="334"/>
      <c r="RLE243" s="334"/>
      <c r="RLF243" s="334"/>
      <c r="RLG243" s="334"/>
      <c r="RLH243" s="334"/>
      <c r="RLI243" s="334"/>
      <c r="RLJ243" s="334"/>
      <c r="RLK243" s="334"/>
      <c r="RLL243" s="334"/>
      <c r="RLM243" s="334"/>
      <c r="RLN243" s="334"/>
      <c r="RLO243" s="334"/>
      <c r="RLP243" s="334"/>
      <c r="RLQ243" s="334"/>
      <c r="RLR243" s="334"/>
      <c r="RLS243" s="334"/>
      <c r="RLT243" s="334"/>
      <c r="RLU243" s="334"/>
      <c r="RLV243" s="334"/>
      <c r="RLW243" s="334"/>
      <c r="RLX243" s="334"/>
      <c r="RLY243" s="334"/>
      <c r="RLZ243" s="334"/>
      <c r="RMA243" s="334"/>
      <c r="RMB243" s="334"/>
      <c r="RMC243" s="334"/>
      <c r="RMD243" s="334"/>
      <c r="RME243" s="334"/>
      <c r="RMF243" s="334"/>
      <c r="RMG243" s="334"/>
      <c r="RMH243" s="334"/>
      <c r="RMI243" s="334"/>
      <c r="RMJ243" s="334"/>
      <c r="RMK243" s="334"/>
      <c r="RML243" s="334"/>
      <c r="RMM243" s="334"/>
      <c r="RMN243" s="334"/>
      <c r="RMO243" s="334"/>
      <c r="RMP243" s="334"/>
      <c r="RMQ243" s="334"/>
      <c r="RMR243" s="334"/>
      <c r="RMS243" s="334"/>
      <c r="RMT243" s="334"/>
      <c r="RMU243" s="334"/>
      <c r="RMV243" s="334"/>
      <c r="RMW243" s="334"/>
      <c r="RMX243" s="334"/>
      <c r="RMY243" s="334"/>
      <c r="RMZ243" s="334"/>
      <c r="RNA243" s="334"/>
      <c r="RNB243" s="334"/>
      <c r="RNC243" s="334"/>
      <c r="RND243" s="334"/>
      <c r="RNE243" s="334"/>
      <c r="RNF243" s="334"/>
      <c r="RNG243" s="334"/>
      <c r="RNH243" s="334"/>
      <c r="RNI243" s="334"/>
      <c r="RNJ243" s="334"/>
      <c r="RNK243" s="334"/>
      <c r="RNL243" s="334"/>
      <c r="RNM243" s="334"/>
      <c r="RNN243" s="334"/>
      <c r="RNO243" s="334"/>
      <c r="RNP243" s="334"/>
      <c r="RNQ243" s="334"/>
      <c r="RNR243" s="334"/>
      <c r="RNS243" s="334"/>
      <c r="RNT243" s="334"/>
      <c r="RNU243" s="334"/>
      <c r="RNV243" s="334"/>
      <c r="RNW243" s="334"/>
      <c r="RNX243" s="334"/>
      <c r="RNY243" s="334"/>
      <c r="RNZ243" s="334"/>
      <c r="ROA243" s="334"/>
      <c r="ROB243" s="334"/>
      <c r="ROC243" s="334"/>
      <c r="ROD243" s="334"/>
      <c r="ROE243" s="334"/>
      <c r="ROF243" s="334"/>
      <c r="ROG243" s="334"/>
      <c r="ROH243" s="334"/>
      <c r="ROI243" s="334"/>
      <c r="ROJ243" s="334"/>
      <c r="ROK243" s="334"/>
      <c r="ROL243" s="334"/>
      <c r="ROM243" s="334"/>
      <c r="RON243" s="334"/>
      <c r="ROO243" s="334"/>
      <c r="ROP243" s="334"/>
      <c r="ROQ243" s="334"/>
      <c r="ROR243" s="334"/>
      <c r="ROS243" s="334"/>
      <c r="ROT243" s="334"/>
      <c r="ROU243" s="334"/>
      <c r="ROV243" s="334"/>
      <c r="ROW243" s="334"/>
      <c r="ROX243" s="334"/>
      <c r="ROY243" s="334"/>
      <c r="ROZ243" s="334"/>
      <c r="RPA243" s="334"/>
      <c r="RPB243" s="334"/>
      <c r="RPC243" s="334"/>
      <c r="RPD243" s="334"/>
      <c r="RPE243" s="334"/>
      <c r="RPF243" s="334"/>
      <c r="RPG243" s="334"/>
      <c r="RPH243" s="334"/>
      <c r="RPI243" s="334"/>
      <c r="RPJ243" s="334"/>
      <c r="RPK243" s="334"/>
      <c r="RPL243" s="334"/>
      <c r="RPM243" s="334"/>
      <c r="RPN243" s="334"/>
      <c r="RPO243" s="334"/>
      <c r="RPP243" s="334"/>
      <c r="RPQ243" s="334"/>
      <c r="RPR243" s="334"/>
      <c r="RPS243" s="334"/>
      <c r="RPT243" s="334"/>
      <c r="RPU243" s="334"/>
      <c r="RPV243" s="334"/>
      <c r="RPW243" s="334"/>
      <c r="RPX243" s="334"/>
      <c r="RPY243" s="334"/>
      <c r="RPZ243" s="334"/>
      <c r="RQA243" s="334"/>
      <c r="RQB243" s="334"/>
      <c r="RQC243" s="334"/>
      <c r="RQD243" s="334"/>
      <c r="RQE243" s="334"/>
      <c r="RQF243" s="334"/>
      <c r="RQG243" s="334"/>
      <c r="RQH243" s="334"/>
      <c r="RQI243" s="334"/>
      <c r="RQJ243" s="334"/>
      <c r="RQK243" s="334"/>
      <c r="RQL243" s="334"/>
      <c r="RQM243" s="334"/>
      <c r="RQN243" s="334"/>
      <c r="RQO243" s="334"/>
      <c r="RQP243" s="334"/>
      <c r="RQQ243" s="334"/>
      <c r="RQR243" s="334"/>
      <c r="RQS243" s="334"/>
      <c r="RQT243" s="334"/>
      <c r="RQU243" s="334"/>
      <c r="RQV243" s="334"/>
      <c r="RQW243" s="334"/>
      <c r="RQX243" s="334"/>
      <c r="RQY243" s="334"/>
      <c r="RQZ243" s="334"/>
      <c r="RRA243" s="334"/>
      <c r="RRB243" s="334"/>
      <c r="RRC243" s="334"/>
      <c r="RRD243" s="334"/>
      <c r="RRE243" s="334"/>
      <c r="RRF243" s="334"/>
      <c r="RRG243" s="334"/>
      <c r="RRH243" s="334"/>
      <c r="RRI243" s="334"/>
      <c r="RRJ243" s="334"/>
      <c r="RRK243" s="334"/>
      <c r="RRL243" s="334"/>
      <c r="RRM243" s="334"/>
      <c r="RRN243" s="334"/>
      <c r="RRO243" s="334"/>
      <c r="RRP243" s="334"/>
      <c r="RRQ243" s="334"/>
      <c r="RRR243" s="334"/>
      <c r="RRS243" s="334"/>
      <c r="RRT243" s="334"/>
      <c r="RRU243" s="334"/>
      <c r="RRV243" s="334"/>
      <c r="RRW243" s="334"/>
      <c r="RRX243" s="334"/>
      <c r="RRY243" s="334"/>
      <c r="RRZ243" s="334"/>
      <c r="RSA243" s="334"/>
      <c r="RSB243" s="334"/>
      <c r="RSC243" s="334"/>
      <c r="RSD243" s="334"/>
      <c r="RSE243" s="334"/>
      <c r="RSF243" s="334"/>
      <c r="RSG243" s="334"/>
      <c r="RSH243" s="334"/>
      <c r="RSI243" s="334"/>
      <c r="RSJ243" s="334"/>
      <c r="RSK243" s="334"/>
      <c r="RSL243" s="334"/>
      <c r="RSM243" s="334"/>
      <c r="RSN243" s="334"/>
      <c r="RSO243" s="334"/>
      <c r="RSP243" s="334"/>
      <c r="RSQ243" s="334"/>
      <c r="RSR243" s="334"/>
      <c r="RSS243" s="334"/>
      <c r="RST243" s="334"/>
      <c r="RSU243" s="334"/>
      <c r="RSV243" s="334"/>
      <c r="RSW243" s="334"/>
      <c r="RSX243" s="334"/>
      <c r="RSY243" s="334"/>
      <c r="RSZ243" s="334"/>
      <c r="RTA243" s="334"/>
      <c r="RTB243" s="334"/>
      <c r="RTC243" s="334"/>
      <c r="RTD243" s="334"/>
      <c r="RTE243" s="334"/>
      <c r="RTF243" s="334"/>
      <c r="RTG243" s="334"/>
      <c r="RTH243" s="334"/>
      <c r="RTI243" s="334"/>
      <c r="RTJ243" s="334"/>
      <c r="RTK243" s="334"/>
      <c r="RTL243" s="334"/>
      <c r="RTM243" s="334"/>
      <c r="RTN243" s="334"/>
      <c r="RTO243" s="334"/>
      <c r="RTP243" s="334"/>
      <c r="RTQ243" s="334"/>
      <c r="RTR243" s="334"/>
      <c r="RTS243" s="334"/>
      <c r="RTT243" s="334"/>
      <c r="RTU243" s="334"/>
      <c r="RTV243" s="334"/>
      <c r="RTW243" s="334"/>
      <c r="RTX243" s="334"/>
      <c r="RTY243" s="334"/>
      <c r="RTZ243" s="334"/>
      <c r="RUA243" s="334"/>
      <c r="RUB243" s="334"/>
      <c r="RUC243" s="334"/>
      <c r="RUD243" s="334"/>
      <c r="RUE243" s="334"/>
      <c r="RUF243" s="334"/>
      <c r="RUG243" s="334"/>
      <c r="RUH243" s="334"/>
      <c r="RUI243" s="334"/>
      <c r="RUJ243" s="334"/>
      <c r="RUK243" s="334"/>
      <c r="RUL243" s="334"/>
      <c r="RUM243" s="334"/>
      <c r="RUN243" s="334"/>
      <c r="RUO243" s="334"/>
      <c r="RUP243" s="334"/>
      <c r="RUQ243" s="334"/>
      <c r="RUR243" s="334"/>
      <c r="RUS243" s="334"/>
      <c r="RUT243" s="334"/>
      <c r="RUU243" s="334"/>
      <c r="RUV243" s="334"/>
      <c r="RUW243" s="334"/>
      <c r="RUX243" s="334"/>
      <c r="RUY243" s="334"/>
      <c r="RUZ243" s="334"/>
      <c r="RVA243" s="334"/>
      <c r="RVB243" s="334"/>
      <c r="RVC243" s="334"/>
      <c r="RVD243" s="334"/>
      <c r="RVE243" s="334"/>
      <c r="RVF243" s="334"/>
      <c r="RVG243" s="334"/>
      <c r="RVH243" s="334"/>
      <c r="RVI243" s="334"/>
      <c r="RVJ243" s="334"/>
      <c r="RVK243" s="334"/>
      <c r="RVL243" s="334"/>
      <c r="RVM243" s="334"/>
      <c r="RVN243" s="334"/>
      <c r="RVO243" s="334"/>
      <c r="RVP243" s="334"/>
      <c r="RVQ243" s="334"/>
      <c r="RVR243" s="334"/>
      <c r="RVS243" s="334"/>
      <c r="RVT243" s="334"/>
      <c r="RVU243" s="334"/>
      <c r="RVV243" s="334"/>
      <c r="RVW243" s="334"/>
      <c r="RVX243" s="334"/>
      <c r="RVY243" s="334"/>
      <c r="RVZ243" s="334"/>
      <c r="RWA243" s="334"/>
      <c r="RWB243" s="334"/>
      <c r="RWC243" s="334"/>
      <c r="RWD243" s="334"/>
      <c r="RWE243" s="334"/>
      <c r="RWF243" s="334"/>
      <c r="RWG243" s="334"/>
      <c r="RWH243" s="334"/>
      <c r="RWI243" s="334"/>
      <c r="RWJ243" s="334"/>
      <c r="RWK243" s="334"/>
      <c r="RWL243" s="334"/>
      <c r="RWM243" s="334"/>
      <c r="RWN243" s="334"/>
      <c r="RWO243" s="334"/>
      <c r="RWP243" s="334"/>
      <c r="RWQ243" s="334"/>
      <c r="RWR243" s="334"/>
      <c r="RWS243" s="334"/>
      <c r="RWT243" s="334"/>
      <c r="RWU243" s="334"/>
      <c r="RWV243" s="334"/>
      <c r="RWW243" s="334"/>
      <c r="RWX243" s="334"/>
      <c r="RWY243" s="334"/>
      <c r="RWZ243" s="334"/>
      <c r="RXA243" s="334"/>
      <c r="RXB243" s="334"/>
      <c r="RXC243" s="334"/>
      <c r="RXD243" s="334"/>
      <c r="RXE243" s="334"/>
      <c r="RXF243" s="334"/>
      <c r="RXG243" s="334"/>
      <c r="RXH243" s="334"/>
      <c r="RXI243" s="334"/>
      <c r="RXJ243" s="334"/>
      <c r="RXK243" s="334"/>
      <c r="RXL243" s="334"/>
      <c r="RXM243" s="334"/>
      <c r="RXN243" s="334"/>
      <c r="RXO243" s="334"/>
      <c r="RXP243" s="334"/>
      <c r="RXQ243" s="334"/>
      <c r="RXR243" s="334"/>
      <c r="RXS243" s="334"/>
      <c r="RXT243" s="334"/>
      <c r="RXU243" s="334"/>
      <c r="RXV243" s="334"/>
      <c r="RXW243" s="334"/>
      <c r="RXX243" s="334"/>
      <c r="RXY243" s="334"/>
      <c r="RXZ243" s="334"/>
      <c r="RYA243" s="334"/>
      <c r="RYB243" s="334"/>
      <c r="RYC243" s="334"/>
      <c r="RYD243" s="334"/>
      <c r="RYE243" s="334"/>
      <c r="RYF243" s="334"/>
      <c r="RYG243" s="334"/>
      <c r="RYH243" s="334"/>
      <c r="RYI243" s="334"/>
      <c r="RYJ243" s="334"/>
      <c r="RYK243" s="334"/>
      <c r="RYL243" s="334"/>
      <c r="RYM243" s="334"/>
      <c r="RYN243" s="334"/>
      <c r="RYO243" s="334"/>
      <c r="RYP243" s="334"/>
      <c r="RYQ243" s="334"/>
      <c r="RYR243" s="334"/>
      <c r="RYS243" s="334"/>
      <c r="RYT243" s="334"/>
      <c r="RYU243" s="334"/>
      <c r="RYV243" s="334"/>
      <c r="RYW243" s="334"/>
      <c r="RYX243" s="334"/>
      <c r="RYY243" s="334"/>
      <c r="RYZ243" s="334"/>
      <c r="RZA243" s="334"/>
      <c r="RZB243" s="334"/>
      <c r="RZC243" s="334"/>
      <c r="RZD243" s="334"/>
      <c r="RZE243" s="334"/>
      <c r="RZF243" s="334"/>
      <c r="RZG243" s="334"/>
      <c r="RZH243" s="334"/>
      <c r="RZI243" s="334"/>
      <c r="RZJ243" s="334"/>
      <c r="RZK243" s="334"/>
      <c r="RZL243" s="334"/>
      <c r="RZM243" s="334"/>
      <c r="RZN243" s="334"/>
      <c r="RZO243" s="334"/>
      <c r="RZP243" s="334"/>
      <c r="RZQ243" s="334"/>
      <c r="RZR243" s="334"/>
      <c r="RZS243" s="334"/>
      <c r="RZT243" s="334"/>
      <c r="RZU243" s="334"/>
      <c r="RZV243" s="334"/>
      <c r="RZW243" s="334"/>
      <c r="RZX243" s="334"/>
      <c r="RZY243" s="334"/>
      <c r="RZZ243" s="334"/>
      <c r="SAA243" s="334"/>
      <c r="SAB243" s="334"/>
      <c r="SAC243" s="334"/>
      <c r="SAD243" s="334"/>
      <c r="SAE243" s="334"/>
      <c r="SAF243" s="334"/>
      <c r="SAG243" s="334"/>
      <c r="SAH243" s="334"/>
      <c r="SAI243" s="334"/>
      <c r="SAJ243" s="334"/>
      <c r="SAK243" s="334"/>
      <c r="SAL243" s="334"/>
      <c r="SAM243" s="334"/>
      <c r="SAN243" s="334"/>
      <c r="SAO243" s="334"/>
      <c r="SAP243" s="334"/>
      <c r="SAQ243" s="334"/>
      <c r="SAR243" s="334"/>
      <c r="SAS243" s="334"/>
      <c r="SAT243" s="334"/>
      <c r="SAU243" s="334"/>
      <c r="SAV243" s="334"/>
      <c r="SAW243" s="334"/>
      <c r="SAX243" s="334"/>
      <c r="SAY243" s="334"/>
      <c r="SAZ243" s="334"/>
      <c r="SBA243" s="334"/>
      <c r="SBB243" s="334"/>
      <c r="SBC243" s="334"/>
      <c r="SBD243" s="334"/>
      <c r="SBE243" s="334"/>
      <c r="SBF243" s="334"/>
      <c r="SBG243" s="334"/>
      <c r="SBH243" s="334"/>
      <c r="SBI243" s="334"/>
      <c r="SBJ243" s="334"/>
      <c r="SBK243" s="334"/>
      <c r="SBL243" s="334"/>
      <c r="SBM243" s="334"/>
      <c r="SBN243" s="334"/>
      <c r="SBO243" s="334"/>
      <c r="SBP243" s="334"/>
      <c r="SBQ243" s="334"/>
      <c r="SBR243" s="334"/>
      <c r="SBS243" s="334"/>
      <c r="SBT243" s="334"/>
      <c r="SBU243" s="334"/>
      <c r="SBV243" s="334"/>
      <c r="SBW243" s="334"/>
      <c r="SBX243" s="334"/>
      <c r="SBY243" s="334"/>
      <c r="SBZ243" s="334"/>
      <c r="SCA243" s="334"/>
      <c r="SCB243" s="334"/>
      <c r="SCC243" s="334"/>
      <c r="SCD243" s="334"/>
      <c r="SCE243" s="334"/>
      <c r="SCF243" s="334"/>
      <c r="SCG243" s="334"/>
      <c r="SCH243" s="334"/>
      <c r="SCI243" s="334"/>
      <c r="SCJ243" s="334"/>
      <c r="SCK243" s="334"/>
      <c r="SCL243" s="334"/>
      <c r="SCM243" s="334"/>
      <c r="SCN243" s="334"/>
      <c r="SCO243" s="334"/>
      <c r="SCP243" s="334"/>
      <c r="SCQ243" s="334"/>
      <c r="SCR243" s="334"/>
      <c r="SCS243" s="334"/>
      <c r="SCT243" s="334"/>
      <c r="SCU243" s="334"/>
      <c r="SCV243" s="334"/>
      <c r="SCW243" s="334"/>
      <c r="SCX243" s="334"/>
      <c r="SCY243" s="334"/>
      <c r="SCZ243" s="334"/>
      <c r="SDA243" s="334"/>
      <c r="SDB243" s="334"/>
      <c r="SDC243" s="334"/>
      <c r="SDD243" s="334"/>
      <c r="SDE243" s="334"/>
      <c r="SDF243" s="334"/>
      <c r="SDG243" s="334"/>
      <c r="SDH243" s="334"/>
      <c r="SDI243" s="334"/>
      <c r="SDJ243" s="334"/>
      <c r="SDK243" s="334"/>
      <c r="SDL243" s="334"/>
      <c r="SDM243" s="334"/>
      <c r="SDN243" s="334"/>
      <c r="SDO243" s="334"/>
      <c r="SDP243" s="334"/>
      <c r="SDQ243" s="334"/>
      <c r="SDR243" s="334"/>
      <c r="SDS243" s="334"/>
      <c r="SDT243" s="334"/>
      <c r="SDU243" s="334"/>
      <c r="SDV243" s="334"/>
      <c r="SDW243" s="334"/>
      <c r="SDX243" s="334"/>
      <c r="SDY243" s="334"/>
      <c r="SDZ243" s="334"/>
      <c r="SEA243" s="334"/>
      <c r="SEB243" s="334"/>
      <c r="SEC243" s="334"/>
      <c r="SED243" s="334"/>
      <c r="SEE243" s="334"/>
      <c r="SEF243" s="334"/>
      <c r="SEG243" s="334"/>
      <c r="SEH243" s="334"/>
      <c r="SEI243" s="334"/>
      <c r="SEJ243" s="334"/>
      <c r="SEK243" s="334"/>
      <c r="SEL243" s="334"/>
      <c r="SEM243" s="334"/>
      <c r="SEN243" s="334"/>
      <c r="SEO243" s="334"/>
      <c r="SEP243" s="334"/>
      <c r="SEQ243" s="334"/>
      <c r="SER243" s="334"/>
      <c r="SES243" s="334"/>
      <c r="SET243" s="334"/>
      <c r="SEU243" s="334"/>
      <c r="SEV243" s="334"/>
      <c r="SEW243" s="334"/>
      <c r="SEX243" s="334"/>
      <c r="SEY243" s="334"/>
      <c r="SEZ243" s="334"/>
      <c r="SFA243" s="334"/>
      <c r="SFB243" s="334"/>
      <c r="SFC243" s="334"/>
      <c r="SFD243" s="334"/>
      <c r="SFE243" s="334"/>
      <c r="SFF243" s="334"/>
      <c r="SFG243" s="334"/>
      <c r="SFH243" s="334"/>
      <c r="SFI243" s="334"/>
      <c r="SFJ243" s="334"/>
      <c r="SFK243" s="334"/>
      <c r="SFL243" s="334"/>
      <c r="SFM243" s="334"/>
      <c r="SFN243" s="334"/>
      <c r="SFO243" s="334"/>
      <c r="SFP243" s="334"/>
      <c r="SFQ243" s="334"/>
      <c r="SFR243" s="334"/>
      <c r="SFS243" s="334"/>
      <c r="SFT243" s="334"/>
      <c r="SFU243" s="334"/>
      <c r="SFV243" s="334"/>
      <c r="SFW243" s="334"/>
      <c r="SFX243" s="334"/>
      <c r="SFY243" s="334"/>
      <c r="SFZ243" s="334"/>
      <c r="SGA243" s="334"/>
      <c r="SGB243" s="334"/>
      <c r="SGC243" s="334"/>
      <c r="SGD243" s="334"/>
      <c r="SGE243" s="334"/>
      <c r="SGF243" s="334"/>
      <c r="SGG243" s="334"/>
      <c r="SGH243" s="334"/>
      <c r="SGI243" s="334"/>
      <c r="SGJ243" s="334"/>
      <c r="SGK243" s="334"/>
      <c r="SGL243" s="334"/>
      <c r="SGM243" s="334"/>
      <c r="SGN243" s="334"/>
      <c r="SGO243" s="334"/>
      <c r="SGP243" s="334"/>
      <c r="SGQ243" s="334"/>
      <c r="SGR243" s="334"/>
      <c r="SGS243" s="334"/>
      <c r="SGT243" s="334"/>
      <c r="SGU243" s="334"/>
      <c r="SGV243" s="334"/>
      <c r="SGW243" s="334"/>
      <c r="SGX243" s="334"/>
      <c r="SGY243" s="334"/>
      <c r="SGZ243" s="334"/>
      <c r="SHA243" s="334"/>
      <c r="SHB243" s="334"/>
      <c r="SHC243" s="334"/>
      <c r="SHD243" s="334"/>
      <c r="SHE243" s="334"/>
      <c r="SHF243" s="334"/>
      <c r="SHG243" s="334"/>
      <c r="SHH243" s="334"/>
      <c r="SHI243" s="334"/>
      <c r="SHJ243" s="334"/>
      <c r="SHK243" s="334"/>
      <c r="SHL243" s="334"/>
      <c r="SHM243" s="334"/>
      <c r="SHN243" s="334"/>
      <c r="SHO243" s="334"/>
      <c r="SHP243" s="334"/>
      <c r="SHQ243" s="334"/>
      <c r="SHR243" s="334"/>
      <c r="SHS243" s="334"/>
      <c r="SHT243" s="334"/>
      <c r="SHU243" s="334"/>
      <c r="SHV243" s="334"/>
      <c r="SHW243" s="334"/>
      <c r="SHX243" s="334"/>
      <c r="SHY243" s="334"/>
      <c r="SHZ243" s="334"/>
      <c r="SIA243" s="334"/>
      <c r="SIB243" s="334"/>
      <c r="SIC243" s="334"/>
      <c r="SID243" s="334"/>
      <c r="SIE243" s="334"/>
      <c r="SIF243" s="334"/>
      <c r="SIG243" s="334"/>
      <c r="SIH243" s="334"/>
      <c r="SII243" s="334"/>
      <c r="SIJ243" s="334"/>
      <c r="SIK243" s="334"/>
      <c r="SIL243" s="334"/>
      <c r="SIM243" s="334"/>
      <c r="SIN243" s="334"/>
      <c r="SIO243" s="334"/>
      <c r="SIP243" s="334"/>
      <c r="SIQ243" s="334"/>
      <c r="SIR243" s="334"/>
      <c r="SIS243" s="334"/>
      <c r="SIT243" s="334"/>
      <c r="SIU243" s="334"/>
      <c r="SIV243" s="334"/>
      <c r="SIW243" s="334"/>
      <c r="SIX243" s="334"/>
      <c r="SIY243" s="334"/>
      <c r="SIZ243" s="334"/>
      <c r="SJA243" s="334"/>
      <c r="SJB243" s="334"/>
      <c r="SJC243" s="334"/>
      <c r="SJD243" s="334"/>
      <c r="SJE243" s="334"/>
      <c r="SJF243" s="334"/>
      <c r="SJG243" s="334"/>
      <c r="SJH243" s="334"/>
      <c r="SJI243" s="334"/>
      <c r="SJJ243" s="334"/>
      <c r="SJK243" s="334"/>
      <c r="SJL243" s="334"/>
      <c r="SJM243" s="334"/>
      <c r="SJN243" s="334"/>
      <c r="SJO243" s="334"/>
      <c r="SJP243" s="334"/>
      <c r="SJQ243" s="334"/>
      <c r="SJR243" s="334"/>
      <c r="SJS243" s="334"/>
      <c r="SJT243" s="334"/>
      <c r="SJU243" s="334"/>
      <c r="SJV243" s="334"/>
      <c r="SJW243" s="334"/>
      <c r="SJX243" s="334"/>
      <c r="SJY243" s="334"/>
      <c r="SJZ243" s="334"/>
      <c r="SKA243" s="334"/>
      <c r="SKB243" s="334"/>
      <c r="SKC243" s="334"/>
      <c r="SKD243" s="334"/>
      <c r="SKE243" s="334"/>
      <c r="SKF243" s="334"/>
      <c r="SKG243" s="334"/>
      <c r="SKH243" s="334"/>
      <c r="SKI243" s="334"/>
      <c r="SKJ243" s="334"/>
      <c r="SKK243" s="334"/>
      <c r="SKL243" s="334"/>
      <c r="SKM243" s="334"/>
      <c r="SKN243" s="334"/>
      <c r="SKO243" s="334"/>
      <c r="SKP243" s="334"/>
      <c r="SKQ243" s="334"/>
      <c r="SKR243" s="334"/>
      <c r="SKS243" s="334"/>
      <c r="SKT243" s="334"/>
      <c r="SKU243" s="334"/>
      <c r="SKV243" s="334"/>
      <c r="SKW243" s="334"/>
      <c r="SKX243" s="334"/>
      <c r="SKY243" s="334"/>
      <c r="SKZ243" s="334"/>
      <c r="SLA243" s="334"/>
      <c r="SLB243" s="334"/>
      <c r="SLC243" s="334"/>
      <c r="SLD243" s="334"/>
      <c r="SLE243" s="334"/>
      <c r="SLF243" s="334"/>
      <c r="SLG243" s="334"/>
      <c r="SLH243" s="334"/>
      <c r="SLI243" s="334"/>
      <c r="SLJ243" s="334"/>
      <c r="SLK243" s="334"/>
      <c r="SLL243" s="334"/>
      <c r="SLM243" s="334"/>
      <c r="SLN243" s="334"/>
      <c r="SLO243" s="334"/>
      <c r="SLP243" s="334"/>
      <c r="SLQ243" s="334"/>
      <c r="SLR243" s="334"/>
      <c r="SLS243" s="334"/>
      <c r="SLT243" s="334"/>
      <c r="SLU243" s="334"/>
      <c r="SLV243" s="334"/>
      <c r="SLW243" s="334"/>
      <c r="SLX243" s="334"/>
      <c r="SLY243" s="334"/>
      <c r="SLZ243" s="334"/>
      <c r="SMA243" s="334"/>
      <c r="SMB243" s="334"/>
      <c r="SMC243" s="334"/>
      <c r="SMD243" s="334"/>
      <c r="SME243" s="334"/>
      <c r="SMF243" s="334"/>
      <c r="SMG243" s="334"/>
      <c r="SMH243" s="334"/>
      <c r="SMI243" s="334"/>
      <c r="SMJ243" s="334"/>
      <c r="SMK243" s="334"/>
      <c r="SML243" s="334"/>
      <c r="SMM243" s="334"/>
      <c r="SMN243" s="334"/>
      <c r="SMO243" s="334"/>
      <c r="SMP243" s="334"/>
      <c r="SMQ243" s="334"/>
      <c r="SMR243" s="334"/>
      <c r="SMS243" s="334"/>
      <c r="SMT243" s="334"/>
      <c r="SMU243" s="334"/>
      <c r="SMV243" s="334"/>
      <c r="SMW243" s="334"/>
      <c r="SMX243" s="334"/>
      <c r="SMY243" s="334"/>
      <c r="SMZ243" s="334"/>
      <c r="SNA243" s="334"/>
      <c r="SNB243" s="334"/>
      <c r="SNC243" s="334"/>
      <c r="SND243" s="334"/>
      <c r="SNE243" s="334"/>
      <c r="SNF243" s="334"/>
      <c r="SNG243" s="334"/>
      <c r="SNH243" s="334"/>
      <c r="SNI243" s="334"/>
      <c r="SNJ243" s="334"/>
      <c r="SNK243" s="334"/>
      <c r="SNL243" s="334"/>
      <c r="SNM243" s="334"/>
      <c r="SNN243" s="334"/>
      <c r="SNO243" s="334"/>
      <c r="SNP243" s="334"/>
      <c r="SNQ243" s="334"/>
      <c r="SNR243" s="334"/>
      <c r="SNS243" s="334"/>
      <c r="SNT243" s="334"/>
      <c r="SNU243" s="334"/>
      <c r="SNV243" s="334"/>
      <c r="SNW243" s="334"/>
      <c r="SNX243" s="334"/>
      <c r="SNY243" s="334"/>
      <c r="SNZ243" s="334"/>
      <c r="SOA243" s="334"/>
      <c r="SOB243" s="334"/>
      <c r="SOC243" s="334"/>
      <c r="SOD243" s="334"/>
      <c r="SOE243" s="334"/>
      <c r="SOF243" s="334"/>
      <c r="SOG243" s="334"/>
      <c r="SOH243" s="334"/>
      <c r="SOI243" s="334"/>
      <c r="SOJ243" s="334"/>
      <c r="SOK243" s="334"/>
      <c r="SOL243" s="334"/>
      <c r="SOM243" s="334"/>
      <c r="SON243" s="334"/>
      <c r="SOO243" s="334"/>
      <c r="SOP243" s="334"/>
      <c r="SOQ243" s="334"/>
      <c r="SOR243" s="334"/>
      <c r="SOS243" s="334"/>
      <c r="SOT243" s="334"/>
      <c r="SOU243" s="334"/>
      <c r="SOV243" s="334"/>
      <c r="SOW243" s="334"/>
      <c r="SOX243" s="334"/>
      <c r="SOY243" s="334"/>
      <c r="SOZ243" s="334"/>
      <c r="SPA243" s="334"/>
      <c r="SPB243" s="334"/>
      <c r="SPC243" s="334"/>
      <c r="SPD243" s="334"/>
      <c r="SPE243" s="334"/>
      <c r="SPF243" s="334"/>
      <c r="SPG243" s="334"/>
      <c r="SPH243" s="334"/>
      <c r="SPI243" s="334"/>
      <c r="SPJ243" s="334"/>
      <c r="SPK243" s="334"/>
      <c r="SPL243" s="334"/>
      <c r="SPM243" s="334"/>
      <c r="SPN243" s="334"/>
      <c r="SPO243" s="334"/>
      <c r="SPP243" s="334"/>
      <c r="SPQ243" s="334"/>
      <c r="SPR243" s="334"/>
      <c r="SPS243" s="334"/>
      <c r="SPT243" s="334"/>
      <c r="SPU243" s="334"/>
      <c r="SPV243" s="334"/>
      <c r="SPW243" s="334"/>
      <c r="SPX243" s="334"/>
      <c r="SPY243" s="334"/>
      <c r="SPZ243" s="334"/>
      <c r="SQA243" s="334"/>
      <c r="SQB243" s="334"/>
      <c r="SQC243" s="334"/>
      <c r="SQD243" s="334"/>
      <c r="SQE243" s="334"/>
      <c r="SQF243" s="334"/>
      <c r="SQG243" s="334"/>
      <c r="SQH243" s="334"/>
      <c r="SQI243" s="334"/>
      <c r="SQJ243" s="334"/>
      <c r="SQK243" s="334"/>
      <c r="SQL243" s="334"/>
      <c r="SQM243" s="334"/>
      <c r="SQN243" s="334"/>
      <c r="SQO243" s="334"/>
      <c r="SQP243" s="334"/>
      <c r="SQQ243" s="334"/>
      <c r="SQR243" s="334"/>
      <c r="SQS243" s="334"/>
      <c r="SQT243" s="334"/>
      <c r="SQU243" s="334"/>
      <c r="SQV243" s="334"/>
      <c r="SQW243" s="334"/>
      <c r="SQX243" s="334"/>
      <c r="SQY243" s="334"/>
      <c r="SQZ243" s="334"/>
      <c r="SRA243" s="334"/>
      <c r="SRB243" s="334"/>
      <c r="SRC243" s="334"/>
      <c r="SRD243" s="334"/>
      <c r="SRE243" s="334"/>
      <c r="SRF243" s="334"/>
      <c r="SRG243" s="334"/>
      <c r="SRH243" s="334"/>
      <c r="SRI243" s="334"/>
      <c r="SRJ243" s="334"/>
      <c r="SRK243" s="334"/>
      <c r="SRL243" s="334"/>
      <c r="SRM243" s="334"/>
      <c r="SRN243" s="334"/>
      <c r="SRO243" s="334"/>
      <c r="SRP243" s="334"/>
      <c r="SRQ243" s="334"/>
      <c r="SRR243" s="334"/>
      <c r="SRS243" s="334"/>
      <c r="SRT243" s="334"/>
      <c r="SRU243" s="334"/>
      <c r="SRV243" s="334"/>
      <c r="SRW243" s="334"/>
      <c r="SRX243" s="334"/>
      <c r="SRY243" s="334"/>
      <c r="SRZ243" s="334"/>
      <c r="SSA243" s="334"/>
      <c r="SSB243" s="334"/>
      <c r="SSC243" s="334"/>
      <c r="SSD243" s="334"/>
      <c r="SSE243" s="334"/>
      <c r="SSF243" s="334"/>
      <c r="SSG243" s="334"/>
      <c r="SSH243" s="334"/>
      <c r="SSI243" s="334"/>
      <c r="SSJ243" s="334"/>
      <c r="SSK243" s="334"/>
      <c r="SSL243" s="334"/>
      <c r="SSM243" s="334"/>
      <c r="SSN243" s="334"/>
      <c r="SSO243" s="334"/>
      <c r="SSP243" s="334"/>
      <c r="SSQ243" s="334"/>
      <c r="SSR243" s="334"/>
      <c r="SSS243" s="334"/>
      <c r="SST243" s="334"/>
      <c r="SSU243" s="334"/>
      <c r="SSV243" s="334"/>
      <c r="SSW243" s="334"/>
      <c r="SSX243" s="334"/>
      <c r="SSY243" s="334"/>
      <c r="SSZ243" s="334"/>
      <c r="STA243" s="334"/>
      <c r="STB243" s="334"/>
      <c r="STC243" s="334"/>
      <c r="STD243" s="334"/>
      <c r="STE243" s="334"/>
      <c r="STF243" s="334"/>
      <c r="STG243" s="334"/>
      <c r="STH243" s="334"/>
      <c r="STI243" s="334"/>
      <c r="STJ243" s="334"/>
      <c r="STK243" s="334"/>
      <c r="STL243" s="334"/>
      <c r="STM243" s="334"/>
      <c r="STN243" s="334"/>
      <c r="STO243" s="334"/>
      <c r="STP243" s="334"/>
      <c r="STQ243" s="334"/>
      <c r="STR243" s="334"/>
      <c r="STS243" s="334"/>
      <c r="STT243" s="334"/>
      <c r="STU243" s="334"/>
      <c r="STV243" s="334"/>
      <c r="STW243" s="334"/>
      <c r="STX243" s="334"/>
      <c r="STY243" s="334"/>
      <c r="STZ243" s="334"/>
      <c r="SUA243" s="334"/>
      <c r="SUB243" s="334"/>
      <c r="SUC243" s="334"/>
      <c r="SUD243" s="334"/>
      <c r="SUE243" s="334"/>
      <c r="SUF243" s="334"/>
      <c r="SUG243" s="334"/>
      <c r="SUH243" s="334"/>
      <c r="SUI243" s="334"/>
      <c r="SUJ243" s="334"/>
      <c r="SUK243" s="334"/>
      <c r="SUL243" s="334"/>
      <c r="SUM243" s="334"/>
      <c r="SUN243" s="334"/>
      <c r="SUO243" s="334"/>
      <c r="SUP243" s="334"/>
      <c r="SUQ243" s="334"/>
      <c r="SUR243" s="334"/>
      <c r="SUS243" s="334"/>
      <c r="SUT243" s="334"/>
      <c r="SUU243" s="334"/>
      <c r="SUV243" s="334"/>
      <c r="SUW243" s="334"/>
      <c r="SUX243" s="334"/>
      <c r="SUY243" s="334"/>
      <c r="SUZ243" s="334"/>
      <c r="SVA243" s="334"/>
      <c r="SVB243" s="334"/>
      <c r="SVC243" s="334"/>
      <c r="SVD243" s="334"/>
      <c r="SVE243" s="334"/>
      <c r="SVF243" s="334"/>
      <c r="SVG243" s="334"/>
      <c r="SVH243" s="334"/>
      <c r="SVI243" s="334"/>
      <c r="SVJ243" s="334"/>
      <c r="SVK243" s="334"/>
      <c r="SVL243" s="334"/>
      <c r="SVM243" s="334"/>
      <c r="SVN243" s="334"/>
      <c r="SVO243" s="334"/>
      <c r="SVP243" s="334"/>
      <c r="SVQ243" s="334"/>
      <c r="SVR243" s="334"/>
      <c r="SVS243" s="334"/>
      <c r="SVT243" s="334"/>
      <c r="SVU243" s="334"/>
      <c r="SVV243" s="334"/>
      <c r="SVW243" s="334"/>
      <c r="SVX243" s="334"/>
      <c r="SVY243" s="334"/>
      <c r="SVZ243" s="334"/>
      <c r="SWA243" s="334"/>
      <c r="SWB243" s="334"/>
      <c r="SWC243" s="334"/>
      <c r="SWD243" s="334"/>
      <c r="SWE243" s="334"/>
      <c r="SWF243" s="334"/>
      <c r="SWG243" s="334"/>
      <c r="SWH243" s="334"/>
      <c r="SWI243" s="334"/>
      <c r="SWJ243" s="334"/>
      <c r="SWK243" s="334"/>
      <c r="SWL243" s="334"/>
      <c r="SWM243" s="334"/>
      <c r="SWN243" s="334"/>
      <c r="SWO243" s="334"/>
      <c r="SWP243" s="334"/>
      <c r="SWQ243" s="334"/>
      <c r="SWR243" s="334"/>
      <c r="SWS243" s="334"/>
      <c r="SWT243" s="334"/>
      <c r="SWU243" s="334"/>
      <c r="SWV243" s="334"/>
      <c r="SWW243" s="334"/>
      <c r="SWX243" s="334"/>
      <c r="SWY243" s="334"/>
      <c r="SWZ243" s="334"/>
      <c r="SXA243" s="334"/>
      <c r="SXB243" s="334"/>
      <c r="SXC243" s="334"/>
      <c r="SXD243" s="334"/>
      <c r="SXE243" s="334"/>
      <c r="SXF243" s="334"/>
      <c r="SXG243" s="334"/>
      <c r="SXH243" s="334"/>
      <c r="SXI243" s="334"/>
      <c r="SXJ243" s="334"/>
      <c r="SXK243" s="334"/>
      <c r="SXL243" s="334"/>
      <c r="SXM243" s="334"/>
      <c r="SXN243" s="334"/>
      <c r="SXO243" s="334"/>
      <c r="SXP243" s="334"/>
      <c r="SXQ243" s="334"/>
      <c r="SXR243" s="334"/>
      <c r="SXS243" s="334"/>
      <c r="SXT243" s="334"/>
      <c r="SXU243" s="334"/>
      <c r="SXV243" s="334"/>
      <c r="SXW243" s="334"/>
      <c r="SXX243" s="334"/>
      <c r="SXY243" s="334"/>
      <c r="SXZ243" s="334"/>
      <c r="SYA243" s="334"/>
      <c r="SYB243" s="334"/>
      <c r="SYC243" s="334"/>
      <c r="SYD243" s="334"/>
      <c r="SYE243" s="334"/>
      <c r="SYF243" s="334"/>
      <c r="SYG243" s="334"/>
      <c r="SYH243" s="334"/>
      <c r="SYI243" s="334"/>
      <c r="SYJ243" s="334"/>
      <c r="SYK243" s="334"/>
      <c r="SYL243" s="334"/>
      <c r="SYM243" s="334"/>
      <c r="SYN243" s="334"/>
      <c r="SYO243" s="334"/>
      <c r="SYP243" s="334"/>
      <c r="SYQ243" s="334"/>
      <c r="SYR243" s="334"/>
      <c r="SYS243" s="334"/>
      <c r="SYT243" s="334"/>
      <c r="SYU243" s="334"/>
      <c r="SYV243" s="334"/>
      <c r="SYW243" s="334"/>
      <c r="SYX243" s="334"/>
      <c r="SYY243" s="334"/>
      <c r="SYZ243" s="334"/>
      <c r="SZA243" s="334"/>
      <c r="SZB243" s="334"/>
      <c r="SZC243" s="334"/>
      <c r="SZD243" s="334"/>
      <c r="SZE243" s="334"/>
      <c r="SZF243" s="334"/>
      <c r="SZG243" s="334"/>
      <c r="SZH243" s="334"/>
      <c r="SZI243" s="334"/>
      <c r="SZJ243" s="334"/>
      <c r="SZK243" s="334"/>
      <c r="SZL243" s="334"/>
      <c r="SZM243" s="334"/>
      <c r="SZN243" s="334"/>
      <c r="SZO243" s="334"/>
      <c r="SZP243" s="334"/>
      <c r="SZQ243" s="334"/>
      <c r="SZR243" s="334"/>
      <c r="SZS243" s="334"/>
      <c r="SZT243" s="334"/>
      <c r="SZU243" s="334"/>
      <c r="SZV243" s="334"/>
      <c r="SZW243" s="334"/>
      <c r="SZX243" s="334"/>
      <c r="SZY243" s="334"/>
      <c r="SZZ243" s="334"/>
      <c r="TAA243" s="334"/>
      <c r="TAB243" s="334"/>
      <c r="TAC243" s="334"/>
      <c r="TAD243" s="334"/>
      <c r="TAE243" s="334"/>
      <c r="TAF243" s="334"/>
      <c r="TAG243" s="334"/>
      <c r="TAH243" s="334"/>
      <c r="TAI243" s="334"/>
      <c r="TAJ243" s="334"/>
      <c r="TAK243" s="334"/>
      <c r="TAL243" s="334"/>
      <c r="TAM243" s="334"/>
      <c r="TAN243" s="334"/>
      <c r="TAO243" s="334"/>
      <c r="TAP243" s="334"/>
      <c r="TAQ243" s="334"/>
      <c r="TAR243" s="334"/>
      <c r="TAS243" s="334"/>
      <c r="TAT243" s="334"/>
      <c r="TAU243" s="334"/>
      <c r="TAV243" s="334"/>
      <c r="TAW243" s="334"/>
      <c r="TAX243" s="334"/>
      <c r="TAY243" s="334"/>
      <c r="TAZ243" s="334"/>
      <c r="TBA243" s="334"/>
      <c r="TBB243" s="334"/>
      <c r="TBC243" s="334"/>
      <c r="TBD243" s="334"/>
      <c r="TBE243" s="334"/>
      <c r="TBF243" s="334"/>
      <c r="TBG243" s="334"/>
      <c r="TBH243" s="334"/>
      <c r="TBI243" s="334"/>
      <c r="TBJ243" s="334"/>
      <c r="TBK243" s="334"/>
      <c r="TBL243" s="334"/>
      <c r="TBM243" s="334"/>
      <c r="TBN243" s="334"/>
      <c r="TBO243" s="334"/>
      <c r="TBP243" s="334"/>
      <c r="TBQ243" s="334"/>
      <c r="TBR243" s="334"/>
      <c r="TBS243" s="334"/>
      <c r="TBT243" s="334"/>
      <c r="TBU243" s="334"/>
      <c r="TBV243" s="334"/>
      <c r="TBW243" s="334"/>
      <c r="TBX243" s="334"/>
      <c r="TBY243" s="334"/>
      <c r="TBZ243" s="334"/>
      <c r="TCA243" s="334"/>
      <c r="TCB243" s="334"/>
      <c r="TCC243" s="334"/>
      <c r="TCD243" s="334"/>
      <c r="TCE243" s="334"/>
      <c r="TCF243" s="334"/>
      <c r="TCG243" s="334"/>
      <c r="TCH243" s="334"/>
      <c r="TCI243" s="334"/>
      <c r="TCJ243" s="334"/>
      <c r="TCK243" s="334"/>
      <c r="TCL243" s="334"/>
      <c r="TCM243" s="334"/>
      <c r="TCN243" s="334"/>
      <c r="TCO243" s="334"/>
      <c r="TCP243" s="334"/>
      <c r="TCQ243" s="334"/>
      <c r="TCR243" s="334"/>
      <c r="TCS243" s="334"/>
      <c r="TCT243" s="334"/>
      <c r="TCU243" s="334"/>
      <c r="TCV243" s="334"/>
      <c r="TCW243" s="334"/>
      <c r="TCX243" s="334"/>
      <c r="TCY243" s="334"/>
      <c r="TCZ243" s="334"/>
      <c r="TDA243" s="334"/>
      <c r="TDB243" s="334"/>
      <c r="TDC243" s="334"/>
      <c r="TDD243" s="334"/>
      <c r="TDE243" s="334"/>
      <c r="TDF243" s="334"/>
      <c r="TDG243" s="334"/>
      <c r="TDH243" s="334"/>
      <c r="TDI243" s="334"/>
      <c r="TDJ243" s="334"/>
      <c r="TDK243" s="334"/>
      <c r="TDL243" s="334"/>
      <c r="TDM243" s="334"/>
      <c r="TDN243" s="334"/>
      <c r="TDO243" s="334"/>
      <c r="TDP243" s="334"/>
      <c r="TDQ243" s="334"/>
      <c r="TDR243" s="334"/>
      <c r="TDS243" s="334"/>
      <c r="TDT243" s="334"/>
      <c r="TDU243" s="334"/>
      <c r="TDV243" s="334"/>
      <c r="TDW243" s="334"/>
      <c r="TDX243" s="334"/>
      <c r="TDY243" s="334"/>
      <c r="TDZ243" s="334"/>
      <c r="TEA243" s="334"/>
      <c r="TEB243" s="334"/>
      <c r="TEC243" s="334"/>
      <c r="TED243" s="334"/>
      <c r="TEE243" s="334"/>
      <c r="TEF243" s="334"/>
      <c r="TEG243" s="334"/>
      <c r="TEH243" s="334"/>
      <c r="TEI243" s="334"/>
      <c r="TEJ243" s="334"/>
      <c r="TEK243" s="334"/>
      <c r="TEL243" s="334"/>
      <c r="TEM243" s="334"/>
      <c r="TEN243" s="334"/>
      <c r="TEO243" s="334"/>
      <c r="TEP243" s="334"/>
      <c r="TEQ243" s="334"/>
      <c r="TER243" s="334"/>
      <c r="TES243" s="334"/>
      <c r="TET243" s="334"/>
      <c r="TEU243" s="334"/>
      <c r="TEV243" s="334"/>
      <c r="TEW243" s="334"/>
      <c r="TEX243" s="334"/>
      <c r="TEY243" s="334"/>
      <c r="TEZ243" s="334"/>
      <c r="TFA243" s="334"/>
      <c r="TFB243" s="334"/>
      <c r="TFC243" s="334"/>
      <c r="TFD243" s="334"/>
      <c r="TFE243" s="334"/>
      <c r="TFF243" s="334"/>
      <c r="TFG243" s="334"/>
      <c r="TFH243" s="334"/>
      <c r="TFI243" s="334"/>
      <c r="TFJ243" s="334"/>
      <c r="TFK243" s="334"/>
      <c r="TFL243" s="334"/>
      <c r="TFM243" s="334"/>
      <c r="TFN243" s="334"/>
      <c r="TFO243" s="334"/>
      <c r="TFP243" s="334"/>
      <c r="TFQ243" s="334"/>
      <c r="TFR243" s="334"/>
      <c r="TFS243" s="334"/>
      <c r="TFT243" s="334"/>
      <c r="TFU243" s="334"/>
      <c r="TFV243" s="334"/>
      <c r="TFW243" s="334"/>
      <c r="TFX243" s="334"/>
      <c r="TFY243" s="334"/>
      <c r="TFZ243" s="334"/>
      <c r="TGA243" s="334"/>
      <c r="TGB243" s="334"/>
      <c r="TGC243" s="334"/>
      <c r="TGD243" s="334"/>
      <c r="TGE243" s="334"/>
      <c r="TGF243" s="334"/>
      <c r="TGG243" s="334"/>
      <c r="TGH243" s="334"/>
      <c r="TGI243" s="334"/>
      <c r="TGJ243" s="334"/>
      <c r="TGK243" s="334"/>
      <c r="TGL243" s="334"/>
      <c r="TGM243" s="334"/>
      <c r="TGN243" s="334"/>
      <c r="TGO243" s="334"/>
      <c r="TGP243" s="334"/>
      <c r="TGQ243" s="334"/>
      <c r="TGR243" s="334"/>
      <c r="TGS243" s="334"/>
      <c r="TGT243" s="334"/>
      <c r="TGU243" s="334"/>
      <c r="TGV243" s="334"/>
      <c r="TGW243" s="334"/>
      <c r="TGX243" s="334"/>
      <c r="TGY243" s="334"/>
      <c r="TGZ243" s="334"/>
      <c r="THA243" s="334"/>
      <c r="THB243" s="334"/>
      <c r="THC243" s="334"/>
      <c r="THD243" s="334"/>
      <c r="THE243" s="334"/>
      <c r="THF243" s="334"/>
      <c r="THG243" s="334"/>
      <c r="THH243" s="334"/>
      <c r="THI243" s="334"/>
      <c r="THJ243" s="334"/>
      <c r="THK243" s="334"/>
      <c r="THL243" s="334"/>
      <c r="THM243" s="334"/>
      <c r="THN243" s="334"/>
      <c r="THO243" s="334"/>
      <c r="THP243" s="334"/>
      <c r="THQ243" s="334"/>
      <c r="THR243" s="334"/>
      <c r="THS243" s="334"/>
      <c r="THT243" s="334"/>
      <c r="THU243" s="334"/>
      <c r="THV243" s="334"/>
      <c r="THW243" s="334"/>
      <c r="THX243" s="334"/>
      <c r="THY243" s="334"/>
      <c r="THZ243" s="334"/>
      <c r="TIA243" s="334"/>
      <c r="TIB243" s="334"/>
      <c r="TIC243" s="334"/>
      <c r="TID243" s="334"/>
      <c r="TIE243" s="334"/>
      <c r="TIF243" s="334"/>
      <c r="TIG243" s="334"/>
      <c r="TIH243" s="334"/>
      <c r="TII243" s="334"/>
      <c r="TIJ243" s="334"/>
      <c r="TIK243" s="334"/>
      <c r="TIL243" s="334"/>
      <c r="TIM243" s="334"/>
      <c r="TIN243" s="334"/>
      <c r="TIO243" s="334"/>
      <c r="TIP243" s="334"/>
      <c r="TIQ243" s="334"/>
      <c r="TIR243" s="334"/>
      <c r="TIS243" s="334"/>
      <c r="TIT243" s="334"/>
      <c r="TIU243" s="334"/>
      <c r="TIV243" s="334"/>
      <c r="TIW243" s="334"/>
      <c r="TIX243" s="334"/>
      <c r="TIY243" s="334"/>
      <c r="TIZ243" s="334"/>
      <c r="TJA243" s="334"/>
      <c r="TJB243" s="334"/>
      <c r="TJC243" s="334"/>
      <c r="TJD243" s="334"/>
      <c r="TJE243" s="334"/>
      <c r="TJF243" s="334"/>
      <c r="TJG243" s="334"/>
      <c r="TJH243" s="334"/>
      <c r="TJI243" s="334"/>
      <c r="TJJ243" s="334"/>
      <c r="TJK243" s="334"/>
      <c r="TJL243" s="334"/>
      <c r="TJM243" s="334"/>
      <c r="TJN243" s="334"/>
      <c r="TJO243" s="334"/>
      <c r="TJP243" s="334"/>
      <c r="TJQ243" s="334"/>
      <c r="TJR243" s="334"/>
      <c r="TJS243" s="334"/>
      <c r="TJT243" s="334"/>
      <c r="TJU243" s="334"/>
      <c r="TJV243" s="334"/>
      <c r="TJW243" s="334"/>
      <c r="TJX243" s="334"/>
      <c r="TJY243" s="334"/>
      <c r="TJZ243" s="334"/>
      <c r="TKA243" s="334"/>
      <c r="TKB243" s="334"/>
      <c r="TKC243" s="334"/>
      <c r="TKD243" s="334"/>
      <c r="TKE243" s="334"/>
      <c r="TKF243" s="334"/>
      <c r="TKG243" s="334"/>
      <c r="TKH243" s="334"/>
      <c r="TKI243" s="334"/>
      <c r="TKJ243" s="334"/>
      <c r="TKK243" s="334"/>
      <c r="TKL243" s="334"/>
      <c r="TKM243" s="334"/>
      <c r="TKN243" s="334"/>
      <c r="TKO243" s="334"/>
      <c r="TKP243" s="334"/>
      <c r="TKQ243" s="334"/>
      <c r="TKR243" s="334"/>
      <c r="TKS243" s="334"/>
      <c r="TKT243" s="334"/>
      <c r="TKU243" s="334"/>
      <c r="TKV243" s="334"/>
      <c r="TKW243" s="334"/>
      <c r="TKX243" s="334"/>
      <c r="TKY243" s="334"/>
      <c r="TKZ243" s="334"/>
      <c r="TLA243" s="334"/>
      <c r="TLB243" s="334"/>
      <c r="TLC243" s="334"/>
      <c r="TLD243" s="334"/>
      <c r="TLE243" s="334"/>
      <c r="TLF243" s="334"/>
      <c r="TLG243" s="334"/>
      <c r="TLH243" s="334"/>
      <c r="TLI243" s="334"/>
      <c r="TLJ243" s="334"/>
      <c r="TLK243" s="334"/>
      <c r="TLL243" s="334"/>
      <c r="TLM243" s="334"/>
      <c r="TLN243" s="334"/>
      <c r="TLO243" s="334"/>
      <c r="TLP243" s="334"/>
      <c r="TLQ243" s="334"/>
      <c r="TLR243" s="334"/>
      <c r="TLS243" s="334"/>
      <c r="TLT243" s="334"/>
      <c r="TLU243" s="334"/>
      <c r="TLV243" s="334"/>
      <c r="TLW243" s="334"/>
      <c r="TLX243" s="334"/>
      <c r="TLY243" s="334"/>
      <c r="TLZ243" s="334"/>
      <c r="TMA243" s="334"/>
      <c r="TMB243" s="334"/>
      <c r="TMC243" s="334"/>
      <c r="TMD243" s="334"/>
      <c r="TME243" s="334"/>
      <c r="TMF243" s="334"/>
      <c r="TMG243" s="334"/>
      <c r="TMH243" s="334"/>
      <c r="TMI243" s="334"/>
      <c r="TMJ243" s="334"/>
      <c r="TMK243" s="334"/>
      <c r="TML243" s="334"/>
      <c r="TMM243" s="334"/>
      <c r="TMN243" s="334"/>
      <c r="TMO243" s="334"/>
      <c r="TMP243" s="334"/>
      <c r="TMQ243" s="334"/>
      <c r="TMR243" s="334"/>
      <c r="TMS243" s="334"/>
      <c r="TMT243" s="334"/>
      <c r="TMU243" s="334"/>
      <c r="TMV243" s="334"/>
      <c r="TMW243" s="334"/>
      <c r="TMX243" s="334"/>
      <c r="TMY243" s="334"/>
      <c r="TMZ243" s="334"/>
      <c r="TNA243" s="334"/>
      <c r="TNB243" s="334"/>
      <c r="TNC243" s="334"/>
      <c r="TND243" s="334"/>
      <c r="TNE243" s="334"/>
      <c r="TNF243" s="334"/>
      <c r="TNG243" s="334"/>
      <c r="TNH243" s="334"/>
      <c r="TNI243" s="334"/>
      <c r="TNJ243" s="334"/>
      <c r="TNK243" s="334"/>
      <c r="TNL243" s="334"/>
      <c r="TNM243" s="334"/>
      <c r="TNN243" s="334"/>
      <c r="TNO243" s="334"/>
      <c r="TNP243" s="334"/>
      <c r="TNQ243" s="334"/>
      <c r="TNR243" s="334"/>
      <c r="TNS243" s="334"/>
      <c r="TNT243" s="334"/>
      <c r="TNU243" s="334"/>
      <c r="TNV243" s="334"/>
      <c r="TNW243" s="334"/>
      <c r="TNX243" s="334"/>
      <c r="TNY243" s="334"/>
      <c r="TNZ243" s="334"/>
      <c r="TOA243" s="334"/>
      <c r="TOB243" s="334"/>
      <c r="TOC243" s="334"/>
      <c r="TOD243" s="334"/>
      <c r="TOE243" s="334"/>
      <c r="TOF243" s="334"/>
      <c r="TOG243" s="334"/>
      <c r="TOH243" s="334"/>
      <c r="TOI243" s="334"/>
      <c r="TOJ243" s="334"/>
      <c r="TOK243" s="334"/>
      <c r="TOL243" s="334"/>
      <c r="TOM243" s="334"/>
      <c r="TON243" s="334"/>
      <c r="TOO243" s="334"/>
      <c r="TOP243" s="334"/>
      <c r="TOQ243" s="334"/>
      <c r="TOR243" s="334"/>
      <c r="TOS243" s="334"/>
      <c r="TOT243" s="334"/>
      <c r="TOU243" s="334"/>
      <c r="TOV243" s="334"/>
      <c r="TOW243" s="334"/>
      <c r="TOX243" s="334"/>
      <c r="TOY243" s="334"/>
      <c r="TOZ243" s="334"/>
      <c r="TPA243" s="334"/>
      <c r="TPB243" s="334"/>
      <c r="TPC243" s="334"/>
      <c r="TPD243" s="334"/>
      <c r="TPE243" s="334"/>
      <c r="TPF243" s="334"/>
      <c r="TPG243" s="334"/>
      <c r="TPH243" s="334"/>
      <c r="TPI243" s="334"/>
      <c r="TPJ243" s="334"/>
      <c r="TPK243" s="334"/>
      <c r="TPL243" s="334"/>
      <c r="TPM243" s="334"/>
      <c r="TPN243" s="334"/>
      <c r="TPO243" s="334"/>
      <c r="TPP243" s="334"/>
      <c r="TPQ243" s="334"/>
      <c r="TPR243" s="334"/>
      <c r="TPS243" s="334"/>
      <c r="TPT243" s="334"/>
      <c r="TPU243" s="334"/>
      <c r="TPV243" s="334"/>
      <c r="TPW243" s="334"/>
      <c r="TPX243" s="334"/>
      <c r="TPY243" s="334"/>
      <c r="TPZ243" s="334"/>
      <c r="TQA243" s="334"/>
      <c r="TQB243" s="334"/>
      <c r="TQC243" s="334"/>
      <c r="TQD243" s="334"/>
      <c r="TQE243" s="334"/>
      <c r="TQF243" s="334"/>
      <c r="TQG243" s="334"/>
      <c r="TQH243" s="334"/>
      <c r="TQI243" s="334"/>
      <c r="TQJ243" s="334"/>
      <c r="TQK243" s="334"/>
      <c r="TQL243" s="334"/>
      <c r="TQM243" s="334"/>
      <c r="TQN243" s="334"/>
      <c r="TQO243" s="334"/>
      <c r="TQP243" s="334"/>
      <c r="TQQ243" s="334"/>
      <c r="TQR243" s="334"/>
      <c r="TQS243" s="334"/>
      <c r="TQT243" s="334"/>
      <c r="TQU243" s="334"/>
      <c r="TQV243" s="334"/>
      <c r="TQW243" s="334"/>
      <c r="TQX243" s="334"/>
      <c r="TQY243" s="334"/>
      <c r="TQZ243" s="334"/>
      <c r="TRA243" s="334"/>
      <c r="TRB243" s="334"/>
      <c r="TRC243" s="334"/>
      <c r="TRD243" s="334"/>
      <c r="TRE243" s="334"/>
      <c r="TRF243" s="334"/>
      <c r="TRG243" s="334"/>
      <c r="TRH243" s="334"/>
      <c r="TRI243" s="334"/>
      <c r="TRJ243" s="334"/>
      <c r="TRK243" s="334"/>
      <c r="TRL243" s="334"/>
      <c r="TRM243" s="334"/>
      <c r="TRN243" s="334"/>
      <c r="TRO243" s="334"/>
      <c r="TRP243" s="334"/>
      <c r="TRQ243" s="334"/>
      <c r="TRR243" s="334"/>
      <c r="TRS243" s="334"/>
      <c r="TRT243" s="334"/>
      <c r="TRU243" s="334"/>
      <c r="TRV243" s="334"/>
      <c r="TRW243" s="334"/>
      <c r="TRX243" s="334"/>
      <c r="TRY243" s="334"/>
      <c r="TRZ243" s="334"/>
      <c r="TSA243" s="334"/>
      <c r="TSB243" s="334"/>
      <c r="TSC243" s="334"/>
      <c r="TSD243" s="334"/>
      <c r="TSE243" s="334"/>
      <c r="TSF243" s="334"/>
      <c r="TSG243" s="334"/>
      <c r="TSH243" s="334"/>
      <c r="TSI243" s="334"/>
      <c r="TSJ243" s="334"/>
      <c r="TSK243" s="334"/>
      <c r="TSL243" s="334"/>
      <c r="TSM243" s="334"/>
      <c r="TSN243" s="334"/>
      <c r="TSO243" s="334"/>
      <c r="TSP243" s="334"/>
      <c r="TSQ243" s="334"/>
      <c r="TSR243" s="334"/>
      <c r="TSS243" s="334"/>
      <c r="TST243" s="334"/>
      <c r="TSU243" s="334"/>
      <c r="TSV243" s="334"/>
      <c r="TSW243" s="334"/>
      <c r="TSX243" s="334"/>
      <c r="TSY243" s="334"/>
      <c r="TSZ243" s="334"/>
      <c r="TTA243" s="334"/>
      <c r="TTB243" s="334"/>
      <c r="TTC243" s="334"/>
      <c r="TTD243" s="334"/>
      <c r="TTE243" s="334"/>
      <c r="TTF243" s="334"/>
      <c r="TTG243" s="334"/>
      <c r="TTH243" s="334"/>
      <c r="TTI243" s="334"/>
      <c r="TTJ243" s="334"/>
      <c r="TTK243" s="334"/>
      <c r="TTL243" s="334"/>
      <c r="TTM243" s="334"/>
      <c r="TTN243" s="334"/>
      <c r="TTO243" s="334"/>
      <c r="TTP243" s="334"/>
      <c r="TTQ243" s="334"/>
      <c r="TTR243" s="334"/>
      <c r="TTS243" s="334"/>
      <c r="TTT243" s="334"/>
      <c r="TTU243" s="334"/>
      <c r="TTV243" s="334"/>
      <c r="TTW243" s="334"/>
      <c r="TTX243" s="334"/>
      <c r="TTY243" s="334"/>
      <c r="TTZ243" s="334"/>
      <c r="TUA243" s="334"/>
      <c r="TUB243" s="334"/>
      <c r="TUC243" s="334"/>
      <c r="TUD243" s="334"/>
      <c r="TUE243" s="334"/>
      <c r="TUF243" s="334"/>
      <c r="TUG243" s="334"/>
      <c r="TUH243" s="334"/>
      <c r="TUI243" s="334"/>
      <c r="TUJ243" s="334"/>
      <c r="TUK243" s="334"/>
      <c r="TUL243" s="334"/>
      <c r="TUM243" s="334"/>
      <c r="TUN243" s="334"/>
      <c r="TUO243" s="334"/>
      <c r="TUP243" s="334"/>
      <c r="TUQ243" s="334"/>
      <c r="TUR243" s="334"/>
      <c r="TUS243" s="334"/>
      <c r="TUT243" s="334"/>
      <c r="TUU243" s="334"/>
      <c r="TUV243" s="334"/>
      <c r="TUW243" s="334"/>
      <c r="TUX243" s="334"/>
      <c r="TUY243" s="334"/>
      <c r="TUZ243" s="334"/>
      <c r="TVA243" s="334"/>
      <c r="TVB243" s="334"/>
      <c r="TVC243" s="334"/>
      <c r="TVD243" s="334"/>
      <c r="TVE243" s="334"/>
      <c r="TVF243" s="334"/>
      <c r="TVG243" s="334"/>
      <c r="TVH243" s="334"/>
      <c r="TVI243" s="334"/>
      <c r="TVJ243" s="334"/>
      <c r="TVK243" s="334"/>
      <c r="TVL243" s="334"/>
      <c r="TVM243" s="334"/>
      <c r="TVN243" s="334"/>
      <c r="TVO243" s="334"/>
      <c r="TVP243" s="334"/>
      <c r="TVQ243" s="334"/>
      <c r="TVR243" s="334"/>
      <c r="TVS243" s="334"/>
      <c r="TVT243" s="334"/>
      <c r="TVU243" s="334"/>
      <c r="TVV243" s="334"/>
      <c r="TVW243" s="334"/>
      <c r="TVX243" s="334"/>
      <c r="TVY243" s="334"/>
      <c r="TVZ243" s="334"/>
      <c r="TWA243" s="334"/>
      <c r="TWB243" s="334"/>
      <c r="TWC243" s="334"/>
      <c r="TWD243" s="334"/>
      <c r="TWE243" s="334"/>
      <c r="TWF243" s="334"/>
      <c r="TWG243" s="334"/>
      <c r="TWH243" s="334"/>
      <c r="TWI243" s="334"/>
      <c r="TWJ243" s="334"/>
      <c r="TWK243" s="334"/>
      <c r="TWL243" s="334"/>
      <c r="TWM243" s="334"/>
      <c r="TWN243" s="334"/>
      <c r="TWO243" s="334"/>
      <c r="TWP243" s="334"/>
      <c r="TWQ243" s="334"/>
      <c r="TWR243" s="334"/>
      <c r="TWS243" s="334"/>
      <c r="TWT243" s="334"/>
      <c r="TWU243" s="334"/>
      <c r="TWV243" s="334"/>
      <c r="TWW243" s="334"/>
      <c r="TWX243" s="334"/>
      <c r="TWY243" s="334"/>
      <c r="TWZ243" s="334"/>
      <c r="TXA243" s="334"/>
      <c r="TXB243" s="334"/>
      <c r="TXC243" s="334"/>
      <c r="TXD243" s="334"/>
      <c r="TXE243" s="334"/>
      <c r="TXF243" s="334"/>
      <c r="TXG243" s="334"/>
      <c r="TXH243" s="334"/>
      <c r="TXI243" s="334"/>
      <c r="TXJ243" s="334"/>
      <c r="TXK243" s="334"/>
      <c r="TXL243" s="334"/>
      <c r="TXM243" s="334"/>
      <c r="TXN243" s="334"/>
      <c r="TXO243" s="334"/>
      <c r="TXP243" s="334"/>
      <c r="TXQ243" s="334"/>
      <c r="TXR243" s="334"/>
      <c r="TXS243" s="334"/>
      <c r="TXT243" s="334"/>
      <c r="TXU243" s="334"/>
      <c r="TXV243" s="334"/>
      <c r="TXW243" s="334"/>
      <c r="TXX243" s="334"/>
      <c r="TXY243" s="334"/>
      <c r="TXZ243" s="334"/>
      <c r="TYA243" s="334"/>
      <c r="TYB243" s="334"/>
      <c r="TYC243" s="334"/>
      <c r="TYD243" s="334"/>
      <c r="TYE243" s="334"/>
      <c r="TYF243" s="334"/>
      <c r="TYG243" s="334"/>
      <c r="TYH243" s="334"/>
      <c r="TYI243" s="334"/>
      <c r="TYJ243" s="334"/>
      <c r="TYK243" s="334"/>
      <c r="TYL243" s="334"/>
      <c r="TYM243" s="334"/>
      <c r="TYN243" s="334"/>
      <c r="TYO243" s="334"/>
      <c r="TYP243" s="334"/>
      <c r="TYQ243" s="334"/>
      <c r="TYR243" s="334"/>
      <c r="TYS243" s="334"/>
      <c r="TYT243" s="334"/>
      <c r="TYU243" s="334"/>
      <c r="TYV243" s="334"/>
      <c r="TYW243" s="334"/>
      <c r="TYX243" s="334"/>
      <c r="TYY243" s="334"/>
      <c r="TYZ243" s="334"/>
      <c r="TZA243" s="334"/>
      <c r="TZB243" s="334"/>
      <c r="TZC243" s="334"/>
      <c r="TZD243" s="334"/>
      <c r="TZE243" s="334"/>
      <c r="TZF243" s="334"/>
      <c r="TZG243" s="334"/>
      <c r="TZH243" s="334"/>
      <c r="TZI243" s="334"/>
      <c r="TZJ243" s="334"/>
      <c r="TZK243" s="334"/>
      <c r="TZL243" s="334"/>
      <c r="TZM243" s="334"/>
      <c r="TZN243" s="334"/>
      <c r="TZO243" s="334"/>
      <c r="TZP243" s="334"/>
      <c r="TZQ243" s="334"/>
      <c r="TZR243" s="334"/>
      <c r="TZS243" s="334"/>
      <c r="TZT243" s="334"/>
      <c r="TZU243" s="334"/>
      <c r="TZV243" s="334"/>
      <c r="TZW243" s="334"/>
      <c r="TZX243" s="334"/>
      <c r="TZY243" s="334"/>
      <c r="TZZ243" s="334"/>
      <c r="UAA243" s="334"/>
      <c r="UAB243" s="334"/>
      <c r="UAC243" s="334"/>
      <c r="UAD243" s="334"/>
      <c r="UAE243" s="334"/>
      <c r="UAF243" s="334"/>
      <c r="UAG243" s="334"/>
      <c r="UAH243" s="334"/>
      <c r="UAI243" s="334"/>
      <c r="UAJ243" s="334"/>
      <c r="UAK243" s="334"/>
      <c r="UAL243" s="334"/>
      <c r="UAM243" s="334"/>
      <c r="UAN243" s="334"/>
      <c r="UAO243" s="334"/>
      <c r="UAP243" s="334"/>
      <c r="UAQ243" s="334"/>
      <c r="UAR243" s="334"/>
      <c r="UAS243" s="334"/>
      <c r="UAT243" s="334"/>
      <c r="UAU243" s="334"/>
      <c r="UAV243" s="334"/>
      <c r="UAW243" s="334"/>
      <c r="UAX243" s="334"/>
      <c r="UAY243" s="334"/>
      <c r="UAZ243" s="334"/>
      <c r="UBA243" s="334"/>
      <c r="UBB243" s="334"/>
      <c r="UBC243" s="334"/>
      <c r="UBD243" s="334"/>
      <c r="UBE243" s="334"/>
      <c r="UBF243" s="334"/>
      <c r="UBG243" s="334"/>
      <c r="UBH243" s="334"/>
      <c r="UBI243" s="334"/>
      <c r="UBJ243" s="334"/>
      <c r="UBK243" s="334"/>
      <c r="UBL243" s="334"/>
      <c r="UBM243" s="334"/>
      <c r="UBN243" s="334"/>
      <c r="UBO243" s="334"/>
      <c r="UBP243" s="334"/>
      <c r="UBQ243" s="334"/>
      <c r="UBR243" s="334"/>
      <c r="UBS243" s="334"/>
      <c r="UBT243" s="334"/>
      <c r="UBU243" s="334"/>
      <c r="UBV243" s="334"/>
      <c r="UBW243" s="334"/>
      <c r="UBX243" s="334"/>
      <c r="UBY243" s="334"/>
      <c r="UBZ243" s="334"/>
      <c r="UCA243" s="334"/>
      <c r="UCB243" s="334"/>
      <c r="UCC243" s="334"/>
      <c r="UCD243" s="334"/>
      <c r="UCE243" s="334"/>
      <c r="UCF243" s="334"/>
      <c r="UCG243" s="334"/>
      <c r="UCH243" s="334"/>
      <c r="UCI243" s="334"/>
      <c r="UCJ243" s="334"/>
      <c r="UCK243" s="334"/>
      <c r="UCL243" s="334"/>
      <c r="UCM243" s="334"/>
      <c r="UCN243" s="334"/>
      <c r="UCO243" s="334"/>
      <c r="UCP243" s="334"/>
      <c r="UCQ243" s="334"/>
      <c r="UCR243" s="334"/>
      <c r="UCS243" s="334"/>
      <c r="UCT243" s="334"/>
      <c r="UCU243" s="334"/>
      <c r="UCV243" s="334"/>
      <c r="UCW243" s="334"/>
      <c r="UCX243" s="334"/>
      <c r="UCY243" s="334"/>
      <c r="UCZ243" s="334"/>
      <c r="UDA243" s="334"/>
      <c r="UDB243" s="334"/>
      <c r="UDC243" s="334"/>
      <c r="UDD243" s="334"/>
      <c r="UDE243" s="334"/>
      <c r="UDF243" s="334"/>
      <c r="UDG243" s="334"/>
      <c r="UDH243" s="334"/>
      <c r="UDI243" s="334"/>
      <c r="UDJ243" s="334"/>
      <c r="UDK243" s="334"/>
      <c r="UDL243" s="334"/>
      <c r="UDM243" s="334"/>
      <c r="UDN243" s="334"/>
      <c r="UDO243" s="334"/>
      <c r="UDP243" s="334"/>
      <c r="UDQ243" s="334"/>
      <c r="UDR243" s="334"/>
      <c r="UDS243" s="334"/>
      <c r="UDT243" s="334"/>
      <c r="UDU243" s="334"/>
      <c r="UDV243" s="334"/>
      <c r="UDW243" s="334"/>
      <c r="UDX243" s="334"/>
      <c r="UDY243" s="334"/>
      <c r="UDZ243" s="334"/>
      <c r="UEA243" s="334"/>
      <c r="UEB243" s="334"/>
      <c r="UEC243" s="334"/>
      <c r="UED243" s="334"/>
      <c r="UEE243" s="334"/>
      <c r="UEF243" s="334"/>
      <c r="UEG243" s="334"/>
      <c r="UEH243" s="334"/>
      <c r="UEI243" s="334"/>
      <c r="UEJ243" s="334"/>
      <c r="UEK243" s="334"/>
      <c r="UEL243" s="334"/>
      <c r="UEM243" s="334"/>
      <c r="UEN243" s="334"/>
      <c r="UEO243" s="334"/>
      <c r="UEP243" s="334"/>
      <c r="UEQ243" s="334"/>
      <c r="UER243" s="334"/>
      <c r="UES243" s="334"/>
      <c r="UET243" s="334"/>
      <c r="UEU243" s="334"/>
      <c r="UEV243" s="334"/>
      <c r="UEW243" s="334"/>
      <c r="UEX243" s="334"/>
      <c r="UEY243" s="334"/>
      <c r="UEZ243" s="334"/>
      <c r="UFA243" s="334"/>
      <c r="UFB243" s="334"/>
      <c r="UFC243" s="334"/>
      <c r="UFD243" s="334"/>
      <c r="UFE243" s="334"/>
      <c r="UFF243" s="334"/>
      <c r="UFG243" s="334"/>
      <c r="UFH243" s="334"/>
      <c r="UFI243" s="334"/>
      <c r="UFJ243" s="334"/>
      <c r="UFK243" s="334"/>
      <c r="UFL243" s="334"/>
      <c r="UFM243" s="334"/>
      <c r="UFN243" s="334"/>
      <c r="UFO243" s="334"/>
      <c r="UFP243" s="334"/>
      <c r="UFQ243" s="334"/>
      <c r="UFR243" s="334"/>
      <c r="UFS243" s="334"/>
      <c r="UFT243" s="334"/>
      <c r="UFU243" s="334"/>
      <c r="UFV243" s="334"/>
      <c r="UFW243" s="334"/>
      <c r="UFX243" s="334"/>
      <c r="UFY243" s="334"/>
      <c r="UFZ243" s="334"/>
      <c r="UGA243" s="334"/>
      <c r="UGB243" s="334"/>
      <c r="UGC243" s="334"/>
      <c r="UGD243" s="334"/>
      <c r="UGE243" s="334"/>
      <c r="UGF243" s="334"/>
      <c r="UGG243" s="334"/>
      <c r="UGH243" s="334"/>
      <c r="UGI243" s="334"/>
      <c r="UGJ243" s="334"/>
      <c r="UGK243" s="334"/>
      <c r="UGL243" s="334"/>
      <c r="UGM243" s="334"/>
      <c r="UGN243" s="334"/>
      <c r="UGO243" s="334"/>
      <c r="UGP243" s="334"/>
      <c r="UGQ243" s="334"/>
      <c r="UGR243" s="334"/>
      <c r="UGS243" s="334"/>
      <c r="UGT243" s="334"/>
      <c r="UGU243" s="334"/>
      <c r="UGV243" s="334"/>
      <c r="UGW243" s="334"/>
      <c r="UGX243" s="334"/>
      <c r="UGY243" s="334"/>
      <c r="UGZ243" s="334"/>
      <c r="UHA243" s="334"/>
      <c r="UHB243" s="334"/>
      <c r="UHC243" s="334"/>
      <c r="UHD243" s="334"/>
      <c r="UHE243" s="334"/>
      <c r="UHF243" s="334"/>
      <c r="UHG243" s="334"/>
      <c r="UHH243" s="334"/>
      <c r="UHI243" s="334"/>
      <c r="UHJ243" s="334"/>
      <c r="UHK243" s="334"/>
      <c r="UHL243" s="334"/>
      <c r="UHM243" s="334"/>
      <c r="UHN243" s="334"/>
      <c r="UHO243" s="334"/>
      <c r="UHP243" s="334"/>
      <c r="UHQ243" s="334"/>
      <c r="UHR243" s="334"/>
      <c r="UHS243" s="334"/>
      <c r="UHT243" s="334"/>
      <c r="UHU243" s="334"/>
      <c r="UHV243" s="334"/>
      <c r="UHW243" s="334"/>
      <c r="UHX243" s="334"/>
      <c r="UHY243" s="334"/>
      <c r="UHZ243" s="334"/>
      <c r="UIA243" s="334"/>
      <c r="UIB243" s="334"/>
      <c r="UIC243" s="334"/>
      <c r="UID243" s="334"/>
      <c r="UIE243" s="334"/>
      <c r="UIF243" s="334"/>
      <c r="UIG243" s="334"/>
      <c r="UIH243" s="334"/>
      <c r="UII243" s="334"/>
      <c r="UIJ243" s="334"/>
      <c r="UIK243" s="334"/>
      <c r="UIL243" s="334"/>
      <c r="UIM243" s="334"/>
      <c r="UIN243" s="334"/>
      <c r="UIO243" s="334"/>
      <c r="UIP243" s="334"/>
      <c r="UIQ243" s="334"/>
      <c r="UIR243" s="334"/>
      <c r="UIS243" s="334"/>
      <c r="UIT243" s="334"/>
      <c r="UIU243" s="334"/>
      <c r="UIV243" s="334"/>
      <c r="UIW243" s="334"/>
      <c r="UIX243" s="334"/>
      <c r="UIY243" s="334"/>
      <c r="UIZ243" s="334"/>
      <c r="UJA243" s="334"/>
      <c r="UJB243" s="334"/>
      <c r="UJC243" s="334"/>
      <c r="UJD243" s="334"/>
      <c r="UJE243" s="334"/>
      <c r="UJF243" s="334"/>
      <c r="UJG243" s="334"/>
      <c r="UJH243" s="334"/>
      <c r="UJI243" s="334"/>
      <c r="UJJ243" s="334"/>
      <c r="UJK243" s="334"/>
      <c r="UJL243" s="334"/>
      <c r="UJM243" s="334"/>
      <c r="UJN243" s="334"/>
      <c r="UJO243" s="334"/>
      <c r="UJP243" s="334"/>
      <c r="UJQ243" s="334"/>
      <c r="UJR243" s="334"/>
      <c r="UJS243" s="334"/>
      <c r="UJT243" s="334"/>
      <c r="UJU243" s="334"/>
      <c r="UJV243" s="334"/>
      <c r="UJW243" s="334"/>
      <c r="UJX243" s="334"/>
      <c r="UJY243" s="334"/>
      <c r="UJZ243" s="334"/>
      <c r="UKA243" s="334"/>
      <c r="UKB243" s="334"/>
      <c r="UKC243" s="334"/>
      <c r="UKD243" s="334"/>
      <c r="UKE243" s="334"/>
      <c r="UKF243" s="334"/>
      <c r="UKG243" s="334"/>
      <c r="UKH243" s="334"/>
      <c r="UKI243" s="334"/>
      <c r="UKJ243" s="334"/>
      <c r="UKK243" s="334"/>
      <c r="UKL243" s="334"/>
      <c r="UKM243" s="334"/>
      <c r="UKN243" s="334"/>
      <c r="UKO243" s="334"/>
      <c r="UKP243" s="334"/>
      <c r="UKQ243" s="334"/>
      <c r="UKR243" s="334"/>
      <c r="UKS243" s="334"/>
      <c r="UKT243" s="334"/>
      <c r="UKU243" s="334"/>
      <c r="UKV243" s="334"/>
      <c r="UKW243" s="334"/>
      <c r="UKX243" s="334"/>
      <c r="UKY243" s="334"/>
      <c r="UKZ243" s="334"/>
      <c r="ULA243" s="334"/>
      <c r="ULB243" s="334"/>
      <c r="ULC243" s="334"/>
      <c r="ULD243" s="334"/>
      <c r="ULE243" s="334"/>
      <c r="ULF243" s="334"/>
      <c r="ULG243" s="334"/>
      <c r="ULH243" s="334"/>
      <c r="ULI243" s="334"/>
      <c r="ULJ243" s="334"/>
      <c r="ULK243" s="334"/>
      <c r="ULL243" s="334"/>
      <c r="ULM243" s="334"/>
      <c r="ULN243" s="334"/>
      <c r="ULO243" s="334"/>
      <c r="ULP243" s="334"/>
      <c r="ULQ243" s="334"/>
      <c r="ULR243" s="334"/>
      <c r="ULS243" s="334"/>
      <c r="ULT243" s="334"/>
      <c r="ULU243" s="334"/>
      <c r="ULV243" s="334"/>
      <c r="ULW243" s="334"/>
      <c r="ULX243" s="334"/>
      <c r="ULY243" s="334"/>
      <c r="ULZ243" s="334"/>
      <c r="UMA243" s="334"/>
      <c r="UMB243" s="334"/>
      <c r="UMC243" s="334"/>
      <c r="UMD243" s="334"/>
      <c r="UME243" s="334"/>
      <c r="UMF243" s="334"/>
      <c r="UMG243" s="334"/>
      <c r="UMH243" s="334"/>
      <c r="UMI243" s="334"/>
      <c r="UMJ243" s="334"/>
      <c r="UMK243" s="334"/>
      <c r="UML243" s="334"/>
      <c r="UMM243" s="334"/>
      <c r="UMN243" s="334"/>
      <c r="UMO243" s="334"/>
      <c r="UMP243" s="334"/>
      <c r="UMQ243" s="334"/>
      <c r="UMR243" s="334"/>
      <c r="UMS243" s="334"/>
      <c r="UMT243" s="334"/>
      <c r="UMU243" s="334"/>
      <c r="UMV243" s="334"/>
      <c r="UMW243" s="334"/>
      <c r="UMX243" s="334"/>
      <c r="UMY243" s="334"/>
      <c r="UMZ243" s="334"/>
      <c r="UNA243" s="334"/>
      <c r="UNB243" s="334"/>
      <c r="UNC243" s="334"/>
      <c r="UND243" s="334"/>
      <c r="UNE243" s="334"/>
      <c r="UNF243" s="334"/>
      <c r="UNG243" s="334"/>
      <c r="UNH243" s="334"/>
      <c r="UNI243" s="334"/>
      <c r="UNJ243" s="334"/>
      <c r="UNK243" s="334"/>
      <c r="UNL243" s="334"/>
      <c r="UNM243" s="334"/>
      <c r="UNN243" s="334"/>
      <c r="UNO243" s="334"/>
      <c r="UNP243" s="334"/>
      <c r="UNQ243" s="334"/>
      <c r="UNR243" s="334"/>
      <c r="UNS243" s="334"/>
      <c r="UNT243" s="334"/>
      <c r="UNU243" s="334"/>
      <c r="UNV243" s="334"/>
      <c r="UNW243" s="334"/>
      <c r="UNX243" s="334"/>
      <c r="UNY243" s="334"/>
      <c r="UNZ243" s="334"/>
      <c r="UOA243" s="334"/>
      <c r="UOB243" s="334"/>
      <c r="UOC243" s="334"/>
      <c r="UOD243" s="334"/>
      <c r="UOE243" s="334"/>
      <c r="UOF243" s="334"/>
      <c r="UOG243" s="334"/>
      <c r="UOH243" s="334"/>
      <c r="UOI243" s="334"/>
      <c r="UOJ243" s="334"/>
      <c r="UOK243" s="334"/>
      <c r="UOL243" s="334"/>
      <c r="UOM243" s="334"/>
      <c r="UON243" s="334"/>
      <c r="UOO243" s="334"/>
      <c r="UOP243" s="334"/>
      <c r="UOQ243" s="334"/>
      <c r="UOR243" s="334"/>
      <c r="UOS243" s="334"/>
      <c r="UOT243" s="334"/>
      <c r="UOU243" s="334"/>
      <c r="UOV243" s="334"/>
      <c r="UOW243" s="334"/>
      <c r="UOX243" s="334"/>
      <c r="UOY243" s="334"/>
      <c r="UOZ243" s="334"/>
      <c r="UPA243" s="334"/>
      <c r="UPB243" s="334"/>
      <c r="UPC243" s="334"/>
      <c r="UPD243" s="334"/>
      <c r="UPE243" s="334"/>
      <c r="UPF243" s="334"/>
      <c r="UPG243" s="334"/>
      <c r="UPH243" s="334"/>
      <c r="UPI243" s="334"/>
      <c r="UPJ243" s="334"/>
      <c r="UPK243" s="334"/>
      <c r="UPL243" s="334"/>
      <c r="UPM243" s="334"/>
      <c r="UPN243" s="334"/>
      <c r="UPO243" s="334"/>
      <c r="UPP243" s="334"/>
      <c r="UPQ243" s="334"/>
      <c r="UPR243" s="334"/>
      <c r="UPS243" s="334"/>
      <c r="UPT243" s="334"/>
      <c r="UPU243" s="334"/>
      <c r="UPV243" s="334"/>
      <c r="UPW243" s="334"/>
      <c r="UPX243" s="334"/>
      <c r="UPY243" s="334"/>
      <c r="UPZ243" s="334"/>
      <c r="UQA243" s="334"/>
      <c r="UQB243" s="334"/>
      <c r="UQC243" s="334"/>
      <c r="UQD243" s="334"/>
      <c r="UQE243" s="334"/>
      <c r="UQF243" s="334"/>
      <c r="UQG243" s="334"/>
      <c r="UQH243" s="334"/>
      <c r="UQI243" s="334"/>
      <c r="UQJ243" s="334"/>
      <c r="UQK243" s="334"/>
      <c r="UQL243" s="334"/>
      <c r="UQM243" s="334"/>
      <c r="UQN243" s="334"/>
      <c r="UQO243" s="334"/>
      <c r="UQP243" s="334"/>
      <c r="UQQ243" s="334"/>
      <c r="UQR243" s="334"/>
      <c r="UQS243" s="334"/>
      <c r="UQT243" s="334"/>
      <c r="UQU243" s="334"/>
      <c r="UQV243" s="334"/>
      <c r="UQW243" s="334"/>
      <c r="UQX243" s="334"/>
      <c r="UQY243" s="334"/>
      <c r="UQZ243" s="334"/>
      <c r="URA243" s="334"/>
      <c r="URB243" s="334"/>
      <c r="URC243" s="334"/>
      <c r="URD243" s="334"/>
      <c r="URE243" s="334"/>
      <c r="URF243" s="334"/>
      <c r="URG243" s="334"/>
      <c r="URH243" s="334"/>
      <c r="URI243" s="334"/>
      <c r="URJ243" s="334"/>
      <c r="URK243" s="334"/>
      <c r="URL243" s="334"/>
      <c r="URM243" s="334"/>
      <c r="URN243" s="334"/>
      <c r="URO243" s="334"/>
      <c r="URP243" s="334"/>
      <c r="URQ243" s="334"/>
      <c r="URR243" s="334"/>
      <c r="URS243" s="334"/>
      <c r="URT243" s="334"/>
      <c r="URU243" s="334"/>
      <c r="URV243" s="334"/>
      <c r="URW243" s="334"/>
      <c r="URX243" s="334"/>
      <c r="URY243" s="334"/>
      <c r="URZ243" s="334"/>
      <c r="USA243" s="334"/>
      <c r="USB243" s="334"/>
      <c r="USC243" s="334"/>
      <c r="USD243" s="334"/>
      <c r="USE243" s="334"/>
      <c r="USF243" s="334"/>
      <c r="USG243" s="334"/>
      <c r="USH243" s="334"/>
      <c r="USI243" s="334"/>
      <c r="USJ243" s="334"/>
      <c r="USK243" s="334"/>
      <c r="USL243" s="334"/>
      <c r="USM243" s="334"/>
      <c r="USN243" s="334"/>
      <c r="USO243" s="334"/>
      <c r="USP243" s="334"/>
      <c r="USQ243" s="334"/>
      <c r="USR243" s="334"/>
      <c r="USS243" s="334"/>
      <c r="UST243" s="334"/>
      <c r="USU243" s="334"/>
      <c r="USV243" s="334"/>
      <c r="USW243" s="334"/>
      <c r="USX243" s="334"/>
      <c r="USY243" s="334"/>
      <c r="USZ243" s="334"/>
      <c r="UTA243" s="334"/>
      <c r="UTB243" s="334"/>
      <c r="UTC243" s="334"/>
      <c r="UTD243" s="334"/>
      <c r="UTE243" s="334"/>
      <c r="UTF243" s="334"/>
      <c r="UTG243" s="334"/>
      <c r="UTH243" s="334"/>
      <c r="UTI243" s="334"/>
      <c r="UTJ243" s="334"/>
      <c r="UTK243" s="334"/>
      <c r="UTL243" s="334"/>
      <c r="UTM243" s="334"/>
      <c r="UTN243" s="334"/>
      <c r="UTO243" s="334"/>
      <c r="UTP243" s="334"/>
      <c r="UTQ243" s="334"/>
      <c r="UTR243" s="334"/>
      <c r="UTS243" s="334"/>
      <c r="UTT243" s="334"/>
      <c r="UTU243" s="334"/>
      <c r="UTV243" s="334"/>
      <c r="UTW243" s="334"/>
      <c r="UTX243" s="334"/>
      <c r="UTY243" s="334"/>
      <c r="UTZ243" s="334"/>
      <c r="UUA243" s="334"/>
      <c r="UUB243" s="334"/>
      <c r="UUC243" s="334"/>
      <c r="UUD243" s="334"/>
      <c r="UUE243" s="334"/>
      <c r="UUF243" s="334"/>
      <c r="UUG243" s="334"/>
      <c r="UUH243" s="334"/>
      <c r="UUI243" s="334"/>
      <c r="UUJ243" s="334"/>
      <c r="UUK243" s="334"/>
      <c r="UUL243" s="334"/>
      <c r="UUM243" s="334"/>
      <c r="UUN243" s="334"/>
      <c r="UUO243" s="334"/>
      <c r="UUP243" s="334"/>
      <c r="UUQ243" s="334"/>
      <c r="UUR243" s="334"/>
      <c r="UUS243" s="334"/>
      <c r="UUT243" s="334"/>
      <c r="UUU243" s="334"/>
      <c r="UUV243" s="334"/>
      <c r="UUW243" s="334"/>
      <c r="UUX243" s="334"/>
      <c r="UUY243" s="334"/>
      <c r="UUZ243" s="334"/>
      <c r="UVA243" s="334"/>
      <c r="UVB243" s="334"/>
      <c r="UVC243" s="334"/>
      <c r="UVD243" s="334"/>
      <c r="UVE243" s="334"/>
      <c r="UVF243" s="334"/>
      <c r="UVG243" s="334"/>
      <c r="UVH243" s="334"/>
      <c r="UVI243" s="334"/>
      <c r="UVJ243" s="334"/>
      <c r="UVK243" s="334"/>
      <c r="UVL243" s="334"/>
      <c r="UVM243" s="334"/>
      <c r="UVN243" s="334"/>
      <c r="UVO243" s="334"/>
      <c r="UVP243" s="334"/>
      <c r="UVQ243" s="334"/>
      <c r="UVR243" s="334"/>
      <c r="UVS243" s="334"/>
      <c r="UVT243" s="334"/>
      <c r="UVU243" s="334"/>
      <c r="UVV243" s="334"/>
      <c r="UVW243" s="334"/>
      <c r="UVX243" s="334"/>
      <c r="UVY243" s="334"/>
      <c r="UVZ243" s="334"/>
      <c r="UWA243" s="334"/>
      <c r="UWB243" s="334"/>
      <c r="UWC243" s="334"/>
      <c r="UWD243" s="334"/>
      <c r="UWE243" s="334"/>
      <c r="UWF243" s="334"/>
      <c r="UWG243" s="334"/>
      <c r="UWH243" s="334"/>
      <c r="UWI243" s="334"/>
      <c r="UWJ243" s="334"/>
      <c r="UWK243" s="334"/>
      <c r="UWL243" s="334"/>
      <c r="UWM243" s="334"/>
      <c r="UWN243" s="334"/>
      <c r="UWO243" s="334"/>
      <c r="UWP243" s="334"/>
      <c r="UWQ243" s="334"/>
      <c r="UWR243" s="334"/>
      <c r="UWS243" s="334"/>
      <c r="UWT243" s="334"/>
      <c r="UWU243" s="334"/>
      <c r="UWV243" s="334"/>
      <c r="UWW243" s="334"/>
      <c r="UWX243" s="334"/>
      <c r="UWY243" s="334"/>
      <c r="UWZ243" s="334"/>
      <c r="UXA243" s="334"/>
      <c r="UXB243" s="334"/>
      <c r="UXC243" s="334"/>
      <c r="UXD243" s="334"/>
      <c r="UXE243" s="334"/>
      <c r="UXF243" s="334"/>
      <c r="UXG243" s="334"/>
      <c r="UXH243" s="334"/>
      <c r="UXI243" s="334"/>
      <c r="UXJ243" s="334"/>
      <c r="UXK243" s="334"/>
      <c r="UXL243" s="334"/>
      <c r="UXM243" s="334"/>
      <c r="UXN243" s="334"/>
      <c r="UXO243" s="334"/>
      <c r="UXP243" s="334"/>
      <c r="UXQ243" s="334"/>
      <c r="UXR243" s="334"/>
      <c r="UXS243" s="334"/>
      <c r="UXT243" s="334"/>
      <c r="UXU243" s="334"/>
      <c r="UXV243" s="334"/>
      <c r="UXW243" s="334"/>
      <c r="UXX243" s="334"/>
      <c r="UXY243" s="334"/>
      <c r="UXZ243" s="334"/>
      <c r="UYA243" s="334"/>
      <c r="UYB243" s="334"/>
      <c r="UYC243" s="334"/>
      <c r="UYD243" s="334"/>
      <c r="UYE243" s="334"/>
      <c r="UYF243" s="334"/>
      <c r="UYG243" s="334"/>
      <c r="UYH243" s="334"/>
      <c r="UYI243" s="334"/>
      <c r="UYJ243" s="334"/>
      <c r="UYK243" s="334"/>
      <c r="UYL243" s="334"/>
      <c r="UYM243" s="334"/>
      <c r="UYN243" s="334"/>
      <c r="UYO243" s="334"/>
      <c r="UYP243" s="334"/>
      <c r="UYQ243" s="334"/>
      <c r="UYR243" s="334"/>
      <c r="UYS243" s="334"/>
      <c r="UYT243" s="334"/>
      <c r="UYU243" s="334"/>
      <c r="UYV243" s="334"/>
      <c r="UYW243" s="334"/>
      <c r="UYX243" s="334"/>
      <c r="UYY243" s="334"/>
      <c r="UYZ243" s="334"/>
      <c r="UZA243" s="334"/>
      <c r="UZB243" s="334"/>
      <c r="UZC243" s="334"/>
      <c r="UZD243" s="334"/>
      <c r="UZE243" s="334"/>
      <c r="UZF243" s="334"/>
      <c r="UZG243" s="334"/>
      <c r="UZH243" s="334"/>
      <c r="UZI243" s="334"/>
      <c r="UZJ243" s="334"/>
      <c r="UZK243" s="334"/>
      <c r="UZL243" s="334"/>
      <c r="UZM243" s="334"/>
      <c r="UZN243" s="334"/>
      <c r="UZO243" s="334"/>
      <c r="UZP243" s="334"/>
      <c r="UZQ243" s="334"/>
      <c r="UZR243" s="334"/>
      <c r="UZS243" s="334"/>
      <c r="UZT243" s="334"/>
      <c r="UZU243" s="334"/>
      <c r="UZV243" s="334"/>
      <c r="UZW243" s="334"/>
      <c r="UZX243" s="334"/>
      <c r="UZY243" s="334"/>
      <c r="UZZ243" s="334"/>
      <c r="VAA243" s="334"/>
      <c r="VAB243" s="334"/>
      <c r="VAC243" s="334"/>
      <c r="VAD243" s="334"/>
      <c r="VAE243" s="334"/>
      <c r="VAF243" s="334"/>
      <c r="VAG243" s="334"/>
      <c r="VAH243" s="334"/>
      <c r="VAI243" s="334"/>
      <c r="VAJ243" s="334"/>
      <c r="VAK243" s="334"/>
      <c r="VAL243" s="334"/>
      <c r="VAM243" s="334"/>
      <c r="VAN243" s="334"/>
      <c r="VAO243" s="334"/>
      <c r="VAP243" s="334"/>
      <c r="VAQ243" s="334"/>
      <c r="VAR243" s="334"/>
      <c r="VAS243" s="334"/>
      <c r="VAT243" s="334"/>
      <c r="VAU243" s="334"/>
      <c r="VAV243" s="334"/>
      <c r="VAW243" s="334"/>
      <c r="VAX243" s="334"/>
      <c r="VAY243" s="334"/>
      <c r="VAZ243" s="334"/>
      <c r="VBA243" s="334"/>
      <c r="VBB243" s="334"/>
      <c r="VBC243" s="334"/>
      <c r="VBD243" s="334"/>
      <c r="VBE243" s="334"/>
      <c r="VBF243" s="334"/>
      <c r="VBG243" s="334"/>
      <c r="VBH243" s="334"/>
      <c r="VBI243" s="334"/>
      <c r="VBJ243" s="334"/>
      <c r="VBK243" s="334"/>
      <c r="VBL243" s="334"/>
      <c r="VBM243" s="334"/>
      <c r="VBN243" s="334"/>
      <c r="VBO243" s="334"/>
      <c r="VBP243" s="334"/>
      <c r="VBQ243" s="334"/>
      <c r="VBR243" s="334"/>
      <c r="VBS243" s="334"/>
      <c r="VBT243" s="334"/>
      <c r="VBU243" s="334"/>
      <c r="VBV243" s="334"/>
      <c r="VBW243" s="334"/>
      <c r="VBX243" s="334"/>
      <c r="VBY243" s="334"/>
      <c r="VBZ243" s="334"/>
      <c r="VCA243" s="334"/>
      <c r="VCB243" s="334"/>
      <c r="VCC243" s="334"/>
      <c r="VCD243" s="334"/>
      <c r="VCE243" s="334"/>
      <c r="VCF243" s="334"/>
      <c r="VCG243" s="334"/>
      <c r="VCH243" s="334"/>
      <c r="VCI243" s="334"/>
      <c r="VCJ243" s="334"/>
      <c r="VCK243" s="334"/>
      <c r="VCL243" s="334"/>
      <c r="VCM243" s="334"/>
      <c r="VCN243" s="334"/>
      <c r="VCO243" s="334"/>
      <c r="VCP243" s="334"/>
      <c r="VCQ243" s="334"/>
      <c r="VCR243" s="334"/>
      <c r="VCS243" s="334"/>
      <c r="VCT243" s="334"/>
      <c r="VCU243" s="334"/>
      <c r="VCV243" s="334"/>
      <c r="VCW243" s="334"/>
      <c r="VCX243" s="334"/>
      <c r="VCY243" s="334"/>
      <c r="VCZ243" s="334"/>
      <c r="VDA243" s="334"/>
      <c r="VDB243" s="334"/>
      <c r="VDC243" s="334"/>
      <c r="VDD243" s="334"/>
      <c r="VDE243" s="334"/>
      <c r="VDF243" s="334"/>
      <c r="VDG243" s="334"/>
      <c r="VDH243" s="334"/>
      <c r="VDI243" s="334"/>
      <c r="VDJ243" s="334"/>
      <c r="VDK243" s="334"/>
      <c r="VDL243" s="334"/>
      <c r="VDM243" s="334"/>
      <c r="VDN243" s="334"/>
      <c r="VDO243" s="334"/>
      <c r="VDP243" s="334"/>
      <c r="VDQ243" s="334"/>
      <c r="VDR243" s="334"/>
      <c r="VDS243" s="334"/>
      <c r="VDT243" s="334"/>
      <c r="VDU243" s="334"/>
      <c r="VDV243" s="334"/>
      <c r="VDW243" s="334"/>
      <c r="VDX243" s="334"/>
      <c r="VDY243" s="334"/>
      <c r="VDZ243" s="334"/>
      <c r="VEA243" s="334"/>
      <c r="VEB243" s="334"/>
      <c r="VEC243" s="334"/>
      <c r="VED243" s="334"/>
      <c r="VEE243" s="334"/>
      <c r="VEF243" s="334"/>
      <c r="VEG243" s="334"/>
      <c r="VEH243" s="334"/>
      <c r="VEI243" s="334"/>
      <c r="VEJ243" s="334"/>
      <c r="VEK243" s="334"/>
      <c r="VEL243" s="334"/>
      <c r="VEM243" s="334"/>
      <c r="VEN243" s="334"/>
      <c r="VEO243" s="334"/>
      <c r="VEP243" s="334"/>
      <c r="VEQ243" s="334"/>
      <c r="VER243" s="334"/>
      <c r="VES243" s="334"/>
      <c r="VET243" s="334"/>
      <c r="VEU243" s="334"/>
      <c r="VEV243" s="334"/>
      <c r="VEW243" s="334"/>
      <c r="VEX243" s="334"/>
      <c r="VEY243" s="334"/>
      <c r="VEZ243" s="334"/>
      <c r="VFA243" s="334"/>
      <c r="VFB243" s="334"/>
      <c r="VFC243" s="334"/>
      <c r="VFD243" s="334"/>
      <c r="VFE243" s="334"/>
      <c r="VFF243" s="334"/>
      <c r="VFG243" s="334"/>
      <c r="VFH243" s="334"/>
      <c r="VFI243" s="334"/>
      <c r="VFJ243" s="334"/>
      <c r="VFK243" s="334"/>
      <c r="VFL243" s="334"/>
      <c r="VFM243" s="334"/>
      <c r="VFN243" s="334"/>
      <c r="VFO243" s="334"/>
      <c r="VFP243" s="334"/>
      <c r="VFQ243" s="334"/>
      <c r="VFR243" s="334"/>
      <c r="VFS243" s="334"/>
      <c r="VFT243" s="334"/>
      <c r="VFU243" s="334"/>
      <c r="VFV243" s="334"/>
      <c r="VFW243" s="334"/>
      <c r="VFX243" s="334"/>
      <c r="VFY243" s="334"/>
      <c r="VFZ243" s="334"/>
      <c r="VGA243" s="334"/>
      <c r="VGB243" s="334"/>
      <c r="VGC243" s="334"/>
      <c r="VGD243" s="334"/>
      <c r="VGE243" s="334"/>
      <c r="VGF243" s="334"/>
      <c r="VGG243" s="334"/>
      <c r="VGH243" s="334"/>
      <c r="VGI243" s="334"/>
      <c r="VGJ243" s="334"/>
      <c r="VGK243" s="334"/>
      <c r="VGL243" s="334"/>
      <c r="VGM243" s="334"/>
      <c r="VGN243" s="334"/>
      <c r="VGO243" s="334"/>
      <c r="VGP243" s="334"/>
      <c r="VGQ243" s="334"/>
      <c r="VGR243" s="334"/>
      <c r="VGS243" s="334"/>
      <c r="VGT243" s="334"/>
      <c r="VGU243" s="334"/>
      <c r="VGV243" s="334"/>
      <c r="VGW243" s="334"/>
      <c r="VGX243" s="334"/>
      <c r="VGY243" s="334"/>
      <c r="VGZ243" s="334"/>
      <c r="VHA243" s="334"/>
      <c r="VHB243" s="334"/>
      <c r="VHC243" s="334"/>
      <c r="VHD243" s="334"/>
      <c r="VHE243" s="334"/>
      <c r="VHF243" s="334"/>
      <c r="VHG243" s="334"/>
      <c r="VHH243" s="334"/>
      <c r="VHI243" s="334"/>
      <c r="VHJ243" s="334"/>
      <c r="VHK243" s="334"/>
      <c r="VHL243" s="334"/>
      <c r="VHM243" s="334"/>
      <c r="VHN243" s="334"/>
      <c r="VHO243" s="334"/>
      <c r="VHP243" s="334"/>
      <c r="VHQ243" s="334"/>
      <c r="VHR243" s="334"/>
      <c r="VHS243" s="334"/>
      <c r="VHT243" s="334"/>
      <c r="VHU243" s="334"/>
      <c r="VHV243" s="334"/>
      <c r="VHW243" s="334"/>
      <c r="VHX243" s="334"/>
      <c r="VHY243" s="334"/>
      <c r="VHZ243" s="334"/>
      <c r="VIA243" s="334"/>
      <c r="VIB243" s="334"/>
      <c r="VIC243" s="334"/>
      <c r="VID243" s="334"/>
      <c r="VIE243" s="334"/>
      <c r="VIF243" s="334"/>
      <c r="VIG243" s="334"/>
      <c r="VIH243" s="334"/>
      <c r="VII243" s="334"/>
      <c r="VIJ243" s="334"/>
      <c r="VIK243" s="334"/>
      <c r="VIL243" s="334"/>
      <c r="VIM243" s="334"/>
      <c r="VIN243" s="334"/>
      <c r="VIO243" s="334"/>
      <c r="VIP243" s="334"/>
      <c r="VIQ243" s="334"/>
      <c r="VIR243" s="334"/>
      <c r="VIS243" s="334"/>
      <c r="VIT243" s="334"/>
      <c r="VIU243" s="334"/>
      <c r="VIV243" s="334"/>
      <c r="VIW243" s="334"/>
      <c r="VIX243" s="334"/>
      <c r="VIY243" s="334"/>
      <c r="VIZ243" s="334"/>
      <c r="VJA243" s="334"/>
      <c r="VJB243" s="334"/>
      <c r="VJC243" s="334"/>
      <c r="VJD243" s="334"/>
      <c r="VJE243" s="334"/>
      <c r="VJF243" s="334"/>
      <c r="VJG243" s="334"/>
      <c r="VJH243" s="334"/>
      <c r="VJI243" s="334"/>
      <c r="VJJ243" s="334"/>
      <c r="VJK243" s="334"/>
      <c r="VJL243" s="334"/>
      <c r="VJM243" s="334"/>
      <c r="VJN243" s="334"/>
      <c r="VJO243" s="334"/>
      <c r="VJP243" s="334"/>
      <c r="VJQ243" s="334"/>
      <c r="VJR243" s="334"/>
      <c r="VJS243" s="334"/>
      <c r="VJT243" s="334"/>
      <c r="VJU243" s="334"/>
      <c r="VJV243" s="334"/>
      <c r="VJW243" s="334"/>
      <c r="VJX243" s="334"/>
      <c r="VJY243" s="334"/>
      <c r="VJZ243" s="334"/>
      <c r="VKA243" s="334"/>
      <c r="VKB243" s="334"/>
      <c r="VKC243" s="334"/>
      <c r="VKD243" s="334"/>
      <c r="VKE243" s="334"/>
      <c r="VKF243" s="334"/>
      <c r="VKG243" s="334"/>
      <c r="VKH243" s="334"/>
      <c r="VKI243" s="334"/>
      <c r="VKJ243" s="334"/>
      <c r="VKK243" s="334"/>
      <c r="VKL243" s="334"/>
      <c r="VKM243" s="334"/>
      <c r="VKN243" s="334"/>
      <c r="VKO243" s="334"/>
      <c r="VKP243" s="334"/>
      <c r="VKQ243" s="334"/>
      <c r="VKR243" s="334"/>
      <c r="VKS243" s="334"/>
      <c r="VKT243" s="334"/>
      <c r="VKU243" s="334"/>
      <c r="VKV243" s="334"/>
      <c r="VKW243" s="334"/>
      <c r="VKX243" s="334"/>
      <c r="VKY243" s="334"/>
      <c r="VKZ243" s="334"/>
      <c r="VLA243" s="334"/>
      <c r="VLB243" s="334"/>
      <c r="VLC243" s="334"/>
      <c r="VLD243" s="334"/>
      <c r="VLE243" s="334"/>
      <c r="VLF243" s="334"/>
      <c r="VLG243" s="334"/>
      <c r="VLH243" s="334"/>
      <c r="VLI243" s="334"/>
      <c r="VLJ243" s="334"/>
      <c r="VLK243" s="334"/>
      <c r="VLL243" s="334"/>
      <c r="VLM243" s="334"/>
      <c r="VLN243" s="334"/>
      <c r="VLO243" s="334"/>
      <c r="VLP243" s="334"/>
      <c r="VLQ243" s="334"/>
      <c r="VLR243" s="334"/>
      <c r="VLS243" s="334"/>
      <c r="VLT243" s="334"/>
      <c r="VLU243" s="334"/>
      <c r="VLV243" s="334"/>
      <c r="VLW243" s="334"/>
      <c r="VLX243" s="334"/>
      <c r="VLY243" s="334"/>
      <c r="VLZ243" s="334"/>
      <c r="VMA243" s="334"/>
      <c r="VMB243" s="334"/>
      <c r="VMC243" s="334"/>
      <c r="VMD243" s="334"/>
      <c r="VME243" s="334"/>
      <c r="VMF243" s="334"/>
      <c r="VMG243" s="334"/>
      <c r="VMH243" s="334"/>
      <c r="VMI243" s="334"/>
      <c r="VMJ243" s="334"/>
      <c r="VMK243" s="334"/>
      <c r="VML243" s="334"/>
      <c r="VMM243" s="334"/>
      <c r="VMN243" s="334"/>
      <c r="VMO243" s="334"/>
      <c r="VMP243" s="334"/>
      <c r="VMQ243" s="334"/>
      <c r="VMR243" s="334"/>
      <c r="VMS243" s="334"/>
      <c r="VMT243" s="334"/>
      <c r="VMU243" s="334"/>
      <c r="VMV243" s="334"/>
      <c r="VMW243" s="334"/>
      <c r="VMX243" s="334"/>
      <c r="VMY243" s="334"/>
      <c r="VMZ243" s="334"/>
      <c r="VNA243" s="334"/>
      <c r="VNB243" s="334"/>
      <c r="VNC243" s="334"/>
      <c r="VND243" s="334"/>
      <c r="VNE243" s="334"/>
      <c r="VNF243" s="334"/>
      <c r="VNG243" s="334"/>
      <c r="VNH243" s="334"/>
      <c r="VNI243" s="334"/>
      <c r="VNJ243" s="334"/>
      <c r="VNK243" s="334"/>
      <c r="VNL243" s="334"/>
      <c r="VNM243" s="334"/>
      <c r="VNN243" s="334"/>
      <c r="VNO243" s="334"/>
      <c r="VNP243" s="334"/>
      <c r="VNQ243" s="334"/>
      <c r="VNR243" s="334"/>
      <c r="VNS243" s="334"/>
      <c r="VNT243" s="334"/>
      <c r="VNU243" s="334"/>
      <c r="VNV243" s="334"/>
      <c r="VNW243" s="334"/>
      <c r="VNX243" s="334"/>
      <c r="VNY243" s="334"/>
      <c r="VNZ243" s="334"/>
      <c r="VOA243" s="334"/>
      <c r="VOB243" s="334"/>
      <c r="VOC243" s="334"/>
      <c r="VOD243" s="334"/>
      <c r="VOE243" s="334"/>
      <c r="VOF243" s="334"/>
      <c r="VOG243" s="334"/>
      <c r="VOH243" s="334"/>
      <c r="VOI243" s="334"/>
      <c r="VOJ243" s="334"/>
      <c r="VOK243" s="334"/>
      <c r="VOL243" s="334"/>
      <c r="VOM243" s="334"/>
      <c r="VON243" s="334"/>
      <c r="VOO243" s="334"/>
      <c r="VOP243" s="334"/>
      <c r="VOQ243" s="334"/>
      <c r="VOR243" s="334"/>
      <c r="VOS243" s="334"/>
      <c r="VOT243" s="334"/>
      <c r="VOU243" s="334"/>
      <c r="VOV243" s="334"/>
      <c r="VOW243" s="334"/>
      <c r="VOX243" s="334"/>
      <c r="VOY243" s="334"/>
      <c r="VOZ243" s="334"/>
      <c r="VPA243" s="334"/>
      <c r="VPB243" s="334"/>
      <c r="VPC243" s="334"/>
      <c r="VPD243" s="334"/>
      <c r="VPE243" s="334"/>
      <c r="VPF243" s="334"/>
      <c r="VPG243" s="334"/>
      <c r="VPH243" s="334"/>
      <c r="VPI243" s="334"/>
      <c r="VPJ243" s="334"/>
      <c r="VPK243" s="334"/>
      <c r="VPL243" s="334"/>
      <c r="VPM243" s="334"/>
      <c r="VPN243" s="334"/>
      <c r="VPO243" s="334"/>
      <c r="VPP243" s="334"/>
      <c r="VPQ243" s="334"/>
      <c r="VPR243" s="334"/>
      <c r="VPS243" s="334"/>
      <c r="VPT243" s="334"/>
      <c r="VPU243" s="334"/>
      <c r="VPV243" s="334"/>
      <c r="VPW243" s="334"/>
      <c r="VPX243" s="334"/>
      <c r="VPY243" s="334"/>
      <c r="VPZ243" s="334"/>
      <c r="VQA243" s="334"/>
      <c r="VQB243" s="334"/>
      <c r="VQC243" s="334"/>
      <c r="VQD243" s="334"/>
      <c r="VQE243" s="334"/>
      <c r="VQF243" s="334"/>
      <c r="VQG243" s="334"/>
      <c r="VQH243" s="334"/>
      <c r="VQI243" s="334"/>
      <c r="VQJ243" s="334"/>
      <c r="VQK243" s="334"/>
      <c r="VQL243" s="334"/>
      <c r="VQM243" s="334"/>
      <c r="VQN243" s="334"/>
      <c r="VQO243" s="334"/>
      <c r="VQP243" s="334"/>
      <c r="VQQ243" s="334"/>
      <c r="VQR243" s="334"/>
      <c r="VQS243" s="334"/>
      <c r="VQT243" s="334"/>
      <c r="VQU243" s="334"/>
      <c r="VQV243" s="334"/>
      <c r="VQW243" s="334"/>
      <c r="VQX243" s="334"/>
      <c r="VQY243" s="334"/>
      <c r="VQZ243" s="334"/>
      <c r="VRA243" s="334"/>
      <c r="VRB243" s="334"/>
      <c r="VRC243" s="334"/>
      <c r="VRD243" s="334"/>
      <c r="VRE243" s="334"/>
      <c r="VRF243" s="334"/>
      <c r="VRG243" s="334"/>
      <c r="VRH243" s="334"/>
      <c r="VRI243" s="334"/>
      <c r="VRJ243" s="334"/>
      <c r="VRK243" s="334"/>
      <c r="VRL243" s="334"/>
      <c r="VRM243" s="334"/>
      <c r="VRN243" s="334"/>
      <c r="VRO243" s="334"/>
      <c r="VRP243" s="334"/>
      <c r="VRQ243" s="334"/>
      <c r="VRR243" s="334"/>
      <c r="VRS243" s="334"/>
      <c r="VRT243" s="334"/>
      <c r="VRU243" s="334"/>
      <c r="VRV243" s="334"/>
      <c r="VRW243" s="334"/>
      <c r="VRX243" s="334"/>
      <c r="VRY243" s="334"/>
      <c r="VRZ243" s="334"/>
      <c r="VSA243" s="334"/>
      <c r="VSB243" s="334"/>
      <c r="VSC243" s="334"/>
      <c r="VSD243" s="334"/>
      <c r="VSE243" s="334"/>
      <c r="VSF243" s="334"/>
      <c r="VSG243" s="334"/>
      <c r="VSH243" s="334"/>
      <c r="VSI243" s="334"/>
      <c r="VSJ243" s="334"/>
      <c r="VSK243" s="334"/>
      <c r="VSL243" s="334"/>
      <c r="VSM243" s="334"/>
      <c r="VSN243" s="334"/>
      <c r="VSO243" s="334"/>
      <c r="VSP243" s="334"/>
      <c r="VSQ243" s="334"/>
      <c r="VSR243" s="334"/>
      <c r="VSS243" s="334"/>
      <c r="VST243" s="334"/>
      <c r="VSU243" s="334"/>
      <c r="VSV243" s="334"/>
      <c r="VSW243" s="334"/>
      <c r="VSX243" s="334"/>
      <c r="VSY243" s="334"/>
      <c r="VSZ243" s="334"/>
      <c r="VTA243" s="334"/>
      <c r="VTB243" s="334"/>
      <c r="VTC243" s="334"/>
      <c r="VTD243" s="334"/>
      <c r="VTE243" s="334"/>
      <c r="VTF243" s="334"/>
      <c r="VTG243" s="334"/>
      <c r="VTH243" s="334"/>
      <c r="VTI243" s="334"/>
      <c r="VTJ243" s="334"/>
      <c r="VTK243" s="334"/>
      <c r="VTL243" s="334"/>
      <c r="VTM243" s="334"/>
      <c r="VTN243" s="334"/>
      <c r="VTO243" s="334"/>
      <c r="VTP243" s="334"/>
      <c r="VTQ243" s="334"/>
      <c r="VTR243" s="334"/>
      <c r="VTS243" s="334"/>
      <c r="VTT243" s="334"/>
      <c r="VTU243" s="334"/>
      <c r="VTV243" s="334"/>
      <c r="VTW243" s="334"/>
      <c r="VTX243" s="334"/>
      <c r="VTY243" s="334"/>
      <c r="VTZ243" s="334"/>
      <c r="VUA243" s="334"/>
      <c r="VUB243" s="334"/>
      <c r="VUC243" s="334"/>
      <c r="VUD243" s="334"/>
      <c r="VUE243" s="334"/>
      <c r="VUF243" s="334"/>
      <c r="VUG243" s="334"/>
      <c r="VUH243" s="334"/>
      <c r="VUI243" s="334"/>
      <c r="VUJ243" s="334"/>
      <c r="VUK243" s="334"/>
      <c r="VUL243" s="334"/>
      <c r="VUM243" s="334"/>
      <c r="VUN243" s="334"/>
      <c r="VUO243" s="334"/>
      <c r="VUP243" s="334"/>
      <c r="VUQ243" s="334"/>
      <c r="VUR243" s="334"/>
      <c r="VUS243" s="334"/>
      <c r="VUT243" s="334"/>
      <c r="VUU243" s="334"/>
      <c r="VUV243" s="334"/>
      <c r="VUW243" s="334"/>
      <c r="VUX243" s="334"/>
      <c r="VUY243" s="334"/>
      <c r="VUZ243" s="334"/>
      <c r="VVA243" s="334"/>
      <c r="VVB243" s="334"/>
      <c r="VVC243" s="334"/>
      <c r="VVD243" s="334"/>
      <c r="VVE243" s="334"/>
      <c r="VVF243" s="334"/>
      <c r="VVG243" s="334"/>
      <c r="VVH243" s="334"/>
      <c r="VVI243" s="334"/>
      <c r="VVJ243" s="334"/>
      <c r="VVK243" s="334"/>
      <c r="VVL243" s="334"/>
      <c r="VVM243" s="334"/>
      <c r="VVN243" s="334"/>
      <c r="VVO243" s="334"/>
      <c r="VVP243" s="334"/>
      <c r="VVQ243" s="334"/>
      <c r="VVR243" s="334"/>
      <c r="VVS243" s="334"/>
      <c r="VVT243" s="334"/>
      <c r="VVU243" s="334"/>
      <c r="VVV243" s="334"/>
      <c r="VVW243" s="334"/>
      <c r="VVX243" s="334"/>
      <c r="VVY243" s="334"/>
      <c r="VVZ243" s="334"/>
      <c r="VWA243" s="334"/>
      <c r="VWB243" s="334"/>
      <c r="VWC243" s="334"/>
      <c r="VWD243" s="334"/>
      <c r="VWE243" s="334"/>
      <c r="VWF243" s="334"/>
      <c r="VWG243" s="334"/>
      <c r="VWH243" s="334"/>
      <c r="VWI243" s="334"/>
      <c r="VWJ243" s="334"/>
      <c r="VWK243" s="334"/>
      <c r="VWL243" s="334"/>
      <c r="VWM243" s="334"/>
      <c r="VWN243" s="334"/>
      <c r="VWO243" s="334"/>
      <c r="VWP243" s="334"/>
      <c r="VWQ243" s="334"/>
      <c r="VWR243" s="334"/>
      <c r="VWS243" s="334"/>
      <c r="VWT243" s="334"/>
      <c r="VWU243" s="334"/>
      <c r="VWV243" s="334"/>
      <c r="VWW243" s="334"/>
      <c r="VWX243" s="334"/>
      <c r="VWY243" s="334"/>
      <c r="VWZ243" s="334"/>
      <c r="VXA243" s="334"/>
      <c r="VXB243" s="334"/>
      <c r="VXC243" s="334"/>
      <c r="VXD243" s="334"/>
      <c r="VXE243" s="334"/>
      <c r="VXF243" s="334"/>
      <c r="VXG243" s="334"/>
      <c r="VXH243" s="334"/>
      <c r="VXI243" s="334"/>
      <c r="VXJ243" s="334"/>
      <c r="VXK243" s="334"/>
      <c r="VXL243" s="334"/>
      <c r="VXM243" s="334"/>
      <c r="VXN243" s="334"/>
      <c r="VXO243" s="334"/>
      <c r="VXP243" s="334"/>
      <c r="VXQ243" s="334"/>
      <c r="VXR243" s="334"/>
      <c r="VXS243" s="334"/>
      <c r="VXT243" s="334"/>
      <c r="VXU243" s="334"/>
      <c r="VXV243" s="334"/>
      <c r="VXW243" s="334"/>
      <c r="VXX243" s="334"/>
      <c r="VXY243" s="334"/>
      <c r="VXZ243" s="334"/>
      <c r="VYA243" s="334"/>
      <c r="VYB243" s="334"/>
      <c r="VYC243" s="334"/>
      <c r="VYD243" s="334"/>
      <c r="VYE243" s="334"/>
      <c r="VYF243" s="334"/>
      <c r="VYG243" s="334"/>
      <c r="VYH243" s="334"/>
      <c r="VYI243" s="334"/>
      <c r="VYJ243" s="334"/>
      <c r="VYK243" s="334"/>
      <c r="VYL243" s="334"/>
      <c r="VYM243" s="334"/>
      <c r="VYN243" s="334"/>
      <c r="VYO243" s="334"/>
      <c r="VYP243" s="334"/>
      <c r="VYQ243" s="334"/>
      <c r="VYR243" s="334"/>
      <c r="VYS243" s="334"/>
      <c r="VYT243" s="334"/>
      <c r="VYU243" s="334"/>
      <c r="VYV243" s="334"/>
      <c r="VYW243" s="334"/>
      <c r="VYX243" s="334"/>
      <c r="VYY243" s="334"/>
      <c r="VYZ243" s="334"/>
      <c r="VZA243" s="334"/>
      <c r="VZB243" s="334"/>
      <c r="VZC243" s="334"/>
      <c r="VZD243" s="334"/>
      <c r="VZE243" s="334"/>
      <c r="VZF243" s="334"/>
      <c r="VZG243" s="334"/>
      <c r="VZH243" s="334"/>
      <c r="VZI243" s="334"/>
      <c r="VZJ243" s="334"/>
      <c r="VZK243" s="334"/>
      <c r="VZL243" s="334"/>
      <c r="VZM243" s="334"/>
      <c r="VZN243" s="334"/>
      <c r="VZO243" s="334"/>
      <c r="VZP243" s="334"/>
      <c r="VZQ243" s="334"/>
      <c r="VZR243" s="334"/>
      <c r="VZS243" s="334"/>
      <c r="VZT243" s="334"/>
      <c r="VZU243" s="334"/>
      <c r="VZV243" s="334"/>
      <c r="VZW243" s="334"/>
      <c r="VZX243" s="334"/>
      <c r="VZY243" s="334"/>
      <c r="VZZ243" s="334"/>
      <c r="WAA243" s="334"/>
      <c r="WAB243" s="334"/>
      <c r="WAC243" s="334"/>
      <c r="WAD243" s="334"/>
      <c r="WAE243" s="334"/>
      <c r="WAF243" s="334"/>
      <c r="WAG243" s="334"/>
      <c r="WAH243" s="334"/>
      <c r="WAI243" s="334"/>
      <c r="WAJ243" s="334"/>
      <c r="WAK243" s="334"/>
      <c r="WAL243" s="334"/>
      <c r="WAM243" s="334"/>
      <c r="WAN243" s="334"/>
      <c r="WAO243" s="334"/>
      <c r="WAP243" s="334"/>
      <c r="WAQ243" s="334"/>
      <c r="WAR243" s="334"/>
      <c r="WAS243" s="334"/>
      <c r="WAT243" s="334"/>
      <c r="WAU243" s="334"/>
      <c r="WAV243" s="334"/>
      <c r="WAW243" s="334"/>
      <c r="WAX243" s="334"/>
      <c r="WAY243" s="334"/>
      <c r="WAZ243" s="334"/>
      <c r="WBA243" s="334"/>
      <c r="WBB243" s="334"/>
      <c r="WBC243" s="334"/>
      <c r="WBD243" s="334"/>
      <c r="WBE243" s="334"/>
      <c r="WBF243" s="334"/>
      <c r="WBG243" s="334"/>
      <c r="WBH243" s="334"/>
      <c r="WBI243" s="334"/>
      <c r="WBJ243" s="334"/>
      <c r="WBK243" s="334"/>
      <c r="WBL243" s="334"/>
      <c r="WBM243" s="334"/>
      <c r="WBN243" s="334"/>
      <c r="WBO243" s="334"/>
      <c r="WBP243" s="334"/>
      <c r="WBQ243" s="334"/>
      <c r="WBR243" s="334"/>
      <c r="WBS243" s="334"/>
      <c r="WBT243" s="334"/>
      <c r="WBU243" s="334"/>
      <c r="WBV243" s="334"/>
      <c r="WBW243" s="334"/>
      <c r="WBX243" s="334"/>
      <c r="WBY243" s="334"/>
      <c r="WBZ243" s="334"/>
      <c r="WCA243" s="334"/>
      <c r="WCB243" s="334"/>
      <c r="WCC243" s="334"/>
      <c r="WCD243" s="334"/>
      <c r="WCE243" s="334"/>
      <c r="WCF243" s="334"/>
      <c r="WCG243" s="334"/>
      <c r="WCH243" s="334"/>
      <c r="WCI243" s="334"/>
      <c r="WCJ243" s="334"/>
      <c r="WCK243" s="334"/>
      <c r="WCL243" s="334"/>
      <c r="WCM243" s="334"/>
      <c r="WCN243" s="334"/>
      <c r="WCO243" s="334"/>
      <c r="WCP243" s="334"/>
      <c r="WCQ243" s="334"/>
      <c r="WCR243" s="334"/>
      <c r="WCS243" s="334"/>
      <c r="WCT243" s="334"/>
      <c r="WCU243" s="334"/>
      <c r="WCV243" s="334"/>
      <c r="WCW243" s="334"/>
      <c r="WCX243" s="334"/>
      <c r="WCY243" s="334"/>
      <c r="WCZ243" s="334"/>
      <c r="WDA243" s="334"/>
      <c r="WDB243" s="334"/>
      <c r="WDC243" s="334"/>
      <c r="WDD243" s="334"/>
      <c r="WDE243" s="334"/>
      <c r="WDF243" s="334"/>
      <c r="WDG243" s="334"/>
      <c r="WDH243" s="334"/>
      <c r="WDI243" s="334"/>
      <c r="WDJ243" s="334"/>
      <c r="WDK243" s="334"/>
      <c r="WDL243" s="334"/>
      <c r="WDM243" s="334"/>
      <c r="WDN243" s="334"/>
      <c r="WDO243" s="334"/>
      <c r="WDP243" s="334"/>
      <c r="WDQ243" s="334"/>
      <c r="WDR243" s="334"/>
      <c r="WDS243" s="334"/>
      <c r="WDT243" s="334"/>
      <c r="WDU243" s="334"/>
      <c r="WDV243" s="334"/>
      <c r="WDW243" s="334"/>
      <c r="WDX243" s="334"/>
      <c r="WDY243" s="334"/>
      <c r="WDZ243" s="334"/>
      <c r="WEA243" s="334"/>
      <c r="WEB243" s="334"/>
      <c r="WEC243" s="334"/>
      <c r="WED243" s="334"/>
      <c r="WEE243" s="334"/>
      <c r="WEF243" s="334"/>
      <c r="WEG243" s="334"/>
      <c r="WEH243" s="334"/>
      <c r="WEI243" s="334"/>
      <c r="WEJ243" s="334"/>
      <c r="WEK243" s="334"/>
      <c r="WEL243" s="334"/>
      <c r="WEM243" s="334"/>
      <c r="WEN243" s="334"/>
      <c r="WEO243" s="334"/>
      <c r="WEP243" s="334"/>
      <c r="WEQ243" s="334"/>
      <c r="WER243" s="334"/>
      <c r="WES243" s="334"/>
      <c r="WET243" s="334"/>
      <c r="WEU243" s="334"/>
      <c r="WEV243" s="334"/>
      <c r="WEW243" s="334"/>
      <c r="WEX243" s="334"/>
      <c r="WEY243" s="334"/>
      <c r="WEZ243" s="334"/>
      <c r="WFA243" s="334"/>
      <c r="WFB243" s="334"/>
      <c r="WFC243" s="334"/>
      <c r="WFD243" s="334"/>
      <c r="WFE243" s="334"/>
      <c r="WFF243" s="334"/>
      <c r="WFG243" s="334"/>
      <c r="WFH243" s="334"/>
      <c r="WFI243" s="334"/>
      <c r="WFJ243" s="334"/>
      <c r="WFK243" s="334"/>
      <c r="WFL243" s="334"/>
      <c r="WFM243" s="334"/>
      <c r="WFN243" s="334"/>
      <c r="WFO243" s="334"/>
      <c r="WFP243" s="334"/>
      <c r="WFQ243" s="334"/>
      <c r="WFR243" s="334"/>
      <c r="WFS243" s="334"/>
      <c r="WFT243" s="334"/>
      <c r="WFU243" s="334"/>
      <c r="WFV243" s="334"/>
      <c r="WFW243" s="334"/>
      <c r="WFX243" s="334"/>
      <c r="WFY243" s="334"/>
      <c r="WFZ243" s="334"/>
      <c r="WGA243" s="334"/>
      <c r="WGB243" s="334"/>
      <c r="WGC243" s="334"/>
      <c r="WGD243" s="334"/>
      <c r="WGE243" s="334"/>
      <c r="WGF243" s="334"/>
      <c r="WGG243" s="334"/>
      <c r="WGH243" s="334"/>
      <c r="WGI243" s="334"/>
      <c r="WGJ243" s="334"/>
      <c r="WGK243" s="334"/>
      <c r="WGL243" s="334"/>
      <c r="WGM243" s="334"/>
      <c r="WGN243" s="334"/>
      <c r="WGO243" s="334"/>
      <c r="WGP243" s="334"/>
      <c r="WGQ243" s="334"/>
      <c r="WGR243" s="334"/>
      <c r="WGS243" s="334"/>
      <c r="WGT243" s="334"/>
      <c r="WGU243" s="334"/>
      <c r="WGV243" s="334"/>
      <c r="WGW243" s="334"/>
      <c r="WGX243" s="334"/>
      <c r="WGY243" s="334"/>
      <c r="WGZ243" s="334"/>
      <c r="WHA243" s="334"/>
      <c r="WHB243" s="334"/>
      <c r="WHC243" s="334"/>
      <c r="WHD243" s="334"/>
      <c r="WHE243" s="334"/>
      <c r="WHF243" s="334"/>
      <c r="WHG243" s="334"/>
      <c r="WHH243" s="334"/>
      <c r="WHI243" s="334"/>
      <c r="WHJ243" s="334"/>
      <c r="WHK243" s="334"/>
      <c r="WHL243" s="334"/>
      <c r="WHM243" s="334"/>
      <c r="WHN243" s="334"/>
      <c r="WHO243" s="334"/>
      <c r="WHP243" s="334"/>
      <c r="WHQ243" s="334"/>
      <c r="WHR243" s="334"/>
      <c r="WHS243" s="334"/>
      <c r="WHT243" s="334"/>
      <c r="WHU243" s="334"/>
      <c r="WHV243" s="334"/>
      <c r="WHW243" s="334"/>
      <c r="WHX243" s="334"/>
      <c r="WHY243" s="334"/>
      <c r="WHZ243" s="334"/>
      <c r="WIA243" s="334"/>
      <c r="WIB243" s="334"/>
      <c r="WIC243" s="334"/>
      <c r="WID243" s="334"/>
      <c r="WIE243" s="334"/>
      <c r="WIF243" s="334"/>
      <c r="WIG243" s="334"/>
      <c r="WIH243" s="334"/>
      <c r="WII243" s="334"/>
      <c r="WIJ243" s="334"/>
      <c r="WIK243" s="334"/>
      <c r="WIL243" s="334"/>
      <c r="WIM243" s="334"/>
      <c r="WIN243" s="334"/>
      <c r="WIO243" s="334"/>
      <c r="WIP243" s="334"/>
      <c r="WIQ243" s="334"/>
      <c r="WIR243" s="334"/>
      <c r="WIS243" s="334"/>
      <c r="WIT243" s="334"/>
      <c r="WIU243" s="334"/>
      <c r="WIV243" s="334"/>
      <c r="WIW243" s="334"/>
      <c r="WIX243" s="334"/>
      <c r="WIY243" s="334"/>
      <c r="WIZ243" s="334"/>
      <c r="WJA243" s="334"/>
      <c r="WJB243" s="334"/>
      <c r="WJC243" s="334"/>
      <c r="WJD243" s="334"/>
      <c r="WJE243" s="334"/>
      <c r="WJF243" s="334"/>
      <c r="WJG243" s="334"/>
      <c r="WJH243" s="334"/>
      <c r="WJI243" s="334"/>
      <c r="WJJ243" s="334"/>
      <c r="WJK243" s="334"/>
      <c r="WJL243" s="334"/>
      <c r="WJM243" s="334"/>
      <c r="WJN243" s="334"/>
      <c r="WJO243" s="334"/>
      <c r="WJP243" s="334"/>
      <c r="WJQ243" s="334"/>
      <c r="WJR243" s="334"/>
      <c r="WJS243" s="334"/>
      <c r="WJT243" s="334"/>
      <c r="WJU243" s="334"/>
      <c r="WJV243" s="334"/>
      <c r="WJW243" s="334"/>
      <c r="WJX243" s="334"/>
      <c r="WJY243" s="334"/>
      <c r="WJZ243" s="334"/>
      <c r="WKA243" s="334"/>
      <c r="WKB243" s="334"/>
      <c r="WKC243" s="334"/>
      <c r="WKD243" s="334"/>
      <c r="WKE243" s="334"/>
      <c r="WKF243" s="334"/>
      <c r="WKG243" s="334"/>
      <c r="WKH243" s="334"/>
      <c r="WKI243" s="334"/>
      <c r="WKJ243" s="334"/>
      <c r="WKK243" s="334"/>
      <c r="WKL243" s="334"/>
      <c r="WKM243" s="334"/>
      <c r="WKN243" s="334"/>
      <c r="WKO243" s="334"/>
      <c r="WKP243" s="334"/>
      <c r="WKQ243" s="334"/>
      <c r="WKR243" s="334"/>
      <c r="WKS243" s="334"/>
      <c r="WKT243" s="334"/>
      <c r="WKU243" s="334"/>
      <c r="WKV243" s="334"/>
      <c r="WKW243" s="334"/>
      <c r="WKX243" s="334"/>
      <c r="WKY243" s="334"/>
      <c r="WKZ243" s="334"/>
      <c r="WLA243" s="334"/>
      <c r="WLB243" s="334"/>
      <c r="WLC243" s="334"/>
      <c r="WLD243" s="334"/>
      <c r="WLE243" s="334"/>
      <c r="WLF243" s="334"/>
      <c r="WLG243" s="334"/>
      <c r="WLH243" s="334"/>
      <c r="WLI243" s="334"/>
      <c r="WLJ243" s="334"/>
      <c r="WLK243" s="334"/>
      <c r="WLL243" s="334"/>
      <c r="WLM243" s="334"/>
      <c r="WLN243" s="334"/>
      <c r="WLO243" s="334"/>
      <c r="WLP243" s="334"/>
      <c r="WLQ243" s="334"/>
      <c r="WLR243" s="334"/>
      <c r="WLS243" s="334"/>
      <c r="WLT243" s="334"/>
      <c r="WLU243" s="334"/>
      <c r="WLV243" s="334"/>
      <c r="WLW243" s="334"/>
      <c r="WLX243" s="334"/>
      <c r="WLY243" s="334"/>
      <c r="WLZ243" s="334"/>
      <c r="WMA243" s="334"/>
      <c r="WMB243" s="334"/>
      <c r="WMC243" s="334"/>
      <c r="WMD243" s="334"/>
      <c r="WME243" s="334"/>
      <c r="WMF243" s="334"/>
      <c r="WMG243" s="334"/>
      <c r="WMH243" s="334"/>
      <c r="WMI243" s="334"/>
      <c r="WMJ243" s="334"/>
      <c r="WMK243" s="334"/>
      <c r="WML243" s="334"/>
      <c r="WMM243" s="334"/>
      <c r="WMN243" s="334"/>
      <c r="WMO243" s="334"/>
      <c r="WMP243" s="334"/>
      <c r="WMQ243" s="334"/>
      <c r="WMR243" s="334"/>
      <c r="WMS243" s="334"/>
      <c r="WMT243" s="334"/>
      <c r="WMU243" s="334"/>
      <c r="WMV243" s="334"/>
      <c r="WMW243" s="334"/>
      <c r="WMX243" s="334"/>
      <c r="WMY243" s="334"/>
      <c r="WMZ243" s="334"/>
      <c r="WNA243" s="334"/>
      <c r="WNB243" s="334"/>
      <c r="WNC243" s="334"/>
      <c r="WND243" s="334"/>
      <c r="WNE243" s="334"/>
      <c r="WNF243" s="334"/>
      <c r="WNG243" s="334"/>
      <c r="WNH243" s="334"/>
      <c r="WNI243" s="334"/>
      <c r="WNJ243" s="334"/>
      <c r="WNK243" s="334"/>
      <c r="WNL243" s="334"/>
      <c r="WNM243" s="334"/>
      <c r="WNN243" s="334"/>
      <c r="WNO243" s="334"/>
      <c r="WNP243" s="334"/>
      <c r="WNQ243" s="334"/>
      <c r="WNR243" s="334"/>
      <c r="WNS243" s="334"/>
      <c r="WNT243" s="334"/>
      <c r="WNU243" s="334"/>
      <c r="WNV243" s="334"/>
      <c r="WNW243" s="334"/>
      <c r="WNX243" s="334"/>
      <c r="WNY243" s="334"/>
      <c r="WNZ243" s="334"/>
      <c r="WOA243" s="334"/>
      <c r="WOB243" s="334"/>
      <c r="WOC243" s="334"/>
      <c r="WOD243" s="334"/>
      <c r="WOE243" s="334"/>
      <c r="WOF243" s="334"/>
      <c r="WOG243" s="334"/>
      <c r="WOH243" s="334"/>
      <c r="WOI243" s="334"/>
      <c r="WOJ243" s="334"/>
      <c r="WOK243" s="334"/>
      <c r="WOL243" s="334"/>
      <c r="WOM243" s="334"/>
      <c r="WON243" s="334"/>
      <c r="WOO243" s="334"/>
      <c r="WOP243" s="334"/>
      <c r="WOQ243" s="334"/>
      <c r="WOR243" s="334"/>
      <c r="WOS243" s="334"/>
      <c r="WOT243" s="334"/>
      <c r="WOU243" s="334"/>
      <c r="WOV243" s="334"/>
      <c r="WOW243" s="334"/>
      <c r="WOX243" s="334"/>
      <c r="WOY243" s="334"/>
      <c r="WOZ243" s="334"/>
      <c r="WPA243" s="334"/>
      <c r="WPB243" s="334"/>
      <c r="WPC243" s="334"/>
      <c r="WPD243" s="334"/>
      <c r="WPE243" s="334"/>
      <c r="WPF243" s="334"/>
      <c r="WPG243" s="334"/>
      <c r="WPH243" s="334"/>
      <c r="WPI243" s="334"/>
      <c r="WPJ243" s="334"/>
      <c r="WPK243" s="334"/>
      <c r="WPL243" s="334"/>
      <c r="WPM243" s="334"/>
      <c r="WPN243" s="334"/>
      <c r="WPO243" s="334"/>
      <c r="WPP243" s="334"/>
      <c r="WPQ243" s="334"/>
      <c r="WPR243" s="334"/>
      <c r="WPS243" s="334"/>
      <c r="WPT243" s="334"/>
      <c r="WPU243" s="334"/>
      <c r="WPV243" s="334"/>
      <c r="WPW243" s="334"/>
      <c r="WPX243" s="334"/>
      <c r="WPY243" s="334"/>
      <c r="WPZ243" s="334"/>
      <c r="WQA243" s="334"/>
      <c r="WQB243" s="334"/>
      <c r="WQC243" s="334"/>
      <c r="WQD243" s="334"/>
      <c r="WQE243" s="334"/>
      <c r="WQF243" s="334"/>
      <c r="WQG243" s="334"/>
      <c r="WQH243" s="334"/>
      <c r="WQI243" s="334"/>
      <c r="WQJ243" s="334"/>
      <c r="WQK243" s="334"/>
      <c r="WQL243" s="334"/>
      <c r="WQM243" s="334"/>
      <c r="WQN243" s="334"/>
      <c r="WQO243" s="334"/>
      <c r="WQP243" s="334"/>
      <c r="WQQ243" s="334"/>
      <c r="WQR243" s="334"/>
      <c r="WQS243" s="334"/>
      <c r="WQT243" s="334"/>
      <c r="WQU243" s="334"/>
      <c r="WQV243" s="334"/>
      <c r="WQW243" s="334"/>
      <c r="WQX243" s="334"/>
      <c r="WQY243" s="334"/>
      <c r="WQZ243" s="334"/>
      <c r="WRA243" s="334"/>
      <c r="WRB243" s="334"/>
      <c r="WRC243" s="334"/>
      <c r="WRD243" s="334"/>
      <c r="WRE243" s="334"/>
      <c r="WRF243" s="334"/>
      <c r="WRG243" s="334"/>
      <c r="WRH243" s="334"/>
      <c r="WRI243" s="334"/>
      <c r="WRJ243" s="334"/>
      <c r="WRK243" s="334"/>
      <c r="WRL243" s="334"/>
      <c r="WRM243" s="334"/>
      <c r="WRN243" s="334"/>
      <c r="WRO243" s="334"/>
      <c r="WRP243" s="334"/>
      <c r="WRQ243" s="334"/>
      <c r="WRR243" s="334"/>
      <c r="WRS243" s="334"/>
      <c r="WRT243" s="334"/>
      <c r="WRU243" s="334"/>
      <c r="WRV243" s="334"/>
      <c r="WRW243" s="334"/>
      <c r="WRX243" s="334"/>
      <c r="WRY243" s="334"/>
      <c r="WRZ243" s="334"/>
      <c r="WSA243" s="334"/>
      <c r="WSB243" s="334"/>
      <c r="WSC243" s="334"/>
      <c r="WSD243" s="334"/>
      <c r="WSE243" s="334"/>
      <c r="WSF243" s="334"/>
      <c r="WSG243" s="334"/>
      <c r="WSH243" s="334"/>
      <c r="WSI243" s="334"/>
      <c r="WSJ243" s="334"/>
      <c r="WSK243" s="334"/>
      <c r="WSL243" s="334"/>
      <c r="WSM243" s="334"/>
      <c r="WSN243" s="334"/>
      <c r="WSO243" s="334"/>
      <c r="WSP243" s="334"/>
      <c r="WSQ243" s="334"/>
      <c r="WSR243" s="334"/>
      <c r="WSS243" s="334"/>
      <c r="WST243" s="334"/>
      <c r="WSU243" s="334"/>
      <c r="WSV243" s="334"/>
      <c r="WSW243" s="334"/>
      <c r="WSX243" s="334"/>
      <c r="WSY243" s="334"/>
      <c r="WSZ243" s="334"/>
      <c r="WTA243" s="334"/>
      <c r="WTB243" s="334"/>
      <c r="WTC243" s="334"/>
      <c r="WTD243" s="334"/>
      <c r="WTE243" s="334"/>
      <c r="WTF243" s="334"/>
      <c r="WTG243" s="334"/>
      <c r="WTH243" s="334"/>
      <c r="WTI243" s="334"/>
      <c r="WTJ243" s="334"/>
      <c r="WTK243" s="334"/>
      <c r="WTL243" s="334"/>
      <c r="WTM243" s="334"/>
      <c r="WTN243" s="334"/>
      <c r="WTO243" s="334"/>
      <c r="WTP243" s="334"/>
      <c r="WTQ243" s="334"/>
      <c r="WTR243" s="334"/>
      <c r="WTS243" s="334"/>
      <c r="WTT243" s="334"/>
      <c r="WTU243" s="334"/>
      <c r="WTV243" s="334"/>
      <c r="WTW243" s="334"/>
      <c r="WTX243" s="334"/>
      <c r="WTY243" s="334"/>
      <c r="WTZ243" s="334"/>
      <c r="WUA243" s="334"/>
      <c r="WUB243" s="334"/>
      <c r="WUC243" s="334"/>
      <c r="WUD243" s="334"/>
      <c r="WUE243" s="334"/>
      <c r="WUF243" s="334"/>
      <c r="WUG243" s="334"/>
      <c r="WUH243" s="334"/>
      <c r="WUI243" s="334"/>
      <c r="WUJ243" s="334"/>
      <c r="WUK243" s="334"/>
      <c r="WUL243" s="334"/>
      <c r="WUM243" s="334"/>
      <c r="WUN243" s="334"/>
      <c r="WUO243" s="334"/>
      <c r="WUP243" s="334"/>
      <c r="WUQ243" s="334"/>
      <c r="WUR243" s="334"/>
      <c r="WUS243" s="334"/>
      <c r="WUT243" s="334"/>
      <c r="WUU243" s="334"/>
      <c r="WUV243" s="334"/>
      <c r="WUW243" s="334"/>
      <c r="WUX243" s="334"/>
      <c r="WUY243" s="334"/>
      <c r="WUZ243" s="334"/>
      <c r="WVA243" s="334"/>
      <c r="WVB243" s="334"/>
      <c r="WVC243" s="334"/>
      <c r="WVD243" s="334"/>
      <c r="WVE243" s="334"/>
      <c r="WVF243" s="334"/>
      <c r="WVG243" s="334"/>
      <c r="WVH243" s="334"/>
      <c r="WVI243" s="334"/>
      <c r="WVJ243" s="334"/>
      <c r="WVK243" s="334"/>
      <c r="WVL243" s="334"/>
      <c r="WVM243" s="334"/>
      <c r="WVN243" s="334"/>
      <c r="WVO243" s="334"/>
      <c r="WVP243" s="334"/>
      <c r="WVQ243" s="334"/>
      <c r="WVR243" s="334"/>
      <c r="WVS243" s="334"/>
      <c r="WVT243" s="334"/>
      <c r="WVU243" s="334"/>
      <c r="WVV243" s="334"/>
      <c r="WVW243" s="334"/>
      <c r="WVX243" s="334"/>
      <c r="WVY243" s="334"/>
      <c r="WVZ243" s="334"/>
      <c r="WWA243" s="334"/>
      <c r="WWB243" s="334"/>
      <c r="WWC243" s="334"/>
      <c r="WWD243" s="334"/>
      <c r="WWE243" s="334"/>
      <c r="WWF243" s="334"/>
      <c r="WWG243" s="334"/>
      <c r="WWH243" s="334"/>
      <c r="WWI243" s="334"/>
      <c r="WWJ243" s="334"/>
      <c r="WWK243" s="334"/>
      <c r="WWL243" s="334"/>
      <c r="WWM243" s="334"/>
      <c r="WWN243" s="334"/>
      <c r="WWO243" s="334"/>
      <c r="WWP243" s="334"/>
      <c r="WWQ243" s="334"/>
      <c r="WWR243" s="334"/>
      <c r="WWS243" s="334"/>
      <c r="WWT243" s="334"/>
      <c r="WWU243" s="334"/>
      <c r="WWV243" s="334"/>
      <c r="WWW243" s="334"/>
      <c r="WWX243" s="334"/>
      <c r="WWY243" s="334"/>
      <c r="WWZ243" s="334"/>
      <c r="WXA243" s="334"/>
      <c r="WXB243" s="334"/>
      <c r="WXC243" s="334"/>
      <c r="WXD243" s="334"/>
      <c r="WXE243" s="334"/>
      <c r="WXF243" s="334"/>
      <c r="WXG243" s="334"/>
      <c r="WXH243" s="334"/>
      <c r="WXI243" s="334"/>
      <c r="WXJ243" s="334"/>
      <c r="WXK243" s="334"/>
      <c r="WXL243" s="334"/>
      <c r="WXM243" s="334"/>
      <c r="WXN243" s="334"/>
      <c r="WXO243" s="334"/>
      <c r="WXP243" s="334"/>
      <c r="WXQ243" s="334"/>
      <c r="WXR243" s="334"/>
      <c r="WXS243" s="334"/>
      <c r="WXT243" s="334"/>
      <c r="WXU243" s="334"/>
      <c r="WXV243" s="334"/>
      <c r="WXW243" s="334"/>
      <c r="WXX243" s="334"/>
      <c r="WXY243" s="334"/>
      <c r="WXZ243" s="334"/>
      <c r="WYA243" s="334"/>
      <c r="WYB243" s="334"/>
      <c r="WYC243" s="334"/>
      <c r="WYD243" s="334"/>
      <c r="WYE243" s="334"/>
      <c r="WYF243" s="334"/>
      <c r="WYG243" s="334"/>
      <c r="WYH243" s="334"/>
      <c r="WYI243" s="334"/>
      <c r="WYJ243" s="334"/>
      <c r="WYK243" s="334"/>
      <c r="WYL243" s="334"/>
      <c r="WYM243" s="334"/>
      <c r="WYN243" s="334"/>
      <c r="WYO243" s="334"/>
      <c r="WYP243" s="334"/>
      <c r="WYQ243" s="334"/>
      <c r="WYR243" s="334"/>
      <c r="WYS243" s="334"/>
      <c r="WYT243" s="334"/>
      <c r="WYU243" s="334"/>
      <c r="WYV243" s="334"/>
      <c r="WYW243" s="334"/>
      <c r="WYX243" s="334"/>
      <c r="WYY243" s="334"/>
      <c r="WYZ243" s="334"/>
      <c r="WZA243" s="334"/>
      <c r="WZB243" s="334"/>
      <c r="WZC243" s="334"/>
      <c r="WZD243" s="334"/>
      <c r="WZE243" s="334"/>
      <c r="WZF243" s="334"/>
      <c r="WZG243" s="334"/>
      <c r="WZH243" s="334"/>
      <c r="WZI243" s="334"/>
      <c r="WZJ243" s="334"/>
      <c r="WZK243" s="334"/>
      <c r="WZL243" s="334"/>
      <c r="WZM243" s="334"/>
      <c r="WZN243" s="334"/>
      <c r="WZO243" s="334"/>
      <c r="WZP243" s="334"/>
      <c r="WZQ243" s="334"/>
      <c r="WZR243" s="334"/>
      <c r="WZS243" s="334"/>
      <c r="WZT243" s="334"/>
      <c r="WZU243" s="334"/>
      <c r="WZV243" s="334"/>
      <c r="WZW243" s="334"/>
      <c r="WZX243" s="334"/>
      <c r="WZY243" s="334"/>
      <c r="WZZ243" s="334"/>
      <c r="XAA243" s="334"/>
      <c r="XAB243" s="334"/>
      <c r="XAC243" s="334"/>
      <c r="XAD243" s="334"/>
      <c r="XAE243" s="334"/>
      <c r="XAF243" s="334"/>
      <c r="XAG243" s="334"/>
      <c r="XAH243" s="334"/>
      <c r="XAI243" s="334"/>
      <c r="XAJ243" s="334"/>
      <c r="XAK243" s="334"/>
      <c r="XAL243" s="334"/>
      <c r="XAM243" s="334"/>
      <c r="XAN243" s="334"/>
      <c r="XAO243" s="334"/>
      <c r="XAP243" s="334"/>
      <c r="XAQ243" s="334"/>
      <c r="XAR243" s="334"/>
      <c r="XAS243" s="334"/>
      <c r="XAT243" s="334"/>
      <c r="XAU243" s="334"/>
      <c r="XAV243" s="334"/>
      <c r="XAW243" s="334"/>
      <c r="XAX243" s="334"/>
      <c r="XAY243" s="334"/>
      <c r="XAZ243" s="334"/>
      <c r="XBA243" s="334"/>
      <c r="XBB243" s="334"/>
      <c r="XBC243" s="334"/>
      <c r="XBD243" s="334"/>
      <c r="XBE243" s="334"/>
      <c r="XBF243" s="334"/>
      <c r="XBG243" s="334"/>
      <c r="XBH243" s="334"/>
      <c r="XBI243" s="334"/>
      <c r="XBJ243" s="334"/>
      <c r="XBK243" s="334"/>
      <c r="XBL243" s="334"/>
      <c r="XBM243" s="334"/>
      <c r="XBN243" s="334"/>
      <c r="XBO243" s="334"/>
      <c r="XBP243" s="334"/>
      <c r="XBQ243" s="334"/>
      <c r="XBR243" s="334"/>
      <c r="XBS243" s="334"/>
      <c r="XBT243" s="334"/>
      <c r="XBU243" s="334"/>
      <c r="XBV243" s="334"/>
      <c r="XBW243" s="334"/>
      <c r="XBX243" s="334"/>
      <c r="XBY243" s="334"/>
      <c r="XBZ243" s="334"/>
      <c r="XCA243" s="334"/>
      <c r="XCB243" s="334"/>
      <c r="XCC243" s="334"/>
      <c r="XCD243" s="334"/>
      <c r="XCE243" s="334"/>
      <c r="XCF243" s="334"/>
      <c r="XCG243" s="334"/>
      <c r="XCH243" s="334"/>
      <c r="XCI243" s="334"/>
      <c r="XCJ243" s="334"/>
      <c r="XCK243" s="334"/>
      <c r="XCL243" s="334"/>
      <c r="XCM243" s="334"/>
      <c r="XCN243" s="334"/>
      <c r="XCO243" s="334"/>
      <c r="XCP243" s="334"/>
      <c r="XCQ243" s="334"/>
      <c r="XCR243" s="334"/>
      <c r="XCS243" s="334"/>
      <c r="XCT243" s="334"/>
      <c r="XCU243" s="334"/>
      <c r="XCV243" s="334"/>
      <c r="XCW243" s="334"/>
      <c r="XCX243" s="334"/>
      <c r="XCY243" s="334"/>
      <c r="XCZ243" s="334"/>
      <c r="XDA243" s="334"/>
      <c r="XDB243" s="334"/>
      <c r="XDC243" s="334"/>
      <c r="XDD243" s="334"/>
      <c r="XDE243" s="334"/>
      <c r="XDF243" s="334"/>
      <c r="XDG243" s="334"/>
      <c r="XDH243" s="334"/>
      <c r="XDI243" s="334"/>
      <c r="XDJ243" s="334"/>
      <c r="XDK243" s="334"/>
      <c r="XDL243" s="334"/>
      <c r="XDM243" s="334"/>
      <c r="XDN243" s="334"/>
      <c r="XDO243" s="334"/>
      <c r="XDP243" s="334"/>
      <c r="XDQ243" s="334"/>
      <c r="XDR243" s="334"/>
      <c r="XDS243" s="334"/>
      <c r="XDT243" s="334"/>
      <c r="XDU243" s="334"/>
      <c r="XDV243" s="334"/>
      <c r="XDW243" s="334"/>
      <c r="XDX243" s="334"/>
      <c r="XDY243" s="334"/>
      <c r="XDZ243" s="334"/>
      <c r="XEA243" s="334"/>
      <c r="XEB243" s="334"/>
      <c r="XEC243" s="334"/>
      <c r="XED243" s="334"/>
      <c r="XEE243" s="334"/>
      <c r="XEF243" s="334"/>
      <c r="XEG243" s="334"/>
      <c r="XEH243" s="334"/>
      <c r="XEI243" s="334"/>
      <c r="XEJ243" s="334"/>
      <c r="XEK243" s="334"/>
      <c r="XEL243" s="334"/>
      <c r="XEM243" s="334"/>
      <c r="XEN243" s="334"/>
      <c r="XEO243" s="334"/>
      <c r="XEP243" s="334"/>
      <c r="XEQ243" s="334"/>
      <c r="XER243" s="334"/>
      <c r="XES243" s="334"/>
      <c r="XET243" s="334"/>
      <c r="XEU243" s="334"/>
      <c r="XEV243" s="334"/>
      <c r="XEW243" s="334"/>
      <c r="XEX243" s="334"/>
      <c r="XEY243" s="334"/>
      <c r="XEZ243" s="334"/>
      <c r="XFA243" s="334"/>
      <c r="XFB243" s="334"/>
      <c r="XFC243" s="334"/>
      <c r="XFD243" s="334"/>
    </row>
    <row r="244" spans="1:16384" s="331" customFormat="1" ht="12.2" customHeight="1">
      <c r="B244" s="336"/>
      <c r="C244" s="337"/>
      <c r="D244" s="336"/>
      <c r="E244" s="336"/>
      <c r="F244" s="356"/>
      <c r="G244" s="335">
        <v>1</v>
      </c>
      <c r="H244" s="334" t="s">
        <v>1666</v>
      </c>
      <c r="I244" s="356"/>
      <c r="J244" s="356"/>
      <c r="K244" s="356"/>
      <c r="L244" s="356"/>
      <c r="AMH244" s="332"/>
      <c r="AMI244" s="332"/>
      <c r="AMJ244" s="332"/>
      <c r="AMK244" s="332"/>
    </row>
    <row r="245" spans="1:16384" s="331" customFormat="1" ht="12.2" customHeight="1">
      <c r="B245" s="336"/>
      <c r="C245" s="337"/>
      <c r="D245" s="336"/>
      <c r="E245" s="336"/>
      <c r="F245" s="356"/>
      <c r="G245" s="335" t="s">
        <v>2127</v>
      </c>
      <c r="H245" s="334" t="s">
        <v>1668</v>
      </c>
      <c r="I245" s="356"/>
      <c r="J245" s="356"/>
      <c r="K245" s="356"/>
      <c r="L245" s="356"/>
      <c r="AMH245" s="332"/>
      <c r="AMI245" s="332"/>
      <c r="AMJ245" s="332"/>
      <c r="AMK245" s="332"/>
    </row>
    <row r="246" spans="1:16384" s="331" customFormat="1" ht="12.2" customHeight="1" thickBot="1">
      <c r="B246" s="336"/>
      <c r="C246" s="337"/>
      <c r="D246" s="336"/>
      <c r="E246" s="336"/>
      <c r="F246" s="356"/>
      <c r="G246" s="335" t="s">
        <v>1669</v>
      </c>
      <c r="H246" s="334" t="s">
        <v>1670</v>
      </c>
      <c r="I246" s="356"/>
      <c r="J246" s="356"/>
      <c r="K246" s="356"/>
      <c r="L246" s="356"/>
      <c r="AMH246" s="332"/>
      <c r="AMI246" s="332"/>
      <c r="AMJ246" s="332"/>
      <c r="AMK246" s="332"/>
    </row>
    <row r="247" spans="1:16384" s="331" customFormat="1" ht="15.75" customHeight="1" thickTop="1" thickBot="1">
      <c r="B247" s="344" t="s">
        <v>2128</v>
      </c>
      <c r="C247" s="345"/>
      <c r="D247" s="346"/>
      <c r="E247" s="346"/>
      <c r="F247" s="347"/>
      <c r="G247" s="347"/>
      <c r="H247" s="347"/>
      <c r="I247" s="347"/>
      <c r="J247" s="347"/>
      <c r="K247" s="347"/>
      <c r="L247" s="348"/>
      <c r="AMH247" s="332"/>
      <c r="AMI247" s="332"/>
      <c r="AMJ247" s="332"/>
      <c r="AMK247" s="332"/>
    </row>
    <row r="248" spans="1:16384" s="331" customFormat="1" ht="15.75" customHeight="1" thickTop="1" thickBot="1">
      <c r="B248" s="349"/>
      <c r="C248" s="350" t="s">
        <v>2129</v>
      </c>
      <c r="D248" s="352" t="s">
        <v>6</v>
      </c>
      <c r="E248" s="352" t="s">
        <v>6</v>
      </c>
      <c r="F248" s="351"/>
      <c r="G248" s="351" t="s">
        <v>1681</v>
      </c>
      <c r="H248" s="351"/>
      <c r="I248" s="351"/>
      <c r="J248" s="351"/>
      <c r="K248" s="351"/>
      <c r="L248" s="355"/>
      <c r="AMH248" s="332"/>
      <c r="AMI248" s="332"/>
      <c r="AMJ248" s="332"/>
      <c r="AMK248" s="332"/>
    </row>
    <row r="249" spans="1:16384" s="331" customFormat="1" ht="15.75" customHeight="1" thickTop="1" thickBot="1">
      <c r="B249" s="349"/>
      <c r="C249" s="350" t="s">
        <v>2130</v>
      </c>
      <c r="D249" s="352" t="s">
        <v>2131</v>
      </c>
      <c r="E249" s="352"/>
      <c r="F249" s="351"/>
      <c r="G249" s="351">
        <v>0</v>
      </c>
      <c r="H249" s="351"/>
      <c r="I249" s="351"/>
      <c r="J249" s="351"/>
      <c r="K249" s="351"/>
      <c r="L249" s="355"/>
      <c r="AMH249" s="332"/>
      <c r="AMI249" s="332"/>
      <c r="AMJ249" s="332"/>
      <c r="AMK249" s="332"/>
    </row>
    <row r="250" spans="1:16384" s="331" customFormat="1" ht="15.75" customHeight="1" thickTop="1" thickBot="1">
      <c r="B250" s="349"/>
      <c r="C250" s="350" t="s">
        <v>2132</v>
      </c>
      <c r="D250" s="352" t="s">
        <v>2133</v>
      </c>
      <c r="E250" s="352"/>
      <c r="F250" s="351"/>
      <c r="G250" s="351">
        <v>0</v>
      </c>
      <c r="H250" s="351"/>
      <c r="I250" s="351"/>
      <c r="J250" s="351"/>
      <c r="K250" s="351"/>
      <c r="L250" s="355"/>
      <c r="AMH250" s="332"/>
      <c r="AMI250" s="332"/>
      <c r="AMJ250" s="332"/>
      <c r="AMK250" s="332"/>
    </row>
    <row r="251" spans="1:16384" s="331" customFormat="1" ht="15.75" customHeight="1" thickTop="1" thickBot="1">
      <c r="B251" s="349"/>
      <c r="C251" s="350" t="s">
        <v>2134</v>
      </c>
      <c r="D251" s="352" t="s">
        <v>2135</v>
      </c>
      <c r="E251" s="352"/>
      <c r="F251" s="351"/>
      <c r="G251" s="351">
        <v>0</v>
      </c>
      <c r="H251" s="351"/>
      <c r="I251" s="351"/>
      <c r="J251" s="351"/>
      <c r="K251" s="351"/>
      <c r="L251" s="355"/>
      <c r="AMH251" s="332"/>
      <c r="AMI251" s="332"/>
      <c r="AMJ251" s="332"/>
      <c r="AMK251" s="332"/>
    </row>
    <row r="252" spans="1:16384" s="331" customFormat="1" ht="15.75" customHeight="1" thickTop="1" thickBot="1">
      <c r="B252" s="349"/>
      <c r="C252" s="350" t="s">
        <v>2136</v>
      </c>
      <c r="D252" s="352" t="s">
        <v>2137</v>
      </c>
      <c r="E252" s="352"/>
      <c r="F252" s="351"/>
      <c r="G252" s="351">
        <v>0</v>
      </c>
      <c r="H252" s="351"/>
      <c r="I252" s="351"/>
      <c r="J252" s="351"/>
      <c r="K252" s="351"/>
      <c r="L252" s="355"/>
      <c r="AMH252" s="332"/>
      <c r="AMI252" s="332"/>
      <c r="AMJ252" s="332"/>
      <c r="AMK252" s="332"/>
    </row>
    <row r="253" spans="1:16384" s="331" customFormat="1" ht="15.75" customHeight="1" thickTop="1" thickBot="1">
      <c r="B253" s="349"/>
      <c r="C253" s="350" t="s">
        <v>2138</v>
      </c>
      <c r="D253" s="352" t="s">
        <v>2139</v>
      </c>
      <c r="E253" s="352"/>
      <c r="F253" s="351"/>
      <c r="G253" s="351">
        <v>0</v>
      </c>
      <c r="H253" s="351"/>
      <c r="I253" s="351"/>
      <c r="J253" s="351"/>
      <c r="K253" s="351"/>
      <c r="L253" s="355"/>
      <c r="AMH253" s="332"/>
      <c r="AMI253" s="332"/>
      <c r="AMJ253" s="332"/>
      <c r="AMK253" s="332"/>
    </row>
    <row r="254" spans="1:16384" s="331" customFormat="1" ht="15.75" customHeight="1" thickTop="1" thickBot="1">
      <c r="B254" s="349"/>
      <c r="C254" s="350" t="s">
        <v>2140</v>
      </c>
      <c r="D254" s="352" t="s">
        <v>2141</v>
      </c>
      <c r="E254" s="352"/>
      <c r="F254" s="351"/>
      <c r="G254" s="351">
        <v>0</v>
      </c>
      <c r="H254" s="351"/>
      <c r="I254" s="351"/>
      <c r="J254" s="351"/>
      <c r="K254" s="351"/>
      <c r="L254" s="355"/>
      <c r="AMH254" s="332"/>
      <c r="AMI254" s="332"/>
      <c r="AMJ254" s="332"/>
      <c r="AMK254" s="332"/>
    </row>
    <row r="255" spans="1:16384" s="331" customFormat="1" ht="15.75" customHeight="1" thickTop="1" thickBot="1">
      <c r="B255" s="349"/>
      <c r="C255" s="350" t="s">
        <v>2142</v>
      </c>
      <c r="D255" s="352" t="s">
        <v>2143</v>
      </c>
      <c r="E255" s="352"/>
      <c r="F255" s="351"/>
      <c r="G255" s="351">
        <v>0</v>
      </c>
      <c r="H255" s="351"/>
      <c r="I255" s="351"/>
      <c r="J255" s="351"/>
      <c r="K255" s="351"/>
      <c r="L255" s="355" t="s">
        <v>2144</v>
      </c>
      <c r="AMH255" s="332"/>
      <c r="AMI255" s="332"/>
      <c r="AMJ255" s="332"/>
      <c r="AMK255" s="332"/>
    </row>
    <row r="256" spans="1:16384" s="331" customFormat="1" ht="15.75" customHeight="1" thickTop="1" thickBot="1">
      <c r="B256" s="349"/>
      <c r="C256" s="350" t="s">
        <v>2145</v>
      </c>
      <c r="D256" s="352" t="s">
        <v>2146</v>
      </c>
      <c r="E256" s="352"/>
      <c r="F256" s="351"/>
      <c r="G256" s="351">
        <v>0</v>
      </c>
      <c r="H256" s="351"/>
      <c r="I256" s="351"/>
      <c r="J256" s="351"/>
      <c r="K256" s="351" t="s">
        <v>194</v>
      </c>
      <c r="L256" s="355" t="s">
        <v>2548</v>
      </c>
      <c r="AMH256" s="332"/>
      <c r="AMI256" s="332"/>
      <c r="AMJ256" s="332"/>
      <c r="AMK256" s="332"/>
    </row>
    <row r="257" spans="2:1025" s="331" customFormat="1" ht="15.75" customHeight="1" thickTop="1" thickBot="1">
      <c r="B257" s="349"/>
      <c r="C257" s="350" t="s">
        <v>2147</v>
      </c>
      <c r="D257" s="352" t="s">
        <v>2148</v>
      </c>
      <c r="E257" s="352"/>
      <c r="F257" s="351"/>
      <c r="G257" s="351">
        <v>1</v>
      </c>
      <c r="H257" s="351"/>
      <c r="I257" s="351"/>
      <c r="J257" s="351"/>
      <c r="K257" s="351"/>
      <c r="L257" s="355" t="s">
        <v>2149</v>
      </c>
      <c r="AMH257" s="332"/>
      <c r="AMI257" s="332"/>
      <c r="AMJ257" s="332"/>
      <c r="AMK257" s="332"/>
    </row>
    <row r="258" spans="2:1025" s="331" customFormat="1" ht="15.75" customHeight="1" thickTop="1" thickBot="1">
      <c r="B258" s="349"/>
      <c r="C258" s="350" t="s">
        <v>2150</v>
      </c>
      <c r="D258" s="352" t="s">
        <v>2151</v>
      </c>
      <c r="E258" s="352"/>
      <c r="F258" s="351"/>
      <c r="G258" s="351">
        <v>1</v>
      </c>
      <c r="H258" s="351"/>
      <c r="I258" s="351"/>
      <c r="J258" s="351"/>
      <c r="K258" s="351"/>
      <c r="L258" s="355" t="s">
        <v>2152</v>
      </c>
      <c r="AMH258" s="332"/>
      <c r="AMI258" s="332"/>
      <c r="AMJ258" s="332"/>
      <c r="AMK258" s="332"/>
    </row>
    <row r="259" spans="2:1025" s="331" customFormat="1" ht="15.75" customHeight="1" thickTop="1" thickBot="1">
      <c r="B259" s="349"/>
      <c r="C259" s="350" t="s">
        <v>2153</v>
      </c>
      <c r="D259" s="352" t="s">
        <v>2154</v>
      </c>
      <c r="E259" s="352"/>
      <c r="F259" s="351"/>
      <c r="G259" s="351">
        <v>1</v>
      </c>
      <c r="H259" s="351"/>
      <c r="I259" s="351"/>
      <c r="J259" s="351"/>
      <c r="K259" s="351"/>
      <c r="L259" s="355" t="s">
        <v>2155</v>
      </c>
      <c r="AMH259" s="332"/>
      <c r="AMI259" s="332"/>
      <c r="AMJ259" s="332"/>
      <c r="AMK259" s="332"/>
    </row>
    <row r="260" spans="2:1025" s="331" customFormat="1" ht="15.75" customHeight="1" thickTop="1" thickBot="1">
      <c r="B260" s="349"/>
      <c r="C260" s="350" t="s">
        <v>2156</v>
      </c>
      <c r="D260" s="352" t="s">
        <v>2157</v>
      </c>
      <c r="E260" s="352"/>
      <c r="F260" s="351"/>
      <c r="G260" s="351">
        <v>1</v>
      </c>
      <c r="H260" s="351"/>
      <c r="I260" s="351"/>
      <c r="J260" s="351"/>
      <c r="K260" s="351"/>
      <c r="L260" s="355" t="s">
        <v>2158</v>
      </c>
      <c r="AMH260" s="332"/>
      <c r="AMI260" s="332"/>
      <c r="AMJ260" s="332"/>
      <c r="AMK260" s="332"/>
    </row>
    <row r="261" spans="2:1025" s="331" customFormat="1" ht="15.75" customHeight="1" thickTop="1" thickBot="1">
      <c r="B261" s="349"/>
      <c r="C261" s="350" t="s">
        <v>2159</v>
      </c>
      <c r="D261" s="352" t="s">
        <v>2160</v>
      </c>
      <c r="E261" s="352"/>
      <c r="F261" s="351"/>
      <c r="G261" s="351">
        <v>1</v>
      </c>
      <c r="H261" s="351"/>
      <c r="I261" s="351"/>
      <c r="J261" s="351"/>
      <c r="K261" s="351" t="s">
        <v>194</v>
      </c>
      <c r="L261" s="355" t="s">
        <v>2161</v>
      </c>
      <c r="AMH261" s="332"/>
      <c r="AMI261" s="332"/>
      <c r="AMJ261" s="332"/>
      <c r="AMK261" s="332"/>
    </row>
    <row r="262" spans="2:1025" s="331" customFormat="1" ht="15.75" customHeight="1" thickTop="1" thickBot="1">
      <c r="B262" s="349"/>
      <c r="C262" s="350" t="s">
        <v>2162</v>
      </c>
      <c r="D262" s="352" t="s">
        <v>2163</v>
      </c>
      <c r="E262" s="352"/>
      <c r="F262" s="351"/>
      <c r="G262" s="351">
        <v>1</v>
      </c>
      <c r="H262" s="351"/>
      <c r="I262" s="351"/>
      <c r="J262" s="351"/>
      <c r="K262" s="351" t="s">
        <v>194</v>
      </c>
      <c r="L262" s="355" t="s">
        <v>2161</v>
      </c>
      <c r="AMH262" s="332"/>
      <c r="AMI262" s="332"/>
      <c r="AMJ262" s="332"/>
      <c r="AMK262" s="332"/>
    </row>
    <row r="263" spans="2:1025" s="331" customFormat="1" ht="15.75" customHeight="1" thickTop="1" thickBot="1">
      <c r="B263" s="349"/>
      <c r="C263" s="350" t="s">
        <v>2164</v>
      </c>
      <c r="D263" s="352" t="s">
        <v>2165</v>
      </c>
      <c r="E263" s="352"/>
      <c r="F263" s="351"/>
      <c r="G263" s="351">
        <v>1</v>
      </c>
      <c r="H263" s="351"/>
      <c r="I263" s="351"/>
      <c r="J263" s="351"/>
      <c r="K263" s="351" t="s">
        <v>194</v>
      </c>
      <c r="L263" s="355" t="s">
        <v>2166</v>
      </c>
      <c r="AMH263" s="332"/>
      <c r="AMI263" s="332"/>
      <c r="AMJ263" s="332"/>
      <c r="AMK263" s="332"/>
    </row>
    <row r="264" spans="2:1025" s="331" customFormat="1" ht="15.75" customHeight="1" thickTop="1" thickBot="1">
      <c r="B264" s="349"/>
      <c r="C264" s="350" t="s">
        <v>2167</v>
      </c>
      <c r="D264" s="352" t="s">
        <v>2168</v>
      </c>
      <c r="E264" s="352"/>
      <c r="F264" s="351"/>
      <c r="G264" s="351">
        <v>0</v>
      </c>
      <c r="H264" s="351"/>
      <c r="I264" s="351"/>
      <c r="J264" s="351"/>
      <c r="K264" s="351"/>
      <c r="L264" s="355" t="s">
        <v>2169</v>
      </c>
      <c r="AMH264" s="332"/>
      <c r="AMI264" s="332"/>
      <c r="AMJ264" s="332"/>
      <c r="AMK264" s="332"/>
    </row>
    <row r="265" spans="2:1025" s="331" customFormat="1" ht="15.75" customHeight="1" thickTop="1" thickBot="1">
      <c r="B265" s="357"/>
      <c r="C265" s="350" t="s">
        <v>2170</v>
      </c>
      <c r="D265" s="352" t="s">
        <v>2171</v>
      </c>
      <c r="E265" s="352"/>
      <c r="F265" s="351"/>
      <c r="G265" s="351">
        <v>0</v>
      </c>
      <c r="H265" s="351"/>
      <c r="I265" s="351"/>
      <c r="J265" s="351"/>
      <c r="K265" s="351"/>
      <c r="L265" s="355" t="s">
        <v>2172</v>
      </c>
      <c r="AMH265" s="332"/>
      <c r="AMI265" s="332"/>
      <c r="AMJ265" s="332"/>
      <c r="AMK265" s="332"/>
    </row>
    <row r="266" spans="2:1025" s="331" customFormat="1" ht="15.75" customHeight="1" thickTop="1" thickBot="1">
      <c r="B266" s="349"/>
      <c r="C266" s="350" t="s">
        <v>2173</v>
      </c>
      <c r="D266" s="352" t="s">
        <v>2174</v>
      </c>
      <c r="E266" s="352"/>
      <c r="F266" s="351"/>
      <c r="G266" s="351">
        <v>0</v>
      </c>
      <c r="H266" s="351"/>
      <c r="I266" s="351"/>
      <c r="J266" s="351"/>
      <c r="K266" s="351"/>
      <c r="L266" s="355" t="s">
        <v>2175</v>
      </c>
      <c r="AMH266" s="332"/>
      <c r="AMI266" s="332"/>
      <c r="AMJ266" s="332"/>
      <c r="AMK266" s="332"/>
    </row>
    <row r="267" spans="2:1025" s="331" customFormat="1" ht="15.75" customHeight="1" thickTop="1" thickBot="1">
      <c r="B267" s="354"/>
      <c r="C267" s="350" t="s">
        <v>2170</v>
      </c>
      <c r="D267" s="352" t="s">
        <v>2176</v>
      </c>
      <c r="E267" s="352"/>
      <c r="F267" s="351"/>
      <c r="G267" s="351">
        <v>1</v>
      </c>
      <c r="H267" s="351"/>
      <c r="I267" s="351"/>
      <c r="J267" s="351"/>
      <c r="K267" s="351"/>
      <c r="L267" s="355" t="s">
        <v>2177</v>
      </c>
      <c r="AMH267" s="332"/>
      <c r="AMI267" s="332"/>
      <c r="AMJ267" s="332"/>
      <c r="AMK267" s="332"/>
    </row>
    <row r="268" spans="2:1025" s="331" customFormat="1" ht="15.75" customHeight="1" thickTop="1" thickBot="1">
      <c r="B268" s="344" t="s">
        <v>2178</v>
      </c>
      <c r="C268" s="345"/>
      <c r="D268" s="346"/>
      <c r="E268" s="346"/>
      <c r="F268" s="347"/>
      <c r="G268" s="347"/>
      <c r="H268" s="347"/>
      <c r="I268" s="347"/>
      <c r="J268" s="347"/>
      <c r="K268" s="347"/>
      <c r="L268" s="348"/>
      <c r="AMH268" s="332"/>
      <c r="AMI268" s="332"/>
      <c r="AMJ268" s="332"/>
      <c r="AMK268" s="332"/>
    </row>
    <row r="269" spans="2:1025" s="331" customFormat="1" ht="15.75" customHeight="1" thickTop="1" thickBot="1">
      <c r="B269" s="349"/>
      <c r="C269" s="350" t="s">
        <v>2129</v>
      </c>
      <c r="D269" s="352" t="s">
        <v>6</v>
      </c>
      <c r="E269" s="352" t="s">
        <v>6</v>
      </c>
      <c r="F269" s="351"/>
      <c r="G269" s="351" t="s">
        <v>1681</v>
      </c>
      <c r="H269" s="351"/>
      <c r="I269" s="351"/>
      <c r="J269" s="351"/>
      <c r="K269" s="351"/>
      <c r="L269" s="351"/>
      <c r="AMH269" s="332"/>
      <c r="AMI269" s="332"/>
      <c r="AMJ269" s="332"/>
      <c r="AMK269" s="332"/>
    </row>
    <row r="270" spans="2:1025" s="331" customFormat="1" ht="15.75" customHeight="1" thickTop="1" thickBot="1">
      <c r="B270" s="349"/>
      <c r="C270" s="350" t="s">
        <v>2132</v>
      </c>
      <c r="D270" s="352" t="s">
        <v>2179</v>
      </c>
      <c r="E270" s="352"/>
      <c r="F270" s="351"/>
      <c r="G270" s="351">
        <v>0</v>
      </c>
      <c r="H270" s="351"/>
      <c r="I270" s="351"/>
      <c r="J270" s="351"/>
      <c r="K270" s="351"/>
      <c r="L270" s="355" t="s">
        <v>2180</v>
      </c>
      <c r="AMH270" s="332"/>
      <c r="AMI270" s="332"/>
      <c r="AMJ270" s="332"/>
      <c r="AMK270" s="332"/>
    </row>
    <row r="271" spans="2:1025" s="331" customFormat="1" ht="15.75" customHeight="1" thickTop="1" thickBot="1">
      <c r="B271" s="349"/>
      <c r="C271" s="350" t="s">
        <v>2134</v>
      </c>
      <c r="D271" s="352" t="s">
        <v>2181</v>
      </c>
      <c r="E271" s="352"/>
      <c r="F271" s="351"/>
      <c r="G271" s="351">
        <v>0</v>
      </c>
      <c r="H271" s="351"/>
      <c r="I271" s="351"/>
      <c r="J271" s="351"/>
      <c r="K271" s="351"/>
      <c r="L271" s="355" t="s">
        <v>2180</v>
      </c>
      <c r="AMH271" s="332"/>
      <c r="AMI271" s="332"/>
      <c r="AMJ271" s="332"/>
      <c r="AMK271" s="332"/>
    </row>
    <row r="272" spans="2:1025" s="331" customFormat="1" ht="15.75" customHeight="1" thickTop="1" thickBot="1">
      <c r="B272" s="349"/>
      <c r="C272" s="350" t="s">
        <v>2182</v>
      </c>
      <c r="D272" s="352" t="s">
        <v>6</v>
      </c>
      <c r="E272" s="352" t="s">
        <v>6</v>
      </c>
      <c r="F272" s="351"/>
      <c r="G272" s="351" t="s">
        <v>1681</v>
      </c>
      <c r="H272" s="351"/>
      <c r="I272" s="351"/>
      <c r="J272" s="351"/>
      <c r="K272" s="351"/>
      <c r="L272" s="351"/>
      <c r="AMH272" s="332"/>
      <c r="AMI272" s="332"/>
      <c r="AMJ272" s="332"/>
      <c r="AMK272" s="332"/>
    </row>
    <row r="273" spans="2:1025" s="331" customFormat="1" ht="15.75" customHeight="1" thickTop="1" thickBot="1">
      <c r="B273" s="349"/>
      <c r="C273" s="350" t="s">
        <v>2142</v>
      </c>
      <c r="D273" s="352" t="s">
        <v>2183</v>
      </c>
      <c r="E273" s="352"/>
      <c r="F273" s="351"/>
      <c r="G273" s="351">
        <v>1</v>
      </c>
      <c r="H273" s="351"/>
      <c r="I273" s="351"/>
      <c r="J273" s="351"/>
      <c r="K273" s="351"/>
      <c r="L273" s="351"/>
      <c r="AMH273" s="332"/>
      <c r="AMI273" s="332"/>
      <c r="AMJ273" s="332"/>
      <c r="AMK273" s="332"/>
    </row>
    <row r="274" spans="2:1025" s="331" customFormat="1" ht="15.75" customHeight="1" thickTop="1" thickBot="1">
      <c r="B274" s="349"/>
      <c r="C274" s="350" t="s">
        <v>2145</v>
      </c>
      <c r="D274" s="352" t="s">
        <v>2184</v>
      </c>
      <c r="E274" s="352"/>
      <c r="F274" s="351"/>
      <c r="G274" s="351">
        <v>0</v>
      </c>
      <c r="H274" s="351"/>
      <c r="I274" s="351"/>
      <c r="J274" s="351"/>
      <c r="K274" s="351" t="s">
        <v>194</v>
      </c>
      <c r="L274" s="351" t="s">
        <v>2549</v>
      </c>
      <c r="AMH274" s="332"/>
      <c r="AMI274" s="332"/>
      <c r="AMJ274" s="332"/>
      <c r="AMK274" s="332"/>
    </row>
    <row r="275" spans="2:1025" s="331" customFormat="1" ht="15.75" customHeight="1" thickTop="1" thickBot="1">
      <c r="B275" s="349"/>
      <c r="C275" s="350" t="s">
        <v>2147</v>
      </c>
      <c r="D275" s="352" t="s">
        <v>2185</v>
      </c>
      <c r="E275" s="352"/>
      <c r="F275" s="351"/>
      <c r="G275" s="351">
        <v>1</v>
      </c>
      <c r="H275" s="351"/>
      <c r="I275" s="351"/>
      <c r="J275" s="351"/>
      <c r="K275" s="351"/>
      <c r="L275" s="351"/>
      <c r="AMH275" s="332"/>
      <c r="AMI275" s="332"/>
      <c r="AMJ275" s="332"/>
      <c r="AMK275" s="332"/>
    </row>
    <row r="276" spans="2:1025" s="331" customFormat="1" ht="15.75" customHeight="1" thickTop="1" thickBot="1">
      <c r="B276" s="349"/>
      <c r="C276" s="350" t="s">
        <v>2150</v>
      </c>
      <c r="D276" s="352" t="s">
        <v>2186</v>
      </c>
      <c r="E276" s="352"/>
      <c r="F276" s="351"/>
      <c r="G276" s="351">
        <v>1</v>
      </c>
      <c r="H276" s="351"/>
      <c r="I276" s="351"/>
      <c r="J276" s="351"/>
      <c r="K276" s="351"/>
      <c r="L276" s="351"/>
      <c r="AMH276" s="332"/>
      <c r="AMI276" s="332"/>
      <c r="AMJ276" s="332"/>
      <c r="AMK276" s="332"/>
    </row>
    <row r="277" spans="2:1025" s="331" customFormat="1" ht="15.75" customHeight="1" thickTop="1" thickBot="1">
      <c r="B277" s="349"/>
      <c r="C277" s="350" t="s">
        <v>2153</v>
      </c>
      <c r="D277" s="352" t="s">
        <v>2187</v>
      </c>
      <c r="E277" s="352"/>
      <c r="F277" s="351"/>
      <c r="G277" s="351">
        <v>1</v>
      </c>
      <c r="H277" s="351"/>
      <c r="I277" s="351"/>
      <c r="J277" s="351"/>
      <c r="K277" s="351"/>
      <c r="L277" s="351"/>
      <c r="AMH277" s="332"/>
      <c r="AMI277" s="332"/>
      <c r="AMJ277" s="332"/>
      <c r="AMK277" s="332"/>
    </row>
    <row r="278" spans="2:1025" s="331" customFormat="1" ht="15.75" customHeight="1" thickTop="1" thickBot="1">
      <c r="B278" s="349"/>
      <c r="C278" s="350" t="s">
        <v>2156</v>
      </c>
      <c r="D278" s="352" t="s">
        <v>2188</v>
      </c>
      <c r="E278" s="352"/>
      <c r="F278" s="351"/>
      <c r="G278" s="351">
        <v>1</v>
      </c>
      <c r="H278" s="351"/>
      <c r="I278" s="351"/>
      <c r="J278" s="351"/>
      <c r="K278" s="351"/>
      <c r="L278" s="351"/>
      <c r="AMH278" s="332"/>
      <c r="AMI278" s="332"/>
      <c r="AMJ278" s="332"/>
      <c r="AMK278" s="332"/>
    </row>
    <row r="279" spans="2:1025" s="331" customFormat="1" ht="15.75" customHeight="1" thickTop="1" thickBot="1">
      <c r="B279" s="349"/>
      <c r="C279" s="350" t="s">
        <v>2159</v>
      </c>
      <c r="D279" s="352" t="s">
        <v>2189</v>
      </c>
      <c r="E279" s="352"/>
      <c r="F279" s="351"/>
      <c r="G279" s="351">
        <v>1</v>
      </c>
      <c r="H279" s="351"/>
      <c r="I279" s="351"/>
      <c r="J279" s="351"/>
      <c r="K279" s="351"/>
      <c r="L279" s="351"/>
      <c r="AMH279" s="332"/>
      <c r="AMI279" s="332"/>
      <c r="AMJ279" s="332"/>
      <c r="AMK279" s="332"/>
    </row>
    <row r="280" spans="2:1025" s="331" customFormat="1" ht="15.75" customHeight="1" thickTop="1" thickBot="1">
      <c r="B280" s="349"/>
      <c r="C280" s="350" t="s">
        <v>2162</v>
      </c>
      <c r="D280" s="352" t="s">
        <v>2190</v>
      </c>
      <c r="E280" s="352"/>
      <c r="F280" s="351"/>
      <c r="G280" s="351">
        <v>1</v>
      </c>
      <c r="H280" s="351"/>
      <c r="I280" s="351"/>
      <c r="J280" s="351"/>
      <c r="K280" s="351"/>
      <c r="L280" s="351"/>
      <c r="AMH280" s="332"/>
      <c r="AMI280" s="332"/>
      <c r="AMJ280" s="332"/>
      <c r="AMK280" s="332"/>
    </row>
    <row r="281" spans="2:1025" s="331" customFormat="1" ht="15.75" customHeight="1" thickTop="1" thickBot="1">
      <c r="B281" s="349"/>
      <c r="C281" s="350" t="s">
        <v>2164</v>
      </c>
      <c r="D281" s="352" t="s">
        <v>2191</v>
      </c>
      <c r="E281" s="352"/>
      <c r="F281" s="351"/>
      <c r="G281" s="351">
        <v>1</v>
      </c>
      <c r="H281" s="351"/>
      <c r="I281" s="351"/>
      <c r="J281" s="351"/>
      <c r="K281" s="351"/>
      <c r="L281" s="351"/>
      <c r="AMH281" s="332"/>
      <c r="AMI281" s="332"/>
      <c r="AMJ281" s="332"/>
      <c r="AMK281" s="332"/>
    </row>
    <row r="282" spans="2:1025" s="331" customFormat="1" ht="15.75" customHeight="1" thickTop="1" thickBot="1">
      <c r="B282" s="349"/>
      <c r="C282" s="350" t="s">
        <v>2167</v>
      </c>
      <c r="D282" s="352" t="s">
        <v>2192</v>
      </c>
      <c r="E282" s="352"/>
      <c r="F282" s="351"/>
      <c r="G282" s="351">
        <v>1</v>
      </c>
      <c r="H282" s="351"/>
      <c r="I282" s="351"/>
      <c r="J282" s="351"/>
      <c r="K282" s="351"/>
      <c r="L282" s="351"/>
      <c r="AMH282" s="332"/>
      <c r="AMI282" s="332"/>
      <c r="AMJ282" s="332"/>
      <c r="AMK282" s="332"/>
    </row>
    <row r="283" spans="2:1025" s="331" customFormat="1" ht="15.75" customHeight="1" thickTop="1" thickBot="1">
      <c r="B283" s="357"/>
      <c r="C283" s="350" t="s">
        <v>2170</v>
      </c>
      <c r="D283" s="352" t="s">
        <v>2193</v>
      </c>
      <c r="E283" s="352"/>
      <c r="F283" s="351"/>
      <c r="G283" s="351">
        <v>1</v>
      </c>
      <c r="H283" s="351"/>
      <c r="I283" s="351"/>
      <c r="J283" s="351"/>
      <c r="K283" s="351"/>
      <c r="L283" s="351"/>
      <c r="AMH283" s="332"/>
      <c r="AMI283" s="332"/>
      <c r="AMJ283" s="332"/>
      <c r="AMK283" s="332"/>
    </row>
    <row r="284" spans="2:1025" s="331" customFormat="1" ht="15.75" customHeight="1" thickTop="1" thickBot="1">
      <c r="B284" s="349"/>
      <c r="C284" s="350" t="s">
        <v>2173</v>
      </c>
      <c r="D284" s="352" t="s">
        <v>2194</v>
      </c>
      <c r="E284" s="352"/>
      <c r="F284" s="351"/>
      <c r="G284" s="351">
        <v>1</v>
      </c>
      <c r="H284" s="351"/>
      <c r="I284" s="351"/>
      <c r="J284" s="351"/>
      <c r="K284" s="351"/>
      <c r="L284" s="351"/>
      <c r="AMH284" s="332"/>
      <c r="AMI284" s="332"/>
      <c r="AMJ284" s="332"/>
      <c r="AMK284" s="332"/>
    </row>
    <row r="285" spans="2:1025" s="331" customFormat="1" ht="15.75" customHeight="1" thickTop="1" thickBot="1">
      <c r="B285" s="354"/>
      <c r="C285" s="350" t="s">
        <v>2170</v>
      </c>
      <c r="D285" s="352" t="s">
        <v>2195</v>
      </c>
      <c r="E285" s="352"/>
      <c r="F285" s="351"/>
      <c r="G285" s="351">
        <v>1</v>
      </c>
      <c r="H285" s="351"/>
      <c r="I285" s="351"/>
      <c r="J285" s="351"/>
      <c r="K285" s="351"/>
      <c r="L285" s="351"/>
      <c r="AMH285" s="332"/>
      <c r="AMI285" s="332"/>
      <c r="AMJ285" s="332"/>
      <c r="AMK285" s="332"/>
    </row>
    <row r="286" spans="2:1025" s="331" customFormat="1" ht="15.75" customHeight="1" thickTop="1" thickBot="1">
      <c r="B286" s="344" t="s">
        <v>2196</v>
      </c>
      <c r="C286" s="345"/>
      <c r="D286" s="346"/>
      <c r="E286" s="346"/>
      <c r="F286" s="347"/>
      <c r="G286" s="347"/>
      <c r="H286" s="347"/>
      <c r="I286" s="347"/>
      <c r="J286" s="347"/>
      <c r="K286" s="347"/>
      <c r="L286" s="348"/>
      <c r="AMH286" s="332"/>
      <c r="AMI286" s="332"/>
      <c r="AMJ286" s="332"/>
      <c r="AMK286" s="332"/>
    </row>
    <row r="287" spans="2:1025" s="331" customFormat="1" ht="15.75" customHeight="1" thickTop="1" thickBot="1">
      <c r="B287" s="349"/>
      <c r="C287" s="350" t="s">
        <v>2198</v>
      </c>
      <c r="D287" s="352" t="s">
        <v>6</v>
      </c>
      <c r="E287" s="352" t="s">
        <v>6</v>
      </c>
      <c r="F287" s="351"/>
      <c r="G287" s="351" t="s">
        <v>1681</v>
      </c>
      <c r="H287" s="351"/>
      <c r="I287" s="351"/>
      <c r="J287" s="351"/>
      <c r="K287" s="351"/>
      <c r="L287" s="351"/>
      <c r="AMH287" s="332"/>
      <c r="AMI287" s="332"/>
      <c r="AMJ287" s="332"/>
      <c r="AMK287" s="332"/>
    </row>
    <row r="288" spans="2:1025" s="331" customFormat="1" ht="15.75" customHeight="1" thickTop="1" thickBot="1">
      <c r="B288" s="349"/>
      <c r="C288" s="350" t="s">
        <v>2199</v>
      </c>
      <c r="D288" s="352" t="s">
        <v>2200</v>
      </c>
      <c r="E288" s="352"/>
      <c r="F288" s="351"/>
      <c r="G288" s="351" t="s">
        <v>2201</v>
      </c>
      <c r="H288" s="351"/>
      <c r="I288" s="351"/>
      <c r="J288" s="351"/>
      <c r="K288" s="351"/>
      <c r="L288" s="351"/>
      <c r="AMH288" s="332"/>
      <c r="AMI288" s="332"/>
      <c r="AMJ288" s="332"/>
      <c r="AMK288" s="332"/>
    </row>
    <row r="289" spans="2:1025" s="331" customFormat="1" ht="15.75" customHeight="1" thickTop="1" thickBot="1">
      <c r="B289" s="349"/>
      <c r="C289" s="350" t="s">
        <v>2202</v>
      </c>
      <c r="D289" s="352" t="s">
        <v>6</v>
      </c>
      <c r="E289" s="352" t="s">
        <v>6</v>
      </c>
      <c r="F289" s="351"/>
      <c r="G289" s="351" t="s">
        <v>1681</v>
      </c>
      <c r="H289" s="351"/>
      <c r="I289" s="351"/>
      <c r="J289" s="351"/>
      <c r="K289" s="351"/>
      <c r="L289" s="351"/>
      <c r="AMH289" s="332"/>
      <c r="AMI289" s="332"/>
      <c r="AMJ289" s="332"/>
      <c r="AMK289" s="332"/>
    </row>
    <row r="290" spans="2:1025" s="331" customFormat="1" ht="15.75" customHeight="1" thickTop="1" thickBot="1">
      <c r="B290" s="349"/>
      <c r="C290" s="350" t="s">
        <v>1711</v>
      </c>
      <c r="D290" s="352" t="s">
        <v>2203</v>
      </c>
      <c r="E290" s="352"/>
      <c r="F290" s="351"/>
      <c r="G290" s="351">
        <v>0</v>
      </c>
      <c r="H290" s="351"/>
      <c r="I290" s="351"/>
      <c r="J290" s="351"/>
      <c r="K290" s="351"/>
      <c r="L290" s="351"/>
      <c r="AMH290" s="332"/>
      <c r="AMI290" s="332"/>
      <c r="AMJ290" s="332"/>
      <c r="AMK290" s="332"/>
    </row>
    <row r="291" spans="2:1025" s="331" customFormat="1" ht="15.75" customHeight="1" thickTop="1" thickBot="1">
      <c r="B291" s="349"/>
      <c r="C291" s="350" t="s">
        <v>2204</v>
      </c>
      <c r="D291" s="352" t="s">
        <v>2205</v>
      </c>
      <c r="E291" s="352"/>
      <c r="F291" s="351"/>
      <c r="G291" s="351" t="s">
        <v>2206</v>
      </c>
      <c r="H291" s="351"/>
      <c r="I291" s="351"/>
      <c r="J291" s="351"/>
      <c r="K291" s="351"/>
      <c r="L291" s="351"/>
      <c r="AMH291" s="332"/>
      <c r="AMI291" s="332"/>
      <c r="AMJ291" s="332"/>
      <c r="AMK291" s="332"/>
    </row>
    <row r="292" spans="2:1025" s="331" customFormat="1" ht="15.75" customHeight="1" thickTop="1" thickBot="1">
      <c r="B292" s="344" t="s">
        <v>2207</v>
      </c>
      <c r="C292" s="345"/>
      <c r="D292" s="346"/>
      <c r="E292" s="346"/>
      <c r="F292" s="347"/>
      <c r="G292" s="347"/>
      <c r="H292" s="347"/>
      <c r="I292" s="347"/>
      <c r="J292" s="347"/>
      <c r="K292" s="347"/>
      <c r="L292" s="348"/>
      <c r="AMH292" s="332"/>
      <c r="AMI292" s="332"/>
      <c r="AMJ292" s="332"/>
      <c r="AMK292" s="332"/>
    </row>
    <row r="293" spans="2:1025" s="331" customFormat="1" ht="15.75" customHeight="1" thickTop="1" thickBot="1">
      <c r="B293" s="349"/>
      <c r="C293" s="350" t="s">
        <v>2208</v>
      </c>
      <c r="D293" s="352" t="s">
        <v>2209</v>
      </c>
      <c r="E293" s="352"/>
      <c r="F293" s="351"/>
      <c r="G293" s="351">
        <v>0</v>
      </c>
      <c r="H293" s="351"/>
      <c r="I293" s="351"/>
      <c r="J293" s="351"/>
      <c r="K293" s="351"/>
      <c r="L293" s="355" t="s">
        <v>2210</v>
      </c>
      <c r="AMH293" s="332"/>
      <c r="AMI293" s="332"/>
      <c r="AMJ293" s="332"/>
      <c r="AMK293" s="332"/>
    </row>
    <row r="294" spans="2:1025" s="331" customFormat="1" ht="15.75" customHeight="1" thickTop="1" thickBot="1">
      <c r="B294" s="344" t="s">
        <v>2211</v>
      </c>
      <c r="C294" s="345"/>
      <c r="D294" s="346"/>
      <c r="E294" s="346"/>
      <c r="F294" s="347"/>
      <c r="G294" s="347"/>
      <c r="H294" s="347"/>
      <c r="I294" s="347"/>
      <c r="J294" s="347"/>
      <c r="K294" s="347"/>
      <c r="L294" s="348"/>
      <c r="AMH294" s="332"/>
      <c r="AMI294" s="332"/>
      <c r="AMJ294" s="332"/>
      <c r="AMK294" s="332"/>
    </row>
    <row r="295" spans="2:1025" s="331" customFormat="1" ht="15.75" customHeight="1" thickTop="1" thickBot="1">
      <c r="B295" s="349"/>
      <c r="C295" s="350" t="s">
        <v>2208</v>
      </c>
      <c r="D295" s="352" t="s">
        <v>2212</v>
      </c>
      <c r="E295" s="352"/>
      <c r="F295" s="351"/>
      <c r="G295" s="351">
        <v>0</v>
      </c>
      <c r="H295" s="351"/>
      <c r="I295" s="351"/>
      <c r="J295" s="351"/>
      <c r="K295" s="351"/>
      <c r="L295" s="355" t="s">
        <v>2210</v>
      </c>
      <c r="AMH295" s="332"/>
      <c r="AMI295" s="332"/>
      <c r="AMJ295" s="332"/>
      <c r="AMK295" s="332"/>
    </row>
    <row r="296" spans="2:1025" s="331" customFormat="1" ht="15.75" customHeight="1" thickTop="1" thickBot="1">
      <c r="B296" s="344" t="s">
        <v>2213</v>
      </c>
      <c r="C296" s="345"/>
      <c r="D296" s="346"/>
      <c r="E296" s="346"/>
      <c r="F296" s="347"/>
      <c r="G296" s="347"/>
      <c r="H296" s="347"/>
      <c r="I296" s="347"/>
      <c r="J296" s="347"/>
      <c r="K296" s="347"/>
      <c r="L296" s="348"/>
      <c r="AMH296" s="332"/>
      <c r="AMI296" s="332"/>
      <c r="AMJ296" s="332"/>
      <c r="AMK296" s="332"/>
    </row>
    <row r="297" spans="2:1025" s="331" customFormat="1" ht="15.75" customHeight="1" thickTop="1" thickBot="1">
      <c r="B297" s="349"/>
      <c r="C297" s="350" t="s">
        <v>2215</v>
      </c>
      <c r="D297" s="352" t="s">
        <v>6</v>
      </c>
      <c r="E297" s="352" t="s">
        <v>6</v>
      </c>
      <c r="F297" s="351"/>
      <c r="G297" s="351" t="s">
        <v>1681</v>
      </c>
      <c r="H297" s="351"/>
      <c r="I297" s="351"/>
      <c r="J297" s="351"/>
      <c r="K297" s="351"/>
      <c r="L297" s="355"/>
      <c r="AMH297" s="332"/>
      <c r="AMI297" s="332"/>
      <c r="AMJ297" s="332"/>
      <c r="AMK297" s="332"/>
    </row>
    <row r="298" spans="2:1025" s="331" customFormat="1" ht="15.75" customHeight="1" thickTop="1" thickBot="1">
      <c r="B298" s="349"/>
      <c r="C298" s="350" t="s">
        <v>2216</v>
      </c>
      <c r="D298" s="352" t="s">
        <v>2217</v>
      </c>
      <c r="E298" s="352"/>
      <c r="F298" s="351"/>
      <c r="G298" s="351">
        <v>1</v>
      </c>
      <c r="H298" s="351"/>
      <c r="I298" s="351"/>
      <c r="J298" s="351"/>
      <c r="K298" s="351"/>
      <c r="L298" s="355" t="s">
        <v>2210</v>
      </c>
      <c r="AMH298" s="332"/>
      <c r="AMI298" s="332"/>
      <c r="AMJ298" s="332"/>
      <c r="AMK298" s="332"/>
    </row>
    <row r="299" spans="2:1025" s="331" customFormat="1" ht="15.75" customHeight="1" thickTop="1" thickBot="1">
      <c r="B299" s="349"/>
      <c r="C299" s="350" t="s">
        <v>1686</v>
      </c>
      <c r="D299" s="352" t="s">
        <v>2218</v>
      </c>
      <c r="E299" s="352"/>
      <c r="F299" s="351"/>
      <c r="G299" s="351">
        <v>0</v>
      </c>
      <c r="H299" s="351"/>
      <c r="I299" s="351"/>
      <c r="J299" s="351"/>
      <c r="K299" s="351"/>
      <c r="L299" s="355" t="s">
        <v>2210</v>
      </c>
      <c r="AMH299" s="332"/>
      <c r="AMI299" s="332"/>
      <c r="AMJ299" s="332"/>
      <c r="AMK299" s="332"/>
    </row>
    <row r="300" spans="2:1025" s="331" customFormat="1" ht="15.75" customHeight="1" thickTop="1" thickBot="1">
      <c r="B300" s="349"/>
      <c r="C300" s="350" t="s">
        <v>2219</v>
      </c>
      <c r="D300" s="352" t="s">
        <v>2220</v>
      </c>
      <c r="E300" s="352"/>
      <c r="F300" s="351"/>
      <c r="G300" s="351" t="s">
        <v>2221</v>
      </c>
      <c r="H300" s="351"/>
      <c r="I300" s="351"/>
      <c r="J300" s="351"/>
      <c r="K300" s="351"/>
      <c r="L300" s="355" t="s">
        <v>2210</v>
      </c>
      <c r="AMH300" s="332"/>
      <c r="AMI300" s="332"/>
      <c r="AMJ300" s="332"/>
      <c r="AMK300" s="332"/>
    </row>
    <row r="301" spans="2:1025" s="331" customFormat="1" ht="15.75" customHeight="1" thickTop="1" thickBot="1">
      <c r="B301" s="349"/>
      <c r="C301" s="350" t="s">
        <v>2182</v>
      </c>
      <c r="D301" s="352" t="s">
        <v>6</v>
      </c>
      <c r="E301" s="352" t="s">
        <v>6</v>
      </c>
      <c r="F301" s="351"/>
      <c r="G301" s="351" t="s">
        <v>1681</v>
      </c>
      <c r="H301" s="351"/>
      <c r="I301" s="351"/>
      <c r="J301" s="351"/>
      <c r="K301" s="351"/>
      <c r="L301" s="355"/>
      <c r="AMH301" s="332"/>
      <c r="AMI301" s="332"/>
      <c r="AMJ301" s="332"/>
      <c r="AMK301" s="332"/>
    </row>
    <row r="302" spans="2:1025" s="331" customFormat="1" ht="15.75" customHeight="1" thickTop="1" thickBot="1">
      <c r="B302" s="349"/>
      <c r="C302" s="350" t="s">
        <v>2222</v>
      </c>
      <c r="D302" s="353" t="s">
        <v>2223</v>
      </c>
      <c r="E302" s="352"/>
      <c r="F302" s="351"/>
      <c r="G302" s="351">
        <v>1</v>
      </c>
      <c r="H302" s="351"/>
      <c r="I302" s="351"/>
      <c r="J302" s="351"/>
      <c r="K302" s="351"/>
      <c r="L302" s="355"/>
      <c r="AMH302" s="332"/>
      <c r="AMI302" s="332"/>
      <c r="AMJ302" s="332"/>
      <c r="AMK302" s="332"/>
    </row>
    <row r="303" spans="2:1025" s="331" customFormat="1" ht="15.75" customHeight="1" thickTop="1" thickBot="1">
      <c r="B303" s="349"/>
      <c r="C303" s="350" t="s">
        <v>1708</v>
      </c>
      <c r="D303" s="352" t="s">
        <v>2224</v>
      </c>
      <c r="E303" s="352"/>
      <c r="F303" s="351"/>
      <c r="G303" s="351">
        <v>0</v>
      </c>
      <c r="H303" s="351"/>
      <c r="I303" s="351"/>
      <c r="J303" s="351"/>
      <c r="K303" s="351"/>
      <c r="L303" s="355"/>
      <c r="AMH303" s="332"/>
      <c r="AMI303" s="332"/>
      <c r="AMJ303" s="332"/>
      <c r="AMK303" s="332"/>
    </row>
    <row r="304" spans="2:1025" s="331" customFormat="1" ht="15.75" customHeight="1" thickTop="1" thickBot="1">
      <c r="B304" s="349"/>
      <c r="C304" s="350" t="s">
        <v>2225</v>
      </c>
      <c r="D304" s="352" t="s">
        <v>2226</v>
      </c>
      <c r="E304" s="352"/>
      <c r="F304" s="351"/>
      <c r="G304" s="351" t="s">
        <v>2221</v>
      </c>
      <c r="H304" s="351"/>
      <c r="I304" s="351"/>
      <c r="J304" s="351"/>
      <c r="K304" s="351"/>
      <c r="L304" s="355"/>
      <c r="AMH304" s="332"/>
      <c r="AMI304" s="332"/>
      <c r="AMJ304" s="332"/>
      <c r="AMK304" s="332"/>
    </row>
    <row r="305" spans="2:1025" s="331" customFormat="1" ht="15.75" customHeight="1" thickTop="1" thickBot="1">
      <c r="B305" s="344" t="s">
        <v>2227</v>
      </c>
      <c r="C305" s="345"/>
      <c r="D305" s="346"/>
      <c r="E305" s="346"/>
      <c r="F305" s="347"/>
      <c r="G305" s="347"/>
      <c r="H305" s="347"/>
      <c r="I305" s="347"/>
      <c r="J305" s="347"/>
      <c r="K305" s="347"/>
      <c r="L305" s="348"/>
      <c r="AMH305" s="332"/>
      <c r="AMI305" s="332"/>
      <c r="AMJ305" s="332"/>
      <c r="AMK305" s="332"/>
    </row>
    <row r="306" spans="2:1025" s="331" customFormat="1" ht="15.75" customHeight="1" thickTop="1" thickBot="1">
      <c r="B306" s="349"/>
      <c r="C306" s="350" t="s">
        <v>1678</v>
      </c>
      <c r="D306" s="352" t="s">
        <v>6</v>
      </c>
      <c r="E306" s="352" t="s">
        <v>6</v>
      </c>
      <c r="F306" s="351"/>
      <c r="G306" s="351" t="s">
        <v>1681</v>
      </c>
      <c r="H306" s="351"/>
      <c r="I306" s="351"/>
      <c r="J306" s="351"/>
      <c r="K306" s="351"/>
      <c r="L306" s="351"/>
      <c r="AMH306" s="332"/>
      <c r="AMI306" s="332"/>
      <c r="AMJ306" s="332"/>
      <c r="AMK306" s="332"/>
    </row>
    <row r="307" spans="2:1025" s="331" customFormat="1" ht="15.75" customHeight="1" thickTop="1" thickBot="1">
      <c r="B307" s="349"/>
      <c r="C307" s="350" t="s">
        <v>2228</v>
      </c>
      <c r="D307" s="352" t="s">
        <v>2229</v>
      </c>
      <c r="E307" s="352"/>
      <c r="F307" s="351"/>
      <c r="G307" s="351">
        <v>0</v>
      </c>
      <c r="H307" s="351"/>
      <c r="I307" s="351"/>
      <c r="J307" s="351"/>
      <c r="K307" s="351"/>
      <c r="L307" s="351"/>
      <c r="AMH307" s="332"/>
      <c r="AMI307" s="332"/>
      <c r="AMJ307" s="332"/>
      <c r="AMK307" s="332"/>
    </row>
    <row r="308" spans="2:1025" s="331" customFormat="1" ht="15.75" customHeight="1" thickTop="1" thickBot="1">
      <c r="B308" s="349"/>
      <c r="C308" s="350" t="s">
        <v>2216</v>
      </c>
      <c r="D308" s="376" t="s">
        <v>6</v>
      </c>
      <c r="E308" s="352"/>
      <c r="F308" s="351"/>
      <c r="G308" s="378" t="s">
        <v>1681</v>
      </c>
      <c r="H308" s="351"/>
      <c r="I308" s="351"/>
      <c r="J308" s="351"/>
      <c r="K308" s="351"/>
      <c r="L308" s="377" t="s">
        <v>2567</v>
      </c>
      <c r="AMH308" s="332"/>
      <c r="AMI308" s="332"/>
      <c r="AMJ308" s="332"/>
      <c r="AMK308" s="332"/>
    </row>
    <row r="309" spans="2:1025" s="331" customFormat="1" ht="15.75" customHeight="1" thickTop="1" thickBot="1">
      <c r="B309" s="349"/>
      <c r="C309" s="350" t="s">
        <v>2231</v>
      </c>
      <c r="D309" s="352" t="s">
        <v>2232</v>
      </c>
      <c r="E309" s="352"/>
      <c r="F309" s="351"/>
      <c r="G309" s="351">
        <v>0</v>
      </c>
      <c r="H309" s="351"/>
      <c r="I309" s="351"/>
      <c r="J309" s="351"/>
      <c r="K309" s="351"/>
      <c r="L309" s="351"/>
      <c r="AMH309" s="332"/>
      <c r="AMI309" s="332"/>
      <c r="AMJ309" s="332"/>
      <c r="AMK309" s="332"/>
    </row>
    <row r="310" spans="2:1025" s="331" customFormat="1" ht="15.75" customHeight="1" thickTop="1" thickBot="1">
      <c r="B310" s="349"/>
      <c r="C310" s="350" t="s">
        <v>2233</v>
      </c>
      <c r="D310" s="352" t="s">
        <v>2234</v>
      </c>
      <c r="E310" s="352"/>
      <c r="F310" s="351"/>
      <c r="G310" s="351">
        <v>0</v>
      </c>
      <c r="H310" s="351"/>
      <c r="I310" s="351"/>
      <c r="J310" s="351"/>
      <c r="K310" s="351"/>
      <c r="L310" s="351"/>
      <c r="AMH310" s="332"/>
      <c r="AMI310" s="332"/>
      <c r="AMJ310" s="332"/>
      <c r="AMK310" s="332"/>
    </row>
    <row r="311" spans="2:1025" s="331" customFormat="1" ht="15.75" customHeight="1" thickTop="1" thickBot="1">
      <c r="B311" s="349"/>
      <c r="C311" s="350" t="s">
        <v>2235</v>
      </c>
      <c r="D311" s="353" t="s">
        <v>2236</v>
      </c>
      <c r="E311" s="352"/>
      <c r="F311" s="351"/>
      <c r="G311" s="351">
        <v>0</v>
      </c>
      <c r="H311" s="351"/>
      <c r="I311" s="351"/>
      <c r="J311" s="351"/>
      <c r="K311" s="351"/>
      <c r="L311" s="351"/>
      <c r="AMH311" s="332"/>
      <c r="AMI311" s="332"/>
      <c r="AMJ311" s="332"/>
      <c r="AMK311" s="332"/>
    </row>
    <row r="312" spans="2:1025" s="331" customFormat="1" ht="15.75" customHeight="1" thickTop="1" thickBot="1">
      <c r="B312" s="349"/>
      <c r="C312" s="350" t="s">
        <v>2237</v>
      </c>
      <c r="D312" s="352" t="s">
        <v>2238</v>
      </c>
      <c r="E312" s="352"/>
      <c r="F312" s="351"/>
      <c r="G312" s="351">
        <v>0</v>
      </c>
      <c r="H312" s="351"/>
      <c r="I312" s="351"/>
      <c r="J312" s="351"/>
      <c r="K312" s="351"/>
      <c r="L312" s="351"/>
      <c r="AMH312" s="332"/>
      <c r="AMI312" s="332"/>
      <c r="AMJ312" s="332"/>
      <c r="AMK312" s="332"/>
    </row>
    <row r="313" spans="2:1025" s="331" customFormat="1" ht="15.75" customHeight="1" thickTop="1" thickBot="1">
      <c r="B313" s="349"/>
      <c r="C313" s="350" t="s">
        <v>2199</v>
      </c>
      <c r="D313" s="352" t="s">
        <v>2239</v>
      </c>
      <c r="E313" s="352"/>
      <c r="F313" s="351"/>
      <c r="G313" s="351" t="s">
        <v>2532</v>
      </c>
      <c r="H313" s="351"/>
      <c r="I313" s="351"/>
      <c r="J313" s="351"/>
      <c r="K313" s="351"/>
      <c r="L313" s="351"/>
      <c r="AMH313" s="332"/>
      <c r="AMI313" s="332"/>
      <c r="AMJ313" s="332"/>
      <c r="AMK313" s="332"/>
    </row>
    <row r="314" spans="2:1025" s="331" customFormat="1" ht="15.75" customHeight="1" thickTop="1" thickBot="1">
      <c r="B314" s="349"/>
      <c r="C314" s="350" t="s">
        <v>2240</v>
      </c>
      <c r="D314" s="352" t="s">
        <v>6</v>
      </c>
      <c r="E314" s="352" t="s">
        <v>6</v>
      </c>
      <c r="F314" s="351"/>
      <c r="G314" s="351" t="s">
        <v>1681</v>
      </c>
      <c r="H314" s="351"/>
      <c r="I314" s="351"/>
      <c r="J314" s="351"/>
      <c r="K314" s="351"/>
      <c r="L314" s="351"/>
      <c r="AMH314" s="332"/>
      <c r="AMI314" s="332"/>
      <c r="AMJ314" s="332"/>
      <c r="AMK314" s="332"/>
    </row>
    <row r="315" spans="2:1025" s="331" customFormat="1" ht="15.75" customHeight="1" thickTop="1" thickBot="1">
      <c r="B315" s="349"/>
      <c r="C315" s="350" t="s">
        <v>2241</v>
      </c>
      <c r="D315" s="353" t="s">
        <v>2242</v>
      </c>
      <c r="E315" s="352"/>
      <c r="F315" s="351"/>
      <c r="G315" s="351" t="s">
        <v>2243</v>
      </c>
      <c r="H315" s="351"/>
      <c r="I315" s="351"/>
      <c r="J315" s="351"/>
      <c r="K315" s="351"/>
      <c r="L315" s="351"/>
      <c r="AMH315" s="332"/>
      <c r="AMI315" s="332"/>
      <c r="AMJ315" s="332"/>
      <c r="AMK315" s="332"/>
    </row>
    <row r="316" spans="2:1025" s="331" customFormat="1" ht="15.75" customHeight="1" thickTop="1" thickBot="1">
      <c r="B316" s="349"/>
      <c r="C316" s="350" t="s">
        <v>2245</v>
      </c>
      <c r="D316" s="352" t="s">
        <v>2246</v>
      </c>
      <c r="E316" s="352"/>
      <c r="F316" s="351"/>
      <c r="G316" s="351">
        <v>1</v>
      </c>
      <c r="H316" s="351"/>
      <c r="I316" s="351"/>
      <c r="J316" s="351"/>
      <c r="K316" s="351"/>
      <c r="L316" s="351"/>
      <c r="AMH316" s="332"/>
      <c r="AMI316" s="332"/>
      <c r="AMJ316" s="332"/>
      <c r="AMK316" s="332"/>
    </row>
    <row r="317" spans="2:1025" s="331" customFormat="1" ht="15.75" customHeight="1" thickTop="1" thickBot="1">
      <c r="B317" s="349"/>
      <c r="C317" s="350" t="s">
        <v>2248</v>
      </c>
      <c r="D317" s="352" t="s">
        <v>2249</v>
      </c>
      <c r="E317" s="352"/>
      <c r="F317" s="351"/>
      <c r="G317" s="351">
        <v>1</v>
      </c>
      <c r="H317" s="351"/>
      <c r="I317" s="351"/>
      <c r="J317" s="351"/>
      <c r="K317" s="351"/>
      <c r="L317" s="351"/>
      <c r="AMH317" s="332"/>
      <c r="AMI317" s="332"/>
      <c r="AMJ317" s="332"/>
      <c r="AMK317" s="332"/>
    </row>
    <row r="318" spans="2:1025" s="331" customFormat="1" ht="15.75" customHeight="1" thickTop="1" thickBot="1">
      <c r="B318" s="344" t="s">
        <v>2250</v>
      </c>
      <c r="C318" s="345"/>
      <c r="D318" s="346"/>
      <c r="E318" s="346"/>
      <c r="F318" s="347"/>
      <c r="G318" s="347"/>
      <c r="H318" s="347"/>
      <c r="I318" s="347"/>
      <c r="J318" s="347"/>
      <c r="K318" s="347"/>
      <c r="L318" s="348"/>
      <c r="AMH318" s="332"/>
      <c r="AMI318" s="332"/>
      <c r="AMJ318" s="332"/>
      <c r="AMK318" s="332"/>
    </row>
    <row r="319" spans="2:1025" s="331" customFormat="1" ht="15.75" customHeight="1" thickTop="1" thickBot="1">
      <c r="B319" s="349"/>
      <c r="C319" s="350" t="s">
        <v>2198</v>
      </c>
      <c r="D319" s="352" t="s">
        <v>6</v>
      </c>
      <c r="E319" s="352" t="s">
        <v>6</v>
      </c>
      <c r="F319" s="351"/>
      <c r="G319" s="351" t="s">
        <v>1681</v>
      </c>
      <c r="H319" s="351"/>
      <c r="I319" s="351"/>
      <c r="J319" s="351"/>
      <c r="K319" s="351"/>
      <c r="L319" s="351"/>
      <c r="AMH319" s="332"/>
      <c r="AMI319" s="332"/>
      <c r="AMJ319" s="332"/>
      <c r="AMK319" s="332"/>
    </row>
    <row r="320" spans="2:1025" s="331" customFormat="1" ht="15.75" customHeight="1" thickTop="1" thickBot="1">
      <c r="B320" s="349"/>
      <c r="C320" s="350" t="s">
        <v>2199</v>
      </c>
      <c r="D320" s="352" t="s">
        <v>2251</v>
      </c>
      <c r="E320" s="352"/>
      <c r="F320" s="351"/>
      <c r="G320" s="351" t="s">
        <v>2530</v>
      </c>
      <c r="H320" s="351"/>
      <c r="I320" s="351"/>
      <c r="J320" s="351"/>
      <c r="K320" s="351"/>
      <c r="L320" s="351"/>
      <c r="AMH320" s="332"/>
      <c r="AMI320" s="332"/>
      <c r="AMJ320" s="332"/>
      <c r="AMK320" s="332"/>
    </row>
    <row r="321" spans="2:1025" s="331" customFormat="1" ht="15.75" customHeight="1" thickTop="1" thickBot="1">
      <c r="B321" s="349"/>
      <c r="C321" s="350" t="s">
        <v>2240</v>
      </c>
      <c r="D321" s="352" t="s">
        <v>6</v>
      </c>
      <c r="E321" s="352" t="s">
        <v>6</v>
      </c>
      <c r="F321" s="351"/>
      <c r="G321" s="351" t="s">
        <v>1681</v>
      </c>
      <c r="H321" s="351"/>
      <c r="I321" s="351"/>
      <c r="J321" s="351"/>
      <c r="K321" s="351"/>
      <c r="L321" s="351"/>
      <c r="AMH321" s="332"/>
      <c r="AMI321" s="332"/>
      <c r="AMJ321" s="332"/>
      <c r="AMK321" s="332"/>
    </row>
    <row r="322" spans="2:1025" s="331" customFormat="1" ht="15.75" customHeight="1" thickTop="1" thickBot="1">
      <c r="B322" s="349"/>
      <c r="C322" s="350" t="s">
        <v>2241</v>
      </c>
      <c r="D322" s="352" t="s">
        <v>2252</v>
      </c>
      <c r="E322" s="352"/>
      <c r="F322" s="351"/>
      <c r="G322" s="351">
        <v>1</v>
      </c>
      <c r="H322" s="351"/>
      <c r="I322" s="351"/>
      <c r="J322" s="351"/>
      <c r="K322" s="351"/>
      <c r="L322" s="351"/>
      <c r="AMH322" s="332"/>
      <c r="AMI322" s="332"/>
      <c r="AMJ322" s="332"/>
      <c r="AMK322" s="332"/>
    </row>
    <row r="323" spans="2:1025" s="331" customFormat="1" ht="15.75" customHeight="1" thickTop="1" thickBot="1">
      <c r="B323" s="349"/>
      <c r="C323" s="350" t="s">
        <v>2204</v>
      </c>
      <c r="D323" s="352" t="s">
        <v>2253</v>
      </c>
      <c r="E323" s="352"/>
      <c r="F323" s="351"/>
      <c r="G323" s="351" t="s">
        <v>2531</v>
      </c>
      <c r="H323" s="351"/>
      <c r="I323" s="351"/>
      <c r="J323" s="351"/>
      <c r="K323" s="351"/>
      <c r="L323" s="351"/>
      <c r="AMH323" s="332"/>
      <c r="AMI323" s="332"/>
      <c r="AMJ323" s="332"/>
      <c r="AMK323" s="332"/>
    </row>
    <row r="324" spans="2:1025" s="331" customFormat="1" ht="15.75" customHeight="1" thickTop="1" thickBot="1">
      <c r="B324" s="344" t="s">
        <v>2254</v>
      </c>
      <c r="C324" s="345"/>
      <c r="D324" s="346"/>
      <c r="E324" s="346"/>
      <c r="F324" s="347"/>
      <c r="G324" s="347"/>
      <c r="H324" s="347"/>
      <c r="I324" s="347"/>
      <c r="J324" s="347"/>
      <c r="K324" s="347"/>
      <c r="L324" s="348"/>
      <c r="AMH324" s="332"/>
      <c r="AMI324" s="332"/>
      <c r="AMJ324" s="332"/>
      <c r="AMK324" s="332"/>
    </row>
    <row r="325" spans="2:1025" s="331" customFormat="1" ht="15.75" customHeight="1" thickTop="1" thickBot="1">
      <c r="B325" s="349"/>
      <c r="C325" s="350" t="s">
        <v>2256</v>
      </c>
      <c r="D325" s="353" t="s">
        <v>6</v>
      </c>
      <c r="E325" s="352" t="s">
        <v>6</v>
      </c>
      <c r="F325" s="351"/>
      <c r="G325" s="351" t="s">
        <v>1681</v>
      </c>
      <c r="H325" s="351"/>
      <c r="I325" s="351"/>
      <c r="J325" s="351"/>
      <c r="K325" s="351"/>
      <c r="L325" s="351"/>
      <c r="AMH325" s="332"/>
      <c r="AMI325" s="332"/>
      <c r="AMJ325" s="332"/>
      <c r="AMK325" s="332"/>
    </row>
    <row r="326" spans="2:1025" s="331" customFormat="1" ht="15.75" customHeight="1" thickTop="1" thickBot="1">
      <c r="B326" s="349"/>
      <c r="C326" s="350" t="s">
        <v>2257</v>
      </c>
      <c r="D326" s="352" t="s">
        <v>2258</v>
      </c>
      <c r="E326" s="352"/>
      <c r="F326" s="351"/>
      <c r="G326" s="351">
        <v>0</v>
      </c>
      <c r="H326" s="351"/>
      <c r="I326" s="351"/>
      <c r="J326" s="351"/>
      <c r="K326" s="351"/>
      <c r="L326" s="351"/>
      <c r="AMH326" s="332"/>
      <c r="AMI326" s="332"/>
      <c r="AMJ326" s="332"/>
      <c r="AMK326" s="332"/>
    </row>
    <row r="327" spans="2:1025" s="331" customFormat="1" ht="15.75" customHeight="1" thickTop="1" thickBot="1">
      <c r="B327" s="349"/>
      <c r="C327" s="350" t="s">
        <v>2259</v>
      </c>
      <c r="D327" s="353" t="s">
        <v>6</v>
      </c>
      <c r="E327" s="352" t="s">
        <v>6</v>
      </c>
      <c r="F327" s="351"/>
      <c r="G327" s="351" t="s">
        <v>1681</v>
      </c>
      <c r="H327" s="351"/>
      <c r="I327" s="351"/>
      <c r="J327" s="351"/>
      <c r="K327" s="351"/>
      <c r="L327" s="351"/>
      <c r="AMH327" s="332"/>
      <c r="AMI327" s="332"/>
      <c r="AMJ327" s="332"/>
      <c r="AMK327" s="332"/>
    </row>
    <row r="328" spans="2:1025" s="331" customFormat="1" ht="15.75" customHeight="1" thickTop="1" thickBot="1">
      <c r="B328" s="349"/>
      <c r="C328" s="350" t="s">
        <v>2260</v>
      </c>
      <c r="D328" s="352" t="s">
        <v>2261</v>
      </c>
      <c r="E328" s="352"/>
      <c r="F328" s="351"/>
      <c r="G328" s="351" t="s">
        <v>2262</v>
      </c>
      <c r="H328" s="351"/>
      <c r="I328" s="351"/>
      <c r="J328" s="351"/>
      <c r="K328" s="351"/>
      <c r="L328" s="351"/>
      <c r="AMH328" s="332"/>
      <c r="AMI328" s="332"/>
      <c r="AMJ328" s="332"/>
      <c r="AMK328" s="332"/>
    </row>
    <row r="329" spans="2:1025" s="331" customFormat="1" ht="15.75" customHeight="1" thickTop="1" thickBot="1">
      <c r="B329" s="349"/>
      <c r="C329" s="350" t="s">
        <v>2263</v>
      </c>
      <c r="D329" s="353" t="s">
        <v>6</v>
      </c>
      <c r="E329" s="352" t="s">
        <v>6</v>
      </c>
      <c r="F329" s="351"/>
      <c r="G329" s="351" t="s">
        <v>1681</v>
      </c>
      <c r="H329" s="351"/>
      <c r="I329" s="351"/>
      <c r="J329" s="351"/>
      <c r="K329" s="351"/>
      <c r="L329" s="351"/>
      <c r="AMH329" s="332"/>
      <c r="AMI329" s="332"/>
      <c r="AMJ329" s="332"/>
      <c r="AMK329" s="332"/>
    </row>
    <row r="330" spans="2:1025" s="331" customFormat="1" ht="15.75" customHeight="1" thickTop="1" thickBot="1">
      <c r="B330" s="358"/>
      <c r="C330" s="350" t="s">
        <v>1723</v>
      </c>
      <c r="D330" s="352" t="s">
        <v>2264</v>
      </c>
      <c r="E330" s="352"/>
      <c r="F330" s="351"/>
      <c r="G330" s="351">
        <v>0</v>
      </c>
      <c r="H330" s="351"/>
      <c r="I330" s="351">
        <v>0</v>
      </c>
      <c r="J330" s="351"/>
      <c r="K330" s="351"/>
      <c r="L330" s="351"/>
      <c r="AMH330" s="332"/>
      <c r="AMI330" s="332"/>
      <c r="AMJ330" s="332"/>
      <c r="AMK330" s="332"/>
    </row>
    <row r="331" spans="2:1025" s="331" customFormat="1" ht="12.2" customHeight="1" thickTop="1" thickBot="1">
      <c r="B331" s="336"/>
      <c r="C331" s="337"/>
      <c r="D331" s="336"/>
      <c r="E331" s="336"/>
      <c r="F331" s="356"/>
      <c r="G331" s="356"/>
      <c r="H331" s="356"/>
      <c r="I331" s="356"/>
      <c r="J331" s="356"/>
      <c r="K331" s="356"/>
      <c r="L331" s="356"/>
      <c r="AMH331" s="332"/>
      <c r="AMI331" s="332"/>
      <c r="AMJ331" s="332"/>
      <c r="AMK331" s="332"/>
    </row>
    <row r="332" spans="2:1025" s="331" customFormat="1" ht="15.75" customHeight="1" thickTop="1" thickBot="1">
      <c r="B332" s="344" t="s">
        <v>2265</v>
      </c>
      <c r="C332" s="345"/>
      <c r="D332" s="346"/>
      <c r="E332" s="346"/>
      <c r="F332" s="347"/>
      <c r="G332" s="347"/>
      <c r="H332" s="347"/>
      <c r="I332" s="347"/>
      <c r="J332" s="347"/>
      <c r="K332" s="347"/>
      <c r="L332" s="348"/>
      <c r="AMH332" s="332"/>
      <c r="AMI332" s="332"/>
      <c r="AMJ332" s="332"/>
      <c r="AMK332" s="332"/>
    </row>
    <row r="333" spans="2:1025" s="331" customFormat="1" ht="15.75" customHeight="1" thickTop="1" thickBot="1">
      <c r="B333" s="354"/>
      <c r="C333" s="350">
        <v>0</v>
      </c>
      <c r="D333" s="352" t="s">
        <v>195</v>
      </c>
      <c r="E333" s="352" t="s">
        <v>2266</v>
      </c>
      <c r="F333" s="351">
        <v>0</v>
      </c>
      <c r="G333" s="351">
        <v>0</v>
      </c>
      <c r="H333" s="351"/>
      <c r="I333" s="351"/>
      <c r="J333" s="351"/>
      <c r="K333" s="351"/>
      <c r="L333" s="351"/>
      <c r="AMH333" s="332"/>
      <c r="AMI333" s="332"/>
      <c r="AMJ333" s="332"/>
      <c r="AMK333" s="332"/>
    </row>
    <row r="334" spans="2:1025" s="331" customFormat="1" ht="15.75" customHeight="1" thickTop="1" thickBot="1">
      <c r="B334" s="344" t="s">
        <v>196</v>
      </c>
      <c r="C334" s="345"/>
      <c r="D334" s="346"/>
      <c r="E334" s="346"/>
      <c r="F334" s="347"/>
      <c r="G334" s="347"/>
      <c r="H334" s="347"/>
      <c r="I334" s="347"/>
      <c r="J334" s="347"/>
      <c r="K334" s="347"/>
      <c r="L334" s="348"/>
      <c r="AMH334" s="332"/>
      <c r="AMI334" s="332"/>
      <c r="AMJ334" s="332"/>
      <c r="AMK334" s="332"/>
    </row>
    <row r="335" spans="2:1025" s="331" customFormat="1" ht="15.75" customHeight="1" thickTop="1" thickBot="1">
      <c r="B335" s="349"/>
      <c r="C335" s="350" t="s">
        <v>2267</v>
      </c>
      <c r="D335" s="352" t="s">
        <v>6</v>
      </c>
      <c r="E335" s="352" t="s">
        <v>6</v>
      </c>
      <c r="F335" s="351" t="s">
        <v>1681</v>
      </c>
      <c r="G335" s="351" t="s">
        <v>1681</v>
      </c>
      <c r="H335" s="351"/>
      <c r="I335" s="351"/>
      <c r="J335" s="351"/>
      <c r="K335" s="351"/>
      <c r="L335" s="351"/>
      <c r="AMH335" s="332"/>
      <c r="AMI335" s="332"/>
      <c r="AMJ335" s="332"/>
      <c r="AMK335" s="332"/>
    </row>
    <row r="336" spans="2:1025" s="331" customFormat="1" ht="15.75" customHeight="1" thickTop="1" thickBot="1">
      <c r="B336" s="349"/>
      <c r="C336" s="350" t="s">
        <v>2268</v>
      </c>
      <c r="D336" s="352" t="s">
        <v>2269</v>
      </c>
      <c r="E336" s="352" t="s">
        <v>2270</v>
      </c>
      <c r="F336" s="351">
        <v>0</v>
      </c>
      <c r="G336" s="351">
        <v>0</v>
      </c>
      <c r="H336" s="351"/>
      <c r="I336" s="351"/>
      <c r="J336" s="351"/>
      <c r="K336" s="351"/>
      <c r="L336" s="351"/>
      <c r="AMH336" s="332"/>
      <c r="AMI336" s="332"/>
      <c r="AMJ336" s="332"/>
      <c r="AMK336" s="332"/>
    </row>
    <row r="337" spans="2:1025" s="331" customFormat="1" ht="15.75" customHeight="1" thickTop="1" thickBot="1">
      <c r="B337" s="349"/>
      <c r="C337" s="350" t="s">
        <v>2272</v>
      </c>
      <c r="D337" s="352" t="s">
        <v>2273</v>
      </c>
      <c r="E337" s="352" t="s">
        <v>2274</v>
      </c>
      <c r="F337" s="351">
        <v>0</v>
      </c>
      <c r="G337" s="351">
        <v>0</v>
      </c>
      <c r="H337" s="351"/>
      <c r="I337" s="351"/>
      <c r="J337" s="351"/>
      <c r="K337" s="351"/>
      <c r="L337" s="351"/>
      <c r="AMH337" s="332"/>
      <c r="AMI337" s="332"/>
      <c r="AMJ337" s="332"/>
      <c r="AMK337" s="332"/>
    </row>
    <row r="338" spans="2:1025" s="331" customFormat="1" ht="15.75" customHeight="1" thickTop="1" thickBot="1">
      <c r="B338" s="349"/>
      <c r="C338" s="350" t="s">
        <v>2275</v>
      </c>
      <c r="D338" s="352" t="s">
        <v>197</v>
      </c>
      <c r="E338" s="352" t="s">
        <v>2276</v>
      </c>
      <c r="F338" s="351">
        <v>0</v>
      </c>
      <c r="G338" s="351">
        <v>0</v>
      </c>
      <c r="H338" s="351"/>
      <c r="I338" s="351"/>
      <c r="J338" s="351"/>
      <c r="K338" s="351"/>
      <c r="L338" s="351"/>
      <c r="AMH338" s="332"/>
      <c r="AMI338" s="332"/>
      <c r="AMJ338" s="332"/>
      <c r="AMK338" s="332"/>
    </row>
    <row r="339" spans="2:1025" s="331" customFormat="1" ht="15.75" customHeight="1" thickTop="1" thickBot="1">
      <c r="B339" s="349"/>
      <c r="C339" s="350" t="s">
        <v>2277</v>
      </c>
      <c r="D339" s="352" t="s">
        <v>198</v>
      </c>
      <c r="E339" s="352" t="s">
        <v>2278</v>
      </c>
      <c r="F339" s="351">
        <v>0</v>
      </c>
      <c r="G339" s="351">
        <v>0</v>
      </c>
      <c r="H339" s="351"/>
      <c r="I339" s="351"/>
      <c r="J339" s="351"/>
      <c r="K339" s="351"/>
      <c r="L339" s="351"/>
      <c r="AMH339" s="332"/>
      <c r="AMI339" s="332"/>
      <c r="AMJ339" s="332"/>
      <c r="AMK339" s="332"/>
    </row>
    <row r="340" spans="2:1025" s="331" customFormat="1" ht="15.75" customHeight="1" thickTop="1" thickBot="1">
      <c r="B340" s="349"/>
      <c r="C340" s="350" t="s">
        <v>1714</v>
      </c>
      <c r="D340" s="352" t="s">
        <v>6</v>
      </c>
      <c r="E340" s="352" t="s">
        <v>6</v>
      </c>
      <c r="F340" s="351" t="s">
        <v>1681</v>
      </c>
      <c r="G340" s="351" t="s">
        <v>1681</v>
      </c>
      <c r="H340" s="351"/>
      <c r="I340" s="351"/>
      <c r="J340" s="351"/>
      <c r="K340" s="351"/>
      <c r="L340" s="351"/>
      <c r="AMH340" s="332"/>
      <c r="AMI340" s="332"/>
      <c r="AMJ340" s="332"/>
      <c r="AMK340" s="332"/>
    </row>
    <row r="341" spans="2:1025" s="331" customFormat="1" ht="15.75" customHeight="1" thickTop="1" thickBot="1">
      <c r="B341" s="349"/>
      <c r="C341" s="350" t="s">
        <v>2279</v>
      </c>
      <c r="D341" s="352" t="s">
        <v>199</v>
      </c>
      <c r="E341" s="352" t="s">
        <v>2280</v>
      </c>
      <c r="F341" s="351">
        <v>1</v>
      </c>
      <c r="G341" s="351">
        <v>1</v>
      </c>
      <c r="H341" s="351"/>
      <c r="I341" s="351"/>
      <c r="J341" s="351"/>
      <c r="K341" s="351"/>
      <c r="L341" s="351"/>
      <c r="AMH341" s="332"/>
      <c r="AMI341" s="332"/>
      <c r="AMJ341" s="332"/>
      <c r="AMK341" s="332"/>
    </row>
    <row r="342" spans="2:1025" s="331" customFormat="1" ht="15.75" customHeight="1" thickTop="1" thickBot="1">
      <c r="B342" s="349"/>
      <c r="C342" s="350" t="s">
        <v>2281</v>
      </c>
      <c r="D342" s="376" t="s">
        <v>2568</v>
      </c>
      <c r="E342" s="379" t="s">
        <v>2569</v>
      </c>
      <c r="F342" s="351">
        <v>1</v>
      </c>
      <c r="G342" s="351">
        <v>1</v>
      </c>
      <c r="H342" s="351"/>
      <c r="I342" s="351"/>
      <c r="J342" s="351"/>
      <c r="K342" s="351"/>
      <c r="L342" s="377" t="s">
        <v>2560</v>
      </c>
      <c r="AMH342" s="332"/>
      <c r="AMI342" s="332"/>
      <c r="AMJ342" s="332"/>
      <c r="AMK342" s="332"/>
    </row>
    <row r="343" spans="2:1025" s="331" customFormat="1" ht="15.75" customHeight="1" thickTop="1" thickBot="1">
      <c r="B343" s="349"/>
      <c r="C343" s="350" t="s">
        <v>2284</v>
      </c>
      <c r="D343" s="352" t="s">
        <v>2285</v>
      </c>
      <c r="E343" s="352" t="s">
        <v>2286</v>
      </c>
      <c r="F343" s="351">
        <v>1</v>
      </c>
      <c r="G343" s="351">
        <v>1</v>
      </c>
      <c r="H343" s="351"/>
      <c r="I343" s="351"/>
      <c r="J343" s="351"/>
      <c r="K343" s="351"/>
      <c r="L343" s="351"/>
      <c r="AMH343" s="332"/>
      <c r="AMI343" s="332"/>
      <c r="AMJ343" s="332"/>
      <c r="AMK343" s="332"/>
    </row>
    <row r="344" spans="2:1025" s="331" customFormat="1" ht="15.75" customHeight="1" thickTop="1" thickBot="1">
      <c r="B344" s="349"/>
      <c r="C344" s="350" t="s">
        <v>2287</v>
      </c>
      <c r="D344" s="352" t="s">
        <v>2288</v>
      </c>
      <c r="E344" s="352" t="s">
        <v>2289</v>
      </c>
      <c r="F344" s="351">
        <v>1</v>
      </c>
      <c r="G344" s="351">
        <v>1</v>
      </c>
      <c r="H344" s="351"/>
      <c r="I344" s="351"/>
      <c r="J344" s="351"/>
      <c r="K344" s="351"/>
      <c r="L344" s="351"/>
      <c r="AMH344" s="332"/>
      <c r="AMI344" s="332"/>
      <c r="AMJ344" s="332"/>
      <c r="AMK344" s="332"/>
    </row>
    <row r="345" spans="2:1025" s="331" customFormat="1" ht="15.75" customHeight="1" thickTop="1" thickBot="1">
      <c r="B345" s="349"/>
      <c r="C345" s="350" t="s">
        <v>2290</v>
      </c>
      <c r="D345" s="352" t="s">
        <v>2291</v>
      </c>
      <c r="E345" s="352" t="s">
        <v>2292</v>
      </c>
      <c r="F345" s="351">
        <v>1</v>
      </c>
      <c r="G345" s="351">
        <v>1</v>
      </c>
      <c r="H345" s="351"/>
      <c r="I345" s="351"/>
      <c r="J345" s="351"/>
      <c r="K345" s="351"/>
      <c r="L345" s="351"/>
      <c r="AMH345" s="332"/>
      <c r="AMI345" s="332"/>
      <c r="AMJ345" s="332"/>
      <c r="AMK345" s="332"/>
    </row>
    <row r="346" spans="2:1025" s="331" customFormat="1" ht="15.75" customHeight="1" thickTop="1" thickBot="1">
      <c r="B346" s="354"/>
      <c r="C346" s="350">
        <v>0</v>
      </c>
      <c r="D346" s="352" t="s">
        <v>200</v>
      </c>
      <c r="E346" s="352" t="s">
        <v>2293</v>
      </c>
      <c r="F346" s="351">
        <v>1</v>
      </c>
      <c r="G346" s="351">
        <v>1</v>
      </c>
      <c r="H346" s="351"/>
      <c r="I346" s="351"/>
      <c r="J346" s="351"/>
      <c r="K346" s="351"/>
      <c r="L346" s="351"/>
      <c r="AMH346" s="332"/>
      <c r="AMI346" s="332"/>
      <c r="AMJ346" s="332"/>
      <c r="AMK346" s="332"/>
    </row>
    <row r="347" spans="2:1025" s="331" customFormat="1" ht="12.2" customHeight="1" thickTop="1">
      <c r="B347" s="359" t="s">
        <v>2294</v>
      </c>
      <c r="C347" s="330"/>
      <c r="D347" s="329"/>
      <c r="E347" s="329"/>
      <c r="F347" s="329"/>
      <c r="G347" s="336"/>
      <c r="H347" s="329"/>
      <c r="I347" s="329"/>
      <c r="J347" s="329"/>
      <c r="K347" s="329"/>
      <c r="L347" s="329"/>
      <c r="AMH347" s="332"/>
      <c r="AMI347" s="332"/>
      <c r="AMJ347" s="332"/>
      <c r="AMK347" s="332"/>
    </row>
    <row r="348" spans="2:1025" s="331" customFormat="1" ht="12" customHeight="1">
      <c r="B348" s="329"/>
      <c r="C348" s="330"/>
      <c r="D348" s="329"/>
      <c r="E348" s="329"/>
      <c r="F348" s="329"/>
      <c r="G348" s="336"/>
      <c r="H348" s="329"/>
      <c r="I348" s="329"/>
      <c r="J348" s="329"/>
      <c r="K348" s="329"/>
      <c r="L348" s="329"/>
      <c r="AMH348" s="332"/>
      <c r="AMI348" s="332"/>
      <c r="AMJ348" s="332"/>
      <c r="AMK348" s="332"/>
    </row>
    <row r="349" spans="2:1025" s="331" customFormat="1" ht="12.2" customHeight="1">
      <c r="B349" s="329"/>
      <c r="C349" s="330"/>
      <c r="D349" s="329"/>
      <c r="E349" s="329"/>
      <c r="F349" s="329"/>
      <c r="G349" s="329"/>
      <c r="H349" s="329"/>
      <c r="I349" s="329"/>
      <c r="J349" s="329"/>
      <c r="K349" s="329"/>
      <c r="L349" s="329"/>
      <c r="AMH349" s="332"/>
      <c r="AMI349" s="332"/>
      <c r="AMJ349" s="332"/>
      <c r="AMK349" s="332"/>
    </row>
    <row r="350" spans="2:1025" s="331" customFormat="1" ht="12" customHeight="1">
      <c r="B350" s="329"/>
      <c r="C350" s="330"/>
      <c r="D350" s="329"/>
      <c r="E350" s="329"/>
      <c r="F350" s="329"/>
      <c r="G350" s="329"/>
      <c r="H350" s="329"/>
      <c r="I350" s="329"/>
      <c r="J350" s="329"/>
      <c r="K350" s="329"/>
      <c r="L350" s="329"/>
      <c r="AMH350" s="332"/>
      <c r="AMI350" s="332"/>
      <c r="AMJ350" s="332"/>
      <c r="AMK350" s="332"/>
    </row>
    <row r="351" spans="2:1025" s="331" customFormat="1" ht="12" customHeight="1">
      <c r="B351" s="329"/>
      <c r="C351" s="330"/>
      <c r="D351" s="329"/>
      <c r="E351" s="329"/>
      <c r="F351" s="329"/>
      <c r="G351" s="329"/>
      <c r="H351" s="329"/>
      <c r="I351" s="329"/>
      <c r="J351" s="329"/>
      <c r="K351" s="329"/>
      <c r="L351" s="329"/>
      <c r="AMH351" s="332"/>
      <c r="AMI351" s="332"/>
      <c r="AMJ351" s="332"/>
      <c r="AMK351" s="332"/>
    </row>
  </sheetData>
  <phoneticPr fontId="6"/>
  <dataValidations count="2">
    <dataValidation type="list" allowBlank="1" showInputMessage="1" showErrorMessage="1" sqref="G248:G267 G269:G285">
      <formula1>$G$243:$G$246</formula1>
    </dataValidation>
    <dataValidation type="list" allowBlank="1" showInputMessage="1" showErrorMessage="1" sqref="F10:K25 F321:K321 F209:K224 H269:K285 G287 F161:K175 F44:K59 H293:K293 F27:K42 I325:I329 F127:K142 F61:K76 F340:G340 G301 H295:K295 F248:F267 H248:K267 G314 H333:K333 F319:K319 H320:K320 H322:K323 F325:F330 G329 G325:G327 F177:K191 F110:K125 F94:K108 F78:K92 G308 F335:G335 F144:K159 F297:F304 H297:K304 G297 F269:F285 H335:K346 F295 F293 F193:K207 G306 F287:F291 H287:K291 H325:H330 J325:K330 H306:K317 F306:F317 F226:K241">
      <formula1>$G$3:$G$6</formula1>
    </dataValidation>
  </dataValidations>
  <pageMargins left="0" right="0" top="0.62986111111111098" bottom="0.43333333333333302" header="0.59027777777777801" footer="0.39374999999999999"/>
  <pageSetup paperSize="9" firstPageNumber="0" fitToHeight="99" orientation="portrait" verticalDpi="0" r:id="rId1"/>
  <headerFooter>
    <oddHeader>&amp;C&amp;A</oddHeader>
    <oddFooter>&amp;Cページ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K108"/>
  <sheetViews>
    <sheetView showGridLines="0" topLeftCell="D1" zoomScaleNormal="100" workbookViewId="0">
      <pane ySplit="6" topLeftCell="A7" activePane="bottomLeft" state="frozen"/>
      <selection activeCell="N328" sqref="N328"/>
      <selection pane="bottomLeft" activeCell="F6" sqref="F6"/>
    </sheetView>
  </sheetViews>
  <sheetFormatPr defaultColWidth="9.140625" defaultRowHeight="12.75"/>
  <cols>
    <col min="1" max="1" width="2.7109375" style="240" customWidth="1"/>
    <col min="2" max="2" width="9.140625" style="240"/>
    <col min="3" max="3" width="6.140625" style="159" customWidth="1"/>
    <col min="4" max="4" width="12.7109375" style="240" bestFit="1" customWidth="1"/>
    <col min="5" max="5" width="81.140625" style="240" customWidth="1"/>
    <col min="6" max="11" width="18.140625" style="240" customWidth="1"/>
    <col min="12" max="12" width="58.7109375" style="240" customWidth="1"/>
    <col min="13" max="1025" width="9.140625" style="240"/>
    <col min="1026" max="16384" width="9.140625" style="123"/>
  </cols>
  <sheetData>
    <row r="1" spans="2:13">
      <c r="E1" s="158" t="s">
        <v>2295</v>
      </c>
      <c r="F1" s="125" t="s">
        <v>207</v>
      </c>
      <c r="G1" s="125"/>
      <c r="H1" s="124" t="s">
        <v>2296</v>
      </c>
      <c r="I1" s="124"/>
      <c r="J1" s="124"/>
    </row>
    <row r="2" spans="2:13">
      <c r="F2" s="125" t="s">
        <v>20</v>
      </c>
      <c r="G2" s="125"/>
      <c r="H2" s="124" t="s">
        <v>2297</v>
      </c>
      <c r="I2" s="124"/>
      <c r="J2" s="124"/>
    </row>
    <row r="3" spans="2:13">
      <c r="F3" s="125"/>
      <c r="G3" s="125"/>
    </row>
    <row r="4" spans="2:13" ht="13.5" thickBot="1">
      <c r="B4" s="123" t="s">
        <v>2298</v>
      </c>
      <c r="F4" s="125"/>
      <c r="G4" s="125"/>
    </row>
    <row r="5" spans="2:13" ht="14.1" customHeight="1" thickTop="1" thickBot="1">
      <c r="B5" s="123"/>
      <c r="C5" s="123"/>
      <c r="D5" s="123"/>
      <c r="E5" s="123"/>
      <c r="F5" s="205" t="s">
        <v>2299</v>
      </c>
      <c r="G5" s="206"/>
      <c r="H5" s="206"/>
      <c r="I5" s="206"/>
      <c r="J5" s="206"/>
      <c r="K5" s="207"/>
      <c r="L5" s="123"/>
    </row>
    <row r="6" spans="2:13" ht="48.75" customHeight="1" thickTop="1" thickBot="1">
      <c r="B6" s="161" t="s">
        <v>191</v>
      </c>
      <c r="C6" s="162" t="s">
        <v>192</v>
      </c>
      <c r="D6" s="161"/>
      <c r="E6" s="161" t="s">
        <v>193</v>
      </c>
      <c r="F6" s="395" t="s">
        <v>2990</v>
      </c>
      <c r="G6" s="204" t="s">
        <v>2300</v>
      </c>
      <c r="H6" s="203" t="s">
        <v>1674</v>
      </c>
      <c r="I6" s="204" t="s">
        <v>2300</v>
      </c>
      <c r="J6" s="203" t="s">
        <v>2301</v>
      </c>
      <c r="K6" s="204" t="s">
        <v>2300</v>
      </c>
      <c r="L6" s="160" t="s">
        <v>186</v>
      </c>
    </row>
    <row r="7" spans="2:13" s="240" customFormat="1" ht="13.5" customHeight="1" thickTop="1" thickBot="1">
      <c r="B7" s="135" t="s">
        <v>2302</v>
      </c>
      <c r="C7" s="163"/>
      <c r="D7" s="164"/>
      <c r="E7" s="164"/>
      <c r="F7" s="163"/>
      <c r="G7" s="163"/>
      <c r="H7" s="163"/>
      <c r="I7" s="163"/>
      <c r="J7" s="163"/>
      <c r="K7" s="163"/>
      <c r="L7" s="165"/>
    </row>
    <row r="8" spans="2:13" s="240" customFormat="1" ht="13.5" customHeight="1" thickTop="1" thickBot="1">
      <c r="B8" s="156"/>
      <c r="C8" s="187" t="s">
        <v>2303</v>
      </c>
      <c r="D8" s="166" t="s">
        <v>931</v>
      </c>
      <c r="E8" s="166" t="s">
        <v>931</v>
      </c>
      <c r="F8" s="202" t="s">
        <v>2304</v>
      </c>
      <c r="G8" s="166" t="s">
        <v>931</v>
      </c>
      <c r="H8" s="167"/>
      <c r="I8" s="166"/>
      <c r="J8" s="167"/>
      <c r="K8" s="166"/>
      <c r="L8" s="167"/>
    </row>
    <row r="9" spans="2:13" s="240" customFormat="1" ht="13.5" customHeight="1" thickTop="1" thickBot="1">
      <c r="B9" s="156"/>
      <c r="C9" s="187" t="s">
        <v>2305</v>
      </c>
      <c r="D9" s="166" t="s">
        <v>2306</v>
      </c>
      <c r="E9" s="166" t="s">
        <v>2307</v>
      </c>
      <c r="F9" s="202" t="s">
        <v>2308</v>
      </c>
      <c r="G9" s="166" t="s">
        <v>2309</v>
      </c>
      <c r="H9" s="167"/>
      <c r="I9" s="166"/>
      <c r="J9" s="167"/>
      <c r="K9" s="166"/>
      <c r="L9" s="167"/>
    </row>
    <row r="10" spans="2:13" s="240" customFormat="1" ht="13.5" customHeight="1" thickTop="1" thickBot="1">
      <c r="B10" s="156"/>
      <c r="C10" s="187" t="s">
        <v>2310</v>
      </c>
      <c r="D10" s="166" t="s">
        <v>2311</v>
      </c>
      <c r="E10" s="166" t="s">
        <v>2312</v>
      </c>
      <c r="F10" s="202" t="s">
        <v>2313</v>
      </c>
      <c r="G10" s="166" t="s">
        <v>2314</v>
      </c>
      <c r="H10" s="167"/>
      <c r="I10" s="199"/>
      <c r="J10" s="167"/>
      <c r="K10" s="199"/>
      <c r="L10" s="167"/>
    </row>
    <row r="11" spans="2:13" s="240" customFormat="1" ht="13.5" customHeight="1" thickTop="1" thickBot="1">
      <c r="B11" s="156"/>
      <c r="C11" s="187" t="s">
        <v>2315</v>
      </c>
      <c r="D11" s="166" t="s">
        <v>2316</v>
      </c>
      <c r="E11" s="166" t="s">
        <v>2317</v>
      </c>
      <c r="F11" s="202" t="s">
        <v>2318</v>
      </c>
      <c r="G11" s="199" t="s">
        <v>2319</v>
      </c>
      <c r="H11" s="167"/>
      <c r="I11" s="200"/>
      <c r="J11" s="167"/>
      <c r="K11" s="200"/>
      <c r="L11" s="167"/>
    </row>
    <row r="12" spans="2:13" s="240" customFormat="1" ht="13.5" customHeight="1" thickTop="1" thickBot="1">
      <c r="B12" s="156"/>
      <c r="C12" s="187" t="s">
        <v>2320</v>
      </c>
      <c r="D12" s="166" t="s">
        <v>2321</v>
      </c>
      <c r="E12" s="168" t="s">
        <v>2322</v>
      </c>
      <c r="F12" s="202" t="s">
        <v>2557</v>
      </c>
      <c r="G12" s="166" t="s">
        <v>2385</v>
      </c>
      <c r="H12" s="167"/>
      <c r="I12" s="166"/>
      <c r="J12" s="167"/>
      <c r="K12" s="166"/>
      <c r="L12" s="167"/>
    </row>
    <row r="13" spans="2:13" s="240" customFormat="1" ht="14.25" thickTop="1" thickBot="1">
      <c r="B13" s="156"/>
      <c r="C13" s="187" t="s">
        <v>2325</v>
      </c>
      <c r="D13" s="166" t="s">
        <v>2326</v>
      </c>
      <c r="E13" s="168" t="s">
        <v>2327</v>
      </c>
      <c r="F13" s="202" t="s">
        <v>2557</v>
      </c>
      <c r="G13" s="166" t="s">
        <v>2385</v>
      </c>
      <c r="H13" s="167"/>
      <c r="I13" s="166"/>
      <c r="J13" s="167"/>
      <c r="K13" s="166"/>
      <c r="L13" s="167"/>
    </row>
    <row r="14" spans="2:13" s="240" customFormat="1" ht="14.25" thickTop="1" thickBot="1">
      <c r="B14" s="156"/>
      <c r="C14" s="187" t="s">
        <v>2328</v>
      </c>
      <c r="D14" s="166" t="s">
        <v>2329</v>
      </c>
      <c r="E14" s="168" t="s">
        <v>2330</v>
      </c>
      <c r="F14" s="202" t="s">
        <v>2323</v>
      </c>
      <c r="G14" s="166" t="s">
        <v>2324</v>
      </c>
      <c r="H14" s="167"/>
      <c r="I14" s="166"/>
      <c r="J14" s="167"/>
      <c r="K14" s="166"/>
      <c r="L14" s="194"/>
    </row>
    <row r="15" spans="2:13" s="240" customFormat="1" ht="14.25" thickTop="1" thickBot="1">
      <c r="B15" s="169"/>
      <c r="C15" s="187" t="s">
        <v>2331</v>
      </c>
      <c r="D15" s="166" t="s">
        <v>2332</v>
      </c>
      <c r="E15" s="168" t="s">
        <v>2333</v>
      </c>
      <c r="F15" s="202" t="s">
        <v>2308</v>
      </c>
      <c r="G15" s="201" t="s">
        <v>2334</v>
      </c>
      <c r="H15" s="167"/>
      <c r="I15" s="201"/>
      <c r="J15" s="167"/>
      <c r="K15" s="201"/>
      <c r="L15" s="194"/>
      <c r="M15" s="197"/>
    </row>
    <row r="16" spans="2:13" s="240" customFormat="1" ht="13.5" customHeight="1" thickTop="1" thickBot="1">
      <c r="B16" s="186"/>
      <c r="C16" s="183"/>
      <c r="D16" s="184"/>
      <c r="E16" s="184"/>
      <c r="F16" s="185"/>
      <c r="G16" s="185"/>
      <c r="H16" s="185"/>
      <c r="I16" s="185"/>
      <c r="J16" s="185"/>
      <c r="K16" s="185"/>
      <c r="L16" s="185"/>
    </row>
    <row r="17" spans="2:12" s="240" customFormat="1" ht="13.5" customHeight="1" thickTop="1" thickBot="1">
      <c r="B17" s="135" t="s">
        <v>2335</v>
      </c>
      <c r="C17" s="163"/>
      <c r="D17" s="164"/>
      <c r="E17" s="164"/>
      <c r="F17" s="163"/>
      <c r="G17" s="163"/>
      <c r="H17" s="163"/>
      <c r="I17" s="163"/>
      <c r="J17" s="163"/>
      <c r="K17" s="163"/>
      <c r="L17" s="165"/>
    </row>
    <row r="18" spans="2:12" s="240" customFormat="1" ht="13.5" customHeight="1" thickTop="1" thickBot="1">
      <c r="B18" s="156"/>
      <c r="C18" s="187" t="s">
        <v>2303</v>
      </c>
      <c r="D18" s="166" t="s">
        <v>20</v>
      </c>
      <c r="E18" s="166" t="s">
        <v>20</v>
      </c>
      <c r="F18" s="202" t="s">
        <v>2304</v>
      </c>
      <c r="G18" s="166" t="s">
        <v>931</v>
      </c>
      <c r="H18" s="167"/>
      <c r="I18" s="166"/>
      <c r="J18" s="167"/>
      <c r="K18" s="166"/>
      <c r="L18" s="167"/>
    </row>
    <row r="19" spans="2:12" s="240" customFormat="1" ht="13.5" customHeight="1" thickTop="1" thickBot="1">
      <c r="B19" s="156"/>
      <c r="C19" s="187" t="s">
        <v>2305</v>
      </c>
      <c r="D19" s="166" t="s">
        <v>2336</v>
      </c>
      <c r="E19" s="166" t="s">
        <v>2337</v>
      </c>
      <c r="F19" s="202" t="s">
        <v>2308</v>
      </c>
      <c r="G19" s="166" t="s">
        <v>2338</v>
      </c>
      <c r="H19" s="167"/>
      <c r="I19" s="166"/>
      <c r="J19" s="167"/>
      <c r="K19" s="166"/>
      <c r="L19" s="167"/>
    </row>
    <row r="20" spans="2:12" s="240" customFormat="1" ht="13.5" customHeight="1" thickTop="1" thickBot="1">
      <c r="B20" s="156"/>
      <c r="C20" s="187" t="s">
        <v>2339</v>
      </c>
      <c r="D20" s="166" t="s">
        <v>2340</v>
      </c>
      <c r="E20" s="168" t="s">
        <v>2341</v>
      </c>
      <c r="F20" s="202" t="s">
        <v>2318</v>
      </c>
      <c r="G20" s="166" t="s">
        <v>2342</v>
      </c>
      <c r="H20" s="167"/>
      <c r="I20" s="166"/>
      <c r="J20" s="167"/>
      <c r="K20" s="166"/>
      <c r="L20" s="194"/>
    </row>
    <row r="21" spans="2:12" s="240" customFormat="1" ht="13.5" customHeight="1" thickTop="1" thickBot="1">
      <c r="B21" s="156"/>
      <c r="C21" s="187" t="s">
        <v>2343</v>
      </c>
      <c r="D21" s="166" t="s">
        <v>2344</v>
      </c>
      <c r="E21" s="168" t="s">
        <v>2345</v>
      </c>
      <c r="F21" s="202" t="s">
        <v>2318</v>
      </c>
      <c r="G21" s="166" t="s">
        <v>2346</v>
      </c>
      <c r="H21" s="167"/>
      <c r="I21" s="166"/>
      <c r="J21" s="167"/>
      <c r="K21" s="166"/>
      <c r="L21" s="194"/>
    </row>
    <row r="22" spans="2:12" s="240" customFormat="1" ht="13.5" customHeight="1" thickTop="1" thickBot="1">
      <c r="B22" s="156"/>
      <c r="C22" s="187" t="s">
        <v>2347</v>
      </c>
      <c r="D22" s="166" t="s">
        <v>2348</v>
      </c>
      <c r="E22" s="166" t="s">
        <v>2349</v>
      </c>
      <c r="F22" s="202" t="s">
        <v>2318</v>
      </c>
      <c r="G22" s="166" t="s">
        <v>2350</v>
      </c>
      <c r="H22" s="167"/>
      <c r="I22" s="166"/>
      <c r="J22" s="167"/>
      <c r="K22" s="166"/>
      <c r="L22" s="167"/>
    </row>
    <row r="23" spans="2:12" s="240" customFormat="1" ht="13.5" customHeight="1" thickTop="1" thickBot="1">
      <c r="B23" s="156"/>
      <c r="C23" s="187" t="s">
        <v>2351</v>
      </c>
      <c r="D23" s="166" t="s">
        <v>2352</v>
      </c>
      <c r="E23" s="166" t="s">
        <v>2353</v>
      </c>
      <c r="F23" s="202" t="s">
        <v>2318</v>
      </c>
      <c r="G23" s="166" t="s">
        <v>2354</v>
      </c>
      <c r="H23" s="167"/>
      <c r="I23" s="166"/>
      <c r="J23" s="167"/>
      <c r="K23" s="166"/>
      <c r="L23" s="167"/>
    </row>
    <row r="24" spans="2:12" s="240" customFormat="1" ht="13.5" customHeight="1" thickTop="1" thickBot="1">
      <c r="B24" s="156"/>
      <c r="C24" s="187" t="s">
        <v>2355</v>
      </c>
      <c r="D24" s="166" t="s">
        <v>2356</v>
      </c>
      <c r="E24" s="168" t="s">
        <v>2357</v>
      </c>
      <c r="F24" s="202" t="s">
        <v>2318</v>
      </c>
      <c r="G24" s="166" t="s">
        <v>2358</v>
      </c>
      <c r="H24" s="167"/>
      <c r="I24" s="166"/>
      <c r="J24" s="167"/>
      <c r="K24" s="166"/>
      <c r="L24" s="167"/>
    </row>
    <row r="25" spans="2:12" s="240" customFormat="1" ht="14.25" thickTop="1" thickBot="1">
      <c r="B25" s="156"/>
      <c r="C25" s="187" t="s">
        <v>2244</v>
      </c>
      <c r="D25" s="166" t="s">
        <v>2359</v>
      </c>
      <c r="E25" s="168" t="s">
        <v>2360</v>
      </c>
      <c r="F25" s="202" t="s">
        <v>2361</v>
      </c>
      <c r="G25" s="166" t="s">
        <v>2314</v>
      </c>
      <c r="H25" s="167"/>
      <c r="I25" s="166"/>
      <c r="J25" s="167"/>
      <c r="K25" s="166"/>
      <c r="L25" s="167"/>
    </row>
    <row r="26" spans="2:12" s="240" customFormat="1" ht="14.25" thickTop="1" thickBot="1">
      <c r="B26" s="169"/>
      <c r="C26" s="187" t="s">
        <v>2247</v>
      </c>
      <c r="D26" s="166" t="s">
        <v>2362</v>
      </c>
      <c r="E26" s="168" t="s">
        <v>2363</v>
      </c>
      <c r="F26" s="202" t="s">
        <v>2318</v>
      </c>
      <c r="G26" s="166" t="s">
        <v>2364</v>
      </c>
      <c r="H26" s="167"/>
      <c r="I26" s="166"/>
      <c r="J26" s="167"/>
      <c r="K26" s="166"/>
      <c r="L26" s="167"/>
    </row>
    <row r="27" spans="2:12" s="240" customFormat="1" ht="13.5" customHeight="1" thickTop="1" thickBot="1">
      <c r="B27" s="186"/>
      <c r="C27" s="183"/>
      <c r="D27" s="184"/>
      <c r="E27" s="184"/>
      <c r="F27" s="185"/>
      <c r="G27" s="185"/>
      <c r="H27" s="185"/>
      <c r="I27" s="185"/>
      <c r="J27" s="185"/>
      <c r="K27" s="185"/>
      <c r="L27" s="185"/>
    </row>
    <row r="28" spans="2:12" s="240" customFormat="1" ht="13.5" customHeight="1" thickTop="1" thickBot="1">
      <c r="B28" s="135" t="s">
        <v>2365</v>
      </c>
      <c r="C28" s="163"/>
      <c r="D28" s="164"/>
      <c r="E28" s="164"/>
      <c r="F28" s="163"/>
      <c r="G28" s="163"/>
      <c r="H28" s="163"/>
      <c r="I28" s="163"/>
      <c r="J28" s="163"/>
      <c r="K28" s="163"/>
      <c r="L28" s="165"/>
    </row>
    <row r="29" spans="2:12" s="240" customFormat="1" ht="13.5" customHeight="1" thickTop="1" thickBot="1">
      <c r="B29" s="156"/>
      <c r="C29" s="187" t="s">
        <v>2214</v>
      </c>
      <c r="D29" s="166" t="s">
        <v>20</v>
      </c>
      <c r="E29" s="166" t="s">
        <v>20</v>
      </c>
      <c r="F29" s="202" t="s">
        <v>2366</v>
      </c>
      <c r="G29" s="166" t="s">
        <v>931</v>
      </c>
      <c r="H29" s="167"/>
      <c r="I29" s="166"/>
      <c r="J29" s="167"/>
      <c r="K29" s="166"/>
      <c r="L29" s="167"/>
    </row>
    <row r="30" spans="2:12" s="240" customFormat="1" ht="13.5" customHeight="1" thickTop="1" thickBot="1">
      <c r="B30" s="156"/>
      <c r="C30" s="187" t="s">
        <v>2367</v>
      </c>
      <c r="D30" s="166" t="s">
        <v>2368</v>
      </c>
      <c r="E30" s="166" t="s">
        <v>2369</v>
      </c>
      <c r="F30" s="202" t="s">
        <v>2271</v>
      </c>
      <c r="G30" s="166" t="s">
        <v>2370</v>
      </c>
      <c r="H30" s="167"/>
      <c r="I30" s="166"/>
      <c r="J30" s="167"/>
      <c r="K30" s="166"/>
      <c r="L30" s="167"/>
    </row>
    <row r="31" spans="2:12" s="240" customFormat="1" ht="13.5" customHeight="1" thickTop="1" thickBot="1">
      <c r="B31" s="156"/>
      <c r="C31" s="187" t="s">
        <v>2371</v>
      </c>
      <c r="D31" s="166" t="s">
        <v>2372</v>
      </c>
      <c r="E31" s="168" t="s">
        <v>2373</v>
      </c>
      <c r="F31" s="202" t="s">
        <v>2318</v>
      </c>
      <c r="G31" s="166" t="s">
        <v>2364</v>
      </c>
      <c r="H31" s="167"/>
      <c r="I31" s="166"/>
      <c r="J31" s="167"/>
      <c r="K31" s="166"/>
      <c r="L31" s="167"/>
    </row>
    <row r="32" spans="2:12" s="240" customFormat="1" ht="13.5" customHeight="1" thickTop="1" thickBot="1">
      <c r="B32" s="156"/>
      <c r="C32" s="187" t="s">
        <v>2374</v>
      </c>
      <c r="D32" s="166" t="s">
        <v>2375</v>
      </c>
      <c r="E32" s="168" t="s">
        <v>2373</v>
      </c>
      <c r="F32" s="202" t="s">
        <v>2271</v>
      </c>
      <c r="G32" s="166" t="s">
        <v>2314</v>
      </c>
      <c r="H32" s="167"/>
      <c r="I32" s="166"/>
      <c r="J32" s="167"/>
      <c r="K32" s="166"/>
      <c r="L32" s="167"/>
    </row>
    <row r="33" spans="2:12" s="240" customFormat="1" ht="13.5" customHeight="1" thickTop="1" thickBot="1">
      <c r="B33" s="156"/>
      <c r="C33" s="187" t="s">
        <v>2376</v>
      </c>
      <c r="D33" s="166" t="s">
        <v>2377</v>
      </c>
      <c r="E33" s="168" t="s">
        <v>2378</v>
      </c>
      <c r="F33" s="202" t="s">
        <v>2318</v>
      </c>
      <c r="G33" s="166" t="s">
        <v>2364</v>
      </c>
      <c r="H33" s="167"/>
      <c r="I33" s="166"/>
      <c r="J33" s="167"/>
      <c r="K33" s="166"/>
      <c r="L33" s="167"/>
    </row>
    <row r="34" spans="2:12" s="240" customFormat="1" ht="13.5" customHeight="1" thickTop="1" thickBot="1">
      <c r="B34" s="156"/>
      <c r="C34" s="187" t="s">
        <v>2379</v>
      </c>
      <c r="D34" s="166" t="s">
        <v>2380</v>
      </c>
      <c r="E34" s="166" t="s">
        <v>2381</v>
      </c>
      <c r="F34" s="202" t="s">
        <v>2318</v>
      </c>
      <c r="G34" s="166" t="s">
        <v>2364</v>
      </c>
      <c r="H34" s="167"/>
      <c r="I34" s="166"/>
      <c r="J34" s="167"/>
      <c r="K34" s="166"/>
      <c r="L34" s="167"/>
    </row>
    <row r="35" spans="2:12" s="240" customFormat="1" ht="13.5" customHeight="1" thickTop="1" thickBot="1">
      <c r="B35" s="156"/>
      <c r="C35" s="187" t="s">
        <v>2325</v>
      </c>
      <c r="D35" s="166" t="s">
        <v>2382</v>
      </c>
      <c r="E35" s="166" t="s">
        <v>2383</v>
      </c>
      <c r="F35" s="202" t="s">
        <v>2384</v>
      </c>
      <c r="G35" s="166" t="s">
        <v>2385</v>
      </c>
      <c r="H35" s="167"/>
      <c r="I35" s="166"/>
      <c r="J35" s="167"/>
      <c r="K35" s="166"/>
      <c r="L35" s="167"/>
    </row>
    <row r="36" spans="2:12" s="240" customFormat="1" ht="14.25" thickTop="1" thickBot="1">
      <c r="B36" s="156"/>
      <c r="C36" s="187" t="s">
        <v>2244</v>
      </c>
      <c r="D36" s="166" t="s">
        <v>2386</v>
      </c>
      <c r="E36" s="168" t="s">
        <v>2387</v>
      </c>
      <c r="F36" s="202" t="s">
        <v>2318</v>
      </c>
      <c r="G36" s="166" t="s">
        <v>2385</v>
      </c>
      <c r="H36" s="167"/>
      <c r="I36" s="166"/>
      <c r="J36" s="167"/>
      <c r="K36" s="166"/>
      <c r="L36" s="167"/>
    </row>
    <row r="37" spans="2:12" s="240" customFormat="1" ht="14.25" thickTop="1" thickBot="1">
      <c r="B37" s="169"/>
      <c r="C37" s="187" t="s">
        <v>2247</v>
      </c>
      <c r="D37" s="166" t="s">
        <v>2388</v>
      </c>
      <c r="E37" s="168" t="s">
        <v>2389</v>
      </c>
      <c r="F37" s="202" t="s">
        <v>2318</v>
      </c>
      <c r="G37" s="166" t="s">
        <v>2385</v>
      </c>
      <c r="H37" s="167"/>
      <c r="I37" s="166"/>
      <c r="J37" s="167"/>
      <c r="K37" s="166"/>
      <c r="L37" s="167"/>
    </row>
    <row r="38" spans="2:12" s="240" customFormat="1" ht="13.5" customHeight="1" thickTop="1" thickBot="1">
      <c r="B38" s="123"/>
      <c r="C38" s="123"/>
      <c r="D38" s="123"/>
      <c r="E38" s="123"/>
      <c r="F38" s="170"/>
      <c r="G38" s="170"/>
      <c r="H38" s="170"/>
      <c r="I38" s="170"/>
      <c r="J38" s="170"/>
      <c r="K38" s="170"/>
      <c r="L38" s="170"/>
    </row>
    <row r="39" spans="2:12" s="240" customFormat="1" ht="13.5" customHeight="1" thickTop="1" thickBot="1">
      <c r="B39" s="135" t="s">
        <v>2390</v>
      </c>
      <c r="C39" s="163"/>
      <c r="D39" s="164"/>
      <c r="E39" s="164"/>
      <c r="F39" s="163"/>
      <c r="G39" s="163"/>
      <c r="H39" s="163"/>
      <c r="I39" s="163"/>
      <c r="J39" s="163"/>
      <c r="K39" s="163"/>
      <c r="L39" s="165"/>
    </row>
    <row r="40" spans="2:12" s="240" customFormat="1" ht="13.5" customHeight="1" thickTop="1" thickBot="1">
      <c r="B40" s="156"/>
      <c r="C40" s="187" t="s">
        <v>1826</v>
      </c>
      <c r="D40" s="166" t="s">
        <v>2391</v>
      </c>
      <c r="E40" s="168" t="s">
        <v>2392</v>
      </c>
      <c r="F40" s="202" t="s">
        <v>2318</v>
      </c>
      <c r="G40" s="166" t="s">
        <v>2364</v>
      </c>
      <c r="H40" s="167"/>
      <c r="I40" s="166"/>
      <c r="J40" s="167"/>
      <c r="K40" s="166"/>
      <c r="L40" s="167"/>
    </row>
    <row r="41" spans="2:12" s="240" customFormat="1" ht="13.5" customHeight="1" thickTop="1" thickBot="1">
      <c r="B41" s="156"/>
      <c r="C41" s="187" t="s">
        <v>2393</v>
      </c>
      <c r="D41" s="166" t="s">
        <v>2394</v>
      </c>
      <c r="E41" s="166" t="s">
        <v>2395</v>
      </c>
      <c r="F41" s="202" t="s">
        <v>2396</v>
      </c>
      <c r="G41" s="166" t="s">
        <v>2364</v>
      </c>
      <c r="H41" s="167"/>
      <c r="I41" s="166"/>
      <c r="J41" s="167"/>
      <c r="K41" s="166"/>
      <c r="L41" s="167"/>
    </row>
    <row r="42" spans="2:12" s="240" customFormat="1" ht="14.25" thickTop="1" thickBot="1">
      <c r="B42" s="156"/>
      <c r="C42" s="187" t="s">
        <v>2397</v>
      </c>
      <c r="D42" s="166" t="s">
        <v>2398</v>
      </c>
      <c r="E42" s="168" t="s">
        <v>2399</v>
      </c>
      <c r="F42" s="202" t="s">
        <v>2396</v>
      </c>
      <c r="G42" s="166" t="s">
        <v>2364</v>
      </c>
      <c r="H42" s="167"/>
      <c r="I42" s="166"/>
      <c r="J42" s="167"/>
      <c r="K42" s="166"/>
      <c r="L42" s="167"/>
    </row>
    <row r="43" spans="2:12" s="240" customFormat="1" ht="14.25" thickTop="1" thickBot="1">
      <c r="B43" s="156"/>
      <c r="C43" s="187" t="s">
        <v>2400</v>
      </c>
      <c r="D43" s="166" t="s">
        <v>2401</v>
      </c>
      <c r="E43" s="168" t="s">
        <v>2402</v>
      </c>
      <c r="F43" s="202" t="s">
        <v>2396</v>
      </c>
      <c r="G43" s="166" t="s">
        <v>2364</v>
      </c>
      <c r="H43" s="167"/>
      <c r="I43" s="166"/>
      <c r="J43" s="167"/>
      <c r="K43" s="166"/>
      <c r="L43" s="167"/>
    </row>
    <row r="44" spans="2:12" s="240" customFormat="1" ht="14.25" thickTop="1" thickBot="1">
      <c r="B44" s="169"/>
      <c r="C44" s="187" t="s">
        <v>2403</v>
      </c>
      <c r="D44" s="166" t="s">
        <v>2404</v>
      </c>
      <c r="E44" s="168" t="s">
        <v>2405</v>
      </c>
      <c r="F44" s="202" t="s">
        <v>2396</v>
      </c>
      <c r="G44" s="166" t="s">
        <v>2364</v>
      </c>
      <c r="H44" s="167"/>
      <c r="I44" s="166"/>
      <c r="J44" s="167"/>
      <c r="K44" s="166"/>
      <c r="L44" s="167"/>
    </row>
    <row r="45" spans="2:12" s="240" customFormat="1" ht="13.5" customHeight="1" thickTop="1" thickBot="1">
      <c r="B45" s="123"/>
      <c r="C45" s="123"/>
      <c r="D45" s="123"/>
      <c r="E45" s="123"/>
      <c r="F45" s="170"/>
      <c r="G45" s="170"/>
      <c r="H45" s="170"/>
      <c r="I45" s="170"/>
      <c r="J45" s="170"/>
      <c r="K45" s="170"/>
      <c r="L45" s="170"/>
    </row>
    <row r="46" spans="2:12" s="240" customFormat="1" ht="13.5" customHeight="1" thickTop="1" thickBot="1">
      <c r="B46" s="135" t="s">
        <v>2406</v>
      </c>
      <c r="C46" s="163"/>
      <c r="D46" s="164"/>
      <c r="E46" s="164"/>
      <c r="F46" s="163"/>
      <c r="G46" s="163"/>
      <c r="H46" s="163"/>
      <c r="I46" s="163"/>
      <c r="J46" s="163"/>
      <c r="K46" s="163"/>
      <c r="L46" s="165"/>
    </row>
    <row r="47" spans="2:12" s="240" customFormat="1" ht="13.5" customHeight="1" thickTop="1" thickBot="1">
      <c r="B47" s="156"/>
      <c r="C47" s="187" t="s">
        <v>2255</v>
      </c>
      <c r="D47" s="166" t="s">
        <v>20</v>
      </c>
      <c r="E47" s="166" t="s">
        <v>20</v>
      </c>
      <c r="F47" s="202" t="s">
        <v>2407</v>
      </c>
      <c r="G47" s="166" t="s">
        <v>931</v>
      </c>
      <c r="H47" s="167"/>
      <c r="I47" s="166"/>
      <c r="J47" s="167"/>
      <c r="K47" s="166"/>
      <c r="L47" s="167"/>
    </row>
    <row r="48" spans="2:12" s="240" customFormat="1" ht="14.25" thickTop="1" thickBot="1">
      <c r="B48" s="156"/>
      <c r="C48" s="187" t="s">
        <v>2408</v>
      </c>
      <c r="D48" s="166" t="s">
        <v>2409</v>
      </c>
      <c r="E48" s="168" t="s">
        <v>2410</v>
      </c>
      <c r="F48" s="202" t="s">
        <v>2323</v>
      </c>
      <c r="G48" s="166" t="s">
        <v>2364</v>
      </c>
      <c r="H48" s="167"/>
      <c r="I48" s="166"/>
      <c r="J48" s="167"/>
      <c r="K48" s="166"/>
      <c r="L48" s="167"/>
    </row>
    <row r="49" spans="2:12" s="240" customFormat="1" ht="14.25" thickTop="1" thickBot="1">
      <c r="B49" s="156"/>
      <c r="C49" s="187" t="s">
        <v>2411</v>
      </c>
      <c r="D49" s="166" t="s">
        <v>2412</v>
      </c>
      <c r="E49" s="168" t="s">
        <v>2413</v>
      </c>
      <c r="F49" s="202" t="s">
        <v>2313</v>
      </c>
      <c r="G49" s="166" t="s">
        <v>2364</v>
      </c>
      <c r="H49" s="167"/>
      <c r="I49" s="166"/>
      <c r="J49" s="167"/>
      <c r="K49" s="166"/>
      <c r="L49" s="167"/>
    </row>
    <row r="50" spans="2:12" s="240" customFormat="1" ht="14.25" thickTop="1" thickBot="1">
      <c r="B50" s="169"/>
      <c r="C50" s="187" t="s">
        <v>2414</v>
      </c>
      <c r="D50" s="166" t="s">
        <v>2415</v>
      </c>
      <c r="E50" s="168" t="s">
        <v>2416</v>
      </c>
      <c r="F50" s="202" t="s">
        <v>2313</v>
      </c>
      <c r="G50" s="166" t="s">
        <v>2364</v>
      </c>
      <c r="H50" s="167"/>
      <c r="I50" s="166"/>
      <c r="J50" s="167"/>
      <c r="K50" s="166"/>
      <c r="L50" s="167"/>
    </row>
    <row r="51" spans="2:12" s="240" customFormat="1" ht="13.5" customHeight="1" thickTop="1" thickBot="1">
      <c r="B51" s="123"/>
      <c r="C51" s="123"/>
      <c r="D51" s="123"/>
      <c r="E51" s="123"/>
      <c r="F51" s="170"/>
      <c r="G51" s="170"/>
      <c r="H51" s="170"/>
      <c r="I51" s="170"/>
      <c r="J51" s="170"/>
      <c r="K51" s="170"/>
      <c r="L51" s="170"/>
    </row>
    <row r="52" spans="2:12" s="240" customFormat="1" ht="13.5" customHeight="1" thickTop="1" thickBot="1">
      <c r="B52" s="135" t="s">
        <v>2417</v>
      </c>
      <c r="C52" s="163"/>
      <c r="D52" s="164"/>
      <c r="E52" s="164"/>
      <c r="F52" s="163"/>
      <c r="G52" s="163"/>
      <c r="H52" s="163"/>
      <c r="I52" s="163"/>
      <c r="J52" s="163"/>
      <c r="K52" s="163"/>
      <c r="L52" s="165"/>
    </row>
    <row r="53" spans="2:12" s="240" customFormat="1" ht="13.5" customHeight="1" thickTop="1" thickBot="1">
      <c r="B53" s="156"/>
      <c r="C53" s="187" t="s">
        <v>1826</v>
      </c>
      <c r="D53" s="166" t="s">
        <v>2418</v>
      </c>
      <c r="E53" s="166" t="s">
        <v>2419</v>
      </c>
      <c r="F53" s="202" t="s">
        <v>2318</v>
      </c>
      <c r="G53" s="166" t="s">
        <v>2364</v>
      </c>
      <c r="H53" s="167"/>
      <c r="I53" s="166"/>
      <c r="J53" s="167"/>
      <c r="K53" s="166"/>
      <c r="L53" s="167"/>
    </row>
    <row r="54" spans="2:12" s="240" customFormat="1" ht="13.5" customHeight="1" thickTop="1" thickBot="1">
      <c r="B54" s="156"/>
      <c r="C54" s="187" t="s">
        <v>2393</v>
      </c>
      <c r="D54" s="166" t="s">
        <v>2420</v>
      </c>
      <c r="E54" s="168" t="s">
        <v>2421</v>
      </c>
      <c r="F54" s="202" t="s">
        <v>2396</v>
      </c>
      <c r="G54" s="166" t="s">
        <v>2364</v>
      </c>
      <c r="H54" s="167"/>
      <c r="I54" s="166"/>
      <c r="J54" s="167"/>
      <c r="K54" s="166"/>
      <c r="L54" s="167"/>
    </row>
    <row r="55" spans="2:12" s="240" customFormat="1" ht="14.25" thickTop="1" thickBot="1">
      <c r="B55" s="156"/>
      <c r="C55" s="187" t="s">
        <v>2397</v>
      </c>
      <c r="D55" s="166" t="s">
        <v>2422</v>
      </c>
      <c r="E55" s="168" t="s">
        <v>2423</v>
      </c>
      <c r="F55" s="202" t="s">
        <v>2396</v>
      </c>
      <c r="G55" s="166" t="s">
        <v>2364</v>
      </c>
      <c r="H55" s="167"/>
      <c r="I55" s="166"/>
      <c r="J55" s="167"/>
      <c r="K55" s="166"/>
      <c r="L55" s="167"/>
    </row>
    <row r="56" spans="2:12" s="240" customFormat="1" ht="14.25" thickTop="1" thickBot="1">
      <c r="B56" s="156"/>
      <c r="C56" s="187" t="s">
        <v>2400</v>
      </c>
      <c r="D56" s="166" t="s">
        <v>2424</v>
      </c>
      <c r="E56" s="168" t="s">
        <v>2425</v>
      </c>
      <c r="F56" s="202" t="s">
        <v>2396</v>
      </c>
      <c r="G56" s="166" t="s">
        <v>2364</v>
      </c>
      <c r="H56" s="167"/>
      <c r="I56" s="166"/>
      <c r="J56" s="167"/>
      <c r="K56" s="166"/>
      <c r="L56" s="167"/>
    </row>
    <row r="57" spans="2:12" s="240" customFormat="1" ht="14.25" thickTop="1" thickBot="1">
      <c r="B57" s="169"/>
      <c r="C57" s="187" t="s">
        <v>2403</v>
      </c>
      <c r="D57" s="166" t="s">
        <v>2426</v>
      </c>
      <c r="E57" s="168" t="s">
        <v>2427</v>
      </c>
      <c r="F57" s="202" t="s">
        <v>2396</v>
      </c>
      <c r="G57" s="166" t="s">
        <v>2364</v>
      </c>
      <c r="H57" s="167"/>
      <c r="I57" s="166"/>
      <c r="J57" s="167"/>
      <c r="K57" s="166"/>
      <c r="L57" s="167"/>
    </row>
    <row r="58" spans="2:12" s="240" customFormat="1" ht="13.5" customHeight="1" thickTop="1" thickBot="1">
      <c r="B58" s="123"/>
      <c r="C58" s="123"/>
      <c r="D58" s="123"/>
      <c r="E58" s="123"/>
      <c r="F58" s="170"/>
      <c r="G58" s="170"/>
      <c r="H58" s="170"/>
      <c r="I58" s="170"/>
      <c r="J58" s="170"/>
      <c r="K58" s="170"/>
      <c r="L58" s="170"/>
    </row>
    <row r="59" spans="2:12" s="240" customFormat="1" ht="13.5" customHeight="1" thickTop="1" thickBot="1">
      <c r="B59" s="135" t="s">
        <v>2428</v>
      </c>
      <c r="C59" s="163"/>
      <c r="D59" s="164"/>
      <c r="E59" s="164"/>
      <c r="F59" s="163"/>
      <c r="G59" s="163"/>
      <c r="H59" s="163"/>
      <c r="I59" s="163"/>
      <c r="J59" s="163"/>
      <c r="K59" s="163"/>
      <c r="L59" s="165"/>
    </row>
    <row r="60" spans="2:12" s="240" customFormat="1" ht="14.25" thickTop="1" thickBot="1">
      <c r="B60" s="241"/>
      <c r="C60" s="187" t="s">
        <v>2255</v>
      </c>
      <c r="D60" s="166" t="s">
        <v>20</v>
      </c>
      <c r="E60" s="166" t="s">
        <v>20</v>
      </c>
      <c r="F60" s="202" t="s">
        <v>2407</v>
      </c>
      <c r="G60" s="166" t="s">
        <v>931</v>
      </c>
      <c r="H60" s="167"/>
      <c r="I60" s="166"/>
      <c r="J60" s="167"/>
      <c r="K60" s="166"/>
      <c r="L60" s="167"/>
    </row>
    <row r="61" spans="2:12" s="240" customFormat="1" ht="14.25" thickTop="1" thickBot="1">
      <c r="B61" s="241"/>
      <c r="C61" s="187" t="s">
        <v>2408</v>
      </c>
      <c r="D61" s="166" t="s">
        <v>2429</v>
      </c>
      <c r="E61" s="168" t="s">
        <v>2430</v>
      </c>
      <c r="F61" s="202" t="s">
        <v>2323</v>
      </c>
      <c r="G61" s="166" t="s">
        <v>2364</v>
      </c>
      <c r="H61" s="167"/>
      <c r="I61" s="166"/>
      <c r="J61" s="167"/>
      <c r="K61" s="166"/>
      <c r="L61" s="167"/>
    </row>
    <row r="62" spans="2:12" s="240" customFormat="1" ht="14.25" thickTop="1" thickBot="1">
      <c r="B62" s="241"/>
      <c r="C62" s="187" t="s">
        <v>2411</v>
      </c>
      <c r="D62" s="166" t="s">
        <v>2431</v>
      </c>
      <c r="E62" s="168" t="s">
        <v>2432</v>
      </c>
      <c r="F62" s="202" t="s">
        <v>2533</v>
      </c>
      <c r="G62" s="166" t="s">
        <v>2364</v>
      </c>
      <c r="H62" s="167"/>
      <c r="I62" s="166"/>
      <c r="J62" s="167"/>
      <c r="K62" s="166"/>
      <c r="L62" s="167"/>
    </row>
    <row r="63" spans="2:12" s="240" customFormat="1" ht="14.25" thickTop="1" thickBot="1">
      <c r="B63" s="169"/>
      <c r="C63" s="187" t="s">
        <v>2414</v>
      </c>
      <c r="D63" s="166" t="s">
        <v>2433</v>
      </c>
      <c r="E63" s="168" t="s">
        <v>2434</v>
      </c>
      <c r="F63" s="202" t="s">
        <v>2533</v>
      </c>
      <c r="G63" s="166" t="s">
        <v>2364</v>
      </c>
      <c r="H63" s="167"/>
      <c r="I63" s="166"/>
      <c r="J63" s="167"/>
      <c r="K63" s="166"/>
      <c r="L63" s="167"/>
    </row>
    <row r="64" spans="2:12" s="240" customFormat="1" ht="13.5" customHeight="1" thickTop="1" thickBot="1">
      <c r="B64" s="123"/>
      <c r="C64" s="123"/>
      <c r="D64" s="123"/>
      <c r="E64" s="123"/>
      <c r="F64" s="170"/>
      <c r="G64" s="170"/>
      <c r="H64" s="170"/>
      <c r="I64" s="170"/>
      <c r="J64" s="170"/>
      <c r="K64" s="170"/>
      <c r="L64" s="170"/>
    </row>
    <row r="65" spans="2:12" s="240" customFormat="1" ht="13.5" customHeight="1" thickTop="1" thickBot="1">
      <c r="B65" s="135" t="s">
        <v>2435</v>
      </c>
      <c r="C65" s="163"/>
      <c r="D65" s="164"/>
      <c r="E65" s="164"/>
      <c r="F65" s="163"/>
      <c r="G65" s="163"/>
      <c r="H65" s="163"/>
      <c r="I65" s="163"/>
      <c r="J65" s="163"/>
      <c r="K65" s="163"/>
      <c r="L65" s="165"/>
    </row>
    <row r="66" spans="2:12" s="240" customFormat="1" ht="13.5" customHeight="1" thickTop="1" thickBot="1">
      <c r="B66" s="156"/>
      <c r="C66" s="187" t="s">
        <v>2303</v>
      </c>
      <c r="D66" s="166" t="s">
        <v>20</v>
      </c>
      <c r="E66" s="166" t="s">
        <v>20</v>
      </c>
      <c r="F66" s="202" t="s">
        <v>2304</v>
      </c>
      <c r="G66" s="166" t="s">
        <v>931</v>
      </c>
      <c r="H66" s="167"/>
      <c r="I66" s="166"/>
      <c r="J66" s="167"/>
      <c r="K66" s="166"/>
      <c r="L66" s="195"/>
    </row>
    <row r="67" spans="2:12" s="240" customFormat="1" ht="13.5" customHeight="1" thickTop="1" thickBot="1">
      <c r="B67" s="156"/>
      <c r="C67" s="187" t="s">
        <v>2436</v>
      </c>
      <c r="D67" s="166" t="s">
        <v>2437</v>
      </c>
      <c r="E67" s="166" t="s">
        <v>2438</v>
      </c>
      <c r="F67" s="202" t="s">
        <v>2439</v>
      </c>
      <c r="G67" s="166" t="s">
        <v>2440</v>
      </c>
      <c r="H67" s="167"/>
      <c r="I67" s="166"/>
      <c r="J67" s="167"/>
      <c r="K67" s="166"/>
      <c r="L67" s="195" t="s">
        <v>2441</v>
      </c>
    </row>
    <row r="68" spans="2:12" s="240" customFormat="1" ht="13.5" customHeight="1" thickTop="1" thickBot="1">
      <c r="B68" s="156"/>
      <c r="C68" s="187" t="s">
        <v>2367</v>
      </c>
      <c r="D68" s="166" t="s">
        <v>2442</v>
      </c>
      <c r="E68" s="166" t="s">
        <v>2443</v>
      </c>
      <c r="F68" s="202" t="s">
        <v>2439</v>
      </c>
      <c r="G68" s="166" t="s">
        <v>2440</v>
      </c>
      <c r="H68" s="167"/>
      <c r="I68" s="166"/>
      <c r="J68" s="167"/>
      <c r="K68" s="166"/>
      <c r="L68" s="195" t="s">
        <v>2441</v>
      </c>
    </row>
    <row r="69" spans="2:12" s="240" customFormat="1" ht="13.5" customHeight="1" thickTop="1" thickBot="1">
      <c r="B69" s="156"/>
      <c r="C69" s="187" t="s">
        <v>2444</v>
      </c>
      <c r="D69" s="166" t="s">
        <v>2445</v>
      </c>
      <c r="E69" s="166" t="s">
        <v>2446</v>
      </c>
      <c r="F69" s="202" t="s">
        <v>2439</v>
      </c>
      <c r="G69" s="166" t="s">
        <v>2440</v>
      </c>
      <c r="H69" s="167"/>
      <c r="I69" s="166"/>
      <c r="J69" s="167"/>
      <c r="K69" s="166"/>
      <c r="L69" s="195" t="s">
        <v>2441</v>
      </c>
    </row>
    <row r="70" spans="2:12" s="240" customFormat="1" ht="13.5" customHeight="1" thickTop="1" thickBot="1">
      <c r="B70" s="156"/>
      <c r="C70" s="187" t="s">
        <v>2447</v>
      </c>
      <c r="D70" s="166" t="s">
        <v>2448</v>
      </c>
      <c r="E70" s="166" t="s">
        <v>2449</v>
      </c>
      <c r="F70" s="202" t="s">
        <v>2439</v>
      </c>
      <c r="G70" s="166" t="s">
        <v>2440</v>
      </c>
      <c r="H70" s="167"/>
      <c r="I70" s="166"/>
      <c r="J70" s="167"/>
      <c r="K70" s="166"/>
      <c r="L70" s="195" t="s">
        <v>2441</v>
      </c>
    </row>
    <row r="71" spans="2:12" s="240" customFormat="1" ht="13.5" customHeight="1" thickTop="1" thickBot="1">
      <c r="B71" s="156"/>
      <c r="C71" s="187" t="s">
        <v>2450</v>
      </c>
      <c r="D71" s="166" t="s">
        <v>2451</v>
      </c>
      <c r="E71" s="168" t="s">
        <v>2452</v>
      </c>
      <c r="F71" s="202" t="s">
        <v>2313</v>
      </c>
      <c r="G71" s="166" t="s">
        <v>2453</v>
      </c>
      <c r="H71" s="167"/>
      <c r="I71" s="166"/>
      <c r="J71" s="167"/>
      <c r="K71" s="166"/>
      <c r="L71" s="195"/>
    </row>
    <row r="72" spans="2:12" s="240" customFormat="1" ht="13.5" customHeight="1" thickTop="1" thickBot="1">
      <c r="B72" s="156"/>
      <c r="C72" s="187" t="s">
        <v>2454</v>
      </c>
      <c r="D72" s="168" t="s">
        <v>2455</v>
      </c>
      <c r="E72" s="166" t="s">
        <v>2456</v>
      </c>
      <c r="F72" s="202" t="s">
        <v>2439</v>
      </c>
      <c r="G72" s="166" t="s">
        <v>2453</v>
      </c>
      <c r="H72" s="167"/>
      <c r="I72" s="166"/>
      <c r="J72" s="167"/>
      <c r="K72" s="166"/>
      <c r="L72" s="195"/>
    </row>
    <row r="73" spans="2:12" s="240" customFormat="1" ht="13.5" customHeight="1" thickTop="1" thickBot="1">
      <c r="B73" s="156"/>
      <c r="C73" s="187" t="s">
        <v>2457</v>
      </c>
      <c r="D73" s="166" t="s">
        <v>2458</v>
      </c>
      <c r="E73" s="166" t="s">
        <v>2459</v>
      </c>
      <c r="F73" s="202" t="s">
        <v>2439</v>
      </c>
      <c r="G73" s="166" t="s">
        <v>2453</v>
      </c>
      <c r="H73" s="167"/>
      <c r="I73" s="166"/>
      <c r="J73" s="167"/>
      <c r="K73" s="166"/>
      <c r="L73" s="195"/>
    </row>
    <row r="74" spans="2:12" s="240" customFormat="1" ht="14.25" thickTop="1" thickBot="1">
      <c r="B74" s="156"/>
      <c r="C74" s="187" t="s">
        <v>2460</v>
      </c>
      <c r="D74" s="166" t="s">
        <v>2461</v>
      </c>
      <c r="E74" s="168" t="s">
        <v>2462</v>
      </c>
      <c r="F74" s="202" t="s">
        <v>2439</v>
      </c>
      <c r="G74" s="166" t="s">
        <v>2453</v>
      </c>
      <c r="H74" s="167"/>
      <c r="I74" s="166"/>
      <c r="J74" s="167"/>
      <c r="K74" s="166"/>
      <c r="L74" s="195"/>
    </row>
    <row r="75" spans="2:12" s="240" customFormat="1" ht="14.25" thickTop="1" thickBot="1">
      <c r="B75" s="156"/>
      <c r="C75" s="187" t="s">
        <v>2463</v>
      </c>
      <c r="D75" s="166" t="s">
        <v>2464</v>
      </c>
      <c r="E75" s="168" t="s">
        <v>2465</v>
      </c>
      <c r="F75" s="202" t="s">
        <v>2439</v>
      </c>
      <c r="G75" s="166" t="s">
        <v>2453</v>
      </c>
      <c r="H75" s="167"/>
      <c r="I75" s="166"/>
      <c r="J75" s="167"/>
      <c r="K75" s="166"/>
      <c r="L75" s="195"/>
    </row>
    <row r="76" spans="2:12" s="240" customFormat="1" ht="14.25" thickTop="1" thickBot="1">
      <c r="B76" s="156"/>
      <c r="C76" s="187" t="s">
        <v>2466</v>
      </c>
      <c r="D76" s="166" t="s">
        <v>2467</v>
      </c>
      <c r="E76" s="168" t="s">
        <v>2468</v>
      </c>
      <c r="F76" s="202" t="s">
        <v>2550</v>
      </c>
      <c r="G76" s="166" t="s">
        <v>2551</v>
      </c>
      <c r="H76" s="167"/>
      <c r="I76" s="166"/>
      <c r="J76" s="167" t="s">
        <v>207</v>
      </c>
      <c r="K76" s="166" t="s">
        <v>2552</v>
      </c>
      <c r="L76" s="195"/>
    </row>
    <row r="77" spans="2:12" s="240" customFormat="1" ht="14.25" thickTop="1" thickBot="1">
      <c r="B77" s="156"/>
      <c r="C77" s="187" t="s">
        <v>2469</v>
      </c>
      <c r="D77" s="166" t="s">
        <v>2470</v>
      </c>
      <c r="E77" s="168" t="s">
        <v>2471</v>
      </c>
      <c r="F77" s="202" t="s">
        <v>2308</v>
      </c>
      <c r="G77" s="166" t="s">
        <v>2472</v>
      </c>
      <c r="H77" s="167"/>
      <c r="I77" s="166"/>
      <c r="J77" s="167"/>
      <c r="K77" s="166"/>
      <c r="L77" s="195"/>
    </row>
    <row r="78" spans="2:12" s="240" customFormat="1" ht="14.25" thickTop="1" thickBot="1">
      <c r="B78" s="169"/>
      <c r="C78" s="187" t="s">
        <v>2331</v>
      </c>
      <c r="D78" s="166" t="s">
        <v>2473</v>
      </c>
      <c r="E78" s="168" t="s">
        <v>2474</v>
      </c>
      <c r="F78" s="202" t="s">
        <v>2308</v>
      </c>
      <c r="G78" s="166" t="s">
        <v>2350</v>
      </c>
      <c r="H78" s="167"/>
      <c r="I78" s="166"/>
      <c r="J78" s="167"/>
      <c r="K78" s="166"/>
      <c r="L78" s="195"/>
    </row>
    <row r="79" spans="2:12" s="240" customFormat="1" ht="13.5" customHeight="1" thickTop="1" thickBot="1">
      <c r="B79" s="123"/>
      <c r="C79" s="123"/>
      <c r="D79" s="123"/>
      <c r="E79" s="123"/>
      <c r="F79" s="170"/>
      <c r="G79" s="170"/>
      <c r="H79" s="170"/>
      <c r="I79" s="170"/>
      <c r="J79" s="170"/>
      <c r="K79" s="170"/>
      <c r="L79" s="170"/>
    </row>
    <row r="80" spans="2:12" s="240" customFormat="1" ht="13.5" customHeight="1" thickTop="1" thickBot="1">
      <c r="B80" s="135" t="s">
        <v>2475</v>
      </c>
      <c r="C80" s="163"/>
      <c r="D80" s="164"/>
      <c r="E80" s="164"/>
      <c r="F80" s="163"/>
      <c r="G80" s="163"/>
      <c r="H80" s="163"/>
      <c r="I80" s="163"/>
      <c r="J80" s="163"/>
      <c r="K80" s="163"/>
      <c r="L80" s="165"/>
    </row>
    <row r="81" spans="1:1025" s="240" customFormat="1" ht="13.5" customHeight="1" thickTop="1" thickBot="1">
      <c r="B81" s="156"/>
      <c r="C81" s="187" t="s">
        <v>2197</v>
      </c>
      <c r="D81" s="166" t="s">
        <v>20</v>
      </c>
      <c r="E81" s="166" t="s">
        <v>20</v>
      </c>
      <c r="F81" s="202" t="s">
        <v>2476</v>
      </c>
      <c r="G81" s="166" t="s">
        <v>931</v>
      </c>
      <c r="H81" s="167"/>
      <c r="I81" s="166"/>
      <c r="J81" s="167"/>
      <c r="K81" s="166"/>
      <c r="L81" s="167"/>
    </row>
    <row r="82" spans="1:1025" s="240" customFormat="1" ht="14.25" thickTop="1" thickBot="1">
      <c r="B82" s="156"/>
      <c r="C82" s="187" t="s">
        <v>2343</v>
      </c>
      <c r="D82" s="166" t="s">
        <v>2477</v>
      </c>
      <c r="E82" s="168" t="s">
        <v>2478</v>
      </c>
      <c r="F82" s="202" t="s">
        <v>2479</v>
      </c>
      <c r="G82" s="166" t="s">
        <v>2338</v>
      </c>
      <c r="H82" s="167"/>
      <c r="I82" s="166"/>
      <c r="J82" s="167"/>
      <c r="K82" s="166"/>
      <c r="L82" s="167"/>
    </row>
    <row r="83" spans="1:1025" s="240" customFormat="1" ht="14.25" thickTop="1" thickBot="1">
      <c r="B83" s="156"/>
      <c r="C83" s="187" t="s">
        <v>2347</v>
      </c>
      <c r="D83" s="166" t="s">
        <v>2480</v>
      </c>
      <c r="E83" s="168" t="s">
        <v>2481</v>
      </c>
      <c r="F83" s="202" t="s">
        <v>2479</v>
      </c>
      <c r="G83" s="166" t="s">
        <v>2338</v>
      </c>
      <c r="H83" s="167"/>
      <c r="I83" s="166"/>
      <c r="J83" s="167"/>
      <c r="K83" s="166"/>
      <c r="L83" s="167"/>
    </row>
    <row r="84" spans="1:1025" s="240" customFormat="1" ht="14.25" thickTop="1" thickBot="1">
      <c r="B84" s="156"/>
      <c r="C84" s="187" t="s">
        <v>2351</v>
      </c>
      <c r="D84" s="166" t="s">
        <v>2482</v>
      </c>
      <c r="E84" s="168" t="s">
        <v>2483</v>
      </c>
      <c r="F84" s="202" t="s">
        <v>2479</v>
      </c>
      <c r="G84" s="166" t="s">
        <v>2338</v>
      </c>
      <c r="H84" s="167"/>
      <c r="I84" s="166"/>
      <c r="J84" s="167"/>
      <c r="K84" s="166"/>
      <c r="L84" s="167"/>
    </row>
    <row r="85" spans="1:1025" s="240" customFormat="1" ht="14.25" thickTop="1" thickBot="1">
      <c r="B85" s="156"/>
      <c r="C85" s="187" t="s">
        <v>2484</v>
      </c>
      <c r="D85" s="166" t="s">
        <v>2485</v>
      </c>
      <c r="E85" s="168" t="s">
        <v>2486</v>
      </c>
      <c r="F85" s="202" t="s">
        <v>2487</v>
      </c>
      <c r="G85" s="166" t="s">
        <v>2314</v>
      </c>
      <c r="H85" s="167"/>
      <c r="I85" s="166"/>
      <c r="J85" s="167"/>
      <c r="K85" s="166"/>
      <c r="L85" s="167"/>
    </row>
    <row r="86" spans="1:1025" s="240" customFormat="1" ht="14.25" thickTop="1" thickBot="1">
      <c r="B86" s="169"/>
      <c r="C86" s="187" t="s">
        <v>2403</v>
      </c>
      <c r="D86" s="166" t="s">
        <v>2488</v>
      </c>
      <c r="E86" s="168" t="s">
        <v>2489</v>
      </c>
      <c r="F86" s="202" t="s">
        <v>2490</v>
      </c>
      <c r="G86" s="166" t="s">
        <v>2491</v>
      </c>
      <c r="H86" s="167"/>
      <c r="I86" s="166"/>
      <c r="J86" s="167"/>
      <c r="K86" s="166"/>
      <c r="L86" s="167"/>
    </row>
    <row r="87" spans="1:1025" s="159" customFormat="1" ht="12" customHeight="1" thickTop="1" thickBot="1">
      <c r="A87" s="240"/>
      <c r="B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240"/>
      <c r="AH87" s="240"/>
      <c r="AI87" s="240"/>
      <c r="AJ87" s="240"/>
      <c r="AK87" s="240"/>
      <c r="AL87" s="240"/>
      <c r="AM87" s="240"/>
      <c r="AN87" s="240"/>
      <c r="AO87" s="240"/>
      <c r="AP87" s="240"/>
      <c r="AQ87" s="240"/>
      <c r="AR87" s="240"/>
      <c r="AS87" s="240"/>
      <c r="AT87" s="240"/>
      <c r="AU87" s="240"/>
      <c r="AV87" s="240"/>
      <c r="AW87" s="240"/>
      <c r="AX87" s="240"/>
      <c r="AY87" s="240"/>
      <c r="AZ87" s="240"/>
      <c r="BA87" s="240"/>
      <c r="BB87" s="240"/>
      <c r="BC87" s="240"/>
      <c r="BD87" s="240"/>
      <c r="BE87" s="240"/>
      <c r="BF87" s="240"/>
      <c r="BG87" s="240"/>
      <c r="BH87" s="240"/>
      <c r="BI87" s="240"/>
      <c r="BJ87" s="240"/>
      <c r="BK87" s="240"/>
      <c r="BL87" s="240"/>
      <c r="BM87" s="240"/>
      <c r="BN87" s="240"/>
      <c r="BO87" s="240"/>
      <c r="BP87" s="240"/>
      <c r="BQ87" s="240"/>
      <c r="BR87" s="240"/>
      <c r="BS87" s="240"/>
      <c r="BT87" s="240"/>
      <c r="BU87" s="240"/>
      <c r="BV87" s="240"/>
      <c r="BW87" s="240"/>
      <c r="BX87" s="240"/>
      <c r="BY87" s="240"/>
      <c r="BZ87" s="240"/>
      <c r="CA87" s="240"/>
      <c r="CB87" s="240"/>
      <c r="CC87" s="240"/>
      <c r="CD87" s="240"/>
      <c r="CE87" s="240"/>
      <c r="CF87" s="240"/>
      <c r="CG87" s="240"/>
      <c r="CH87" s="240"/>
      <c r="CI87" s="240"/>
      <c r="CJ87" s="240"/>
      <c r="CK87" s="240"/>
      <c r="CL87" s="240"/>
      <c r="CM87" s="240"/>
      <c r="CN87" s="240"/>
      <c r="CO87" s="240"/>
      <c r="CP87" s="240"/>
      <c r="CQ87" s="240"/>
      <c r="CR87" s="240"/>
      <c r="CS87" s="240"/>
      <c r="CT87" s="240"/>
      <c r="CU87" s="240"/>
      <c r="CV87" s="240"/>
      <c r="CW87" s="240"/>
      <c r="CX87" s="240"/>
      <c r="CY87" s="240"/>
      <c r="CZ87" s="240"/>
      <c r="DA87" s="240"/>
      <c r="DB87" s="240"/>
      <c r="DC87" s="240"/>
      <c r="DD87" s="240"/>
      <c r="DE87" s="240"/>
      <c r="DF87" s="240"/>
      <c r="DG87" s="240"/>
      <c r="DH87" s="240"/>
      <c r="DI87" s="240"/>
      <c r="DJ87" s="240"/>
      <c r="DK87" s="240"/>
      <c r="DL87" s="240"/>
      <c r="DM87" s="240"/>
      <c r="DN87" s="240"/>
      <c r="DO87" s="240"/>
      <c r="DP87" s="240"/>
      <c r="DQ87" s="240"/>
      <c r="DR87" s="240"/>
      <c r="DS87" s="240"/>
      <c r="DT87" s="240"/>
      <c r="DU87" s="240"/>
      <c r="DV87" s="240"/>
      <c r="DW87" s="240"/>
      <c r="DX87" s="240"/>
      <c r="DY87" s="240"/>
      <c r="DZ87" s="240"/>
      <c r="EA87" s="240"/>
      <c r="EB87" s="240"/>
      <c r="EC87" s="240"/>
      <c r="ED87" s="240"/>
      <c r="EE87" s="240"/>
      <c r="EF87" s="240"/>
      <c r="EG87" s="240"/>
      <c r="EH87" s="240"/>
      <c r="EI87" s="240"/>
      <c r="EJ87" s="240"/>
      <c r="EK87" s="240"/>
      <c r="EL87" s="240"/>
      <c r="EM87" s="240"/>
      <c r="EN87" s="240"/>
      <c r="EO87" s="240"/>
      <c r="EP87" s="240"/>
      <c r="EQ87" s="240"/>
      <c r="ER87" s="240"/>
      <c r="ES87" s="240"/>
      <c r="ET87" s="240"/>
      <c r="EU87" s="240"/>
      <c r="EV87" s="240"/>
      <c r="EW87" s="240"/>
      <c r="EX87" s="240"/>
      <c r="EY87" s="240"/>
      <c r="EZ87" s="240"/>
      <c r="FA87" s="240"/>
      <c r="FB87" s="240"/>
      <c r="FC87" s="240"/>
      <c r="FD87" s="240"/>
      <c r="FE87" s="240"/>
      <c r="FF87" s="240"/>
      <c r="FG87" s="240"/>
      <c r="FH87" s="240"/>
      <c r="FI87" s="240"/>
      <c r="FJ87" s="240"/>
      <c r="FK87" s="240"/>
      <c r="FL87" s="240"/>
      <c r="FM87" s="240"/>
      <c r="FN87" s="240"/>
      <c r="FO87" s="240"/>
      <c r="FP87" s="240"/>
      <c r="FQ87" s="240"/>
      <c r="FR87" s="240"/>
      <c r="FS87" s="240"/>
      <c r="FT87" s="240"/>
      <c r="FU87" s="240"/>
      <c r="FV87" s="240"/>
      <c r="FW87" s="240"/>
      <c r="FX87" s="240"/>
      <c r="FY87" s="240"/>
      <c r="FZ87" s="240"/>
      <c r="GA87" s="240"/>
      <c r="GB87" s="240"/>
      <c r="GC87" s="240"/>
      <c r="GD87" s="240"/>
      <c r="GE87" s="240"/>
      <c r="GF87" s="240"/>
      <c r="GG87" s="240"/>
      <c r="GH87" s="240"/>
      <c r="GI87" s="240"/>
      <c r="GJ87" s="240"/>
      <c r="GK87" s="240"/>
      <c r="GL87" s="240"/>
      <c r="GM87" s="240"/>
      <c r="GN87" s="240"/>
      <c r="GO87" s="240"/>
      <c r="GP87" s="240"/>
      <c r="GQ87" s="240"/>
      <c r="GR87" s="240"/>
      <c r="GS87" s="240"/>
      <c r="GT87" s="240"/>
      <c r="GU87" s="240"/>
      <c r="GV87" s="240"/>
      <c r="GW87" s="240"/>
      <c r="GX87" s="240"/>
      <c r="GY87" s="240"/>
      <c r="GZ87" s="240"/>
      <c r="HA87" s="240"/>
      <c r="HB87" s="240"/>
      <c r="HC87" s="240"/>
      <c r="HD87" s="240"/>
      <c r="HE87" s="240"/>
      <c r="HF87" s="240"/>
      <c r="HG87" s="240"/>
      <c r="HH87" s="240"/>
      <c r="HI87" s="240"/>
      <c r="HJ87" s="240"/>
      <c r="HK87" s="240"/>
      <c r="HL87" s="240"/>
      <c r="HM87" s="240"/>
      <c r="HN87" s="240"/>
      <c r="HO87" s="240"/>
      <c r="HP87" s="240"/>
      <c r="HQ87" s="240"/>
      <c r="HR87" s="240"/>
      <c r="HS87" s="240"/>
      <c r="HT87" s="240"/>
      <c r="HU87" s="240"/>
      <c r="HV87" s="240"/>
      <c r="HW87" s="240"/>
      <c r="HX87" s="240"/>
      <c r="HY87" s="240"/>
      <c r="HZ87" s="240"/>
      <c r="IA87" s="240"/>
      <c r="IB87" s="240"/>
      <c r="IC87" s="240"/>
      <c r="ID87" s="240"/>
      <c r="IE87" s="240"/>
      <c r="IF87" s="240"/>
      <c r="IG87" s="240"/>
      <c r="IH87" s="240"/>
      <c r="II87" s="240"/>
      <c r="IJ87" s="240"/>
      <c r="IK87" s="240"/>
      <c r="IL87" s="240"/>
      <c r="IM87" s="240"/>
      <c r="IN87" s="240"/>
      <c r="IO87" s="240"/>
      <c r="IP87" s="240"/>
      <c r="IQ87" s="240"/>
      <c r="IR87" s="240"/>
      <c r="IS87" s="240"/>
      <c r="IT87" s="240"/>
      <c r="IU87" s="240"/>
      <c r="IV87" s="240"/>
      <c r="IW87" s="240"/>
      <c r="IX87" s="240"/>
      <c r="IY87" s="240"/>
      <c r="IZ87" s="240"/>
      <c r="JA87" s="240"/>
      <c r="JB87" s="240"/>
      <c r="JC87" s="240"/>
      <c r="JD87" s="240"/>
      <c r="JE87" s="240"/>
      <c r="JF87" s="240"/>
      <c r="JG87" s="240"/>
      <c r="JH87" s="240"/>
      <c r="JI87" s="240"/>
      <c r="JJ87" s="240"/>
      <c r="JK87" s="240"/>
      <c r="JL87" s="240"/>
      <c r="JM87" s="240"/>
      <c r="JN87" s="240"/>
      <c r="JO87" s="240"/>
      <c r="JP87" s="240"/>
      <c r="JQ87" s="240"/>
      <c r="JR87" s="240"/>
      <c r="JS87" s="240"/>
      <c r="JT87" s="240"/>
      <c r="JU87" s="240"/>
      <c r="JV87" s="240"/>
      <c r="JW87" s="240"/>
      <c r="JX87" s="240"/>
      <c r="JY87" s="240"/>
      <c r="JZ87" s="240"/>
      <c r="KA87" s="240"/>
      <c r="KB87" s="240"/>
      <c r="KC87" s="240"/>
      <c r="KD87" s="240"/>
      <c r="KE87" s="240"/>
      <c r="KF87" s="240"/>
      <c r="KG87" s="240"/>
      <c r="KH87" s="240"/>
      <c r="KI87" s="240"/>
      <c r="KJ87" s="240"/>
      <c r="KK87" s="240"/>
      <c r="KL87" s="240"/>
      <c r="KM87" s="240"/>
      <c r="KN87" s="240"/>
      <c r="KO87" s="240"/>
      <c r="KP87" s="240"/>
      <c r="KQ87" s="240"/>
      <c r="KR87" s="240"/>
      <c r="KS87" s="240"/>
      <c r="KT87" s="240"/>
      <c r="KU87" s="240"/>
      <c r="KV87" s="240"/>
      <c r="KW87" s="240"/>
      <c r="KX87" s="240"/>
      <c r="KY87" s="240"/>
      <c r="KZ87" s="240"/>
      <c r="LA87" s="240"/>
      <c r="LB87" s="240"/>
      <c r="LC87" s="240"/>
      <c r="LD87" s="240"/>
      <c r="LE87" s="240"/>
      <c r="LF87" s="240"/>
      <c r="LG87" s="240"/>
      <c r="LH87" s="240"/>
      <c r="LI87" s="240"/>
      <c r="LJ87" s="240"/>
      <c r="LK87" s="240"/>
      <c r="LL87" s="240"/>
      <c r="LM87" s="240"/>
      <c r="LN87" s="240"/>
      <c r="LO87" s="240"/>
      <c r="LP87" s="240"/>
      <c r="LQ87" s="240"/>
      <c r="LR87" s="240"/>
      <c r="LS87" s="240"/>
      <c r="LT87" s="240"/>
      <c r="LU87" s="240"/>
      <c r="LV87" s="240"/>
      <c r="LW87" s="240"/>
      <c r="LX87" s="240"/>
      <c r="LY87" s="240"/>
      <c r="LZ87" s="240"/>
      <c r="MA87" s="240"/>
      <c r="MB87" s="240"/>
      <c r="MC87" s="240"/>
      <c r="MD87" s="240"/>
      <c r="ME87" s="240"/>
      <c r="MF87" s="240"/>
      <c r="MG87" s="240"/>
      <c r="MH87" s="240"/>
      <c r="MI87" s="240"/>
      <c r="MJ87" s="240"/>
      <c r="MK87" s="240"/>
      <c r="ML87" s="240"/>
      <c r="MM87" s="240"/>
      <c r="MN87" s="240"/>
      <c r="MO87" s="240"/>
      <c r="MP87" s="240"/>
      <c r="MQ87" s="240"/>
      <c r="MR87" s="240"/>
      <c r="MS87" s="240"/>
      <c r="MT87" s="240"/>
      <c r="MU87" s="240"/>
      <c r="MV87" s="240"/>
      <c r="MW87" s="240"/>
      <c r="MX87" s="240"/>
      <c r="MY87" s="240"/>
      <c r="MZ87" s="240"/>
      <c r="NA87" s="240"/>
      <c r="NB87" s="240"/>
      <c r="NC87" s="240"/>
      <c r="ND87" s="240"/>
      <c r="NE87" s="240"/>
      <c r="NF87" s="240"/>
      <c r="NG87" s="240"/>
      <c r="NH87" s="240"/>
      <c r="NI87" s="240"/>
      <c r="NJ87" s="240"/>
      <c r="NK87" s="240"/>
      <c r="NL87" s="240"/>
      <c r="NM87" s="240"/>
      <c r="NN87" s="240"/>
      <c r="NO87" s="240"/>
      <c r="NP87" s="240"/>
      <c r="NQ87" s="240"/>
      <c r="NR87" s="240"/>
      <c r="NS87" s="240"/>
      <c r="NT87" s="240"/>
      <c r="NU87" s="240"/>
      <c r="NV87" s="240"/>
      <c r="NW87" s="240"/>
      <c r="NX87" s="240"/>
      <c r="NY87" s="240"/>
      <c r="NZ87" s="240"/>
      <c r="OA87" s="240"/>
      <c r="OB87" s="240"/>
      <c r="OC87" s="240"/>
      <c r="OD87" s="240"/>
      <c r="OE87" s="240"/>
      <c r="OF87" s="240"/>
      <c r="OG87" s="240"/>
      <c r="OH87" s="240"/>
      <c r="OI87" s="240"/>
      <c r="OJ87" s="240"/>
      <c r="OK87" s="240"/>
      <c r="OL87" s="240"/>
      <c r="OM87" s="240"/>
      <c r="ON87" s="240"/>
      <c r="OO87" s="240"/>
      <c r="OP87" s="240"/>
      <c r="OQ87" s="240"/>
      <c r="OR87" s="240"/>
      <c r="OS87" s="240"/>
      <c r="OT87" s="240"/>
      <c r="OU87" s="240"/>
      <c r="OV87" s="240"/>
      <c r="OW87" s="240"/>
      <c r="OX87" s="240"/>
      <c r="OY87" s="240"/>
      <c r="OZ87" s="240"/>
      <c r="PA87" s="240"/>
      <c r="PB87" s="240"/>
      <c r="PC87" s="240"/>
      <c r="PD87" s="240"/>
      <c r="PE87" s="240"/>
      <c r="PF87" s="240"/>
      <c r="PG87" s="240"/>
      <c r="PH87" s="240"/>
      <c r="PI87" s="240"/>
      <c r="PJ87" s="240"/>
      <c r="PK87" s="240"/>
      <c r="PL87" s="240"/>
      <c r="PM87" s="240"/>
      <c r="PN87" s="240"/>
      <c r="PO87" s="240"/>
      <c r="PP87" s="240"/>
      <c r="PQ87" s="240"/>
      <c r="PR87" s="240"/>
      <c r="PS87" s="240"/>
      <c r="PT87" s="240"/>
      <c r="PU87" s="240"/>
      <c r="PV87" s="240"/>
      <c r="PW87" s="240"/>
      <c r="PX87" s="240"/>
      <c r="PY87" s="240"/>
      <c r="PZ87" s="240"/>
      <c r="QA87" s="240"/>
      <c r="QB87" s="240"/>
      <c r="QC87" s="240"/>
      <c r="QD87" s="240"/>
      <c r="QE87" s="240"/>
      <c r="QF87" s="240"/>
      <c r="QG87" s="240"/>
      <c r="QH87" s="240"/>
      <c r="QI87" s="240"/>
      <c r="QJ87" s="240"/>
      <c r="QK87" s="240"/>
      <c r="QL87" s="240"/>
      <c r="QM87" s="240"/>
      <c r="QN87" s="240"/>
      <c r="QO87" s="240"/>
      <c r="QP87" s="240"/>
      <c r="QQ87" s="240"/>
      <c r="QR87" s="240"/>
      <c r="QS87" s="240"/>
      <c r="QT87" s="240"/>
      <c r="QU87" s="240"/>
      <c r="QV87" s="240"/>
      <c r="QW87" s="240"/>
      <c r="QX87" s="240"/>
      <c r="QY87" s="240"/>
      <c r="QZ87" s="240"/>
      <c r="RA87" s="240"/>
      <c r="RB87" s="240"/>
      <c r="RC87" s="240"/>
      <c r="RD87" s="240"/>
      <c r="RE87" s="240"/>
      <c r="RF87" s="240"/>
      <c r="RG87" s="240"/>
      <c r="RH87" s="240"/>
      <c r="RI87" s="240"/>
      <c r="RJ87" s="240"/>
      <c r="RK87" s="240"/>
      <c r="RL87" s="240"/>
      <c r="RM87" s="240"/>
      <c r="RN87" s="240"/>
      <c r="RO87" s="240"/>
      <c r="RP87" s="240"/>
      <c r="RQ87" s="240"/>
      <c r="RR87" s="240"/>
      <c r="RS87" s="240"/>
      <c r="RT87" s="240"/>
      <c r="RU87" s="240"/>
      <c r="RV87" s="240"/>
      <c r="RW87" s="240"/>
      <c r="RX87" s="240"/>
      <c r="RY87" s="240"/>
      <c r="RZ87" s="240"/>
      <c r="SA87" s="240"/>
      <c r="SB87" s="240"/>
      <c r="SC87" s="240"/>
      <c r="SD87" s="240"/>
      <c r="SE87" s="240"/>
      <c r="SF87" s="240"/>
      <c r="SG87" s="240"/>
      <c r="SH87" s="240"/>
      <c r="SI87" s="240"/>
      <c r="SJ87" s="240"/>
      <c r="SK87" s="240"/>
      <c r="SL87" s="240"/>
      <c r="SM87" s="240"/>
      <c r="SN87" s="240"/>
      <c r="SO87" s="240"/>
      <c r="SP87" s="240"/>
      <c r="SQ87" s="240"/>
      <c r="SR87" s="240"/>
      <c r="SS87" s="240"/>
      <c r="ST87" s="240"/>
      <c r="SU87" s="240"/>
      <c r="SV87" s="240"/>
      <c r="SW87" s="240"/>
      <c r="SX87" s="240"/>
      <c r="SY87" s="240"/>
      <c r="SZ87" s="240"/>
      <c r="TA87" s="240"/>
      <c r="TB87" s="240"/>
      <c r="TC87" s="240"/>
      <c r="TD87" s="240"/>
      <c r="TE87" s="240"/>
      <c r="TF87" s="240"/>
      <c r="TG87" s="240"/>
      <c r="TH87" s="240"/>
      <c r="TI87" s="240"/>
      <c r="TJ87" s="240"/>
      <c r="TK87" s="240"/>
      <c r="TL87" s="240"/>
      <c r="TM87" s="240"/>
      <c r="TN87" s="240"/>
      <c r="TO87" s="240"/>
      <c r="TP87" s="240"/>
      <c r="TQ87" s="240"/>
      <c r="TR87" s="240"/>
      <c r="TS87" s="240"/>
      <c r="TT87" s="240"/>
      <c r="TU87" s="240"/>
      <c r="TV87" s="240"/>
      <c r="TW87" s="240"/>
      <c r="TX87" s="240"/>
      <c r="TY87" s="240"/>
      <c r="TZ87" s="240"/>
      <c r="UA87" s="240"/>
      <c r="UB87" s="240"/>
      <c r="UC87" s="240"/>
      <c r="UD87" s="240"/>
      <c r="UE87" s="240"/>
      <c r="UF87" s="240"/>
      <c r="UG87" s="240"/>
      <c r="UH87" s="240"/>
      <c r="UI87" s="240"/>
      <c r="UJ87" s="240"/>
      <c r="UK87" s="240"/>
      <c r="UL87" s="240"/>
      <c r="UM87" s="240"/>
      <c r="UN87" s="240"/>
      <c r="UO87" s="240"/>
      <c r="UP87" s="240"/>
      <c r="UQ87" s="240"/>
      <c r="UR87" s="240"/>
      <c r="US87" s="240"/>
      <c r="UT87" s="240"/>
      <c r="UU87" s="240"/>
      <c r="UV87" s="240"/>
      <c r="UW87" s="240"/>
      <c r="UX87" s="240"/>
      <c r="UY87" s="240"/>
      <c r="UZ87" s="240"/>
      <c r="VA87" s="240"/>
      <c r="VB87" s="240"/>
      <c r="VC87" s="240"/>
      <c r="VD87" s="240"/>
      <c r="VE87" s="240"/>
      <c r="VF87" s="240"/>
      <c r="VG87" s="240"/>
      <c r="VH87" s="240"/>
      <c r="VI87" s="240"/>
      <c r="VJ87" s="240"/>
      <c r="VK87" s="240"/>
      <c r="VL87" s="240"/>
      <c r="VM87" s="240"/>
      <c r="VN87" s="240"/>
      <c r="VO87" s="240"/>
      <c r="VP87" s="240"/>
      <c r="VQ87" s="240"/>
      <c r="VR87" s="240"/>
      <c r="VS87" s="240"/>
      <c r="VT87" s="240"/>
      <c r="VU87" s="240"/>
      <c r="VV87" s="240"/>
      <c r="VW87" s="240"/>
      <c r="VX87" s="240"/>
      <c r="VY87" s="240"/>
      <c r="VZ87" s="240"/>
      <c r="WA87" s="240"/>
      <c r="WB87" s="240"/>
      <c r="WC87" s="240"/>
      <c r="WD87" s="240"/>
      <c r="WE87" s="240"/>
      <c r="WF87" s="240"/>
      <c r="WG87" s="240"/>
      <c r="WH87" s="240"/>
      <c r="WI87" s="240"/>
      <c r="WJ87" s="240"/>
      <c r="WK87" s="240"/>
      <c r="WL87" s="240"/>
      <c r="WM87" s="240"/>
      <c r="WN87" s="240"/>
      <c r="WO87" s="240"/>
      <c r="WP87" s="240"/>
      <c r="WQ87" s="240"/>
      <c r="WR87" s="240"/>
      <c r="WS87" s="240"/>
      <c r="WT87" s="240"/>
      <c r="WU87" s="240"/>
      <c r="WV87" s="240"/>
      <c r="WW87" s="240"/>
      <c r="WX87" s="240"/>
      <c r="WY87" s="240"/>
      <c r="WZ87" s="240"/>
      <c r="XA87" s="240"/>
      <c r="XB87" s="240"/>
      <c r="XC87" s="240"/>
      <c r="XD87" s="240"/>
      <c r="XE87" s="240"/>
      <c r="XF87" s="240"/>
      <c r="XG87" s="240"/>
      <c r="XH87" s="240"/>
      <c r="XI87" s="240"/>
      <c r="XJ87" s="240"/>
      <c r="XK87" s="240"/>
      <c r="XL87" s="240"/>
      <c r="XM87" s="240"/>
      <c r="XN87" s="240"/>
      <c r="XO87" s="240"/>
      <c r="XP87" s="240"/>
      <c r="XQ87" s="240"/>
      <c r="XR87" s="240"/>
      <c r="XS87" s="240"/>
      <c r="XT87" s="240"/>
      <c r="XU87" s="240"/>
      <c r="XV87" s="240"/>
      <c r="XW87" s="240"/>
      <c r="XX87" s="240"/>
      <c r="XY87" s="240"/>
      <c r="XZ87" s="240"/>
      <c r="YA87" s="240"/>
      <c r="YB87" s="240"/>
      <c r="YC87" s="240"/>
      <c r="YD87" s="240"/>
      <c r="YE87" s="240"/>
      <c r="YF87" s="240"/>
      <c r="YG87" s="240"/>
      <c r="YH87" s="240"/>
      <c r="YI87" s="240"/>
      <c r="YJ87" s="240"/>
      <c r="YK87" s="240"/>
      <c r="YL87" s="240"/>
      <c r="YM87" s="240"/>
      <c r="YN87" s="240"/>
      <c r="YO87" s="240"/>
      <c r="YP87" s="240"/>
      <c r="YQ87" s="240"/>
      <c r="YR87" s="240"/>
      <c r="YS87" s="240"/>
      <c r="YT87" s="240"/>
      <c r="YU87" s="240"/>
      <c r="YV87" s="240"/>
      <c r="YW87" s="240"/>
      <c r="YX87" s="240"/>
      <c r="YY87" s="240"/>
      <c r="YZ87" s="240"/>
      <c r="ZA87" s="240"/>
      <c r="ZB87" s="240"/>
      <c r="ZC87" s="240"/>
      <c r="ZD87" s="240"/>
      <c r="ZE87" s="240"/>
      <c r="ZF87" s="240"/>
      <c r="ZG87" s="240"/>
      <c r="ZH87" s="240"/>
      <c r="ZI87" s="240"/>
      <c r="ZJ87" s="240"/>
      <c r="ZK87" s="240"/>
      <c r="ZL87" s="240"/>
      <c r="ZM87" s="240"/>
      <c r="ZN87" s="240"/>
      <c r="ZO87" s="240"/>
      <c r="ZP87" s="240"/>
      <c r="ZQ87" s="240"/>
      <c r="ZR87" s="240"/>
      <c r="ZS87" s="240"/>
      <c r="ZT87" s="240"/>
      <c r="ZU87" s="240"/>
      <c r="ZV87" s="240"/>
      <c r="ZW87" s="240"/>
      <c r="ZX87" s="240"/>
      <c r="ZY87" s="240"/>
      <c r="ZZ87" s="240"/>
      <c r="AAA87" s="240"/>
      <c r="AAB87" s="240"/>
      <c r="AAC87" s="240"/>
      <c r="AAD87" s="240"/>
      <c r="AAE87" s="240"/>
      <c r="AAF87" s="240"/>
      <c r="AAG87" s="240"/>
      <c r="AAH87" s="240"/>
      <c r="AAI87" s="240"/>
      <c r="AAJ87" s="240"/>
      <c r="AAK87" s="240"/>
      <c r="AAL87" s="240"/>
      <c r="AAM87" s="240"/>
      <c r="AAN87" s="240"/>
      <c r="AAO87" s="240"/>
      <c r="AAP87" s="240"/>
      <c r="AAQ87" s="240"/>
      <c r="AAR87" s="240"/>
      <c r="AAS87" s="240"/>
      <c r="AAT87" s="240"/>
      <c r="AAU87" s="240"/>
      <c r="AAV87" s="240"/>
      <c r="AAW87" s="240"/>
      <c r="AAX87" s="240"/>
      <c r="AAY87" s="240"/>
      <c r="AAZ87" s="240"/>
      <c r="ABA87" s="240"/>
      <c r="ABB87" s="240"/>
      <c r="ABC87" s="240"/>
      <c r="ABD87" s="240"/>
      <c r="ABE87" s="240"/>
      <c r="ABF87" s="240"/>
      <c r="ABG87" s="240"/>
      <c r="ABH87" s="240"/>
      <c r="ABI87" s="240"/>
      <c r="ABJ87" s="240"/>
      <c r="ABK87" s="240"/>
      <c r="ABL87" s="240"/>
      <c r="ABM87" s="240"/>
      <c r="ABN87" s="240"/>
      <c r="ABO87" s="240"/>
      <c r="ABP87" s="240"/>
      <c r="ABQ87" s="240"/>
      <c r="ABR87" s="240"/>
      <c r="ABS87" s="240"/>
      <c r="ABT87" s="240"/>
      <c r="ABU87" s="240"/>
      <c r="ABV87" s="240"/>
      <c r="ABW87" s="240"/>
      <c r="ABX87" s="240"/>
      <c r="ABY87" s="240"/>
      <c r="ABZ87" s="240"/>
      <c r="ACA87" s="240"/>
      <c r="ACB87" s="240"/>
      <c r="ACC87" s="240"/>
      <c r="ACD87" s="240"/>
      <c r="ACE87" s="240"/>
      <c r="ACF87" s="240"/>
      <c r="ACG87" s="240"/>
      <c r="ACH87" s="240"/>
      <c r="ACI87" s="240"/>
      <c r="ACJ87" s="240"/>
      <c r="ACK87" s="240"/>
      <c r="ACL87" s="240"/>
      <c r="ACM87" s="240"/>
      <c r="ACN87" s="240"/>
      <c r="ACO87" s="240"/>
      <c r="ACP87" s="240"/>
      <c r="ACQ87" s="240"/>
      <c r="ACR87" s="240"/>
      <c r="ACS87" s="240"/>
      <c r="ACT87" s="240"/>
      <c r="ACU87" s="240"/>
      <c r="ACV87" s="240"/>
      <c r="ACW87" s="240"/>
      <c r="ACX87" s="240"/>
      <c r="ACY87" s="240"/>
      <c r="ACZ87" s="240"/>
      <c r="ADA87" s="240"/>
      <c r="ADB87" s="240"/>
      <c r="ADC87" s="240"/>
      <c r="ADD87" s="240"/>
      <c r="ADE87" s="240"/>
      <c r="ADF87" s="240"/>
      <c r="ADG87" s="240"/>
      <c r="ADH87" s="240"/>
      <c r="ADI87" s="240"/>
      <c r="ADJ87" s="240"/>
      <c r="ADK87" s="240"/>
      <c r="ADL87" s="240"/>
      <c r="ADM87" s="240"/>
      <c r="ADN87" s="240"/>
      <c r="ADO87" s="240"/>
      <c r="ADP87" s="240"/>
      <c r="ADQ87" s="240"/>
      <c r="ADR87" s="240"/>
      <c r="ADS87" s="240"/>
      <c r="ADT87" s="240"/>
      <c r="ADU87" s="240"/>
      <c r="ADV87" s="240"/>
      <c r="ADW87" s="240"/>
      <c r="ADX87" s="240"/>
      <c r="ADY87" s="240"/>
      <c r="ADZ87" s="240"/>
      <c r="AEA87" s="240"/>
      <c r="AEB87" s="240"/>
      <c r="AEC87" s="240"/>
      <c r="AED87" s="240"/>
      <c r="AEE87" s="240"/>
      <c r="AEF87" s="240"/>
      <c r="AEG87" s="240"/>
      <c r="AEH87" s="240"/>
      <c r="AEI87" s="240"/>
      <c r="AEJ87" s="240"/>
      <c r="AEK87" s="240"/>
      <c r="AEL87" s="240"/>
      <c r="AEM87" s="240"/>
      <c r="AEN87" s="240"/>
      <c r="AEO87" s="240"/>
      <c r="AEP87" s="240"/>
      <c r="AEQ87" s="240"/>
      <c r="AER87" s="240"/>
      <c r="AES87" s="240"/>
      <c r="AET87" s="240"/>
      <c r="AEU87" s="240"/>
      <c r="AEV87" s="240"/>
      <c r="AEW87" s="240"/>
      <c r="AEX87" s="240"/>
      <c r="AEY87" s="240"/>
      <c r="AEZ87" s="240"/>
      <c r="AFA87" s="240"/>
      <c r="AFB87" s="240"/>
      <c r="AFC87" s="240"/>
      <c r="AFD87" s="240"/>
      <c r="AFE87" s="240"/>
      <c r="AFF87" s="240"/>
      <c r="AFG87" s="240"/>
      <c r="AFH87" s="240"/>
      <c r="AFI87" s="240"/>
      <c r="AFJ87" s="240"/>
      <c r="AFK87" s="240"/>
      <c r="AFL87" s="240"/>
      <c r="AFM87" s="240"/>
      <c r="AFN87" s="240"/>
      <c r="AFO87" s="240"/>
      <c r="AFP87" s="240"/>
      <c r="AFQ87" s="240"/>
      <c r="AFR87" s="240"/>
      <c r="AFS87" s="240"/>
      <c r="AFT87" s="240"/>
      <c r="AFU87" s="240"/>
      <c r="AFV87" s="240"/>
      <c r="AFW87" s="240"/>
      <c r="AFX87" s="240"/>
      <c r="AFY87" s="240"/>
      <c r="AFZ87" s="240"/>
      <c r="AGA87" s="240"/>
      <c r="AGB87" s="240"/>
      <c r="AGC87" s="240"/>
      <c r="AGD87" s="240"/>
      <c r="AGE87" s="240"/>
      <c r="AGF87" s="240"/>
      <c r="AGG87" s="240"/>
      <c r="AGH87" s="240"/>
      <c r="AGI87" s="240"/>
      <c r="AGJ87" s="240"/>
      <c r="AGK87" s="240"/>
      <c r="AGL87" s="240"/>
      <c r="AGM87" s="240"/>
      <c r="AGN87" s="240"/>
      <c r="AGO87" s="240"/>
      <c r="AGP87" s="240"/>
      <c r="AGQ87" s="240"/>
      <c r="AGR87" s="240"/>
      <c r="AGS87" s="240"/>
      <c r="AGT87" s="240"/>
      <c r="AGU87" s="240"/>
      <c r="AGV87" s="240"/>
      <c r="AGW87" s="240"/>
      <c r="AGX87" s="240"/>
      <c r="AGY87" s="240"/>
      <c r="AGZ87" s="240"/>
      <c r="AHA87" s="240"/>
      <c r="AHB87" s="240"/>
      <c r="AHC87" s="240"/>
      <c r="AHD87" s="240"/>
      <c r="AHE87" s="240"/>
      <c r="AHF87" s="240"/>
      <c r="AHG87" s="240"/>
      <c r="AHH87" s="240"/>
      <c r="AHI87" s="240"/>
      <c r="AHJ87" s="240"/>
      <c r="AHK87" s="240"/>
      <c r="AHL87" s="240"/>
      <c r="AHM87" s="240"/>
      <c r="AHN87" s="240"/>
      <c r="AHO87" s="240"/>
      <c r="AHP87" s="240"/>
      <c r="AHQ87" s="240"/>
      <c r="AHR87" s="240"/>
      <c r="AHS87" s="240"/>
      <c r="AHT87" s="240"/>
      <c r="AHU87" s="240"/>
      <c r="AHV87" s="240"/>
      <c r="AHW87" s="240"/>
      <c r="AHX87" s="240"/>
      <c r="AHY87" s="240"/>
      <c r="AHZ87" s="240"/>
      <c r="AIA87" s="240"/>
      <c r="AIB87" s="240"/>
      <c r="AIC87" s="240"/>
      <c r="AID87" s="240"/>
      <c r="AIE87" s="240"/>
      <c r="AIF87" s="240"/>
      <c r="AIG87" s="240"/>
      <c r="AIH87" s="240"/>
      <c r="AII87" s="240"/>
      <c r="AIJ87" s="240"/>
      <c r="AIK87" s="240"/>
      <c r="AIL87" s="240"/>
      <c r="AIM87" s="240"/>
      <c r="AIN87" s="240"/>
      <c r="AIO87" s="240"/>
      <c r="AIP87" s="240"/>
      <c r="AIQ87" s="240"/>
      <c r="AIR87" s="240"/>
      <c r="AIS87" s="240"/>
      <c r="AIT87" s="240"/>
      <c r="AIU87" s="240"/>
      <c r="AIV87" s="240"/>
      <c r="AIW87" s="240"/>
      <c r="AIX87" s="240"/>
      <c r="AIY87" s="240"/>
      <c r="AIZ87" s="240"/>
      <c r="AJA87" s="240"/>
      <c r="AJB87" s="240"/>
      <c r="AJC87" s="240"/>
      <c r="AJD87" s="240"/>
      <c r="AJE87" s="240"/>
      <c r="AJF87" s="240"/>
      <c r="AJG87" s="240"/>
      <c r="AJH87" s="240"/>
      <c r="AJI87" s="240"/>
      <c r="AJJ87" s="240"/>
      <c r="AJK87" s="240"/>
      <c r="AJL87" s="240"/>
      <c r="AJM87" s="240"/>
      <c r="AJN87" s="240"/>
      <c r="AJO87" s="240"/>
      <c r="AJP87" s="240"/>
      <c r="AJQ87" s="240"/>
      <c r="AJR87" s="240"/>
      <c r="AJS87" s="240"/>
      <c r="AJT87" s="240"/>
      <c r="AJU87" s="240"/>
      <c r="AJV87" s="240"/>
      <c r="AJW87" s="240"/>
      <c r="AJX87" s="240"/>
      <c r="AJY87" s="240"/>
      <c r="AJZ87" s="240"/>
      <c r="AKA87" s="240"/>
      <c r="AKB87" s="240"/>
      <c r="AKC87" s="240"/>
      <c r="AKD87" s="240"/>
      <c r="AKE87" s="240"/>
      <c r="AKF87" s="240"/>
      <c r="AKG87" s="240"/>
      <c r="AKH87" s="240"/>
      <c r="AKI87" s="240"/>
      <c r="AKJ87" s="240"/>
      <c r="AKK87" s="240"/>
      <c r="AKL87" s="240"/>
      <c r="AKM87" s="240"/>
      <c r="AKN87" s="240"/>
      <c r="AKO87" s="240"/>
      <c r="AKP87" s="240"/>
      <c r="AKQ87" s="240"/>
      <c r="AKR87" s="240"/>
      <c r="AKS87" s="240"/>
      <c r="AKT87" s="240"/>
      <c r="AKU87" s="240"/>
      <c r="AKV87" s="240"/>
      <c r="AKW87" s="240"/>
      <c r="AKX87" s="240"/>
      <c r="AKY87" s="240"/>
      <c r="AKZ87" s="240"/>
      <c r="ALA87" s="240"/>
      <c r="ALB87" s="240"/>
      <c r="ALC87" s="240"/>
      <c r="ALD87" s="240"/>
      <c r="ALE87" s="240"/>
      <c r="ALF87" s="240"/>
      <c r="ALG87" s="240"/>
      <c r="ALH87" s="240"/>
      <c r="ALI87" s="240"/>
      <c r="ALJ87" s="240"/>
      <c r="ALK87" s="240"/>
      <c r="ALL87" s="240"/>
      <c r="ALM87" s="240"/>
      <c r="ALN87" s="240"/>
      <c r="ALO87" s="240"/>
      <c r="ALP87" s="240"/>
      <c r="ALQ87" s="240"/>
      <c r="ALR87" s="240"/>
      <c r="ALS87" s="240"/>
      <c r="ALT87" s="240"/>
      <c r="ALU87" s="240"/>
      <c r="ALV87" s="240"/>
      <c r="ALW87" s="240"/>
      <c r="ALX87" s="240"/>
      <c r="ALY87" s="240"/>
      <c r="ALZ87" s="240"/>
      <c r="AMA87" s="240"/>
      <c r="AMB87" s="240"/>
      <c r="AMC87" s="240"/>
      <c r="AMD87" s="240"/>
      <c r="AME87" s="240"/>
      <c r="AMF87" s="240"/>
      <c r="AMG87" s="240"/>
      <c r="AMH87" s="240"/>
      <c r="AMI87" s="240"/>
      <c r="AMJ87" s="240"/>
      <c r="AMK87" s="240"/>
    </row>
    <row r="88" spans="1:1025" s="240" customFormat="1" ht="13.5" customHeight="1" thickTop="1" thickBot="1">
      <c r="B88" s="135" t="s">
        <v>2492</v>
      </c>
      <c r="C88" s="163"/>
      <c r="D88" s="164"/>
      <c r="E88" s="164"/>
      <c r="F88" s="163"/>
      <c r="G88" s="163"/>
      <c r="H88" s="163"/>
      <c r="I88" s="163"/>
      <c r="J88" s="163"/>
      <c r="K88" s="163"/>
      <c r="L88" s="165"/>
    </row>
    <row r="89" spans="1:1025" s="240" customFormat="1" ht="13.5" customHeight="1" thickTop="1" thickBot="1">
      <c r="B89" s="156"/>
      <c r="C89" s="187" t="s">
        <v>2493</v>
      </c>
      <c r="D89" s="166" t="s">
        <v>20</v>
      </c>
      <c r="E89" s="166" t="s">
        <v>20</v>
      </c>
      <c r="F89" s="202" t="s">
        <v>2494</v>
      </c>
      <c r="G89" s="166" t="s">
        <v>931</v>
      </c>
      <c r="H89" s="167"/>
      <c r="I89" s="166"/>
      <c r="J89" s="167"/>
      <c r="K89" s="166"/>
      <c r="L89" s="167"/>
    </row>
    <row r="90" spans="1:1025" s="240" customFormat="1" ht="14.25" thickTop="1" thickBot="1">
      <c r="B90" s="156"/>
      <c r="C90" s="187" t="s">
        <v>2495</v>
      </c>
      <c r="D90" s="166" t="s">
        <v>2496</v>
      </c>
      <c r="E90" s="168" t="s">
        <v>2497</v>
      </c>
      <c r="F90" s="202" t="s">
        <v>2498</v>
      </c>
      <c r="G90" s="166" t="s">
        <v>2350</v>
      </c>
      <c r="H90" s="167"/>
      <c r="I90" s="166"/>
      <c r="J90" s="167"/>
      <c r="K90" s="166"/>
      <c r="L90" s="167"/>
    </row>
    <row r="91" spans="1:1025" s="240" customFormat="1" ht="14.25" thickTop="1" thickBot="1">
      <c r="B91" s="156"/>
      <c r="C91" s="187" t="s">
        <v>2499</v>
      </c>
      <c r="D91" s="166" t="s">
        <v>2500</v>
      </c>
      <c r="E91" s="168" t="s">
        <v>2497</v>
      </c>
      <c r="F91" s="202" t="s">
        <v>2479</v>
      </c>
      <c r="G91" s="166" t="s">
        <v>2338</v>
      </c>
      <c r="H91" s="167"/>
      <c r="I91" s="166"/>
      <c r="J91" s="167"/>
      <c r="K91" s="166"/>
      <c r="L91" s="167"/>
    </row>
    <row r="92" spans="1:1025" s="240" customFormat="1" ht="14.25" thickTop="1" thickBot="1">
      <c r="B92" s="169"/>
      <c r="C92" s="187" t="s">
        <v>2331</v>
      </c>
      <c r="D92" s="166" t="s">
        <v>2501</v>
      </c>
      <c r="E92" s="168" t="s">
        <v>2502</v>
      </c>
      <c r="F92" s="202" t="s">
        <v>2498</v>
      </c>
      <c r="G92" s="166" t="s">
        <v>2350</v>
      </c>
      <c r="H92" s="167"/>
      <c r="I92" s="166"/>
      <c r="J92" s="167"/>
      <c r="K92" s="166"/>
      <c r="L92" s="167"/>
    </row>
    <row r="93" spans="1:1025" ht="14.25" thickTop="1" thickBot="1"/>
    <row r="94" spans="1:1025" s="240" customFormat="1" ht="13.5" customHeight="1" thickTop="1" thickBot="1">
      <c r="B94" s="135" t="s">
        <v>2503</v>
      </c>
      <c r="C94" s="163"/>
      <c r="D94" s="164"/>
      <c r="E94" s="164"/>
      <c r="F94" s="163"/>
      <c r="G94" s="163"/>
      <c r="H94" s="163"/>
      <c r="I94" s="163"/>
      <c r="J94" s="163"/>
      <c r="K94" s="163"/>
      <c r="L94" s="165"/>
    </row>
    <row r="95" spans="1:1025" s="240" customFormat="1" ht="14.25" thickTop="1" thickBot="1">
      <c r="B95" s="169"/>
      <c r="C95" s="187" t="s">
        <v>2304</v>
      </c>
      <c r="D95" s="166" t="s">
        <v>2504</v>
      </c>
      <c r="E95" s="168" t="s">
        <v>2505</v>
      </c>
      <c r="F95" s="202" t="s">
        <v>2290</v>
      </c>
      <c r="G95" s="166" t="s">
        <v>931</v>
      </c>
      <c r="H95" s="167"/>
      <c r="I95" s="166"/>
      <c r="J95" s="167"/>
      <c r="K95" s="166"/>
      <c r="L95" s="167"/>
    </row>
    <row r="96" spans="1:1025" ht="14.25" thickTop="1" thickBot="1"/>
    <row r="97" spans="2:12" s="240" customFormat="1" ht="13.5" customHeight="1" thickTop="1" thickBot="1">
      <c r="B97" s="135" t="s">
        <v>2506</v>
      </c>
      <c r="C97" s="163"/>
      <c r="D97" s="164"/>
      <c r="E97" s="164"/>
      <c r="F97" s="163"/>
      <c r="G97" s="163"/>
      <c r="H97" s="163"/>
      <c r="I97" s="163"/>
      <c r="J97" s="163"/>
      <c r="K97" s="163"/>
      <c r="L97" s="165"/>
    </row>
    <row r="98" spans="2:12" s="240" customFormat="1" ht="13.5" customHeight="1" thickTop="1" thickBot="1">
      <c r="B98" s="156"/>
      <c r="C98" s="187" t="s">
        <v>1678</v>
      </c>
      <c r="D98" s="166" t="s">
        <v>20</v>
      </c>
      <c r="E98" s="166" t="s">
        <v>20</v>
      </c>
      <c r="F98" s="202" t="s">
        <v>2507</v>
      </c>
      <c r="G98" s="166" t="s">
        <v>931</v>
      </c>
      <c r="H98" s="167"/>
      <c r="I98" s="166"/>
      <c r="J98" s="167"/>
      <c r="K98" s="166"/>
      <c r="L98" s="167"/>
    </row>
    <row r="99" spans="2:12" s="240" customFormat="1" ht="14.25" thickTop="1" thickBot="1">
      <c r="B99" s="156"/>
      <c r="C99" s="187" t="s">
        <v>2508</v>
      </c>
      <c r="D99" s="166" t="s">
        <v>2509</v>
      </c>
      <c r="E99" s="168" t="s">
        <v>2510</v>
      </c>
      <c r="F99" s="202" t="s">
        <v>2318</v>
      </c>
      <c r="G99" s="166" t="s">
        <v>2350</v>
      </c>
      <c r="H99" s="167"/>
      <c r="I99" s="166"/>
      <c r="J99" s="167"/>
      <c r="K99" s="166"/>
      <c r="L99" s="167"/>
    </row>
    <row r="100" spans="2:12" s="240" customFormat="1" ht="14.25" thickTop="1" thickBot="1">
      <c r="B100" s="156"/>
      <c r="C100" s="187" t="s">
        <v>2511</v>
      </c>
      <c r="D100" s="166" t="s">
        <v>2512</v>
      </c>
      <c r="E100" s="168" t="s">
        <v>2513</v>
      </c>
      <c r="F100" s="202" t="s">
        <v>2323</v>
      </c>
      <c r="G100" s="166" t="s">
        <v>2358</v>
      </c>
      <c r="H100" s="167"/>
      <c r="I100" s="166"/>
      <c r="J100" s="167"/>
      <c r="K100" s="166"/>
      <c r="L100" s="167"/>
    </row>
    <row r="101" spans="2:12" s="240" customFormat="1" ht="14.25" thickTop="1" thickBot="1">
      <c r="B101" s="156"/>
      <c r="C101" s="187" t="s">
        <v>2514</v>
      </c>
      <c r="D101" s="166" t="s">
        <v>2515</v>
      </c>
      <c r="E101" s="168" t="s">
        <v>2516</v>
      </c>
      <c r="F101" s="202" t="s">
        <v>2271</v>
      </c>
      <c r="G101" s="166" t="s">
        <v>2338</v>
      </c>
      <c r="H101" s="167"/>
      <c r="I101" s="166"/>
      <c r="J101" s="167"/>
      <c r="K101" s="166"/>
      <c r="L101" s="167"/>
    </row>
    <row r="102" spans="2:12" s="240" customFormat="1" ht="14.25" thickTop="1" thickBot="1">
      <c r="B102" s="156"/>
      <c r="C102" s="187" t="s">
        <v>2517</v>
      </c>
      <c r="D102" s="166" t="s">
        <v>2518</v>
      </c>
      <c r="E102" s="168" t="s">
        <v>2519</v>
      </c>
      <c r="F102" s="202" t="s">
        <v>2308</v>
      </c>
      <c r="G102" s="166" t="s">
        <v>2358</v>
      </c>
      <c r="H102" s="167"/>
      <c r="I102" s="166"/>
      <c r="J102" s="167"/>
      <c r="K102" s="166"/>
      <c r="L102" s="167"/>
    </row>
    <row r="103" spans="2:12" s="240" customFormat="1" ht="14.25" thickTop="1" thickBot="1">
      <c r="B103" s="156"/>
      <c r="C103" s="187" t="s">
        <v>2351</v>
      </c>
      <c r="D103" s="166" t="s">
        <v>2520</v>
      </c>
      <c r="E103" s="168" t="s">
        <v>2521</v>
      </c>
      <c r="F103" s="202" t="s">
        <v>2318</v>
      </c>
      <c r="G103" s="166" t="s">
        <v>2364</v>
      </c>
      <c r="H103" s="167"/>
      <c r="I103" s="166"/>
      <c r="J103" s="167"/>
      <c r="K103" s="166"/>
      <c r="L103" s="167"/>
    </row>
    <row r="104" spans="2:12" s="240" customFormat="1" ht="14.25" thickTop="1" thickBot="1">
      <c r="B104" s="156"/>
      <c r="C104" s="187" t="s">
        <v>2355</v>
      </c>
      <c r="D104" s="166" t="s">
        <v>2522</v>
      </c>
      <c r="E104" s="168" t="s">
        <v>2523</v>
      </c>
      <c r="F104" s="202" t="s">
        <v>2318</v>
      </c>
      <c r="G104" s="166" t="s">
        <v>2364</v>
      </c>
      <c r="H104" s="167"/>
      <c r="I104" s="166"/>
      <c r="J104" s="167"/>
      <c r="K104" s="166"/>
      <c r="L104" s="167"/>
    </row>
    <row r="105" spans="2:12" s="240" customFormat="1" ht="14.25" thickTop="1" thickBot="1">
      <c r="B105" s="156"/>
      <c r="C105" s="187" t="s">
        <v>2524</v>
      </c>
      <c r="D105" s="166" t="s">
        <v>20</v>
      </c>
      <c r="E105" s="166" t="s">
        <v>20</v>
      </c>
      <c r="F105" s="202" t="s">
        <v>2366</v>
      </c>
      <c r="G105" s="166" t="s">
        <v>931</v>
      </c>
      <c r="H105" s="167"/>
      <c r="I105" s="166"/>
      <c r="J105" s="167"/>
      <c r="K105" s="166"/>
      <c r="L105" s="167"/>
    </row>
    <row r="106" spans="2:12" s="240" customFormat="1" ht="14.25" thickTop="1" thickBot="1">
      <c r="B106" s="156"/>
      <c r="C106" s="187" t="s">
        <v>2525</v>
      </c>
      <c r="D106" s="166" t="s">
        <v>2526</v>
      </c>
      <c r="E106" s="168" t="s">
        <v>2527</v>
      </c>
      <c r="F106" s="202" t="s">
        <v>2308</v>
      </c>
      <c r="G106" s="166" t="s">
        <v>2314</v>
      </c>
      <c r="H106" s="167"/>
      <c r="I106" s="166"/>
      <c r="J106" s="167"/>
      <c r="K106" s="166"/>
      <c r="L106" s="167"/>
    </row>
    <row r="107" spans="2:12" s="240" customFormat="1" ht="14.25" thickTop="1" thickBot="1">
      <c r="B107" s="169"/>
      <c r="C107" s="187" t="s">
        <v>1723</v>
      </c>
      <c r="D107" s="166" t="s">
        <v>2528</v>
      </c>
      <c r="E107" s="168" t="s">
        <v>2502</v>
      </c>
      <c r="F107" s="202" t="s">
        <v>2271</v>
      </c>
      <c r="G107" s="166" t="s">
        <v>2364</v>
      </c>
      <c r="H107" s="167"/>
      <c r="I107" s="166"/>
      <c r="J107" s="167"/>
      <c r="K107" s="166"/>
      <c r="L107" s="167"/>
    </row>
    <row r="108" spans="2:12" ht="13.5" thickTop="1"/>
  </sheetData>
  <phoneticPr fontId="6"/>
  <dataValidations count="1">
    <dataValidation type="list" allowBlank="1" showInputMessage="1" showErrorMessage="1" sqref="F16:G16 K27 F27:G27 J18:J27 H18:H27 H53:H57 J60:J63 J8:J16 I16 I27 K16 H8:H16 H29:H37 J29:J37 H40:H44 J40:J44 J47:J50 H47:H50 J53:J57 H60:H63 H66:H78 J66:J78 J81:J86 H81:H86 J89:J92 H89:H92 J98:J107 H98:H107 J95 H95">
      <formula1>$F$1:$F$4</formula1>
    </dataValidation>
  </dataValidations>
  <pageMargins left="0" right="0" top="0.62986111111111098" bottom="0.43333333333333302" header="0.59027777777777801" footer="0.39374999999999999"/>
  <pageSetup paperSize="9" firstPageNumber="0" fitToHeight="99" orientation="portrait" verticalDpi="0" r:id="rId1"/>
  <headerFooter>
    <oddHeader>&amp;C&amp;A</oddHeader>
    <oddFooter>&amp;Cページ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MK112"/>
  <sheetViews>
    <sheetView showGridLines="0" zoomScaleNormal="100" workbookViewId="0">
      <pane ySplit="6" topLeftCell="A82" activePane="bottomLeft" state="frozen"/>
      <selection activeCell="N328" sqref="N328"/>
      <selection pane="bottomLeft" activeCell="E23" sqref="E23"/>
    </sheetView>
  </sheetViews>
  <sheetFormatPr defaultColWidth="9.140625" defaultRowHeight="12.75"/>
  <cols>
    <col min="1" max="1" width="2.7109375" style="240" customWidth="1"/>
    <col min="2" max="2" width="9.140625" style="240"/>
    <col min="3" max="3" width="6.140625" style="159" customWidth="1"/>
    <col min="4" max="4" width="12.7109375" style="240" bestFit="1" customWidth="1"/>
    <col min="5" max="5" width="81.140625" style="240" customWidth="1"/>
    <col min="6" max="11" width="18.140625" style="240" customWidth="1"/>
    <col min="12" max="12" width="58.7109375" style="240" customWidth="1"/>
    <col min="13" max="1025" width="9.140625" style="240"/>
    <col min="1026" max="16384" width="9.140625" style="123"/>
  </cols>
  <sheetData>
    <row r="1" spans="2:13">
      <c r="E1" s="158" t="s">
        <v>2295</v>
      </c>
      <c r="F1" s="125" t="s">
        <v>207</v>
      </c>
      <c r="G1" s="125"/>
      <c r="H1" s="124" t="s">
        <v>2296</v>
      </c>
      <c r="I1" s="124"/>
      <c r="J1" s="124"/>
    </row>
    <row r="2" spans="2:13">
      <c r="F2" s="125" t="s">
        <v>20</v>
      </c>
      <c r="G2" s="125"/>
      <c r="H2" s="124" t="s">
        <v>2297</v>
      </c>
      <c r="I2" s="124"/>
      <c r="J2" s="124"/>
    </row>
    <row r="3" spans="2:13">
      <c r="F3" s="125"/>
      <c r="G3" s="125"/>
    </row>
    <row r="4" spans="2:13" ht="13.5" thickBot="1">
      <c r="B4" s="123" t="s">
        <v>2298</v>
      </c>
      <c r="F4" s="125"/>
      <c r="G4" s="125"/>
    </row>
    <row r="5" spans="2:13" ht="14.1" customHeight="1" thickTop="1" thickBot="1">
      <c r="B5" s="123"/>
      <c r="C5" s="123"/>
      <c r="D5" s="123"/>
      <c r="E5" s="123"/>
      <c r="F5" s="205" t="s">
        <v>2299</v>
      </c>
      <c r="G5" s="206"/>
      <c r="H5" s="206"/>
      <c r="I5" s="206"/>
      <c r="J5" s="206"/>
      <c r="K5" s="207"/>
      <c r="L5" s="123"/>
    </row>
    <row r="6" spans="2:13" ht="48.75" customHeight="1" thickTop="1" thickBot="1">
      <c r="B6" s="161" t="s">
        <v>191</v>
      </c>
      <c r="C6" s="162" t="s">
        <v>192</v>
      </c>
      <c r="D6" s="161"/>
      <c r="E6" s="161" t="s">
        <v>193</v>
      </c>
      <c r="F6" s="395" t="s">
        <v>2990</v>
      </c>
      <c r="G6" s="204" t="s">
        <v>2300</v>
      </c>
      <c r="H6" s="203" t="s">
        <v>1674</v>
      </c>
      <c r="I6" s="204" t="s">
        <v>2300</v>
      </c>
      <c r="J6" s="203" t="s">
        <v>2301</v>
      </c>
      <c r="K6" s="204" t="s">
        <v>2300</v>
      </c>
      <c r="L6" s="160" t="s">
        <v>186</v>
      </c>
    </row>
    <row r="7" spans="2:13" s="240" customFormat="1" ht="13.5" customHeight="1" thickTop="1" thickBot="1">
      <c r="B7" s="135" t="s">
        <v>2302</v>
      </c>
      <c r="C7" s="163"/>
      <c r="D7" s="164"/>
      <c r="E7" s="164"/>
      <c r="F7" s="163"/>
      <c r="G7" s="163"/>
      <c r="H7" s="163"/>
      <c r="I7" s="163"/>
      <c r="J7" s="163"/>
      <c r="K7" s="163"/>
      <c r="L7" s="165"/>
    </row>
    <row r="8" spans="2:13" s="240" customFormat="1" ht="13.5" customHeight="1" thickTop="1" thickBot="1">
      <c r="B8" s="156"/>
      <c r="C8" s="187" t="s">
        <v>2303</v>
      </c>
      <c r="D8" s="166" t="s">
        <v>6</v>
      </c>
      <c r="E8" s="166" t="s">
        <v>6</v>
      </c>
      <c r="F8" s="202" t="s">
        <v>2304</v>
      </c>
      <c r="G8" s="166" t="s">
        <v>6</v>
      </c>
      <c r="H8" s="167"/>
      <c r="I8" s="166"/>
      <c r="J8" s="167"/>
      <c r="K8" s="166"/>
      <c r="L8" s="167"/>
    </row>
    <row r="9" spans="2:13" s="240" customFormat="1" ht="13.5" customHeight="1" thickTop="1" thickBot="1">
      <c r="B9" s="156"/>
      <c r="C9" s="187" t="s">
        <v>2305</v>
      </c>
      <c r="D9" s="166" t="s">
        <v>2306</v>
      </c>
      <c r="E9" s="166" t="s">
        <v>2307</v>
      </c>
      <c r="F9" s="202" t="s">
        <v>2308</v>
      </c>
      <c r="G9" s="166" t="s">
        <v>2309</v>
      </c>
      <c r="H9" s="167"/>
      <c r="I9" s="166"/>
      <c r="J9" s="167"/>
      <c r="K9" s="166"/>
      <c r="L9" s="167"/>
    </row>
    <row r="10" spans="2:13" s="240" customFormat="1" ht="13.5" customHeight="1" thickTop="1" thickBot="1">
      <c r="B10" s="156"/>
      <c r="C10" s="187" t="s">
        <v>2310</v>
      </c>
      <c r="D10" s="166" t="s">
        <v>2311</v>
      </c>
      <c r="E10" s="166" t="s">
        <v>2312</v>
      </c>
      <c r="F10" s="202" t="s">
        <v>2313</v>
      </c>
      <c r="G10" s="166" t="s">
        <v>2314</v>
      </c>
      <c r="H10" s="167"/>
      <c r="I10" s="199"/>
      <c r="J10" s="167"/>
      <c r="K10" s="199"/>
      <c r="L10" s="167"/>
    </row>
    <row r="11" spans="2:13" s="240" customFormat="1" ht="13.5" customHeight="1" thickTop="1" thickBot="1">
      <c r="B11" s="156"/>
      <c r="C11" s="187" t="s">
        <v>2315</v>
      </c>
      <c r="D11" s="166" t="s">
        <v>2316</v>
      </c>
      <c r="E11" s="166" t="s">
        <v>2317</v>
      </c>
      <c r="F11" s="202" t="s">
        <v>2318</v>
      </c>
      <c r="G11" s="199" t="s">
        <v>2319</v>
      </c>
      <c r="H11" s="167"/>
      <c r="I11" s="200"/>
      <c r="J11" s="167"/>
      <c r="K11" s="200"/>
      <c r="L11" s="167"/>
    </row>
    <row r="12" spans="2:13" s="240" customFormat="1" ht="13.5" customHeight="1" thickTop="1" thickBot="1">
      <c r="B12" s="156"/>
      <c r="C12" s="187" t="s">
        <v>2320</v>
      </c>
      <c r="D12" s="166" t="s">
        <v>2321</v>
      </c>
      <c r="E12" s="168" t="s">
        <v>2322</v>
      </c>
      <c r="F12" s="202" t="s">
        <v>2557</v>
      </c>
      <c r="G12" s="166" t="s">
        <v>2385</v>
      </c>
      <c r="H12" s="167"/>
      <c r="I12" s="166"/>
      <c r="J12" s="167"/>
      <c r="K12" s="166"/>
      <c r="L12" s="167"/>
    </row>
    <row r="13" spans="2:13" s="240" customFormat="1" ht="14.25" thickTop="1" thickBot="1">
      <c r="B13" s="156"/>
      <c r="C13" s="187" t="s">
        <v>2325</v>
      </c>
      <c r="D13" s="166" t="s">
        <v>2326</v>
      </c>
      <c r="E13" s="168" t="s">
        <v>2327</v>
      </c>
      <c r="F13" s="202" t="s">
        <v>2557</v>
      </c>
      <c r="G13" s="166" t="s">
        <v>2385</v>
      </c>
      <c r="H13" s="167"/>
      <c r="I13" s="166"/>
      <c r="J13" s="167"/>
      <c r="K13" s="166"/>
      <c r="L13" s="167"/>
    </row>
    <row r="14" spans="2:13" s="240" customFormat="1" ht="14.25" thickTop="1" thickBot="1">
      <c r="B14" s="156"/>
      <c r="C14" s="187" t="s">
        <v>2328</v>
      </c>
      <c r="D14" s="166" t="s">
        <v>2329</v>
      </c>
      <c r="E14" s="168" t="s">
        <v>2330</v>
      </c>
      <c r="F14" s="202" t="s">
        <v>2323</v>
      </c>
      <c r="G14" s="166" t="s">
        <v>2324</v>
      </c>
      <c r="H14" s="167"/>
      <c r="I14" s="166"/>
      <c r="J14" s="167"/>
      <c r="K14" s="166"/>
      <c r="L14" s="194"/>
    </row>
    <row r="15" spans="2:13" s="240" customFormat="1" ht="14.25" thickTop="1" thickBot="1">
      <c r="B15" s="169"/>
      <c r="C15" s="187" t="s">
        <v>2331</v>
      </c>
      <c r="D15" s="166" t="s">
        <v>2332</v>
      </c>
      <c r="E15" s="168" t="s">
        <v>2333</v>
      </c>
      <c r="F15" s="202" t="s">
        <v>2308</v>
      </c>
      <c r="G15" s="201" t="s">
        <v>2334</v>
      </c>
      <c r="H15" s="167"/>
      <c r="I15" s="201"/>
      <c r="J15" s="167"/>
      <c r="K15" s="201"/>
      <c r="L15" s="194"/>
      <c r="M15" s="197"/>
    </row>
    <row r="16" spans="2:13" s="240" customFormat="1" ht="13.5" customHeight="1" thickTop="1" thickBot="1">
      <c r="B16" s="186"/>
      <c r="C16" s="183"/>
      <c r="D16" s="184"/>
      <c r="E16" s="184"/>
      <c r="F16" s="185"/>
      <c r="G16" s="185"/>
      <c r="H16" s="185"/>
      <c r="I16" s="185"/>
      <c r="J16" s="185"/>
      <c r="K16" s="185"/>
      <c r="L16" s="185"/>
    </row>
    <row r="17" spans="2:12" s="240" customFormat="1" ht="13.5" customHeight="1" thickTop="1" thickBot="1">
      <c r="B17" s="135" t="s">
        <v>2335</v>
      </c>
      <c r="C17" s="163"/>
      <c r="D17" s="164"/>
      <c r="E17" s="164"/>
      <c r="F17" s="163"/>
      <c r="G17" s="163"/>
      <c r="H17" s="163"/>
      <c r="I17" s="163"/>
      <c r="J17" s="163"/>
      <c r="K17" s="163"/>
      <c r="L17" s="165"/>
    </row>
    <row r="18" spans="2:12" s="240" customFormat="1" ht="13.5" customHeight="1" thickTop="1" thickBot="1">
      <c r="B18" s="156"/>
      <c r="C18" s="187" t="s">
        <v>2303</v>
      </c>
      <c r="D18" s="166" t="s">
        <v>20</v>
      </c>
      <c r="E18" s="166" t="s">
        <v>20</v>
      </c>
      <c r="F18" s="202" t="s">
        <v>2304</v>
      </c>
      <c r="G18" s="166" t="s">
        <v>6</v>
      </c>
      <c r="H18" s="167"/>
      <c r="I18" s="166"/>
      <c r="J18" s="167"/>
      <c r="K18" s="166"/>
      <c r="L18" s="167"/>
    </row>
    <row r="19" spans="2:12" s="240" customFormat="1" ht="13.5" customHeight="1" thickTop="1" thickBot="1">
      <c r="B19" s="156"/>
      <c r="C19" s="187" t="s">
        <v>2305</v>
      </c>
      <c r="D19" s="166" t="s">
        <v>2336</v>
      </c>
      <c r="E19" s="166" t="s">
        <v>2337</v>
      </c>
      <c r="F19" s="202" t="s">
        <v>2308</v>
      </c>
      <c r="G19" s="166" t="s">
        <v>2338</v>
      </c>
      <c r="H19" s="167"/>
      <c r="I19" s="166"/>
      <c r="J19" s="167"/>
      <c r="K19" s="166"/>
      <c r="L19" s="167"/>
    </row>
    <row r="20" spans="2:12" s="240" customFormat="1" ht="13.5" customHeight="1" thickTop="1" thickBot="1">
      <c r="B20" s="156"/>
      <c r="C20" s="187" t="s">
        <v>2339</v>
      </c>
      <c r="D20" s="166" t="s">
        <v>2340</v>
      </c>
      <c r="E20" s="168" t="s">
        <v>2341</v>
      </c>
      <c r="F20" s="202" t="s">
        <v>2318</v>
      </c>
      <c r="G20" s="166" t="s">
        <v>2342</v>
      </c>
      <c r="H20" s="167"/>
      <c r="I20" s="166"/>
      <c r="J20" s="167"/>
      <c r="K20" s="166"/>
      <c r="L20" s="194"/>
    </row>
    <row r="21" spans="2:12" s="240" customFormat="1" ht="13.5" customHeight="1" thickTop="1" thickBot="1">
      <c r="B21" s="156"/>
      <c r="C21" s="187" t="s">
        <v>2343</v>
      </c>
      <c r="D21" s="166" t="s">
        <v>2344</v>
      </c>
      <c r="E21" s="168" t="s">
        <v>2345</v>
      </c>
      <c r="F21" s="202" t="s">
        <v>2318</v>
      </c>
      <c r="G21" s="166" t="s">
        <v>2346</v>
      </c>
      <c r="H21" s="167"/>
      <c r="I21" s="166"/>
      <c r="J21" s="167"/>
      <c r="K21" s="166"/>
      <c r="L21" s="194"/>
    </row>
    <row r="22" spans="2:12" s="240" customFormat="1" ht="13.5" customHeight="1" thickTop="1" thickBot="1">
      <c r="B22" s="156"/>
      <c r="C22" s="187" t="s">
        <v>2347</v>
      </c>
      <c r="D22" s="166" t="s">
        <v>2348</v>
      </c>
      <c r="E22" s="166" t="s">
        <v>2349</v>
      </c>
      <c r="F22" s="202" t="s">
        <v>2318</v>
      </c>
      <c r="G22" s="166" t="s">
        <v>2350</v>
      </c>
      <c r="H22" s="167"/>
      <c r="I22" s="166"/>
      <c r="J22" s="167"/>
      <c r="K22" s="166"/>
      <c r="L22" s="167"/>
    </row>
    <row r="23" spans="2:12" s="240" customFormat="1" ht="13.5" customHeight="1" thickTop="1" thickBot="1">
      <c r="B23" s="156"/>
      <c r="C23" s="187" t="s">
        <v>2351</v>
      </c>
      <c r="D23" s="166" t="s">
        <v>2352</v>
      </c>
      <c r="E23" s="166" t="s">
        <v>2353</v>
      </c>
      <c r="F23" s="202" t="s">
        <v>2318</v>
      </c>
      <c r="G23" s="166" t="s">
        <v>2354</v>
      </c>
      <c r="H23" s="167"/>
      <c r="I23" s="166"/>
      <c r="J23" s="167"/>
      <c r="K23" s="166"/>
      <c r="L23" s="167"/>
    </row>
    <row r="24" spans="2:12" s="240" customFormat="1" ht="13.5" customHeight="1" thickTop="1" thickBot="1">
      <c r="B24" s="156"/>
      <c r="C24" s="187" t="s">
        <v>2355</v>
      </c>
      <c r="D24" s="166" t="s">
        <v>2356</v>
      </c>
      <c r="E24" s="168" t="s">
        <v>2357</v>
      </c>
      <c r="F24" s="202" t="s">
        <v>2318</v>
      </c>
      <c r="G24" s="166" t="s">
        <v>2358</v>
      </c>
      <c r="H24" s="167"/>
      <c r="I24" s="166"/>
      <c r="J24" s="167"/>
      <c r="K24" s="166"/>
      <c r="L24" s="167"/>
    </row>
    <row r="25" spans="2:12" s="240" customFormat="1" ht="14.25" thickTop="1" thickBot="1">
      <c r="B25" s="156"/>
      <c r="C25" s="187" t="s">
        <v>2244</v>
      </c>
      <c r="D25" s="166" t="s">
        <v>2359</v>
      </c>
      <c r="E25" s="168" t="s">
        <v>2360</v>
      </c>
      <c r="F25" s="202" t="s">
        <v>2361</v>
      </c>
      <c r="G25" s="166" t="s">
        <v>2314</v>
      </c>
      <c r="H25" s="167"/>
      <c r="I25" s="166"/>
      <c r="J25" s="167"/>
      <c r="K25" s="166"/>
      <c r="L25" s="167"/>
    </row>
    <row r="26" spans="2:12" s="240" customFormat="1" ht="14.25" thickTop="1" thickBot="1">
      <c r="B26" s="169"/>
      <c r="C26" s="187" t="s">
        <v>2247</v>
      </c>
      <c r="D26" s="166" t="s">
        <v>2362</v>
      </c>
      <c r="E26" s="168" t="s">
        <v>2363</v>
      </c>
      <c r="F26" s="202" t="s">
        <v>2318</v>
      </c>
      <c r="G26" s="166" t="s">
        <v>2364</v>
      </c>
      <c r="H26" s="167"/>
      <c r="I26" s="166"/>
      <c r="J26" s="167"/>
      <c r="K26" s="166"/>
      <c r="L26" s="167"/>
    </row>
    <row r="27" spans="2:12" s="240" customFormat="1" ht="13.5" customHeight="1" thickTop="1" thickBot="1">
      <c r="B27" s="186"/>
      <c r="C27" s="183"/>
      <c r="D27" s="184"/>
      <c r="E27" s="184"/>
      <c r="F27" s="185"/>
      <c r="G27" s="185"/>
      <c r="H27" s="185"/>
      <c r="I27" s="185"/>
      <c r="J27" s="185"/>
      <c r="K27" s="185"/>
      <c r="L27" s="185"/>
    </row>
    <row r="28" spans="2:12" s="240" customFormat="1" ht="13.5" customHeight="1" thickTop="1" thickBot="1">
      <c r="B28" s="135" t="s">
        <v>2365</v>
      </c>
      <c r="C28" s="163"/>
      <c r="D28" s="164"/>
      <c r="E28" s="164"/>
      <c r="F28" s="163"/>
      <c r="G28" s="163"/>
      <c r="H28" s="163"/>
      <c r="I28" s="163"/>
      <c r="J28" s="163"/>
      <c r="K28" s="163"/>
      <c r="L28" s="165"/>
    </row>
    <row r="29" spans="2:12" s="240" customFormat="1" ht="13.5" customHeight="1" thickTop="1" thickBot="1">
      <c r="B29" s="156"/>
      <c r="C29" s="380" t="s">
        <v>2570</v>
      </c>
      <c r="D29" s="166" t="s">
        <v>20</v>
      </c>
      <c r="E29" s="166" t="s">
        <v>20</v>
      </c>
      <c r="F29" s="381" t="s">
        <v>2571</v>
      </c>
      <c r="G29" s="166" t="s">
        <v>6</v>
      </c>
      <c r="H29" s="167"/>
      <c r="I29" s="166"/>
      <c r="J29" s="167"/>
      <c r="K29" s="166"/>
      <c r="L29" s="167"/>
    </row>
    <row r="30" spans="2:12" s="240" customFormat="1" ht="13.5" customHeight="1" thickTop="1" thickBot="1">
      <c r="B30" s="156"/>
      <c r="C30" s="380" t="s">
        <v>2572</v>
      </c>
      <c r="D30" s="382" t="s">
        <v>2573</v>
      </c>
      <c r="E30" s="383" t="s">
        <v>2575</v>
      </c>
      <c r="F30" s="381" t="s">
        <v>2576</v>
      </c>
      <c r="G30" s="382" t="s">
        <v>2577</v>
      </c>
      <c r="H30" s="384"/>
      <c r="I30" s="382"/>
      <c r="J30" s="384"/>
      <c r="K30" s="382"/>
      <c r="L30" s="385" t="s">
        <v>2578</v>
      </c>
    </row>
    <row r="31" spans="2:12" s="240" customFormat="1" ht="13.5" customHeight="1" thickTop="1" thickBot="1">
      <c r="B31" s="156"/>
      <c r="C31" s="187" t="s">
        <v>2367</v>
      </c>
      <c r="D31" s="166" t="s">
        <v>2368</v>
      </c>
      <c r="E31" s="166" t="s">
        <v>2369</v>
      </c>
      <c r="F31" s="202" t="s">
        <v>2271</v>
      </c>
      <c r="G31" s="166" t="s">
        <v>2370</v>
      </c>
      <c r="H31" s="167"/>
      <c r="I31" s="166"/>
      <c r="J31" s="167"/>
      <c r="K31" s="166"/>
      <c r="L31" s="167"/>
    </row>
    <row r="32" spans="2:12" s="240" customFormat="1" ht="13.5" customHeight="1" thickTop="1" thickBot="1">
      <c r="B32" s="156"/>
      <c r="C32" s="187" t="s">
        <v>2371</v>
      </c>
      <c r="D32" s="166" t="s">
        <v>2372</v>
      </c>
      <c r="E32" s="168" t="s">
        <v>2373</v>
      </c>
      <c r="F32" s="202" t="s">
        <v>2318</v>
      </c>
      <c r="G32" s="166" t="s">
        <v>2364</v>
      </c>
      <c r="H32" s="167"/>
      <c r="I32" s="166"/>
      <c r="J32" s="167"/>
      <c r="K32" s="166"/>
      <c r="L32" s="167"/>
    </row>
    <row r="33" spans="2:12" s="240" customFormat="1" ht="13.5" customHeight="1" thickTop="1" thickBot="1">
      <c r="B33" s="156"/>
      <c r="C33" s="187" t="s">
        <v>2374</v>
      </c>
      <c r="D33" s="166" t="s">
        <v>2375</v>
      </c>
      <c r="E33" s="168" t="s">
        <v>2373</v>
      </c>
      <c r="F33" s="202" t="s">
        <v>2271</v>
      </c>
      <c r="G33" s="166" t="s">
        <v>2314</v>
      </c>
      <c r="H33" s="167"/>
      <c r="I33" s="166"/>
      <c r="J33" s="167"/>
      <c r="K33" s="166"/>
      <c r="L33" s="167"/>
    </row>
    <row r="34" spans="2:12" s="240" customFormat="1" ht="13.5" customHeight="1" thickTop="1" thickBot="1">
      <c r="B34" s="156"/>
      <c r="C34" s="187" t="s">
        <v>2376</v>
      </c>
      <c r="D34" s="166" t="s">
        <v>2377</v>
      </c>
      <c r="E34" s="168" t="s">
        <v>2378</v>
      </c>
      <c r="F34" s="202" t="s">
        <v>2318</v>
      </c>
      <c r="G34" s="166" t="s">
        <v>2364</v>
      </c>
      <c r="H34" s="167"/>
      <c r="I34" s="166"/>
      <c r="J34" s="167"/>
      <c r="K34" s="166"/>
      <c r="L34" s="167"/>
    </row>
    <row r="35" spans="2:12" s="240" customFormat="1" ht="13.5" customHeight="1" thickTop="1" thickBot="1">
      <c r="B35" s="156"/>
      <c r="C35" s="187" t="s">
        <v>2379</v>
      </c>
      <c r="D35" s="166" t="s">
        <v>2380</v>
      </c>
      <c r="E35" s="166" t="s">
        <v>2381</v>
      </c>
      <c r="F35" s="202" t="s">
        <v>2318</v>
      </c>
      <c r="G35" s="166" t="s">
        <v>2364</v>
      </c>
      <c r="H35" s="167"/>
      <c r="I35" s="166"/>
      <c r="J35" s="167"/>
      <c r="K35" s="166"/>
      <c r="L35" s="167"/>
    </row>
    <row r="36" spans="2:12" s="240" customFormat="1" ht="13.5" customHeight="1" thickTop="1" thickBot="1">
      <c r="B36" s="156"/>
      <c r="C36" s="187" t="s">
        <v>2325</v>
      </c>
      <c r="D36" s="166" t="s">
        <v>2382</v>
      </c>
      <c r="E36" s="166" t="s">
        <v>2383</v>
      </c>
      <c r="F36" s="202" t="s">
        <v>2384</v>
      </c>
      <c r="G36" s="166" t="s">
        <v>2385</v>
      </c>
      <c r="H36" s="167"/>
      <c r="I36" s="166"/>
      <c r="J36" s="167"/>
      <c r="K36" s="166"/>
      <c r="L36" s="167"/>
    </row>
    <row r="37" spans="2:12" s="240" customFormat="1" ht="14.25" thickTop="1" thickBot="1">
      <c r="B37" s="156"/>
      <c r="C37" s="187" t="s">
        <v>2244</v>
      </c>
      <c r="D37" s="382" t="s">
        <v>2579</v>
      </c>
      <c r="E37" s="383" t="s">
        <v>2574</v>
      </c>
      <c r="F37" s="202" t="s">
        <v>2580</v>
      </c>
      <c r="G37" s="382" t="s">
        <v>2358</v>
      </c>
      <c r="H37" s="167"/>
      <c r="I37" s="166"/>
      <c r="J37" s="167"/>
      <c r="K37" s="166"/>
      <c r="L37" s="385" t="s">
        <v>2560</v>
      </c>
    </row>
    <row r="38" spans="2:12" s="240" customFormat="1" ht="14.25" thickTop="1" thickBot="1">
      <c r="B38" s="169"/>
      <c r="C38" s="187" t="s">
        <v>2247</v>
      </c>
      <c r="D38" s="166" t="s">
        <v>2388</v>
      </c>
      <c r="E38" s="168" t="s">
        <v>2389</v>
      </c>
      <c r="F38" s="202" t="s">
        <v>2318</v>
      </c>
      <c r="G38" s="166" t="s">
        <v>2385</v>
      </c>
      <c r="H38" s="167"/>
      <c r="I38" s="166"/>
      <c r="J38" s="167"/>
      <c r="K38" s="166"/>
      <c r="L38" s="167"/>
    </row>
    <row r="39" spans="2:12" s="240" customFormat="1" ht="13.5" customHeight="1" thickTop="1" thickBot="1">
      <c r="B39" s="123"/>
      <c r="C39" s="123"/>
      <c r="D39" s="123"/>
      <c r="E39" s="123"/>
      <c r="F39" s="170"/>
      <c r="G39" s="170"/>
      <c r="H39" s="170"/>
      <c r="I39" s="170"/>
      <c r="J39" s="170"/>
      <c r="K39" s="170"/>
      <c r="L39" s="170"/>
    </row>
    <row r="40" spans="2:12" s="240" customFormat="1" ht="13.5" customHeight="1" thickTop="1" thickBot="1">
      <c r="B40" s="135" t="s">
        <v>2390</v>
      </c>
      <c r="C40" s="163"/>
      <c r="D40" s="164"/>
      <c r="E40" s="164"/>
      <c r="F40" s="163"/>
      <c r="G40" s="163"/>
      <c r="H40" s="163"/>
      <c r="I40" s="163"/>
      <c r="J40" s="163"/>
      <c r="K40" s="163"/>
      <c r="L40" s="165"/>
    </row>
    <row r="41" spans="2:12" s="240" customFormat="1" ht="13.5" customHeight="1" thickTop="1" thickBot="1">
      <c r="B41" s="156"/>
      <c r="C41" s="187" t="s">
        <v>1826</v>
      </c>
      <c r="D41" s="166" t="s">
        <v>2391</v>
      </c>
      <c r="E41" s="168" t="s">
        <v>2392</v>
      </c>
      <c r="F41" s="202" t="s">
        <v>2318</v>
      </c>
      <c r="G41" s="166" t="s">
        <v>2364</v>
      </c>
      <c r="H41" s="167"/>
      <c r="I41" s="166"/>
      <c r="J41" s="167"/>
      <c r="K41" s="166"/>
      <c r="L41" s="167"/>
    </row>
    <row r="42" spans="2:12" s="240" customFormat="1" ht="13.5" customHeight="1" thickTop="1" thickBot="1">
      <c r="B42" s="156"/>
      <c r="C42" s="187" t="s">
        <v>2393</v>
      </c>
      <c r="D42" s="166" t="s">
        <v>2394</v>
      </c>
      <c r="E42" s="166" t="s">
        <v>2395</v>
      </c>
      <c r="F42" s="202" t="s">
        <v>2396</v>
      </c>
      <c r="G42" s="166" t="s">
        <v>2364</v>
      </c>
      <c r="H42" s="167"/>
      <c r="I42" s="166"/>
      <c r="J42" s="167"/>
      <c r="K42" s="166"/>
      <c r="L42" s="167"/>
    </row>
    <row r="43" spans="2:12" s="240" customFormat="1" ht="14.25" thickTop="1" thickBot="1">
      <c r="B43" s="156"/>
      <c r="C43" s="187" t="s">
        <v>2397</v>
      </c>
      <c r="D43" s="166" t="s">
        <v>2398</v>
      </c>
      <c r="E43" s="168" t="s">
        <v>2399</v>
      </c>
      <c r="F43" s="202" t="s">
        <v>2396</v>
      </c>
      <c r="G43" s="166" t="s">
        <v>2364</v>
      </c>
      <c r="H43" s="167"/>
      <c r="I43" s="166"/>
      <c r="J43" s="167"/>
      <c r="K43" s="166"/>
      <c r="L43" s="167"/>
    </row>
    <row r="44" spans="2:12" s="240" customFormat="1" ht="14.25" thickTop="1" thickBot="1">
      <c r="B44" s="156"/>
      <c r="C44" s="187" t="s">
        <v>2400</v>
      </c>
      <c r="D44" s="166" t="s">
        <v>2401</v>
      </c>
      <c r="E44" s="168" t="s">
        <v>2402</v>
      </c>
      <c r="F44" s="202" t="s">
        <v>2396</v>
      </c>
      <c r="G44" s="166" t="s">
        <v>2364</v>
      </c>
      <c r="H44" s="167"/>
      <c r="I44" s="166"/>
      <c r="J44" s="167"/>
      <c r="K44" s="166"/>
      <c r="L44" s="167"/>
    </row>
    <row r="45" spans="2:12" s="240" customFormat="1" ht="14.25" thickTop="1" thickBot="1">
      <c r="B45" s="169"/>
      <c r="C45" s="187" t="s">
        <v>2403</v>
      </c>
      <c r="D45" s="166" t="s">
        <v>2404</v>
      </c>
      <c r="E45" s="168" t="s">
        <v>2405</v>
      </c>
      <c r="F45" s="202" t="s">
        <v>2396</v>
      </c>
      <c r="G45" s="166" t="s">
        <v>2364</v>
      </c>
      <c r="H45" s="167"/>
      <c r="I45" s="166"/>
      <c r="J45" s="167"/>
      <c r="K45" s="166"/>
      <c r="L45" s="167"/>
    </row>
    <row r="46" spans="2:12" s="240" customFormat="1" ht="13.5" customHeight="1" thickTop="1" thickBot="1">
      <c r="B46" s="123"/>
      <c r="C46" s="123"/>
      <c r="D46" s="123"/>
      <c r="E46" s="123"/>
      <c r="F46" s="170"/>
      <c r="G46" s="170"/>
      <c r="H46" s="170"/>
      <c r="I46" s="170"/>
      <c r="J46" s="170"/>
      <c r="K46" s="170"/>
      <c r="L46" s="170"/>
    </row>
    <row r="47" spans="2:12" s="240" customFormat="1" ht="13.5" customHeight="1" thickTop="1" thickBot="1">
      <c r="B47" s="135" t="s">
        <v>2406</v>
      </c>
      <c r="C47" s="163"/>
      <c r="D47" s="164"/>
      <c r="E47" s="164"/>
      <c r="F47" s="163"/>
      <c r="G47" s="163"/>
      <c r="H47" s="163"/>
      <c r="I47" s="163"/>
      <c r="J47" s="163"/>
      <c r="K47" s="163"/>
      <c r="L47" s="165"/>
    </row>
    <row r="48" spans="2:12" s="240" customFormat="1" ht="13.5" customHeight="1" thickTop="1" thickBot="1">
      <c r="B48" s="156"/>
      <c r="C48" s="187" t="s">
        <v>2255</v>
      </c>
      <c r="D48" s="166" t="s">
        <v>20</v>
      </c>
      <c r="E48" s="166" t="s">
        <v>20</v>
      </c>
      <c r="F48" s="202" t="s">
        <v>2407</v>
      </c>
      <c r="G48" s="166" t="s">
        <v>6</v>
      </c>
      <c r="H48" s="167"/>
      <c r="I48" s="166"/>
      <c r="J48" s="167"/>
      <c r="K48" s="166"/>
      <c r="L48" s="167"/>
    </row>
    <row r="49" spans="2:12" s="240" customFormat="1" ht="14.25" thickTop="1" thickBot="1">
      <c r="B49" s="156"/>
      <c r="C49" s="187" t="s">
        <v>2408</v>
      </c>
      <c r="D49" s="166" t="s">
        <v>2409</v>
      </c>
      <c r="E49" s="168" t="s">
        <v>2410</v>
      </c>
      <c r="F49" s="202" t="s">
        <v>2323</v>
      </c>
      <c r="G49" s="166" t="s">
        <v>2364</v>
      </c>
      <c r="H49" s="167"/>
      <c r="I49" s="166"/>
      <c r="J49" s="167"/>
      <c r="K49" s="166"/>
      <c r="L49" s="167"/>
    </row>
    <row r="50" spans="2:12" s="240" customFormat="1" ht="14.25" thickTop="1" thickBot="1">
      <c r="B50" s="156"/>
      <c r="C50" s="187" t="s">
        <v>2411</v>
      </c>
      <c r="D50" s="166" t="s">
        <v>2412</v>
      </c>
      <c r="E50" s="168" t="s">
        <v>2413</v>
      </c>
      <c r="F50" s="202" t="s">
        <v>2313</v>
      </c>
      <c r="G50" s="166" t="s">
        <v>2364</v>
      </c>
      <c r="H50" s="167"/>
      <c r="I50" s="166"/>
      <c r="J50" s="167"/>
      <c r="K50" s="166"/>
      <c r="L50" s="167"/>
    </row>
    <row r="51" spans="2:12" s="240" customFormat="1" ht="14.25" thickTop="1" thickBot="1">
      <c r="B51" s="169"/>
      <c r="C51" s="187" t="s">
        <v>2414</v>
      </c>
      <c r="D51" s="166" t="s">
        <v>2415</v>
      </c>
      <c r="E51" s="168" t="s">
        <v>2416</v>
      </c>
      <c r="F51" s="202" t="s">
        <v>2313</v>
      </c>
      <c r="G51" s="166" t="s">
        <v>2364</v>
      </c>
      <c r="H51" s="167"/>
      <c r="I51" s="166"/>
      <c r="J51" s="167"/>
      <c r="K51" s="166"/>
      <c r="L51" s="167"/>
    </row>
    <row r="52" spans="2:12" s="240" customFormat="1" ht="13.5" customHeight="1" thickTop="1" thickBot="1">
      <c r="B52" s="123"/>
      <c r="C52" s="123"/>
      <c r="D52" s="123"/>
      <c r="E52" s="123"/>
      <c r="F52" s="170"/>
      <c r="G52" s="170"/>
      <c r="H52" s="170"/>
      <c r="I52" s="170"/>
      <c r="J52" s="170"/>
      <c r="K52" s="170"/>
      <c r="L52" s="170"/>
    </row>
    <row r="53" spans="2:12" s="240" customFormat="1" ht="13.5" customHeight="1" thickTop="1" thickBot="1">
      <c r="B53" s="135" t="s">
        <v>2417</v>
      </c>
      <c r="C53" s="163"/>
      <c r="D53" s="164"/>
      <c r="E53" s="164"/>
      <c r="F53" s="163"/>
      <c r="G53" s="163"/>
      <c r="H53" s="163"/>
      <c r="I53" s="163"/>
      <c r="J53" s="163"/>
      <c r="K53" s="163"/>
      <c r="L53" s="165"/>
    </row>
    <row r="54" spans="2:12" s="240" customFormat="1" ht="13.5" customHeight="1" thickTop="1" thickBot="1">
      <c r="B54" s="156"/>
      <c r="C54" s="187" t="s">
        <v>1826</v>
      </c>
      <c r="D54" s="166" t="s">
        <v>2418</v>
      </c>
      <c r="E54" s="166" t="s">
        <v>2419</v>
      </c>
      <c r="F54" s="202" t="s">
        <v>2318</v>
      </c>
      <c r="G54" s="166" t="s">
        <v>2364</v>
      </c>
      <c r="H54" s="167"/>
      <c r="I54" s="166"/>
      <c r="J54" s="167"/>
      <c r="K54" s="166"/>
      <c r="L54" s="167"/>
    </row>
    <row r="55" spans="2:12" s="240" customFormat="1" ht="13.5" customHeight="1" thickTop="1" thickBot="1">
      <c r="B55" s="156"/>
      <c r="C55" s="187" t="s">
        <v>2393</v>
      </c>
      <c r="D55" s="166" t="s">
        <v>2420</v>
      </c>
      <c r="E55" s="168" t="s">
        <v>2421</v>
      </c>
      <c r="F55" s="202" t="s">
        <v>2396</v>
      </c>
      <c r="G55" s="166" t="s">
        <v>2364</v>
      </c>
      <c r="H55" s="167"/>
      <c r="I55" s="166"/>
      <c r="J55" s="167"/>
      <c r="K55" s="166"/>
      <c r="L55" s="167"/>
    </row>
    <row r="56" spans="2:12" s="240" customFormat="1" ht="14.25" thickTop="1" thickBot="1">
      <c r="B56" s="156"/>
      <c r="C56" s="187" t="s">
        <v>2397</v>
      </c>
      <c r="D56" s="166" t="s">
        <v>2422</v>
      </c>
      <c r="E56" s="168" t="s">
        <v>2423</v>
      </c>
      <c r="F56" s="202" t="s">
        <v>2396</v>
      </c>
      <c r="G56" s="166" t="s">
        <v>2364</v>
      </c>
      <c r="H56" s="167"/>
      <c r="I56" s="166"/>
      <c r="J56" s="167"/>
      <c r="K56" s="166"/>
      <c r="L56" s="167"/>
    </row>
    <row r="57" spans="2:12" s="240" customFormat="1" ht="14.25" thickTop="1" thickBot="1">
      <c r="B57" s="156"/>
      <c r="C57" s="187" t="s">
        <v>2400</v>
      </c>
      <c r="D57" s="166" t="s">
        <v>2424</v>
      </c>
      <c r="E57" s="168" t="s">
        <v>2425</v>
      </c>
      <c r="F57" s="202" t="s">
        <v>2396</v>
      </c>
      <c r="G57" s="166" t="s">
        <v>2364</v>
      </c>
      <c r="H57" s="167"/>
      <c r="I57" s="166"/>
      <c r="J57" s="167"/>
      <c r="K57" s="166"/>
      <c r="L57" s="167"/>
    </row>
    <row r="58" spans="2:12" s="240" customFormat="1" ht="14.25" thickTop="1" thickBot="1">
      <c r="B58" s="169"/>
      <c r="C58" s="187" t="s">
        <v>2403</v>
      </c>
      <c r="D58" s="166" t="s">
        <v>2426</v>
      </c>
      <c r="E58" s="168" t="s">
        <v>2427</v>
      </c>
      <c r="F58" s="202" t="s">
        <v>2396</v>
      </c>
      <c r="G58" s="166" t="s">
        <v>2364</v>
      </c>
      <c r="H58" s="167"/>
      <c r="I58" s="166"/>
      <c r="J58" s="167"/>
      <c r="K58" s="166"/>
      <c r="L58" s="167"/>
    </row>
    <row r="59" spans="2:12" s="240" customFormat="1" ht="13.5" customHeight="1" thickTop="1" thickBot="1">
      <c r="B59" s="123"/>
      <c r="C59" s="123"/>
      <c r="D59" s="123"/>
      <c r="E59" s="123"/>
      <c r="F59" s="170"/>
      <c r="G59" s="170"/>
      <c r="H59" s="170"/>
      <c r="I59" s="170"/>
      <c r="J59" s="170"/>
      <c r="K59" s="170"/>
      <c r="L59" s="170"/>
    </row>
    <row r="60" spans="2:12" s="240" customFormat="1" ht="13.5" customHeight="1" thickTop="1" thickBot="1">
      <c r="B60" s="135" t="s">
        <v>2428</v>
      </c>
      <c r="C60" s="163"/>
      <c r="D60" s="164"/>
      <c r="E60" s="164"/>
      <c r="F60" s="163"/>
      <c r="G60" s="163"/>
      <c r="H60" s="163"/>
      <c r="I60" s="163"/>
      <c r="J60" s="163"/>
      <c r="K60" s="163"/>
      <c r="L60" s="165"/>
    </row>
    <row r="61" spans="2:12" s="240" customFormat="1" ht="14.25" thickTop="1" thickBot="1">
      <c r="B61" s="241"/>
      <c r="C61" s="380" t="s">
        <v>2581</v>
      </c>
      <c r="D61" s="166" t="s">
        <v>20</v>
      </c>
      <c r="E61" s="166" t="s">
        <v>20</v>
      </c>
      <c r="F61" s="381" t="s">
        <v>2582</v>
      </c>
      <c r="G61" s="166" t="s">
        <v>6</v>
      </c>
      <c r="H61" s="167"/>
      <c r="I61" s="166"/>
      <c r="J61" s="167"/>
      <c r="K61" s="166"/>
      <c r="L61" s="167"/>
    </row>
    <row r="62" spans="2:12" s="240" customFormat="1" ht="14.25" thickTop="1" thickBot="1">
      <c r="B62" s="241"/>
      <c r="C62" s="380" t="s">
        <v>2583</v>
      </c>
      <c r="D62" s="382" t="s">
        <v>2584</v>
      </c>
      <c r="E62" s="383" t="s">
        <v>2585</v>
      </c>
      <c r="F62" s="381" t="s">
        <v>2586</v>
      </c>
      <c r="G62" s="382" t="s">
        <v>2587</v>
      </c>
      <c r="H62" s="384"/>
      <c r="I62" s="382"/>
      <c r="J62" s="384"/>
      <c r="K62" s="382"/>
      <c r="L62" s="385" t="s">
        <v>2588</v>
      </c>
    </row>
    <row r="63" spans="2:12" s="240" customFormat="1" ht="14.25" thickTop="1" thickBot="1">
      <c r="B63" s="241"/>
      <c r="C63" s="380" t="s">
        <v>2589</v>
      </c>
      <c r="D63" s="382" t="s">
        <v>2590</v>
      </c>
      <c r="E63" s="383" t="s">
        <v>2591</v>
      </c>
      <c r="F63" s="381" t="s">
        <v>2586</v>
      </c>
      <c r="G63" s="382" t="s">
        <v>2587</v>
      </c>
      <c r="H63" s="384"/>
      <c r="I63" s="382"/>
      <c r="J63" s="384"/>
      <c r="K63" s="382"/>
      <c r="L63" s="385" t="s">
        <v>2588</v>
      </c>
    </row>
    <row r="64" spans="2:12" s="240" customFormat="1" ht="14.25" thickTop="1" thickBot="1">
      <c r="B64" s="241"/>
      <c r="C64" s="380" t="s">
        <v>2592</v>
      </c>
      <c r="D64" s="382" t="s">
        <v>2593</v>
      </c>
      <c r="E64" s="383" t="s">
        <v>2594</v>
      </c>
      <c r="F64" s="381" t="s">
        <v>2595</v>
      </c>
      <c r="G64" s="382" t="s">
        <v>2596</v>
      </c>
      <c r="H64" s="384"/>
      <c r="I64" s="382"/>
      <c r="J64" s="384"/>
      <c r="K64" s="382"/>
      <c r="L64" s="385" t="s">
        <v>2588</v>
      </c>
    </row>
    <row r="65" spans="2:12" s="240" customFormat="1" ht="14.25" thickTop="1" thickBot="1">
      <c r="B65" s="241"/>
      <c r="C65" s="187" t="s">
        <v>2408</v>
      </c>
      <c r="D65" s="166" t="s">
        <v>2429</v>
      </c>
      <c r="E65" s="168" t="s">
        <v>2430</v>
      </c>
      <c r="F65" s="202" t="s">
        <v>2323</v>
      </c>
      <c r="G65" s="166" t="s">
        <v>2364</v>
      </c>
      <c r="H65" s="167"/>
      <c r="I65" s="166"/>
      <c r="J65" s="167"/>
      <c r="K65" s="166"/>
      <c r="L65" s="167"/>
    </row>
    <row r="66" spans="2:12" s="240" customFormat="1" ht="14.25" thickTop="1" thickBot="1">
      <c r="B66" s="241"/>
      <c r="C66" s="187" t="s">
        <v>2411</v>
      </c>
      <c r="D66" s="166" t="s">
        <v>2431</v>
      </c>
      <c r="E66" s="168" t="s">
        <v>2432</v>
      </c>
      <c r="F66" s="202" t="s">
        <v>2533</v>
      </c>
      <c r="G66" s="166" t="s">
        <v>2364</v>
      </c>
      <c r="H66" s="167"/>
      <c r="I66" s="166"/>
      <c r="J66" s="167"/>
      <c r="K66" s="166"/>
      <c r="L66" s="167"/>
    </row>
    <row r="67" spans="2:12" s="240" customFormat="1" ht="14.25" thickTop="1" thickBot="1">
      <c r="B67" s="169"/>
      <c r="C67" s="187" t="s">
        <v>2414</v>
      </c>
      <c r="D67" s="166" t="s">
        <v>2433</v>
      </c>
      <c r="E67" s="168" t="s">
        <v>2434</v>
      </c>
      <c r="F67" s="202" t="s">
        <v>2533</v>
      </c>
      <c r="G67" s="166" t="s">
        <v>2364</v>
      </c>
      <c r="H67" s="167"/>
      <c r="I67" s="166"/>
      <c r="J67" s="167"/>
      <c r="K67" s="166"/>
      <c r="L67" s="167"/>
    </row>
    <row r="68" spans="2:12" s="240" customFormat="1" ht="13.5" customHeight="1" thickTop="1" thickBot="1">
      <c r="B68" s="123"/>
      <c r="C68" s="123"/>
      <c r="D68" s="123"/>
      <c r="E68" s="123"/>
      <c r="F68" s="170"/>
      <c r="G68" s="170"/>
      <c r="H68" s="170"/>
      <c r="I68" s="170"/>
      <c r="J68" s="170"/>
      <c r="K68" s="170"/>
      <c r="L68" s="170"/>
    </row>
    <row r="69" spans="2:12" s="240" customFormat="1" ht="13.5" customHeight="1" thickTop="1" thickBot="1">
      <c r="B69" s="135" t="s">
        <v>2435</v>
      </c>
      <c r="C69" s="163"/>
      <c r="D69" s="164"/>
      <c r="E69" s="164"/>
      <c r="F69" s="163"/>
      <c r="G69" s="163"/>
      <c r="H69" s="163"/>
      <c r="I69" s="163"/>
      <c r="J69" s="163"/>
      <c r="K69" s="163"/>
      <c r="L69" s="165"/>
    </row>
    <row r="70" spans="2:12" s="240" customFormat="1" ht="13.5" customHeight="1" thickTop="1" thickBot="1">
      <c r="B70" s="156"/>
      <c r="C70" s="187" t="s">
        <v>2303</v>
      </c>
      <c r="D70" s="166" t="s">
        <v>20</v>
      </c>
      <c r="E70" s="166" t="s">
        <v>20</v>
      </c>
      <c r="F70" s="202" t="s">
        <v>2304</v>
      </c>
      <c r="G70" s="166" t="s">
        <v>6</v>
      </c>
      <c r="H70" s="167"/>
      <c r="I70" s="166"/>
      <c r="J70" s="167"/>
      <c r="K70" s="166"/>
      <c r="L70" s="195"/>
    </row>
    <row r="71" spans="2:12" s="240" customFormat="1" ht="13.5" customHeight="1" thickTop="1" thickBot="1">
      <c r="B71" s="156"/>
      <c r="C71" s="187" t="s">
        <v>2436</v>
      </c>
      <c r="D71" s="166" t="s">
        <v>2437</v>
      </c>
      <c r="E71" s="166" t="s">
        <v>2438</v>
      </c>
      <c r="F71" s="202" t="s">
        <v>2439</v>
      </c>
      <c r="G71" s="166" t="s">
        <v>2440</v>
      </c>
      <c r="H71" s="167"/>
      <c r="I71" s="166"/>
      <c r="J71" s="167"/>
      <c r="K71" s="166"/>
      <c r="L71" s="195" t="s">
        <v>2441</v>
      </c>
    </row>
    <row r="72" spans="2:12" s="240" customFormat="1" ht="13.5" customHeight="1" thickTop="1" thickBot="1">
      <c r="B72" s="156"/>
      <c r="C72" s="187" t="s">
        <v>2367</v>
      </c>
      <c r="D72" s="166" t="s">
        <v>2442</v>
      </c>
      <c r="E72" s="166" t="s">
        <v>2443</v>
      </c>
      <c r="F72" s="202" t="s">
        <v>2439</v>
      </c>
      <c r="G72" s="166" t="s">
        <v>2440</v>
      </c>
      <c r="H72" s="167"/>
      <c r="I72" s="166"/>
      <c r="J72" s="167"/>
      <c r="K72" s="166"/>
      <c r="L72" s="195" t="s">
        <v>2441</v>
      </c>
    </row>
    <row r="73" spans="2:12" s="240" customFormat="1" ht="13.5" customHeight="1" thickTop="1" thickBot="1">
      <c r="B73" s="156"/>
      <c r="C73" s="187" t="s">
        <v>2444</v>
      </c>
      <c r="D73" s="166" t="s">
        <v>2445</v>
      </c>
      <c r="E73" s="166" t="s">
        <v>2446</v>
      </c>
      <c r="F73" s="202" t="s">
        <v>2439</v>
      </c>
      <c r="G73" s="166" t="s">
        <v>2440</v>
      </c>
      <c r="H73" s="167"/>
      <c r="I73" s="166"/>
      <c r="J73" s="167"/>
      <c r="K73" s="166"/>
      <c r="L73" s="195" t="s">
        <v>2441</v>
      </c>
    </row>
    <row r="74" spans="2:12" s="240" customFormat="1" ht="13.5" customHeight="1" thickTop="1" thickBot="1">
      <c r="B74" s="156"/>
      <c r="C74" s="187" t="s">
        <v>2447</v>
      </c>
      <c r="D74" s="166" t="s">
        <v>2448</v>
      </c>
      <c r="E74" s="166" t="s">
        <v>2449</v>
      </c>
      <c r="F74" s="202" t="s">
        <v>2439</v>
      </c>
      <c r="G74" s="166" t="s">
        <v>2440</v>
      </c>
      <c r="H74" s="167"/>
      <c r="I74" s="166"/>
      <c r="J74" s="167"/>
      <c r="K74" s="166"/>
      <c r="L74" s="195" t="s">
        <v>2441</v>
      </c>
    </row>
    <row r="75" spans="2:12" s="240" customFormat="1" ht="13.5" customHeight="1" thickTop="1" thickBot="1">
      <c r="B75" s="156"/>
      <c r="C75" s="187" t="s">
        <v>2450</v>
      </c>
      <c r="D75" s="166" t="s">
        <v>2451</v>
      </c>
      <c r="E75" s="168" t="s">
        <v>2452</v>
      </c>
      <c r="F75" s="202" t="s">
        <v>2313</v>
      </c>
      <c r="G75" s="166" t="s">
        <v>2440</v>
      </c>
      <c r="H75" s="167"/>
      <c r="I75" s="166"/>
      <c r="J75" s="167"/>
      <c r="K75" s="166"/>
      <c r="L75" s="195"/>
    </row>
    <row r="76" spans="2:12" s="240" customFormat="1" ht="13.5" customHeight="1" thickTop="1" thickBot="1">
      <c r="B76" s="156"/>
      <c r="C76" s="187" t="s">
        <v>2454</v>
      </c>
      <c r="D76" s="168" t="s">
        <v>2455</v>
      </c>
      <c r="E76" s="166" t="s">
        <v>2456</v>
      </c>
      <c r="F76" s="202" t="s">
        <v>2439</v>
      </c>
      <c r="G76" s="166" t="s">
        <v>2440</v>
      </c>
      <c r="H76" s="167"/>
      <c r="I76" s="166"/>
      <c r="J76" s="167"/>
      <c r="K76" s="166"/>
      <c r="L76" s="195"/>
    </row>
    <row r="77" spans="2:12" s="240" customFormat="1" ht="13.5" customHeight="1" thickTop="1" thickBot="1">
      <c r="B77" s="156"/>
      <c r="C77" s="187" t="s">
        <v>2457</v>
      </c>
      <c r="D77" s="166" t="s">
        <v>2458</v>
      </c>
      <c r="E77" s="166" t="s">
        <v>2459</v>
      </c>
      <c r="F77" s="202" t="s">
        <v>2439</v>
      </c>
      <c r="G77" s="166" t="s">
        <v>2440</v>
      </c>
      <c r="H77" s="167"/>
      <c r="I77" s="166"/>
      <c r="J77" s="167"/>
      <c r="K77" s="166"/>
      <c r="L77" s="195"/>
    </row>
    <row r="78" spans="2:12" s="240" customFormat="1" ht="14.25" thickTop="1" thickBot="1">
      <c r="B78" s="156"/>
      <c r="C78" s="187" t="s">
        <v>2460</v>
      </c>
      <c r="D78" s="166" t="s">
        <v>2461</v>
      </c>
      <c r="E78" s="168" t="s">
        <v>2462</v>
      </c>
      <c r="F78" s="202" t="s">
        <v>2439</v>
      </c>
      <c r="G78" s="166" t="s">
        <v>2440</v>
      </c>
      <c r="H78" s="167"/>
      <c r="I78" s="166"/>
      <c r="J78" s="167"/>
      <c r="K78" s="166"/>
      <c r="L78" s="195"/>
    </row>
    <row r="79" spans="2:12" s="240" customFormat="1" ht="14.25" thickTop="1" thickBot="1">
      <c r="B79" s="156"/>
      <c r="C79" s="187" t="s">
        <v>2463</v>
      </c>
      <c r="D79" s="166" t="s">
        <v>2464</v>
      </c>
      <c r="E79" s="168" t="s">
        <v>2465</v>
      </c>
      <c r="F79" s="202" t="s">
        <v>2439</v>
      </c>
      <c r="G79" s="166" t="s">
        <v>2440</v>
      </c>
      <c r="H79" s="167"/>
      <c r="I79" s="166"/>
      <c r="J79" s="167"/>
      <c r="K79" s="166"/>
      <c r="L79" s="195"/>
    </row>
    <row r="80" spans="2:12" s="240" customFormat="1" ht="14.25" thickTop="1" thickBot="1">
      <c r="B80" s="156"/>
      <c r="C80" s="187" t="s">
        <v>2466</v>
      </c>
      <c r="D80" s="166" t="s">
        <v>2467</v>
      </c>
      <c r="E80" s="168" t="s">
        <v>2468</v>
      </c>
      <c r="F80" s="202" t="s">
        <v>2550</v>
      </c>
      <c r="G80" s="166" t="s">
        <v>2551</v>
      </c>
      <c r="H80" s="167"/>
      <c r="I80" s="166"/>
      <c r="J80" s="167" t="s">
        <v>207</v>
      </c>
      <c r="K80" s="166" t="s">
        <v>2552</v>
      </c>
      <c r="L80" s="195"/>
    </row>
    <row r="81" spans="1:1025" s="240" customFormat="1" ht="14.25" thickTop="1" thickBot="1">
      <c r="B81" s="156"/>
      <c r="C81" s="187" t="s">
        <v>2469</v>
      </c>
      <c r="D81" s="166" t="s">
        <v>2470</v>
      </c>
      <c r="E81" s="168" t="s">
        <v>2471</v>
      </c>
      <c r="F81" s="202" t="s">
        <v>2308</v>
      </c>
      <c r="G81" s="166" t="s">
        <v>2472</v>
      </c>
      <c r="H81" s="167"/>
      <c r="I81" s="166"/>
      <c r="J81" s="167"/>
      <c r="K81" s="166"/>
      <c r="L81" s="195"/>
    </row>
    <row r="82" spans="1:1025" s="240" customFormat="1" ht="14.25" thickTop="1" thickBot="1">
      <c r="B82" s="169"/>
      <c r="C82" s="187" t="s">
        <v>2331</v>
      </c>
      <c r="D82" s="166" t="s">
        <v>2473</v>
      </c>
      <c r="E82" s="168" t="s">
        <v>2474</v>
      </c>
      <c r="F82" s="202" t="s">
        <v>2308</v>
      </c>
      <c r="G82" s="166" t="s">
        <v>2350</v>
      </c>
      <c r="H82" s="167"/>
      <c r="I82" s="166"/>
      <c r="J82" s="167"/>
      <c r="K82" s="166"/>
      <c r="L82" s="195"/>
    </row>
    <row r="83" spans="1:1025" s="240" customFormat="1" ht="13.5" customHeight="1" thickTop="1" thickBot="1">
      <c r="B83" s="123"/>
      <c r="C83" s="123"/>
      <c r="D83" s="123"/>
      <c r="E83" s="123"/>
      <c r="F83" s="170"/>
      <c r="G83" s="170"/>
      <c r="H83" s="170"/>
      <c r="I83" s="170"/>
      <c r="J83" s="170"/>
      <c r="K83" s="170"/>
      <c r="L83" s="170"/>
    </row>
    <row r="84" spans="1:1025" s="240" customFormat="1" ht="13.5" customHeight="1" thickTop="1" thickBot="1">
      <c r="B84" s="135" t="s">
        <v>2475</v>
      </c>
      <c r="C84" s="163"/>
      <c r="D84" s="164"/>
      <c r="E84" s="164"/>
      <c r="F84" s="163"/>
      <c r="G84" s="163"/>
      <c r="H84" s="163"/>
      <c r="I84" s="163"/>
      <c r="J84" s="163"/>
      <c r="K84" s="163"/>
      <c r="L84" s="165"/>
    </row>
    <row r="85" spans="1:1025" s="240" customFormat="1" ht="13.5" customHeight="1" thickTop="1" thickBot="1">
      <c r="B85" s="156"/>
      <c r="C85" s="187" t="s">
        <v>2197</v>
      </c>
      <c r="D85" s="166" t="s">
        <v>20</v>
      </c>
      <c r="E85" s="166" t="s">
        <v>20</v>
      </c>
      <c r="F85" s="202" t="s">
        <v>2476</v>
      </c>
      <c r="G85" s="166" t="s">
        <v>6</v>
      </c>
      <c r="H85" s="167"/>
      <c r="I85" s="166"/>
      <c r="J85" s="167"/>
      <c r="K85" s="166"/>
      <c r="L85" s="167"/>
    </row>
    <row r="86" spans="1:1025" s="240" customFormat="1" ht="14.25" thickTop="1" thickBot="1">
      <c r="B86" s="156"/>
      <c r="C86" s="187" t="s">
        <v>2343</v>
      </c>
      <c r="D86" s="166" t="s">
        <v>2477</v>
      </c>
      <c r="E86" s="168" t="s">
        <v>2478</v>
      </c>
      <c r="F86" s="202" t="s">
        <v>2479</v>
      </c>
      <c r="G86" s="166" t="s">
        <v>2338</v>
      </c>
      <c r="H86" s="167"/>
      <c r="I86" s="166"/>
      <c r="J86" s="167"/>
      <c r="K86" s="166"/>
      <c r="L86" s="167"/>
    </row>
    <row r="87" spans="1:1025" s="240" customFormat="1" ht="14.25" thickTop="1" thickBot="1">
      <c r="B87" s="156"/>
      <c r="C87" s="187" t="s">
        <v>2347</v>
      </c>
      <c r="D87" s="166" t="s">
        <v>2480</v>
      </c>
      <c r="E87" s="168" t="s">
        <v>2481</v>
      </c>
      <c r="F87" s="202" t="s">
        <v>2479</v>
      </c>
      <c r="G87" s="166" t="s">
        <v>2338</v>
      </c>
      <c r="H87" s="167"/>
      <c r="I87" s="166"/>
      <c r="J87" s="167"/>
      <c r="K87" s="166"/>
      <c r="L87" s="167"/>
    </row>
    <row r="88" spans="1:1025" s="240" customFormat="1" ht="14.25" thickTop="1" thickBot="1">
      <c r="B88" s="156"/>
      <c r="C88" s="187" t="s">
        <v>2351</v>
      </c>
      <c r="D88" s="166" t="s">
        <v>2482</v>
      </c>
      <c r="E88" s="168" t="s">
        <v>2483</v>
      </c>
      <c r="F88" s="202" t="s">
        <v>2479</v>
      </c>
      <c r="G88" s="166" t="s">
        <v>2338</v>
      </c>
      <c r="H88" s="167"/>
      <c r="I88" s="166"/>
      <c r="J88" s="167"/>
      <c r="K88" s="166"/>
      <c r="L88" s="167"/>
    </row>
    <row r="89" spans="1:1025" s="240" customFormat="1" ht="14.25" thickTop="1" thickBot="1">
      <c r="B89" s="156"/>
      <c r="C89" s="187" t="s">
        <v>2484</v>
      </c>
      <c r="D89" s="166" t="s">
        <v>2485</v>
      </c>
      <c r="E89" s="168" t="s">
        <v>2486</v>
      </c>
      <c r="F89" s="202" t="s">
        <v>2487</v>
      </c>
      <c r="G89" s="166" t="s">
        <v>2314</v>
      </c>
      <c r="H89" s="167"/>
      <c r="I89" s="166"/>
      <c r="J89" s="167"/>
      <c r="K89" s="166"/>
      <c r="L89" s="167"/>
    </row>
    <row r="90" spans="1:1025" s="240" customFormat="1" ht="14.25" thickTop="1" thickBot="1">
      <c r="B90" s="169"/>
      <c r="C90" s="187" t="s">
        <v>2403</v>
      </c>
      <c r="D90" s="166" t="s">
        <v>2488</v>
      </c>
      <c r="E90" s="168" t="s">
        <v>2489</v>
      </c>
      <c r="F90" s="202" t="s">
        <v>2490</v>
      </c>
      <c r="G90" s="166" t="s">
        <v>2491</v>
      </c>
      <c r="H90" s="167"/>
      <c r="I90" s="166"/>
      <c r="J90" s="167"/>
      <c r="K90" s="166"/>
      <c r="L90" s="167"/>
    </row>
    <row r="91" spans="1:1025" s="159" customFormat="1" ht="12" customHeight="1" thickTop="1" thickBot="1">
      <c r="A91" s="240"/>
      <c r="B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240"/>
      <c r="AD91" s="240"/>
      <c r="AE91" s="240"/>
      <c r="AF91" s="240"/>
      <c r="AG91" s="240"/>
      <c r="AH91" s="240"/>
      <c r="AI91" s="240"/>
      <c r="AJ91" s="240"/>
      <c r="AK91" s="240"/>
      <c r="AL91" s="240"/>
      <c r="AM91" s="240"/>
      <c r="AN91" s="240"/>
      <c r="AO91" s="240"/>
      <c r="AP91" s="240"/>
      <c r="AQ91" s="240"/>
      <c r="AR91" s="240"/>
      <c r="AS91" s="240"/>
      <c r="AT91" s="240"/>
      <c r="AU91" s="240"/>
      <c r="AV91" s="240"/>
      <c r="AW91" s="240"/>
      <c r="AX91" s="240"/>
      <c r="AY91" s="240"/>
      <c r="AZ91" s="240"/>
      <c r="BA91" s="240"/>
      <c r="BB91" s="240"/>
      <c r="BC91" s="240"/>
      <c r="BD91" s="240"/>
      <c r="BE91" s="240"/>
      <c r="BF91" s="240"/>
      <c r="BG91" s="240"/>
      <c r="BH91" s="240"/>
      <c r="BI91" s="240"/>
      <c r="BJ91" s="240"/>
      <c r="BK91" s="240"/>
      <c r="BL91" s="240"/>
      <c r="BM91" s="240"/>
      <c r="BN91" s="240"/>
      <c r="BO91" s="240"/>
      <c r="BP91" s="240"/>
      <c r="BQ91" s="240"/>
      <c r="BR91" s="240"/>
      <c r="BS91" s="240"/>
      <c r="BT91" s="240"/>
      <c r="BU91" s="240"/>
      <c r="BV91" s="240"/>
      <c r="BW91" s="240"/>
      <c r="BX91" s="240"/>
      <c r="BY91" s="240"/>
      <c r="BZ91" s="240"/>
      <c r="CA91" s="240"/>
      <c r="CB91" s="240"/>
      <c r="CC91" s="240"/>
      <c r="CD91" s="240"/>
      <c r="CE91" s="240"/>
      <c r="CF91" s="240"/>
      <c r="CG91" s="240"/>
      <c r="CH91" s="240"/>
      <c r="CI91" s="240"/>
      <c r="CJ91" s="240"/>
      <c r="CK91" s="240"/>
      <c r="CL91" s="240"/>
      <c r="CM91" s="240"/>
      <c r="CN91" s="240"/>
      <c r="CO91" s="240"/>
      <c r="CP91" s="240"/>
      <c r="CQ91" s="240"/>
      <c r="CR91" s="240"/>
      <c r="CS91" s="240"/>
      <c r="CT91" s="240"/>
      <c r="CU91" s="240"/>
      <c r="CV91" s="240"/>
      <c r="CW91" s="240"/>
      <c r="CX91" s="240"/>
      <c r="CY91" s="240"/>
      <c r="CZ91" s="240"/>
      <c r="DA91" s="240"/>
      <c r="DB91" s="240"/>
      <c r="DC91" s="240"/>
      <c r="DD91" s="240"/>
      <c r="DE91" s="240"/>
      <c r="DF91" s="240"/>
      <c r="DG91" s="240"/>
      <c r="DH91" s="240"/>
      <c r="DI91" s="240"/>
      <c r="DJ91" s="240"/>
      <c r="DK91" s="240"/>
      <c r="DL91" s="240"/>
      <c r="DM91" s="240"/>
      <c r="DN91" s="240"/>
      <c r="DO91" s="240"/>
      <c r="DP91" s="240"/>
      <c r="DQ91" s="240"/>
      <c r="DR91" s="240"/>
      <c r="DS91" s="240"/>
      <c r="DT91" s="240"/>
      <c r="DU91" s="240"/>
      <c r="DV91" s="240"/>
      <c r="DW91" s="240"/>
      <c r="DX91" s="240"/>
      <c r="DY91" s="240"/>
      <c r="DZ91" s="240"/>
      <c r="EA91" s="240"/>
      <c r="EB91" s="240"/>
      <c r="EC91" s="240"/>
      <c r="ED91" s="240"/>
      <c r="EE91" s="240"/>
      <c r="EF91" s="240"/>
      <c r="EG91" s="240"/>
      <c r="EH91" s="240"/>
      <c r="EI91" s="240"/>
      <c r="EJ91" s="240"/>
      <c r="EK91" s="240"/>
      <c r="EL91" s="240"/>
      <c r="EM91" s="240"/>
      <c r="EN91" s="240"/>
      <c r="EO91" s="240"/>
      <c r="EP91" s="240"/>
      <c r="EQ91" s="240"/>
      <c r="ER91" s="240"/>
      <c r="ES91" s="240"/>
      <c r="ET91" s="240"/>
      <c r="EU91" s="240"/>
      <c r="EV91" s="240"/>
      <c r="EW91" s="240"/>
      <c r="EX91" s="240"/>
      <c r="EY91" s="240"/>
      <c r="EZ91" s="240"/>
      <c r="FA91" s="240"/>
      <c r="FB91" s="240"/>
      <c r="FC91" s="240"/>
      <c r="FD91" s="240"/>
      <c r="FE91" s="240"/>
      <c r="FF91" s="240"/>
      <c r="FG91" s="240"/>
      <c r="FH91" s="240"/>
      <c r="FI91" s="240"/>
      <c r="FJ91" s="240"/>
      <c r="FK91" s="240"/>
      <c r="FL91" s="240"/>
      <c r="FM91" s="240"/>
      <c r="FN91" s="240"/>
      <c r="FO91" s="240"/>
      <c r="FP91" s="240"/>
      <c r="FQ91" s="240"/>
      <c r="FR91" s="240"/>
      <c r="FS91" s="240"/>
      <c r="FT91" s="240"/>
      <c r="FU91" s="240"/>
      <c r="FV91" s="240"/>
      <c r="FW91" s="240"/>
      <c r="FX91" s="240"/>
      <c r="FY91" s="240"/>
      <c r="FZ91" s="240"/>
      <c r="GA91" s="240"/>
      <c r="GB91" s="240"/>
      <c r="GC91" s="240"/>
      <c r="GD91" s="240"/>
      <c r="GE91" s="240"/>
      <c r="GF91" s="240"/>
      <c r="GG91" s="240"/>
      <c r="GH91" s="240"/>
      <c r="GI91" s="240"/>
      <c r="GJ91" s="240"/>
      <c r="GK91" s="240"/>
      <c r="GL91" s="240"/>
      <c r="GM91" s="240"/>
      <c r="GN91" s="240"/>
      <c r="GO91" s="240"/>
      <c r="GP91" s="240"/>
      <c r="GQ91" s="240"/>
      <c r="GR91" s="240"/>
      <c r="GS91" s="240"/>
      <c r="GT91" s="240"/>
      <c r="GU91" s="240"/>
      <c r="GV91" s="240"/>
      <c r="GW91" s="240"/>
      <c r="GX91" s="240"/>
      <c r="GY91" s="240"/>
      <c r="GZ91" s="240"/>
      <c r="HA91" s="240"/>
      <c r="HB91" s="240"/>
      <c r="HC91" s="240"/>
      <c r="HD91" s="240"/>
      <c r="HE91" s="240"/>
      <c r="HF91" s="240"/>
      <c r="HG91" s="240"/>
      <c r="HH91" s="240"/>
      <c r="HI91" s="240"/>
      <c r="HJ91" s="240"/>
      <c r="HK91" s="240"/>
      <c r="HL91" s="240"/>
      <c r="HM91" s="240"/>
      <c r="HN91" s="240"/>
      <c r="HO91" s="240"/>
      <c r="HP91" s="240"/>
      <c r="HQ91" s="240"/>
      <c r="HR91" s="240"/>
      <c r="HS91" s="240"/>
      <c r="HT91" s="240"/>
      <c r="HU91" s="240"/>
      <c r="HV91" s="240"/>
      <c r="HW91" s="240"/>
      <c r="HX91" s="240"/>
      <c r="HY91" s="240"/>
      <c r="HZ91" s="240"/>
      <c r="IA91" s="240"/>
      <c r="IB91" s="240"/>
      <c r="IC91" s="240"/>
      <c r="ID91" s="240"/>
      <c r="IE91" s="240"/>
      <c r="IF91" s="240"/>
      <c r="IG91" s="240"/>
      <c r="IH91" s="240"/>
      <c r="II91" s="240"/>
      <c r="IJ91" s="240"/>
      <c r="IK91" s="240"/>
      <c r="IL91" s="240"/>
      <c r="IM91" s="240"/>
      <c r="IN91" s="240"/>
      <c r="IO91" s="240"/>
      <c r="IP91" s="240"/>
      <c r="IQ91" s="240"/>
      <c r="IR91" s="240"/>
      <c r="IS91" s="240"/>
      <c r="IT91" s="240"/>
      <c r="IU91" s="240"/>
      <c r="IV91" s="240"/>
      <c r="IW91" s="240"/>
      <c r="IX91" s="240"/>
      <c r="IY91" s="240"/>
      <c r="IZ91" s="240"/>
      <c r="JA91" s="240"/>
      <c r="JB91" s="240"/>
      <c r="JC91" s="240"/>
      <c r="JD91" s="240"/>
      <c r="JE91" s="240"/>
      <c r="JF91" s="240"/>
      <c r="JG91" s="240"/>
      <c r="JH91" s="240"/>
      <c r="JI91" s="240"/>
      <c r="JJ91" s="240"/>
      <c r="JK91" s="240"/>
      <c r="JL91" s="240"/>
      <c r="JM91" s="240"/>
      <c r="JN91" s="240"/>
      <c r="JO91" s="240"/>
      <c r="JP91" s="240"/>
      <c r="JQ91" s="240"/>
      <c r="JR91" s="240"/>
      <c r="JS91" s="240"/>
      <c r="JT91" s="240"/>
      <c r="JU91" s="240"/>
      <c r="JV91" s="240"/>
      <c r="JW91" s="240"/>
      <c r="JX91" s="240"/>
      <c r="JY91" s="240"/>
      <c r="JZ91" s="240"/>
      <c r="KA91" s="240"/>
      <c r="KB91" s="240"/>
      <c r="KC91" s="240"/>
      <c r="KD91" s="240"/>
      <c r="KE91" s="240"/>
      <c r="KF91" s="240"/>
      <c r="KG91" s="240"/>
      <c r="KH91" s="240"/>
      <c r="KI91" s="240"/>
      <c r="KJ91" s="240"/>
      <c r="KK91" s="240"/>
      <c r="KL91" s="240"/>
      <c r="KM91" s="240"/>
      <c r="KN91" s="240"/>
      <c r="KO91" s="240"/>
      <c r="KP91" s="240"/>
      <c r="KQ91" s="240"/>
      <c r="KR91" s="240"/>
      <c r="KS91" s="240"/>
      <c r="KT91" s="240"/>
      <c r="KU91" s="240"/>
      <c r="KV91" s="240"/>
      <c r="KW91" s="240"/>
      <c r="KX91" s="240"/>
      <c r="KY91" s="240"/>
      <c r="KZ91" s="240"/>
      <c r="LA91" s="240"/>
      <c r="LB91" s="240"/>
      <c r="LC91" s="240"/>
      <c r="LD91" s="240"/>
      <c r="LE91" s="240"/>
      <c r="LF91" s="240"/>
      <c r="LG91" s="240"/>
      <c r="LH91" s="240"/>
      <c r="LI91" s="240"/>
      <c r="LJ91" s="240"/>
      <c r="LK91" s="240"/>
      <c r="LL91" s="240"/>
      <c r="LM91" s="240"/>
      <c r="LN91" s="240"/>
      <c r="LO91" s="240"/>
      <c r="LP91" s="240"/>
      <c r="LQ91" s="240"/>
      <c r="LR91" s="240"/>
      <c r="LS91" s="240"/>
      <c r="LT91" s="240"/>
      <c r="LU91" s="240"/>
      <c r="LV91" s="240"/>
      <c r="LW91" s="240"/>
      <c r="LX91" s="240"/>
      <c r="LY91" s="240"/>
      <c r="LZ91" s="240"/>
      <c r="MA91" s="240"/>
      <c r="MB91" s="240"/>
      <c r="MC91" s="240"/>
      <c r="MD91" s="240"/>
      <c r="ME91" s="240"/>
      <c r="MF91" s="240"/>
      <c r="MG91" s="240"/>
      <c r="MH91" s="240"/>
      <c r="MI91" s="240"/>
      <c r="MJ91" s="240"/>
      <c r="MK91" s="240"/>
      <c r="ML91" s="240"/>
      <c r="MM91" s="240"/>
      <c r="MN91" s="240"/>
      <c r="MO91" s="240"/>
      <c r="MP91" s="240"/>
      <c r="MQ91" s="240"/>
      <c r="MR91" s="240"/>
      <c r="MS91" s="240"/>
      <c r="MT91" s="240"/>
      <c r="MU91" s="240"/>
      <c r="MV91" s="240"/>
      <c r="MW91" s="240"/>
      <c r="MX91" s="240"/>
      <c r="MY91" s="240"/>
      <c r="MZ91" s="240"/>
      <c r="NA91" s="240"/>
      <c r="NB91" s="240"/>
      <c r="NC91" s="240"/>
      <c r="ND91" s="240"/>
      <c r="NE91" s="240"/>
      <c r="NF91" s="240"/>
      <c r="NG91" s="240"/>
      <c r="NH91" s="240"/>
      <c r="NI91" s="240"/>
      <c r="NJ91" s="240"/>
      <c r="NK91" s="240"/>
      <c r="NL91" s="240"/>
      <c r="NM91" s="240"/>
      <c r="NN91" s="240"/>
      <c r="NO91" s="240"/>
      <c r="NP91" s="240"/>
      <c r="NQ91" s="240"/>
      <c r="NR91" s="240"/>
      <c r="NS91" s="240"/>
      <c r="NT91" s="240"/>
      <c r="NU91" s="240"/>
      <c r="NV91" s="240"/>
      <c r="NW91" s="240"/>
      <c r="NX91" s="240"/>
      <c r="NY91" s="240"/>
      <c r="NZ91" s="240"/>
      <c r="OA91" s="240"/>
      <c r="OB91" s="240"/>
      <c r="OC91" s="240"/>
      <c r="OD91" s="240"/>
      <c r="OE91" s="240"/>
      <c r="OF91" s="240"/>
      <c r="OG91" s="240"/>
      <c r="OH91" s="240"/>
      <c r="OI91" s="240"/>
      <c r="OJ91" s="240"/>
      <c r="OK91" s="240"/>
      <c r="OL91" s="240"/>
      <c r="OM91" s="240"/>
      <c r="ON91" s="240"/>
      <c r="OO91" s="240"/>
      <c r="OP91" s="240"/>
      <c r="OQ91" s="240"/>
      <c r="OR91" s="240"/>
      <c r="OS91" s="240"/>
      <c r="OT91" s="240"/>
      <c r="OU91" s="240"/>
      <c r="OV91" s="240"/>
      <c r="OW91" s="240"/>
      <c r="OX91" s="240"/>
      <c r="OY91" s="240"/>
      <c r="OZ91" s="240"/>
      <c r="PA91" s="240"/>
      <c r="PB91" s="240"/>
      <c r="PC91" s="240"/>
      <c r="PD91" s="240"/>
      <c r="PE91" s="240"/>
      <c r="PF91" s="240"/>
      <c r="PG91" s="240"/>
      <c r="PH91" s="240"/>
      <c r="PI91" s="240"/>
      <c r="PJ91" s="240"/>
      <c r="PK91" s="240"/>
      <c r="PL91" s="240"/>
      <c r="PM91" s="240"/>
      <c r="PN91" s="240"/>
      <c r="PO91" s="240"/>
      <c r="PP91" s="240"/>
      <c r="PQ91" s="240"/>
      <c r="PR91" s="240"/>
      <c r="PS91" s="240"/>
      <c r="PT91" s="240"/>
      <c r="PU91" s="240"/>
      <c r="PV91" s="240"/>
      <c r="PW91" s="240"/>
      <c r="PX91" s="240"/>
      <c r="PY91" s="240"/>
      <c r="PZ91" s="240"/>
      <c r="QA91" s="240"/>
      <c r="QB91" s="240"/>
      <c r="QC91" s="240"/>
      <c r="QD91" s="240"/>
      <c r="QE91" s="240"/>
      <c r="QF91" s="240"/>
      <c r="QG91" s="240"/>
      <c r="QH91" s="240"/>
      <c r="QI91" s="240"/>
      <c r="QJ91" s="240"/>
      <c r="QK91" s="240"/>
      <c r="QL91" s="240"/>
      <c r="QM91" s="240"/>
      <c r="QN91" s="240"/>
      <c r="QO91" s="240"/>
      <c r="QP91" s="240"/>
      <c r="QQ91" s="240"/>
      <c r="QR91" s="240"/>
      <c r="QS91" s="240"/>
      <c r="QT91" s="240"/>
      <c r="QU91" s="240"/>
      <c r="QV91" s="240"/>
      <c r="QW91" s="240"/>
      <c r="QX91" s="240"/>
      <c r="QY91" s="240"/>
      <c r="QZ91" s="240"/>
      <c r="RA91" s="240"/>
      <c r="RB91" s="240"/>
      <c r="RC91" s="240"/>
      <c r="RD91" s="240"/>
      <c r="RE91" s="240"/>
      <c r="RF91" s="240"/>
      <c r="RG91" s="240"/>
      <c r="RH91" s="240"/>
      <c r="RI91" s="240"/>
      <c r="RJ91" s="240"/>
      <c r="RK91" s="240"/>
      <c r="RL91" s="240"/>
      <c r="RM91" s="240"/>
      <c r="RN91" s="240"/>
      <c r="RO91" s="240"/>
      <c r="RP91" s="240"/>
      <c r="RQ91" s="240"/>
      <c r="RR91" s="240"/>
      <c r="RS91" s="240"/>
      <c r="RT91" s="240"/>
      <c r="RU91" s="240"/>
      <c r="RV91" s="240"/>
      <c r="RW91" s="240"/>
      <c r="RX91" s="240"/>
      <c r="RY91" s="240"/>
      <c r="RZ91" s="240"/>
      <c r="SA91" s="240"/>
      <c r="SB91" s="240"/>
      <c r="SC91" s="240"/>
      <c r="SD91" s="240"/>
      <c r="SE91" s="240"/>
      <c r="SF91" s="240"/>
      <c r="SG91" s="240"/>
      <c r="SH91" s="240"/>
      <c r="SI91" s="240"/>
      <c r="SJ91" s="240"/>
      <c r="SK91" s="240"/>
      <c r="SL91" s="240"/>
      <c r="SM91" s="240"/>
      <c r="SN91" s="240"/>
      <c r="SO91" s="240"/>
      <c r="SP91" s="240"/>
      <c r="SQ91" s="240"/>
      <c r="SR91" s="240"/>
      <c r="SS91" s="240"/>
      <c r="ST91" s="240"/>
      <c r="SU91" s="240"/>
      <c r="SV91" s="240"/>
      <c r="SW91" s="240"/>
      <c r="SX91" s="240"/>
      <c r="SY91" s="240"/>
      <c r="SZ91" s="240"/>
      <c r="TA91" s="240"/>
      <c r="TB91" s="240"/>
      <c r="TC91" s="240"/>
      <c r="TD91" s="240"/>
      <c r="TE91" s="240"/>
      <c r="TF91" s="240"/>
      <c r="TG91" s="240"/>
      <c r="TH91" s="240"/>
      <c r="TI91" s="240"/>
      <c r="TJ91" s="240"/>
      <c r="TK91" s="240"/>
      <c r="TL91" s="240"/>
      <c r="TM91" s="240"/>
      <c r="TN91" s="240"/>
      <c r="TO91" s="240"/>
      <c r="TP91" s="240"/>
      <c r="TQ91" s="240"/>
      <c r="TR91" s="240"/>
      <c r="TS91" s="240"/>
      <c r="TT91" s="240"/>
      <c r="TU91" s="240"/>
      <c r="TV91" s="240"/>
      <c r="TW91" s="240"/>
      <c r="TX91" s="240"/>
      <c r="TY91" s="240"/>
      <c r="TZ91" s="240"/>
      <c r="UA91" s="240"/>
      <c r="UB91" s="240"/>
      <c r="UC91" s="240"/>
      <c r="UD91" s="240"/>
      <c r="UE91" s="240"/>
      <c r="UF91" s="240"/>
      <c r="UG91" s="240"/>
      <c r="UH91" s="240"/>
      <c r="UI91" s="240"/>
      <c r="UJ91" s="240"/>
      <c r="UK91" s="240"/>
      <c r="UL91" s="240"/>
      <c r="UM91" s="240"/>
      <c r="UN91" s="240"/>
      <c r="UO91" s="240"/>
      <c r="UP91" s="240"/>
      <c r="UQ91" s="240"/>
      <c r="UR91" s="240"/>
      <c r="US91" s="240"/>
      <c r="UT91" s="240"/>
      <c r="UU91" s="240"/>
      <c r="UV91" s="240"/>
      <c r="UW91" s="240"/>
      <c r="UX91" s="240"/>
      <c r="UY91" s="240"/>
      <c r="UZ91" s="240"/>
      <c r="VA91" s="240"/>
      <c r="VB91" s="240"/>
      <c r="VC91" s="240"/>
      <c r="VD91" s="240"/>
      <c r="VE91" s="240"/>
      <c r="VF91" s="240"/>
      <c r="VG91" s="240"/>
      <c r="VH91" s="240"/>
      <c r="VI91" s="240"/>
      <c r="VJ91" s="240"/>
      <c r="VK91" s="240"/>
      <c r="VL91" s="240"/>
      <c r="VM91" s="240"/>
      <c r="VN91" s="240"/>
      <c r="VO91" s="240"/>
      <c r="VP91" s="240"/>
      <c r="VQ91" s="240"/>
      <c r="VR91" s="240"/>
      <c r="VS91" s="240"/>
      <c r="VT91" s="240"/>
      <c r="VU91" s="240"/>
      <c r="VV91" s="240"/>
      <c r="VW91" s="240"/>
      <c r="VX91" s="240"/>
      <c r="VY91" s="240"/>
      <c r="VZ91" s="240"/>
      <c r="WA91" s="240"/>
      <c r="WB91" s="240"/>
      <c r="WC91" s="240"/>
      <c r="WD91" s="240"/>
      <c r="WE91" s="240"/>
      <c r="WF91" s="240"/>
      <c r="WG91" s="240"/>
      <c r="WH91" s="240"/>
      <c r="WI91" s="240"/>
      <c r="WJ91" s="240"/>
      <c r="WK91" s="240"/>
      <c r="WL91" s="240"/>
      <c r="WM91" s="240"/>
      <c r="WN91" s="240"/>
      <c r="WO91" s="240"/>
      <c r="WP91" s="240"/>
      <c r="WQ91" s="240"/>
      <c r="WR91" s="240"/>
      <c r="WS91" s="240"/>
      <c r="WT91" s="240"/>
      <c r="WU91" s="240"/>
      <c r="WV91" s="240"/>
      <c r="WW91" s="240"/>
      <c r="WX91" s="240"/>
      <c r="WY91" s="240"/>
      <c r="WZ91" s="240"/>
      <c r="XA91" s="240"/>
      <c r="XB91" s="240"/>
      <c r="XC91" s="240"/>
      <c r="XD91" s="240"/>
      <c r="XE91" s="240"/>
      <c r="XF91" s="240"/>
      <c r="XG91" s="240"/>
      <c r="XH91" s="240"/>
      <c r="XI91" s="240"/>
      <c r="XJ91" s="240"/>
      <c r="XK91" s="240"/>
      <c r="XL91" s="240"/>
      <c r="XM91" s="240"/>
      <c r="XN91" s="240"/>
      <c r="XO91" s="240"/>
      <c r="XP91" s="240"/>
      <c r="XQ91" s="240"/>
      <c r="XR91" s="240"/>
      <c r="XS91" s="240"/>
      <c r="XT91" s="240"/>
      <c r="XU91" s="240"/>
      <c r="XV91" s="240"/>
      <c r="XW91" s="240"/>
      <c r="XX91" s="240"/>
      <c r="XY91" s="240"/>
      <c r="XZ91" s="240"/>
      <c r="YA91" s="240"/>
      <c r="YB91" s="240"/>
      <c r="YC91" s="240"/>
      <c r="YD91" s="240"/>
      <c r="YE91" s="240"/>
      <c r="YF91" s="240"/>
      <c r="YG91" s="240"/>
      <c r="YH91" s="240"/>
      <c r="YI91" s="240"/>
      <c r="YJ91" s="240"/>
      <c r="YK91" s="240"/>
      <c r="YL91" s="240"/>
      <c r="YM91" s="240"/>
      <c r="YN91" s="240"/>
      <c r="YO91" s="240"/>
      <c r="YP91" s="240"/>
      <c r="YQ91" s="240"/>
      <c r="YR91" s="240"/>
      <c r="YS91" s="240"/>
      <c r="YT91" s="240"/>
      <c r="YU91" s="240"/>
      <c r="YV91" s="240"/>
      <c r="YW91" s="240"/>
      <c r="YX91" s="240"/>
      <c r="YY91" s="240"/>
      <c r="YZ91" s="240"/>
      <c r="ZA91" s="240"/>
      <c r="ZB91" s="240"/>
      <c r="ZC91" s="240"/>
      <c r="ZD91" s="240"/>
      <c r="ZE91" s="240"/>
      <c r="ZF91" s="240"/>
      <c r="ZG91" s="240"/>
      <c r="ZH91" s="240"/>
      <c r="ZI91" s="240"/>
      <c r="ZJ91" s="240"/>
      <c r="ZK91" s="240"/>
      <c r="ZL91" s="240"/>
      <c r="ZM91" s="240"/>
      <c r="ZN91" s="240"/>
      <c r="ZO91" s="240"/>
      <c r="ZP91" s="240"/>
      <c r="ZQ91" s="240"/>
      <c r="ZR91" s="240"/>
      <c r="ZS91" s="240"/>
      <c r="ZT91" s="240"/>
      <c r="ZU91" s="240"/>
      <c r="ZV91" s="240"/>
      <c r="ZW91" s="240"/>
      <c r="ZX91" s="240"/>
      <c r="ZY91" s="240"/>
      <c r="ZZ91" s="240"/>
      <c r="AAA91" s="240"/>
      <c r="AAB91" s="240"/>
      <c r="AAC91" s="240"/>
      <c r="AAD91" s="240"/>
      <c r="AAE91" s="240"/>
      <c r="AAF91" s="240"/>
      <c r="AAG91" s="240"/>
      <c r="AAH91" s="240"/>
      <c r="AAI91" s="240"/>
      <c r="AAJ91" s="240"/>
      <c r="AAK91" s="240"/>
      <c r="AAL91" s="240"/>
      <c r="AAM91" s="240"/>
      <c r="AAN91" s="240"/>
      <c r="AAO91" s="240"/>
      <c r="AAP91" s="240"/>
      <c r="AAQ91" s="240"/>
      <c r="AAR91" s="240"/>
      <c r="AAS91" s="240"/>
      <c r="AAT91" s="240"/>
      <c r="AAU91" s="240"/>
      <c r="AAV91" s="240"/>
      <c r="AAW91" s="240"/>
      <c r="AAX91" s="240"/>
      <c r="AAY91" s="240"/>
      <c r="AAZ91" s="240"/>
      <c r="ABA91" s="240"/>
      <c r="ABB91" s="240"/>
      <c r="ABC91" s="240"/>
      <c r="ABD91" s="240"/>
      <c r="ABE91" s="240"/>
      <c r="ABF91" s="240"/>
      <c r="ABG91" s="240"/>
      <c r="ABH91" s="240"/>
      <c r="ABI91" s="240"/>
      <c r="ABJ91" s="240"/>
      <c r="ABK91" s="240"/>
      <c r="ABL91" s="240"/>
      <c r="ABM91" s="240"/>
      <c r="ABN91" s="240"/>
      <c r="ABO91" s="240"/>
      <c r="ABP91" s="240"/>
      <c r="ABQ91" s="240"/>
      <c r="ABR91" s="240"/>
      <c r="ABS91" s="240"/>
      <c r="ABT91" s="240"/>
      <c r="ABU91" s="240"/>
      <c r="ABV91" s="240"/>
      <c r="ABW91" s="240"/>
      <c r="ABX91" s="240"/>
      <c r="ABY91" s="240"/>
      <c r="ABZ91" s="240"/>
      <c r="ACA91" s="240"/>
      <c r="ACB91" s="240"/>
      <c r="ACC91" s="240"/>
      <c r="ACD91" s="240"/>
      <c r="ACE91" s="240"/>
      <c r="ACF91" s="240"/>
      <c r="ACG91" s="240"/>
      <c r="ACH91" s="240"/>
      <c r="ACI91" s="240"/>
      <c r="ACJ91" s="240"/>
      <c r="ACK91" s="240"/>
      <c r="ACL91" s="240"/>
      <c r="ACM91" s="240"/>
      <c r="ACN91" s="240"/>
      <c r="ACO91" s="240"/>
      <c r="ACP91" s="240"/>
      <c r="ACQ91" s="240"/>
      <c r="ACR91" s="240"/>
      <c r="ACS91" s="240"/>
      <c r="ACT91" s="240"/>
      <c r="ACU91" s="240"/>
      <c r="ACV91" s="240"/>
      <c r="ACW91" s="240"/>
      <c r="ACX91" s="240"/>
      <c r="ACY91" s="240"/>
      <c r="ACZ91" s="240"/>
      <c r="ADA91" s="240"/>
      <c r="ADB91" s="240"/>
      <c r="ADC91" s="240"/>
      <c r="ADD91" s="240"/>
      <c r="ADE91" s="240"/>
      <c r="ADF91" s="240"/>
      <c r="ADG91" s="240"/>
      <c r="ADH91" s="240"/>
      <c r="ADI91" s="240"/>
      <c r="ADJ91" s="240"/>
      <c r="ADK91" s="240"/>
      <c r="ADL91" s="240"/>
      <c r="ADM91" s="240"/>
      <c r="ADN91" s="240"/>
      <c r="ADO91" s="240"/>
      <c r="ADP91" s="240"/>
      <c r="ADQ91" s="240"/>
      <c r="ADR91" s="240"/>
      <c r="ADS91" s="240"/>
      <c r="ADT91" s="240"/>
      <c r="ADU91" s="240"/>
      <c r="ADV91" s="240"/>
      <c r="ADW91" s="240"/>
      <c r="ADX91" s="240"/>
      <c r="ADY91" s="240"/>
      <c r="ADZ91" s="240"/>
      <c r="AEA91" s="240"/>
      <c r="AEB91" s="240"/>
      <c r="AEC91" s="240"/>
      <c r="AED91" s="240"/>
      <c r="AEE91" s="240"/>
      <c r="AEF91" s="240"/>
      <c r="AEG91" s="240"/>
      <c r="AEH91" s="240"/>
      <c r="AEI91" s="240"/>
      <c r="AEJ91" s="240"/>
      <c r="AEK91" s="240"/>
      <c r="AEL91" s="240"/>
      <c r="AEM91" s="240"/>
      <c r="AEN91" s="240"/>
      <c r="AEO91" s="240"/>
      <c r="AEP91" s="240"/>
      <c r="AEQ91" s="240"/>
      <c r="AER91" s="240"/>
      <c r="AES91" s="240"/>
      <c r="AET91" s="240"/>
      <c r="AEU91" s="240"/>
      <c r="AEV91" s="240"/>
      <c r="AEW91" s="240"/>
      <c r="AEX91" s="240"/>
      <c r="AEY91" s="240"/>
      <c r="AEZ91" s="240"/>
      <c r="AFA91" s="240"/>
      <c r="AFB91" s="240"/>
      <c r="AFC91" s="240"/>
      <c r="AFD91" s="240"/>
      <c r="AFE91" s="240"/>
      <c r="AFF91" s="240"/>
      <c r="AFG91" s="240"/>
      <c r="AFH91" s="240"/>
      <c r="AFI91" s="240"/>
      <c r="AFJ91" s="240"/>
      <c r="AFK91" s="240"/>
      <c r="AFL91" s="240"/>
      <c r="AFM91" s="240"/>
      <c r="AFN91" s="240"/>
      <c r="AFO91" s="240"/>
      <c r="AFP91" s="240"/>
      <c r="AFQ91" s="240"/>
      <c r="AFR91" s="240"/>
      <c r="AFS91" s="240"/>
      <c r="AFT91" s="240"/>
      <c r="AFU91" s="240"/>
      <c r="AFV91" s="240"/>
      <c r="AFW91" s="240"/>
      <c r="AFX91" s="240"/>
      <c r="AFY91" s="240"/>
      <c r="AFZ91" s="240"/>
      <c r="AGA91" s="240"/>
      <c r="AGB91" s="240"/>
      <c r="AGC91" s="240"/>
      <c r="AGD91" s="240"/>
      <c r="AGE91" s="240"/>
      <c r="AGF91" s="240"/>
      <c r="AGG91" s="240"/>
      <c r="AGH91" s="240"/>
      <c r="AGI91" s="240"/>
      <c r="AGJ91" s="240"/>
      <c r="AGK91" s="240"/>
      <c r="AGL91" s="240"/>
      <c r="AGM91" s="240"/>
      <c r="AGN91" s="240"/>
      <c r="AGO91" s="240"/>
      <c r="AGP91" s="240"/>
      <c r="AGQ91" s="240"/>
      <c r="AGR91" s="240"/>
      <c r="AGS91" s="240"/>
      <c r="AGT91" s="240"/>
      <c r="AGU91" s="240"/>
      <c r="AGV91" s="240"/>
      <c r="AGW91" s="240"/>
      <c r="AGX91" s="240"/>
      <c r="AGY91" s="240"/>
      <c r="AGZ91" s="240"/>
      <c r="AHA91" s="240"/>
      <c r="AHB91" s="240"/>
      <c r="AHC91" s="240"/>
      <c r="AHD91" s="240"/>
      <c r="AHE91" s="240"/>
      <c r="AHF91" s="240"/>
      <c r="AHG91" s="240"/>
      <c r="AHH91" s="240"/>
      <c r="AHI91" s="240"/>
      <c r="AHJ91" s="240"/>
      <c r="AHK91" s="240"/>
      <c r="AHL91" s="240"/>
      <c r="AHM91" s="240"/>
      <c r="AHN91" s="240"/>
      <c r="AHO91" s="240"/>
      <c r="AHP91" s="240"/>
      <c r="AHQ91" s="240"/>
      <c r="AHR91" s="240"/>
      <c r="AHS91" s="240"/>
      <c r="AHT91" s="240"/>
      <c r="AHU91" s="240"/>
      <c r="AHV91" s="240"/>
      <c r="AHW91" s="240"/>
      <c r="AHX91" s="240"/>
      <c r="AHY91" s="240"/>
      <c r="AHZ91" s="240"/>
      <c r="AIA91" s="240"/>
      <c r="AIB91" s="240"/>
      <c r="AIC91" s="240"/>
      <c r="AID91" s="240"/>
      <c r="AIE91" s="240"/>
      <c r="AIF91" s="240"/>
      <c r="AIG91" s="240"/>
      <c r="AIH91" s="240"/>
      <c r="AII91" s="240"/>
      <c r="AIJ91" s="240"/>
      <c r="AIK91" s="240"/>
      <c r="AIL91" s="240"/>
      <c r="AIM91" s="240"/>
      <c r="AIN91" s="240"/>
      <c r="AIO91" s="240"/>
      <c r="AIP91" s="240"/>
      <c r="AIQ91" s="240"/>
      <c r="AIR91" s="240"/>
      <c r="AIS91" s="240"/>
      <c r="AIT91" s="240"/>
      <c r="AIU91" s="240"/>
      <c r="AIV91" s="240"/>
      <c r="AIW91" s="240"/>
      <c r="AIX91" s="240"/>
      <c r="AIY91" s="240"/>
      <c r="AIZ91" s="240"/>
      <c r="AJA91" s="240"/>
      <c r="AJB91" s="240"/>
      <c r="AJC91" s="240"/>
      <c r="AJD91" s="240"/>
      <c r="AJE91" s="240"/>
      <c r="AJF91" s="240"/>
      <c r="AJG91" s="240"/>
      <c r="AJH91" s="240"/>
      <c r="AJI91" s="240"/>
      <c r="AJJ91" s="240"/>
      <c r="AJK91" s="240"/>
      <c r="AJL91" s="240"/>
      <c r="AJM91" s="240"/>
      <c r="AJN91" s="240"/>
      <c r="AJO91" s="240"/>
      <c r="AJP91" s="240"/>
      <c r="AJQ91" s="240"/>
      <c r="AJR91" s="240"/>
      <c r="AJS91" s="240"/>
      <c r="AJT91" s="240"/>
      <c r="AJU91" s="240"/>
      <c r="AJV91" s="240"/>
      <c r="AJW91" s="240"/>
      <c r="AJX91" s="240"/>
      <c r="AJY91" s="240"/>
      <c r="AJZ91" s="240"/>
      <c r="AKA91" s="240"/>
      <c r="AKB91" s="240"/>
      <c r="AKC91" s="240"/>
      <c r="AKD91" s="240"/>
      <c r="AKE91" s="240"/>
      <c r="AKF91" s="240"/>
      <c r="AKG91" s="240"/>
      <c r="AKH91" s="240"/>
      <c r="AKI91" s="240"/>
      <c r="AKJ91" s="240"/>
      <c r="AKK91" s="240"/>
      <c r="AKL91" s="240"/>
      <c r="AKM91" s="240"/>
      <c r="AKN91" s="240"/>
      <c r="AKO91" s="240"/>
      <c r="AKP91" s="240"/>
      <c r="AKQ91" s="240"/>
      <c r="AKR91" s="240"/>
      <c r="AKS91" s="240"/>
      <c r="AKT91" s="240"/>
      <c r="AKU91" s="240"/>
      <c r="AKV91" s="240"/>
      <c r="AKW91" s="240"/>
      <c r="AKX91" s="240"/>
      <c r="AKY91" s="240"/>
      <c r="AKZ91" s="240"/>
      <c r="ALA91" s="240"/>
      <c r="ALB91" s="240"/>
      <c r="ALC91" s="240"/>
      <c r="ALD91" s="240"/>
      <c r="ALE91" s="240"/>
      <c r="ALF91" s="240"/>
      <c r="ALG91" s="240"/>
      <c r="ALH91" s="240"/>
      <c r="ALI91" s="240"/>
      <c r="ALJ91" s="240"/>
      <c r="ALK91" s="240"/>
      <c r="ALL91" s="240"/>
      <c r="ALM91" s="240"/>
      <c r="ALN91" s="240"/>
      <c r="ALO91" s="240"/>
      <c r="ALP91" s="240"/>
      <c r="ALQ91" s="240"/>
      <c r="ALR91" s="240"/>
      <c r="ALS91" s="240"/>
      <c r="ALT91" s="240"/>
      <c r="ALU91" s="240"/>
      <c r="ALV91" s="240"/>
      <c r="ALW91" s="240"/>
      <c r="ALX91" s="240"/>
      <c r="ALY91" s="240"/>
      <c r="ALZ91" s="240"/>
      <c r="AMA91" s="240"/>
      <c r="AMB91" s="240"/>
      <c r="AMC91" s="240"/>
      <c r="AMD91" s="240"/>
      <c r="AME91" s="240"/>
      <c r="AMF91" s="240"/>
      <c r="AMG91" s="240"/>
      <c r="AMH91" s="240"/>
      <c r="AMI91" s="240"/>
      <c r="AMJ91" s="240"/>
      <c r="AMK91" s="240"/>
    </row>
    <row r="92" spans="1:1025" s="240" customFormat="1" ht="13.5" customHeight="1" thickTop="1" thickBot="1">
      <c r="B92" s="135" t="s">
        <v>2492</v>
      </c>
      <c r="C92" s="163"/>
      <c r="D92" s="164"/>
      <c r="E92" s="164"/>
      <c r="F92" s="163"/>
      <c r="G92" s="163"/>
      <c r="H92" s="163"/>
      <c r="I92" s="163"/>
      <c r="J92" s="163"/>
      <c r="K92" s="163"/>
      <c r="L92" s="165"/>
    </row>
    <row r="93" spans="1:1025" s="240" customFormat="1" ht="13.5" customHeight="1" thickTop="1" thickBot="1">
      <c r="B93" s="156"/>
      <c r="C93" s="187" t="s">
        <v>2493</v>
      </c>
      <c r="D93" s="166" t="s">
        <v>20</v>
      </c>
      <c r="E93" s="166" t="s">
        <v>20</v>
      </c>
      <c r="F93" s="202" t="s">
        <v>2494</v>
      </c>
      <c r="G93" s="166" t="s">
        <v>6</v>
      </c>
      <c r="H93" s="167"/>
      <c r="I93" s="166"/>
      <c r="J93" s="167"/>
      <c r="K93" s="166"/>
      <c r="L93" s="167"/>
    </row>
    <row r="94" spans="1:1025" s="240" customFormat="1" ht="14.25" thickTop="1" thickBot="1">
      <c r="B94" s="156"/>
      <c r="C94" s="187" t="s">
        <v>2495</v>
      </c>
      <c r="D94" s="166" t="s">
        <v>2496</v>
      </c>
      <c r="E94" s="168" t="s">
        <v>2497</v>
      </c>
      <c r="F94" s="202" t="s">
        <v>2498</v>
      </c>
      <c r="G94" s="166" t="s">
        <v>2350</v>
      </c>
      <c r="H94" s="167"/>
      <c r="I94" s="166"/>
      <c r="J94" s="167"/>
      <c r="K94" s="166"/>
      <c r="L94" s="167"/>
    </row>
    <row r="95" spans="1:1025" s="240" customFormat="1" ht="14.25" thickTop="1" thickBot="1">
      <c r="B95" s="156"/>
      <c r="C95" s="187" t="s">
        <v>2499</v>
      </c>
      <c r="D95" s="166" t="s">
        <v>2500</v>
      </c>
      <c r="E95" s="168" t="s">
        <v>2497</v>
      </c>
      <c r="F95" s="202" t="s">
        <v>2479</v>
      </c>
      <c r="G95" s="166" t="s">
        <v>2338</v>
      </c>
      <c r="H95" s="167"/>
      <c r="I95" s="166"/>
      <c r="J95" s="167"/>
      <c r="K95" s="166"/>
      <c r="L95" s="167"/>
    </row>
    <row r="96" spans="1:1025" s="240" customFormat="1" ht="14.25" thickTop="1" thickBot="1">
      <c r="B96" s="169"/>
      <c r="C96" s="187" t="s">
        <v>2331</v>
      </c>
      <c r="D96" s="166" t="s">
        <v>2501</v>
      </c>
      <c r="E96" s="168" t="s">
        <v>2502</v>
      </c>
      <c r="F96" s="202" t="s">
        <v>2498</v>
      </c>
      <c r="G96" s="166" t="s">
        <v>2350</v>
      </c>
      <c r="H96" s="167"/>
      <c r="I96" s="166"/>
      <c r="J96" s="167"/>
      <c r="K96" s="166"/>
      <c r="L96" s="167"/>
    </row>
    <row r="97" spans="2:12" ht="14.25" thickTop="1" thickBot="1"/>
    <row r="98" spans="2:12" s="240" customFormat="1" ht="13.5" customHeight="1" thickTop="1" thickBot="1">
      <c r="B98" s="135" t="s">
        <v>2503</v>
      </c>
      <c r="C98" s="163"/>
      <c r="D98" s="164"/>
      <c r="E98" s="164"/>
      <c r="F98" s="163"/>
      <c r="G98" s="163"/>
      <c r="H98" s="163"/>
      <c r="I98" s="163"/>
      <c r="J98" s="163"/>
      <c r="K98" s="163"/>
      <c r="L98" s="165"/>
    </row>
    <row r="99" spans="2:12" s="240" customFormat="1" ht="14.25" thickTop="1" thickBot="1">
      <c r="B99" s="169"/>
      <c r="C99" s="187" t="s">
        <v>2304</v>
      </c>
      <c r="D99" s="166" t="s">
        <v>2504</v>
      </c>
      <c r="E99" s="168" t="s">
        <v>2505</v>
      </c>
      <c r="F99" s="202" t="s">
        <v>2290</v>
      </c>
      <c r="G99" s="166" t="s">
        <v>6</v>
      </c>
      <c r="H99" s="167"/>
      <c r="I99" s="166"/>
      <c r="J99" s="167"/>
      <c r="K99" s="166"/>
      <c r="L99" s="167"/>
    </row>
    <row r="100" spans="2:12" ht="14.25" thickTop="1" thickBot="1"/>
    <row r="101" spans="2:12" s="240" customFormat="1" ht="13.5" customHeight="1" thickTop="1" thickBot="1">
      <c r="B101" s="135" t="s">
        <v>2506</v>
      </c>
      <c r="C101" s="163"/>
      <c r="D101" s="164"/>
      <c r="E101" s="164"/>
      <c r="F101" s="163"/>
      <c r="G101" s="163"/>
      <c r="H101" s="163"/>
      <c r="I101" s="163"/>
      <c r="J101" s="163"/>
      <c r="K101" s="163"/>
      <c r="L101" s="165"/>
    </row>
    <row r="102" spans="2:12" s="240" customFormat="1" ht="13.5" customHeight="1" thickTop="1" thickBot="1">
      <c r="B102" s="156"/>
      <c r="C102" s="380" t="s">
        <v>2570</v>
      </c>
      <c r="D102" s="166" t="s">
        <v>20</v>
      </c>
      <c r="E102" s="166" t="s">
        <v>20</v>
      </c>
      <c r="F102" s="202" t="s">
        <v>2597</v>
      </c>
      <c r="G102" s="166" t="s">
        <v>6</v>
      </c>
      <c r="H102" s="167"/>
      <c r="I102" s="166"/>
      <c r="J102" s="167"/>
      <c r="K102" s="166"/>
      <c r="L102" s="167"/>
    </row>
    <row r="103" spans="2:12" s="240" customFormat="1" ht="14.25" thickTop="1" thickBot="1">
      <c r="B103" s="156"/>
      <c r="C103" s="380" t="s">
        <v>2598</v>
      </c>
      <c r="D103" s="166" t="s">
        <v>2599</v>
      </c>
      <c r="E103" s="168" t="s">
        <v>2600</v>
      </c>
      <c r="F103" s="381" t="s">
        <v>2601</v>
      </c>
      <c r="G103" s="382" t="s">
        <v>2602</v>
      </c>
      <c r="H103" s="167"/>
      <c r="I103" s="166"/>
      <c r="J103" s="167"/>
      <c r="K103" s="166"/>
      <c r="L103" s="385" t="s">
        <v>2603</v>
      </c>
    </row>
    <row r="104" spans="2:12" s="240" customFormat="1" ht="14.25" thickTop="1" thickBot="1">
      <c r="B104" s="156"/>
      <c r="C104" s="187" t="s">
        <v>2511</v>
      </c>
      <c r="D104" s="166" t="s">
        <v>2512</v>
      </c>
      <c r="E104" s="168" t="s">
        <v>2513</v>
      </c>
      <c r="F104" s="202" t="s">
        <v>2323</v>
      </c>
      <c r="G104" s="166" t="s">
        <v>2358</v>
      </c>
      <c r="H104" s="167"/>
      <c r="I104" s="166"/>
      <c r="J104" s="167"/>
      <c r="K104" s="166"/>
      <c r="L104" s="167"/>
    </row>
    <row r="105" spans="2:12" s="240" customFormat="1" ht="14.25" thickTop="1" thickBot="1">
      <c r="B105" s="156"/>
      <c r="C105" s="187" t="s">
        <v>2514</v>
      </c>
      <c r="D105" s="166" t="s">
        <v>2515</v>
      </c>
      <c r="E105" s="168" t="s">
        <v>2516</v>
      </c>
      <c r="F105" s="202" t="s">
        <v>2271</v>
      </c>
      <c r="G105" s="166" t="s">
        <v>2338</v>
      </c>
      <c r="H105" s="167"/>
      <c r="I105" s="166"/>
      <c r="J105" s="167"/>
      <c r="K105" s="166"/>
      <c r="L105" s="167"/>
    </row>
    <row r="106" spans="2:12" s="240" customFormat="1" ht="14.25" thickTop="1" thickBot="1">
      <c r="B106" s="156"/>
      <c r="C106" s="187" t="s">
        <v>2517</v>
      </c>
      <c r="D106" s="166" t="s">
        <v>2518</v>
      </c>
      <c r="E106" s="168" t="s">
        <v>2519</v>
      </c>
      <c r="F106" s="202" t="s">
        <v>2308</v>
      </c>
      <c r="G106" s="166" t="s">
        <v>2358</v>
      </c>
      <c r="H106" s="167"/>
      <c r="I106" s="166"/>
      <c r="J106" s="167"/>
      <c r="K106" s="166"/>
      <c r="L106" s="167"/>
    </row>
    <row r="107" spans="2:12" s="240" customFormat="1" ht="14.25" thickTop="1" thickBot="1">
      <c r="B107" s="156"/>
      <c r="C107" s="187" t="s">
        <v>2351</v>
      </c>
      <c r="D107" s="166" t="s">
        <v>2520</v>
      </c>
      <c r="E107" s="168" t="s">
        <v>2521</v>
      </c>
      <c r="F107" s="202" t="s">
        <v>2318</v>
      </c>
      <c r="G107" s="166" t="s">
        <v>2364</v>
      </c>
      <c r="H107" s="167"/>
      <c r="I107" s="166"/>
      <c r="J107" s="167"/>
      <c r="K107" s="166"/>
      <c r="L107" s="167"/>
    </row>
    <row r="108" spans="2:12" s="240" customFormat="1" ht="14.25" thickTop="1" thickBot="1">
      <c r="B108" s="156"/>
      <c r="C108" s="187" t="s">
        <v>2355</v>
      </c>
      <c r="D108" s="166" t="s">
        <v>2522</v>
      </c>
      <c r="E108" s="168" t="s">
        <v>2523</v>
      </c>
      <c r="F108" s="202" t="s">
        <v>2318</v>
      </c>
      <c r="G108" s="166" t="s">
        <v>2364</v>
      </c>
      <c r="H108" s="167"/>
      <c r="I108" s="166"/>
      <c r="J108" s="167"/>
      <c r="K108" s="166"/>
      <c r="L108" s="167"/>
    </row>
    <row r="109" spans="2:12" s="240" customFormat="1" ht="14.25" thickTop="1" thickBot="1">
      <c r="B109" s="156"/>
      <c r="C109" s="187" t="s">
        <v>2524</v>
      </c>
      <c r="D109" s="166" t="s">
        <v>20</v>
      </c>
      <c r="E109" s="166" t="s">
        <v>20</v>
      </c>
      <c r="F109" s="202" t="s">
        <v>2366</v>
      </c>
      <c r="G109" s="166" t="s">
        <v>6</v>
      </c>
      <c r="H109" s="167"/>
      <c r="I109" s="166"/>
      <c r="J109" s="167"/>
      <c r="K109" s="166"/>
      <c r="L109" s="167"/>
    </row>
    <row r="110" spans="2:12" s="240" customFormat="1" ht="14.25" thickTop="1" thickBot="1">
      <c r="B110" s="156"/>
      <c r="C110" s="187" t="s">
        <v>2525</v>
      </c>
      <c r="D110" s="166" t="s">
        <v>2526</v>
      </c>
      <c r="E110" s="168" t="s">
        <v>2527</v>
      </c>
      <c r="F110" s="202" t="s">
        <v>2308</v>
      </c>
      <c r="G110" s="166" t="s">
        <v>2314</v>
      </c>
      <c r="H110" s="167"/>
      <c r="I110" s="166"/>
      <c r="J110" s="167"/>
      <c r="K110" s="166"/>
      <c r="L110" s="167"/>
    </row>
    <row r="111" spans="2:12" s="240" customFormat="1" ht="14.25" thickTop="1" thickBot="1">
      <c r="B111" s="169"/>
      <c r="C111" s="187" t="s">
        <v>1723</v>
      </c>
      <c r="D111" s="166" t="s">
        <v>2528</v>
      </c>
      <c r="E111" s="168" t="s">
        <v>2502</v>
      </c>
      <c r="F111" s="202" t="s">
        <v>2271</v>
      </c>
      <c r="G111" s="166" t="s">
        <v>2364</v>
      </c>
      <c r="H111" s="167"/>
      <c r="I111" s="166"/>
      <c r="J111" s="167"/>
      <c r="K111" s="166"/>
      <c r="L111" s="167"/>
    </row>
    <row r="112" spans="2:12" s="240" customFormat="1" ht="13.5" thickTop="1">
      <c r="C112" s="159"/>
    </row>
  </sheetData>
  <phoneticPr fontId="6"/>
  <dataValidations count="1">
    <dataValidation type="list" allowBlank="1" showInputMessage="1" showErrorMessage="1" sqref="F16:G16 K27 F27:G27 J18:J27 H18:H27 H54:H58 H61:H67 J8:J16 I16 I27 K16 H8:H16 H99 H41:H45 J41:J45 J48:J51 H48:H51 J54:J58 J29:J38 H70:H82 J70:J82 J85:J90 H85:H90 J93:J96 H93:H96 H102:H111 J61:J67 J99 H29:H38 J102:J111">
      <formula1>$F$1:$F$4</formula1>
    </dataValidation>
  </dataValidations>
  <pageMargins left="0" right="0" top="0.62986111111111098" bottom="0.43333333333333302" header="0.59027777777777801" footer="0.39374999999999999"/>
  <pageSetup paperSize="9" firstPageNumber="0" fitToHeight="99" orientation="portrait" verticalDpi="0" r:id="rId1"/>
  <headerFooter>
    <oddHeader>&amp;C&amp;A</oddHeader>
    <oddFooter>&amp;Cページ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History</vt:lpstr>
      <vt:lpstr>M9M_SDK_IO</vt:lpstr>
      <vt:lpstr>M9M HWMacro CH</vt:lpstr>
      <vt:lpstr>M9M GIC</vt:lpstr>
      <vt:lpstr>M9M CLKSTP</vt:lpstr>
      <vt:lpstr>M9M CLKSTP_ES3</vt:lpstr>
      <vt:lpstr>M9M CLKSEL</vt:lpstr>
      <vt:lpstr>M9M CLKSEL_ES3</vt:lpstr>
      <vt:lpstr>M9M_SDK_IO!Print_Area</vt:lpstr>
      <vt:lpstr>'M9M GIC'!Print_Titles</vt:lpstr>
      <vt:lpstr>'M9M HWMacro CH'!Print_Titles</vt:lpstr>
      <vt:lpstr>M9M_SDK_IO!Print_Titles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 Shunichirou</dc:creator>
  <cp:lastModifiedBy>Omuro, Wataru/大室 亘</cp:lastModifiedBy>
  <cp:lastPrinted>2015-01-16T05:54:54Z</cp:lastPrinted>
  <dcterms:created xsi:type="dcterms:W3CDTF">2009-12-03T11:52:38Z</dcterms:created>
  <dcterms:modified xsi:type="dcterms:W3CDTF">2017-06-29T00:57:30Z</dcterms:modified>
</cp:coreProperties>
</file>