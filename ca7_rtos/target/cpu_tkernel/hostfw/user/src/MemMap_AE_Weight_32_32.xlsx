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Z:\ok_pf\CA7_RTOS\target\cpu_tkernel\hostfw\user\src\"/>
    </mc:Choice>
  </mc:AlternateContent>
  <xr:revisionPtr revIDLastSave="0" documentId="13_ncr:1_{3ED27FE2-14A9-4F6B-91EB-3DC74DAA9924}" xr6:coauthVersionLast="46" xr6:coauthVersionMax="46" xr10:uidLastSave="{00000000-0000-0000-0000-000000000000}"/>
  <bookViews>
    <workbookView xWindow="1140" yWindow="-120" windowWidth="27780" windowHeight="16440" tabRatio="894" activeTab="3" xr2:uid="{00000000-000D-0000-FFFF-FFFF00000000}"/>
  </bookViews>
  <sheets>
    <sheet name="History" sheetId="9" r:id="rId1"/>
    <sheet name="ROM_MAP" sheetId="2" r:id="rId2"/>
    <sheet name="ROM_WORK" sheetId="3" r:id="rId3"/>
    <sheet name="AE_weight" sheetId="4" r:id="rId4"/>
    <sheet name="AE_w_WORK" sheetId="5" r:id="rId5"/>
  </sheets>
  <externalReferences>
    <externalReference r:id="rId6"/>
  </externalReferences>
  <definedNames>
    <definedName name="_xlnm._FilterDatabase" localSheetId="1" hidden="1">ROM_MAP!$B$1:$N$1673</definedName>
    <definedName name="_xlnm.Print_Area" localSheetId="1">ROM_MAP!$A$1:$K$1671</definedName>
    <definedName name="_xlnm.Print_Area" localSheetId="2">ROM_WORK!$B$1:$M$25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12" i="2" l="1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311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055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1799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543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288" i="2"/>
  <c r="I1287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032" i="2"/>
  <c r="I1031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776" i="2"/>
  <c r="I775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520" i="2"/>
  <c r="I519" i="2"/>
  <c r="I518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264" i="2"/>
  <c r="I263" i="2"/>
  <c r="L7" i="2"/>
  <c r="I259" i="2"/>
  <c r="I260" i="2"/>
  <c r="I261" i="2"/>
  <c r="I262" i="2"/>
  <c r="I250" i="2"/>
  <c r="I251" i="2"/>
  <c r="I252" i="2"/>
  <c r="I253" i="2"/>
  <c r="I254" i="2"/>
  <c r="I255" i="2"/>
  <c r="I256" i="2"/>
  <c r="I257" i="2"/>
  <c r="I258" i="2"/>
  <c r="I243" i="2"/>
  <c r="I244" i="2"/>
  <c r="I245" i="2"/>
  <c r="I246" i="2"/>
  <c r="I247" i="2"/>
  <c r="I248" i="2"/>
  <c r="I24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D7" i="5"/>
  <c r="E7" i="5"/>
  <c r="F7" i="5"/>
  <c r="G7" i="5"/>
  <c r="H7" i="5"/>
  <c r="I7" i="5"/>
  <c r="J7" i="5"/>
  <c r="K7" i="5"/>
  <c r="L7" i="5"/>
  <c r="M7" i="5"/>
  <c r="D8" i="5"/>
  <c r="E8" i="5"/>
  <c r="F8" i="5"/>
  <c r="G8" i="5"/>
  <c r="H8" i="5"/>
  <c r="I8" i="5"/>
  <c r="J8" i="5"/>
  <c r="K8" i="5"/>
  <c r="L8" i="5"/>
  <c r="M8" i="5"/>
  <c r="D9" i="5"/>
  <c r="E9" i="5"/>
  <c r="F9" i="5"/>
  <c r="G9" i="5"/>
  <c r="H9" i="5"/>
  <c r="I9" i="5"/>
  <c r="J9" i="5"/>
  <c r="K9" i="5"/>
  <c r="L9" i="5"/>
  <c r="M9" i="5"/>
  <c r="D10" i="5"/>
  <c r="E10" i="5"/>
  <c r="F10" i="5"/>
  <c r="G10" i="5"/>
  <c r="H10" i="5"/>
  <c r="I10" i="5"/>
  <c r="J10" i="5"/>
  <c r="K10" i="5"/>
  <c r="L10" i="5"/>
  <c r="M10" i="5"/>
  <c r="D11" i="5"/>
  <c r="E11" i="5"/>
  <c r="F11" i="5"/>
  <c r="G11" i="5"/>
  <c r="H11" i="5"/>
  <c r="I11" i="5"/>
  <c r="J11" i="5"/>
  <c r="K11" i="5"/>
  <c r="L11" i="5"/>
  <c r="M11" i="5"/>
  <c r="D12" i="5"/>
  <c r="E12" i="5"/>
  <c r="F12" i="5"/>
  <c r="G12" i="5"/>
  <c r="H12" i="5"/>
  <c r="I12" i="5"/>
  <c r="J12" i="5"/>
  <c r="K12" i="5"/>
  <c r="L12" i="5"/>
  <c r="M12" i="5"/>
  <c r="D13" i="5"/>
  <c r="E13" i="5"/>
  <c r="F13" i="5"/>
  <c r="G13" i="5"/>
  <c r="H13" i="5"/>
  <c r="I13" i="5"/>
  <c r="J13" i="5"/>
  <c r="K13" i="5"/>
  <c r="L13" i="5"/>
  <c r="M13" i="5"/>
  <c r="D14" i="5"/>
  <c r="E14" i="5"/>
  <c r="F14" i="5"/>
  <c r="G14" i="5"/>
  <c r="H14" i="5"/>
  <c r="I14" i="5"/>
  <c r="J14" i="5"/>
  <c r="K14" i="5"/>
  <c r="L14" i="5"/>
  <c r="M14" i="5"/>
  <c r="D15" i="5"/>
  <c r="E15" i="5"/>
  <c r="F15" i="5"/>
  <c r="G15" i="5"/>
  <c r="H15" i="5"/>
  <c r="I15" i="5"/>
  <c r="J15" i="5"/>
  <c r="K15" i="5"/>
  <c r="L15" i="5"/>
  <c r="M15" i="5"/>
  <c r="D16" i="5"/>
  <c r="E16" i="5"/>
  <c r="F16" i="5"/>
  <c r="G16" i="5"/>
  <c r="H16" i="5"/>
  <c r="I16" i="5"/>
  <c r="J16" i="5"/>
  <c r="K16" i="5"/>
  <c r="L16" i="5"/>
  <c r="M16" i="5"/>
  <c r="D17" i="5"/>
  <c r="E17" i="5"/>
  <c r="F17" i="5"/>
  <c r="G17" i="5"/>
  <c r="H17" i="5"/>
  <c r="I17" i="5"/>
  <c r="J17" i="5"/>
  <c r="K17" i="5"/>
  <c r="L17" i="5"/>
  <c r="M17" i="5"/>
  <c r="D18" i="5"/>
  <c r="E18" i="5"/>
  <c r="F18" i="5"/>
  <c r="G18" i="5"/>
  <c r="H18" i="5"/>
  <c r="I18" i="5"/>
  <c r="J18" i="5"/>
  <c r="K18" i="5"/>
  <c r="L18" i="5"/>
  <c r="M18" i="5"/>
  <c r="D19" i="5"/>
  <c r="E19" i="5"/>
  <c r="F19" i="5"/>
  <c r="G19" i="5"/>
  <c r="H19" i="5"/>
  <c r="I19" i="5"/>
  <c r="J19" i="5"/>
  <c r="K19" i="5"/>
  <c r="L19" i="5"/>
  <c r="M19" i="5"/>
  <c r="D20" i="5"/>
  <c r="E20" i="5"/>
  <c r="F20" i="5"/>
  <c r="G20" i="5"/>
  <c r="H20" i="5"/>
  <c r="I20" i="5"/>
  <c r="J20" i="5"/>
  <c r="K20" i="5"/>
  <c r="L20" i="5"/>
  <c r="M20" i="5"/>
  <c r="D21" i="5"/>
  <c r="E21" i="5"/>
  <c r="F21" i="5"/>
  <c r="G21" i="5"/>
  <c r="H21" i="5"/>
  <c r="I21" i="5"/>
  <c r="J21" i="5"/>
  <c r="K21" i="5"/>
  <c r="L21" i="5"/>
  <c r="M21" i="5"/>
  <c r="D22" i="5"/>
  <c r="E22" i="5"/>
  <c r="F22" i="5"/>
  <c r="G22" i="5"/>
  <c r="H22" i="5"/>
  <c r="I22" i="5"/>
  <c r="J22" i="5"/>
  <c r="K22" i="5"/>
  <c r="L22" i="5"/>
  <c r="M22" i="5"/>
  <c r="D23" i="5"/>
  <c r="E23" i="5"/>
  <c r="F23" i="5"/>
  <c r="G23" i="5"/>
  <c r="H23" i="5"/>
  <c r="I23" i="5"/>
  <c r="J23" i="5"/>
  <c r="K23" i="5"/>
  <c r="L23" i="5"/>
  <c r="M23" i="5"/>
  <c r="D24" i="5"/>
  <c r="E24" i="5"/>
  <c r="F24" i="5"/>
  <c r="G24" i="5"/>
  <c r="H24" i="5"/>
  <c r="I24" i="5"/>
  <c r="J24" i="5"/>
  <c r="K24" i="5"/>
  <c r="L24" i="5"/>
  <c r="M24" i="5"/>
  <c r="D25" i="5"/>
  <c r="E25" i="5"/>
  <c r="F25" i="5"/>
  <c r="G25" i="5"/>
  <c r="H25" i="5"/>
  <c r="I25" i="5"/>
  <c r="J25" i="5"/>
  <c r="K25" i="5"/>
  <c r="L25" i="5"/>
  <c r="M25" i="5"/>
  <c r="D26" i="5"/>
  <c r="E26" i="5"/>
  <c r="F26" i="5"/>
  <c r="G26" i="5"/>
  <c r="H26" i="5"/>
  <c r="I26" i="5"/>
  <c r="J26" i="5"/>
  <c r="K26" i="5"/>
  <c r="L26" i="5"/>
  <c r="M26" i="5"/>
  <c r="D27" i="5"/>
  <c r="E27" i="5"/>
  <c r="F27" i="5"/>
  <c r="G27" i="5"/>
  <c r="H27" i="5"/>
  <c r="I27" i="5"/>
  <c r="J27" i="5"/>
  <c r="K27" i="5"/>
  <c r="L27" i="5"/>
  <c r="M27" i="5"/>
  <c r="D28" i="5"/>
  <c r="E28" i="5"/>
  <c r="F28" i="5"/>
  <c r="G28" i="5"/>
  <c r="H28" i="5"/>
  <c r="I28" i="5"/>
  <c r="J28" i="5"/>
  <c r="K28" i="5"/>
  <c r="L28" i="5"/>
  <c r="M28" i="5"/>
  <c r="D29" i="5"/>
  <c r="E29" i="5"/>
  <c r="F29" i="5"/>
  <c r="G29" i="5"/>
  <c r="H29" i="5"/>
  <c r="I29" i="5"/>
  <c r="J29" i="5"/>
  <c r="K29" i="5"/>
  <c r="L29" i="5"/>
  <c r="M29" i="5"/>
  <c r="D30" i="5"/>
  <c r="E30" i="5"/>
  <c r="F30" i="5"/>
  <c r="G30" i="5"/>
  <c r="H30" i="5"/>
  <c r="I30" i="5"/>
  <c r="J30" i="5"/>
  <c r="K30" i="5"/>
  <c r="L30" i="5"/>
  <c r="M30" i="5"/>
  <c r="D31" i="5"/>
  <c r="E31" i="5"/>
  <c r="F31" i="5"/>
  <c r="G31" i="5"/>
  <c r="H31" i="5"/>
  <c r="I31" i="5"/>
  <c r="J31" i="5"/>
  <c r="K31" i="5"/>
  <c r="L31" i="5"/>
  <c r="M31" i="5"/>
  <c r="D32" i="5"/>
  <c r="E32" i="5"/>
  <c r="F32" i="5"/>
  <c r="G32" i="5"/>
  <c r="H32" i="5"/>
  <c r="I32" i="5"/>
  <c r="J32" i="5"/>
  <c r="K32" i="5"/>
  <c r="L32" i="5"/>
  <c r="M32" i="5"/>
  <c r="D33" i="5"/>
  <c r="E33" i="5"/>
  <c r="F33" i="5"/>
  <c r="G33" i="5"/>
  <c r="H33" i="5"/>
  <c r="I33" i="5"/>
  <c r="J33" i="5"/>
  <c r="K33" i="5"/>
  <c r="L33" i="5"/>
  <c r="M33" i="5"/>
  <c r="D34" i="5"/>
  <c r="E34" i="5"/>
  <c r="F34" i="5"/>
  <c r="G34" i="5"/>
  <c r="H34" i="5"/>
  <c r="I34" i="5"/>
  <c r="J34" i="5"/>
  <c r="K34" i="5"/>
  <c r="L34" i="5"/>
  <c r="M34" i="5"/>
  <c r="D35" i="5"/>
  <c r="E35" i="5"/>
  <c r="F35" i="5"/>
  <c r="G35" i="5"/>
  <c r="H35" i="5"/>
  <c r="I35" i="5"/>
  <c r="J35" i="5"/>
  <c r="K35" i="5"/>
  <c r="L35" i="5"/>
  <c r="M35" i="5"/>
  <c r="D36" i="5"/>
  <c r="E36" i="5"/>
  <c r="F36" i="5"/>
  <c r="G36" i="5"/>
  <c r="H36" i="5"/>
  <c r="I36" i="5"/>
  <c r="J36" i="5"/>
  <c r="K36" i="5"/>
  <c r="L36" i="5"/>
  <c r="M36" i="5"/>
  <c r="D37" i="5"/>
  <c r="E37" i="5"/>
  <c r="F37" i="5"/>
  <c r="G37" i="5"/>
  <c r="H37" i="5"/>
  <c r="I37" i="5"/>
  <c r="J37" i="5"/>
  <c r="K37" i="5"/>
  <c r="L37" i="5"/>
  <c r="M37" i="5"/>
  <c r="D38" i="5"/>
  <c r="E38" i="5"/>
  <c r="F38" i="5"/>
  <c r="G38" i="5"/>
  <c r="H38" i="5"/>
  <c r="I38" i="5"/>
  <c r="J38" i="5"/>
  <c r="K38" i="5"/>
  <c r="L38" i="5"/>
  <c r="M38" i="5"/>
  <c r="D39" i="5"/>
  <c r="E39" i="5"/>
  <c r="F39" i="5"/>
  <c r="G39" i="5"/>
  <c r="H39" i="5"/>
  <c r="I39" i="5"/>
  <c r="J39" i="5"/>
  <c r="K39" i="5"/>
  <c r="L39" i="5"/>
  <c r="M39" i="5"/>
  <c r="D40" i="5"/>
  <c r="E40" i="5"/>
  <c r="F40" i="5"/>
  <c r="G40" i="5"/>
  <c r="H40" i="5"/>
  <c r="I40" i="5"/>
  <c r="J40" i="5"/>
  <c r="K40" i="5"/>
  <c r="L40" i="5"/>
  <c r="M40" i="5"/>
  <c r="D41" i="5"/>
  <c r="E41" i="5"/>
  <c r="F41" i="5"/>
  <c r="G41" i="5"/>
  <c r="H41" i="5"/>
  <c r="I41" i="5"/>
  <c r="J41" i="5"/>
  <c r="K41" i="5"/>
  <c r="L41" i="5"/>
  <c r="M41" i="5"/>
  <c r="D42" i="5"/>
  <c r="E42" i="5"/>
  <c r="F42" i="5"/>
  <c r="G42" i="5"/>
  <c r="H42" i="5"/>
  <c r="I42" i="5"/>
  <c r="J42" i="5"/>
  <c r="K42" i="5"/>
  <c r="L42" i="5"/>
  <c r="M42" i="5"/>
  <c r="D43" i="5"/>
  <c r="E43" i="5"/>
  <c r="F43" i="5"/>
  <c r="G43" i="5"/>
  <c r="H43" i="5"/>
  <c r="I43" i="5"/>
  <c r="J43" i="5"/>
  <c r="K43" i="5"/>
  <c r="L43" i="5"/>
  <c r="M43" i="5"/>
  <c r="D44" i="5"/>
  <c r="E44" i="5"/>
  <c r="F44" i="5"/>
  <c r="G44" i="5"/>
  <c r="H44" i="5"/>
  <c r="I44" i="5"/>
  <c r="J44" i="5"/>
  <c r="K44" i="5"/>
  <c r="L44" i="5"/>
  <c r="M44" i="5"/>
  <c r="D45" i="5"/>
  <c r="E45" i="5"/>
  <c r="F45" i="5"/>
  <c r="G45" i="5"/>
  <c r="H45" i="5"/>
  <c r="I45" i="5"/>
  <c r="J45" i="5"/>
  <c r="K45" i="5"/>
  <c r="L45" i="5"/>
  <c r="M45" i="5"/>
  <c r="D46" i="5"/>
  <c r="E46" i="5"/>
  <c r="F46" i="5"/>
  <c r="G46" i="5"/>
  <c r="H46" i="5"/>
  <c r="I46" i="5"/>
  <c r="J46" i="5"/>
  <c r="K46" i="5"/>
  <c r="L46" i="5"/>
  <c r="M46" i="5"/>
  <c r="D47" i="5"/>
  <c r="E47" i="5"/>
  <c r="F47" i="5"/>
  <c r="G47" i="5"/>
  <c r="H47" i="5"/>
  <c r="I47" i="5"/>
  <c r="J47" i="5"/>
  <c r="K47" i="5"/>
  <c r="L47" i="5"/>
  <c r="M47" i="5"/>
  <c r="D48" i="5"/>
  <c r="E48" i="5"/>
  <c r="F48" i="5"/>
  <c r="G48" i="5"/>
  <c r="H48" i="5"/>
  <c r="I48" i="5"/>
  <c r="J48" i="5"/>
  <c r="K48" i="5"/>
  <c r="L48" i="5"/>
  <c r="M48" i="5"/>
  <c r="D49" i="5"/>
  <c r="E49" i="5"/>
  <c r="F49" i="5"/>
  <c r="G49" i="5"/>
  <c r="H49" i="5"/>
  <c r="I49" i="5"/>
  <c r="J49" i="5"/>
  <c r="K49" i="5"/>
  <c r="L49" i="5"/>
  <c r="M49" i="5"/>
  <c r="D50" i="5"/>
  <c r="E50" i="5"/>
  <c r="F50" i="5"/>
  <c r="G50" i="5"/>
  <c r="H50" i="5"/>
  <c r="I50" i="5"/>
  <c r="J50" i="5"/>
  <c r="K50" i="5"/>
  <c r="L50" i="5"/>
  <c r="M50" i="5"/>
  <c r="D51" i="5"/>
  <c r="E51" i="5"/>
  <c r="F51" i="5"/>
  <c r="G51" i="5"/>
  <c r="H51" i="5"/>
  <c r="I51" i="5"/>
  <c r="J51" i="5"/>
  <c r="K51" i="5"/>
  <c r="L51" i="5"/>
  <c r="M51" i="5"/>
  <c r="D52" i="5"/>
  <c r="E52" i="5"/>
  <c r="F52" i="5"/>
  <c r="G52" i="5"/>
  <c r="H52" i="5"/>
  <c r="I52" i="5"/>
  <c r="J52" i="5"/>
  <c r="K52" i="5"/>
  <c r="L52" i="5"/>
  <c r="M52" i="5"/>
  <c r="D53" i="5"/>
  <c r="E53" i="5"/>
  <c r="F53" i="5"/>
  <c r="G53" i="5"/>
  <c r="H53" i="5"/>
  <c r="I53" i="5"/>
  <c r="J53" i="5"/>
  <c r="K53" i="5"/>
  <c r="L53" i="5"/>
  <c r="M53" i="5"/>
  <c r="D54" i="5"/>
  <c r="E54" i="5"/>
  <c r="F54" i="5"/>
  <c r="G54" i="5"/>
  <c r="H54" i="5"/>
  <c r="I54" i="5"/>
  <c r="J54" i="5"/>
  <c r="K54" i="5"/>
  <c r="L54" i="5"/>
  <c r="M54" i="5"/>
  <c r="D55" i="5"/>
  <c r="E55" i="5"/>
  <c r="F55" i="5"/>
  <c r="G55" i="5"/>
  <c r="H55" i="5"/>
  <c r="I55" i="5"/>
  <c r="J55" i="5"/>
  <c r="K55" i="5"/>
  <c r="L55" i="5"/>
  <c r="M55" i="5"/>
  <c r="D56" i="5"/>
  <c r="E56" i="5"/>
  <c r="F56" i="5"/>
  <c r="G56" i="5"/>
  <c r="H56" i="5"/>
  <c r="I56" i="5"/>
  <c r="J56" i="5"/>
  <c r="K56" i="5"/>
  <c r="L56" i="5"/>
  <c r="M56" i="5"/>
  <c r="D57" i="5"/>
  <c r="E57" i="5"/>
  <c r="F57" i="5"/>
  <c r="G57" i="5"/>
  <c r="H57" i="5"/>
  <c r="I57" i="5"/>
  <c r="J57" i="5"/>
  <c r="K57" i="5"/>
  <c r="L57" i="5"/>
  <c r="M57" i="5"/>
  <c r="D58" i="5"/>
  <c r="E58" i="5"/>
  <c r="F58" i="5"/>
  <c r="G58" i="5"/>
  <c r="H58" i="5"/>
  <c r="I58" i="5"/>
  <c r="J58" i="5"/>
  <c r="K58" i="5"/>
  <c r="L58" i="5"/>
  <c r="M58" i="5"/>
  <c r="D59" i="5"/>
  <c r="E59" i="5"/>
  <c r="F59" i="5"/>
  <c r="G59" i="5"/>
  <c r="H59" i="5"/>
  <c r="I59" i="5"/>
  <c r="J59" i="5"/>
  <c r="K59" i="5"/>
  <c r="L59" i="5"/>
  <c r="M59" i="5"/>
  <c r="D60" i="5"/>
  <c r="E60" i="5"/>
  <c r="F60" i="5"/>
  <c r="G60" i="5"/>
  <c r="H60" i="5"/>
  <c r="I60" i="5"/>
  <c r="J60" i="5"/>
  <c r="K60" i="5"/>
  <c r="L60" i="5"/>
  <c r="M60" i="5"/>
  <c r="D61" i="5"/>
  <c r="E61" i="5"/>
  <c r="F61" i="5"/>
  <c r="G61" i="5"/>
  <c r="H61" i="5"/>
  <c r="I61" i="5"/>
  <c r="J61" i="5"/>
  <c r="K61" i="5"/>
  <c r="L61" i="5"/>
  <c r="M61" i="5"/>
  <c r="D62" i="5"/>
  <c r="E62" i="5"/>
  <c r="F62" i="5"/>
  <c r="G62" i="5"/>
  <c r="H62" i="5"/>
  <c r="I62" i="5"/>
  <c r="J62" i="5"/>
  <c r="K62" i="5"/>
  <c r="L62" i="5"/>
  <c r="M62" i="5"/>
  <c r="D63" i="5"/>
  <c r="E63" i="5"/>
  <c r="F63" i="5"/>
  <c r="G63" i="5"/>
  <c r="H63" i="5"/>
  <c r="I63" i="5"/>
  <c r="J63" i="5"/>
  <c r="K63" i="5"/>
  <c r="L63" i="5"/>
  <c r="M63" i="5"/>
  <c r="D64" i="5"/>
  <c r="E64" i="5"/>
  <c r="F64" i="5"/>
  <c r="G64" i="5"/>
  <c r="H64" i="5"/>
  <c r="I64" i="5"/>
  <c r="J64" i="5"/>
  <c r="K64" i="5"/>
  <c r="L64" i="5"/>
  <c r="M64" i="5"/>
  <c r="D65" i="5"/>
  <c r="E65" i="5"/>
  <c r="F65" i="5"/>
  <c r="G65" i="5"/>
  <c r="H65" i="5"/>
  <c r="I65" i="5"/>
  <c r="J65" i="5"/>
  <c r="K65" i="5"/>
  <c r="L65" i="5"/>
  <c r="M65" i="5"/>
  <c r="D66" i="5"/>
  <c r="E66" i="5"/>
  <c r="F66" i="5"/>
  <c r="G66" i="5"/>
  <c r="H66" i="5"/>
  <c r="I66" i="5"/>
  <c r="J66" i="5"/>
  <c r="K66" i="5"/>
  <c r="L66" i="5"/>
  <c r="M66" i="5"/>
  <c r="D67" i="5"/>
  <c r="E67" i="5"/>
  <c r="F67" i="5"/>
  <c r="G67" i="5"/>
  <c r="H67" i="5"/>
  <c r="I67" i="5"/>
  <c r="J67" i="5"/>
  <c r="K67" i="5"/>
  <c r="L67" i="5"/>
  <c r="M67" i="5"/>
  <c r="D68" i="5"/>
  <c r="E68" i="5"/>
  <c r="F68" i="5"/>
  <c r="G68" i="5"/>
  <c r="H68" i="5"/>
  <c r="I68" i="5"/>
  <c r="J68" i="5"/>
  <c r="K68" i="5"/>
  <c r="L68" i="5"/>
  <c r="M68" i="5"/>
  <c r="D69" i="5"/>
  <c r="E69" i="5"/>
  <c r="F69" i="5"/>
  <c r="G69" i="5"/>
  <c r="H69" i="5"/>
  <c r="I69" i="5"/>
  <c r="J69" i="5"/>
  <c r="K69" i="5"/>
  <c r="L69" i="5"/>
  <c r="M69" i="5"/>
  <c r="D70" i="5"/>
  <c r="E70" i="5"/>
  <c r="F70" i="5"/>
  <c r="G70" i="5"/>
  <c r="H70" i="5"/>
  <c r="I70" i="5"/>
  <c r="J70" i="5"/>
  <c r="K70" i="5"/>
  <c r="L70" i="5"/>
  <c r="M70" i="5"/>
  <c r="D71" i="5"/>
  <c r="E71" i="5"/>
  <c r="F71" i="5"/>
  <c r="G71" i="5"/>
  <c r="H71" i="5"/>
  <c r="I71" i="5"/>
  <c r="J71" i="5"/>
  <c r="K71" i="5"/>
  <c r="L71" i="5"/>
  <c r="M71" i="5"/>
  <c r="D72" i="5"/>
  <c r="E72" i="5"/>
  <c r="F72" i="5"/>
  <c r="G72" i="5"/>
  <c r="H72" i="5"/>
  <c r="I72" i="5"/>
  <c r="J72" i="5"/>
  <c r="K72" i="5"/>
  <c r="L72" i="5"/>
  <c r="M72" i="5"/>
  <c r="D73" i="5"/>
  <c r="E73" i="5"/>
  <c r="F73" i="5"/>
  <c r="G73" i="5"/>
  <c r="H73" i="5"/>
  <c r="I73" i="5"/>
  <c r="J73" i="5"/>
  <c r="K73" i="5"/>
  <c r="L73" i="5"/>
  <c r="M73" i="5"/>
  <c r="D74" i="5"/>
  <c r="E74" i="5"/>
  <c r="F74" i="5"/>
  <c r="G74" i="5"/>
  <c r="H74" i="5"/>
  <c r="I74" i="5"/>
  <c r="J74" i="5"/>
  <c r="K74" i="5"/>
  <c r="L74" i="5"/>
  <c r="M74" i="5"/>
  <c r="D75" i="5"/>
  <c r="E75" i="5"/>
  <c r="F75" i="5"/>
  <c r="G75" i="5"/>
  <c r="H75" i="5"/>
  <c r="I75" i="5"/>
  <c r="J75" i="5"/>
  <c r="K75" i="5"/>
  <c r="L75" i="5"/>
  <c r="M75" i="5"/>
  <c r="D76" i="5"/>
  <c r="E76" i="5"/>
  <c r="F76" i="5"/>
  <c r="G76" i="5"/>
  <c r="H76" i="5"/>
  <c r="I76" i="5"/>
  <c r="J76" i="5"/>
  <c r="K76" i="5"/>
  <c r="L76" i="5"/>
  <c r="M76" i="5"/>
  <c r="D77" i="5"/>
  <c r="E77" i="5"/>
  <c r="F77" i="5"/>
  <c r="G77" i="5"/>
  <c r="H77" i="5"/>
  <c r="I77" i="5"/>
  <c r="J77" i="5"/>
  <c r="K77" i="5"/>
  <c r="L77" i="5"/>
  <c r="M77" i="5"/>
  <c r="D78" i="5"/>
  <c r="E78" i="5"/>
  <c r="F78" i="5"/>
  <c r="G78" i="5"/>
  <c r="H78" i="5"/>
  <c r="I78" i="5"/>
  <c r="J78" i="5"/>
  <c r="K78" i="5"/>
  <c r="L78" i="5"/>
  <c r="M78" i="5"/>
  <c r="D79" i="5"/>
  <c r="E79" i="5"/>
  <c r="F79" i="5"/>
  <c r="G79" i="5"/>
  <c r="H79" i="5"/>
  <c r="I79" i="5"/>
  <c r="J79" i="5"/>
  <c r="K79" i="5"/>
  <c r="L79" i="5"/>
  <c r="M79" i="5"/>
  <c r="D80" i="5"/>
  <c r="E80" i="5"/>
  <c r="F80" i="5"/>
  <c r="G80" i="5"/>
  <c r="H80" i="5"/>
  <c r="I80" i="5"/>
  <c r="J80" i="5"/>
  <c r="K80" i="5"/>
  <c r="L80" i="5"/>
  <c r="M80" i="5"/>
  <c r="D81" i="5"/>
  <c r="E81" i="5"/>
  <c r="F81" i="5"/>
  <c r="G81" i="5"/>
  <c r="H81" i="5"/>
  <c r="I81" i="5"/>
  <c r="J81" i="5"/>
  <c r="K81" i="5"/>
  <c r="L81" i="5"/>
  <c r="M81" i="5"/>
  <c r="D82" i="5"/>
  <c r="E82" i="5"/>
  <c r="F82" i="5"/>
  <c r="G82" i="5"/>
  <c r="H82" i="5"/>
  <c r="I82" i="5"/>
  <c r="J82" i="5"/>
  <c r="K82" i="5"/>
  <c r="L82" i="5"/>
  <c r="M82" i="5"/>
  <c r="D83" i="5"/>
  <c r="E83" i="5"/>
  <c r="F83" i="5"/>
  <c r="G83" i="5"/>
  <c r="H83" i="5"/>
  <c r="I83" i="5"/>
  <c r="J83" i="5"/>
  <c r="K83" i="5"/>
  <c r="L83" i="5"/>
  <c r="M83" i="5"/>
  <c r="D84" i="5"/>
  <c r="E84" i="5"/>
  <c r="F84" i="5"/>
  <c r="G84" i="5"/>
  <c r="H84" i="5"/>
  <c r="I84" i="5"/>
  <c r="J84" i="5"/>
  <c r="K84" i="5"/>
  <c r="L84" i="5"/>
  <c r="M84" i="5"/>
  <c r="D85" i="5"/>
  <c r="E85" i="5"/>
  <c r="F85" i="5"/>
  <c r="G85" i="5"/>
  <c r="H85" i="5"/>
  <c r="I85" i="5"/>
  <c r="J85" i="5"/>
  <c r="K85" i="5"/>
  <c r="L85" i="5"/>
  <c r="M85" i="5"/>
  <c r="D86" i="5"/>
  <c r="E86" i="5"/>
  <c r="F86" i="5"/>
  <c r="G86" i="5"/>
  <c r="H86" i="5"/>
  <c r="I86" i="5"/>
  <c r="J86" i="5"/>
  <c r="K86" i="5"/>
  <c r="L86" i="5"/>
  <c r="M86" i="5"/>
  <c r="D87" i="5"/>
  <c r="E87" i="5"/>
  <c r="F87" i="5"/>
  <c r="G87" i="5"/>
  <c r="H87" i="5"/>
  <c r="I87" i="5"/>
  <c r="J87" i="5"/>
  <c r="K87" i="5"/>
  <c r="L87" i="5"/>
  <c r="M87" i="5"/>
  <c r="D88" i="5"/>
  <c r="E88" i="5"/>
  <c r="F88" i="5"/>
  <c r="G88" i="5"/>
  <c r="H88" i="5"/>
  <c r="I88" i="5"/>
  <c r="J88" i="5"/>
  <c r="K88" i="5"/>
  <c r="L88" i="5"/>
  <c r="M88" i="5"/>
  <c r="D89" i="5"/>
  <c r="E89" i="5"/>
  <c r="F89" i="5"/>
  <c r="G89" i="5"/>
  <c r="H89" i="5"/>
  <c r="I89" i="5"/>
  <c r="J89" i="5"/>
  <c r="K89" i="5"/>
  <c r="L89" i="5"/>
  <c r="M89" i="5"/>
  <c r="D90" i="5"/>
  <c r="E90" i="5"/>
  <c r="F90" i="5"/>
  <c r="G90" i="5"/>
  <c r="H90" i="5"/>
  <c r="I90" i="5"/>
  <c r="J90" i="5"/>
  <c r="K90" i="5"/>
  <c r="L90" i="5"/>
  <c r="M90" i="5"/>
  <c r="D91" i="5"/>
  <c r="E91" i="5"/>
  <c r="F91" i="5"/>
  <c r="G91" i="5"/>
  <c r="H91" i="5"/>
  <c r="I91" i="5"/>
  <c r="J91" i="5"/>
  <c r="K91" i="5"/>
  <c r="L91" i="5"/>
  <c r="M91" i="5"/>
  <c r="D92" i="5"/>
  <c r="E92" i="5"/>
  <c r="F92" i="5"/>
  <c r="G92" i="5"/>
  <c r="H92" i="5"/>
  <c r="I92" i="5"/>
  <c r="J92" i="5"/>
  <c r="K92" i="5"/>
  <c r="L92" i="5"/>
  <c r="M92" i="5"/>
  <c r="D93" i="5"/>
  <c r="E93" i="5"/>
  <c r="F93" i="5"/>
  <c r="G93" i="5"/>
  <c r="H93" i="5"/>
  <c r="I93" i="5"/>
  <c r="J93" i="5"/>
  <c r="K93" i="5"/>
  <c r="L93" i="5"/>
  <c r="M93" i="5"/>
  <c r="D94" i="5"/>
  <c r="E94" i="5"/>
  <c r="F94" i="5"/>
  <c r="G94" i="5"/>
  <c r="H94" i="5"/>
  <c r="I94" i="5"/>
  <c r="J94" i="5"/>
  <c r="K94" i="5"/>
  <c r="L94" i="5"/>
  <c r="M94" i="5"/>
  <c r="D95" i="5"/>
  <c r="E95" i="5"/>
  <c r="F95" i="5"/>
  <c r="G95" i="5"/>
  <c r="H95" i="5"/>
  <c r="I95" i="5"/>
  <c r="J95" i="5"/>
  <c r="K95" i="5"/>
  <c r="L95" i="5"/>
  <c r="M95" i="5"/>
  <c r="D96" i="5"/>
  <c r="E96" i="5"/>
  <c r="F96" i="5"/>
  <c r="G96" i="5"/>
  <c r="H96" i="5"/>
  <c r="I96" i="5"/>
  <c r="J96" i="5"/>
  <c r="K96" i="5"/>
  <c r="L96" i="5"/>
  <c r="M96" i="5"/>
  <c r="D97" i="5"/>
  <c r="E97" i="5"/>
  <c r="F97" i="5"/>
  <c r="G97" i="5"/>
  <c r="H97" i="5"/>
  <c r="I97" i="5"/>
  <c r="J97" i="5"/>
  <c r="K97" i="5"/>
  <c r="L97" i="5"/>
  <c r="M97" i="5"/>
  <c r="D98" i="5"/>
  <c r="E98" i="5"/>
  <c r="F98" i="5"/>
  <c r="G98" i="5"/>
  <c r="H98" i="5"/>
  <c r="I98" i="5"/>
  <c r="J98" i="5"/>
  <c r="K98" i="5"/>
  <c r="L98" i="5"/>
  <c r="M98" i="5"/>
  <c r="D99" i="5"/>
  <c r="E99" i="5"/>
  <c r="F99" i="5"/>
  <c r="G99" i="5"/>
  <c r="H99" i="5"/>
  <c r="I99" i="5"/>
  <c r="J99" i="5"/>
  <c r="K99" i="5"/>
  <c r="L99" i="5"/>
  <c r="M99" i="5"/>
  <c r="D100" i="5"/>
  <c r="E100" i="5"/>
  <c r="F100" i="5"/>
  <c r="G100" i="5"/>
  <c r="H100" i="5"/>
  <c r="I100" i="5"/>
  <c r="J100" i="5"/>
  <c r="K100" i="5"/>
  <c r="L100" i="5"/>
  <c r="M100" i="5"/>
  <c r="D101" i="5"/>
  <c r="E101" i="5"/>
  <c r="F101" i="5"/>
  <c r="G101" i="5"/>
  <c r="H101" i="5"/>
  <c r="I101" i="5"/>
  <c r="J101" i="5"/>
  <c r="K101" i="5"/>
  <c r="L101" i="5"/>
  <c r="M101" i="5"/>
  <c r="D102" i="5"/>
  <c r="E102" i="5"/>
  <c r="F102" i="5"/>
  <c r="G102" i="5"/>
  <c r="H102" i="5"/>
  <c r="I102" i="5"/>
  <c r="J102" i="5"/>
  <c r="K102" i="5"/>
  <c r="L102" i="5"/>
  <c r="M102" i="5"/>
  <c r="D103" i="5"/>
  <c r="E103" i="5"/>
  <c r="F103" i="5"/>
  <c r="G103" i="5"/>
  <c r="H103" i="5"/>
  <c r="I103" i="5"/>
  <c r="J103" i="5"/>
  <c r="K103" i="5"/>
  <c r="L103" i="5"/>
  <c r="M103" i="5"/>
  <c r="D104" i="5"/>
  <c r="E104" i="5"/>
  <c r="F104" i="5"/>
  <c r="G104" i="5"/>
  <c r="H104" i="5"/>
  <c r="I104" i="5"/>
  <c r="J104" i="5"/>
  <c r="K104" i="5"/>
  <c r="L104" i="5"/>
  <c r="M104" i="5"/>
  <c r="D105" i="5"/>
  <c r="E105" i="5"/>
  <c r="F105" i="5"/>
  <c r="G105" i="5"/>
  <c r="H105" i="5"/>
  <c r="I105" i="5"/>
  <c r="J105" i="5"/>
  <c r="K105" i="5"/>
  <c r="L105" i="5"/>
  <c r="M105" i="5"/>
  <c r="D106" i="5"/>
  <c r="E106" i="5"/>
  <c r="F106" i="5"/>
  <c r="G106" i="5"/>
  <c r="H106" i="5"/>
  <c r="I106" i="5"/>
  <c r="J106" i="5"/>
  <c r="K106" i="5"/>
  <c r="L106" i="5"/>
  <c r="M106" i="5"/>
  <c r="D107" i="5"/>
  <c r="E107" i="5"/>
  <c r="F107" i="5"/>
  <c r="G107" i="5"/>
  <c r="H107" i="5"/>
  <c r="I107" i="5"/>
  <c r="J107" i="5"/>
  <c r="K107" i="5"/>
  <c r="L107" i="5"/>
  <c r="M107" i="5"/>
  <c r="D108" i="5"/>
  <c r="E108" i="5"/>
  <c r="F108" i="5"/>
  <c r="G108" i="5"/>
  <c r="H108" i="5"/>
  <c r="I108" i="5"/>
  <c r="J108" i="5"/>
  <c r="K108" i="5"/>
  <c r="L108" i="5"/>
  <c r="M108" i="5"/>
  <c r="D109" i="5"/>
  <c r="E109" i="5"/>
  <c r="F109" i="5"/>
  <c r="G109" i="5"/>
  <c r="H109" i="5"/>
  <c r="I109" i="5"/>
  <c r="J109" i="5"/>
  <c r="K109" i="5"/>
  <c r="L109" i="5"/>
  <c r="M109" i="5"/>
  <c r="D110" i="5"/>
  <c r="E110" i="5"/>
  <c r="F110" i="5"/>
  <c r="G110" i="5"/>
  <c r="H110" i="5"/>
  <c r="I110" i="5"/>
  <c r="J110" i="5"/>
  <c r="K110" i="5"/>
  <c r="L110" i="5"/>
  <c r="M110" i="5"/>
  <c r="D111" i="5"/>
  <c r="E111" i="5"/>
  <c r="F111" i="5"/>
  <c r="G111" i="5"/>
  <c r="H111" i="5"/>
  <c r="I111" i="5"/>
  <c r="J111" i="5"/>
  <c r="K111" i="5"/>
  <c r="L111" i="5"/>
  <c r="M111" i="5"/>
  <c r="D112" i="5"/>
  <c r="E112" i="5"/>
  <c r="F112" i="5"/>
  <c r="G112" i="5"/>
  <c r="H112" i="5"/>
  <c r="I112" i="5"/>
  <c r="J112" i="5"/>
  <c r="K112" i="5"/>
  <c r="L112" i="5"/>
  <c r="M112" i="5"/>
  <c r="D113" i="5"/>
  <c r="E113" i="5"/>
  <c r="F113" i="5"/>
  <c r="G113" i="5"/>
  <c r="H113" i="5"/>
  <c r="I113" i="5"/>
  <c r="J113" i="5"/>
  <c r="K113" i="5"/>
  <c r="L113" i="5"/>
  <c r="M113" i="5"/>
  <c r="D114" i="5"/>
  <c r="E114" i="5"/>
  <c r="F114" i="5"/>
  <c r="G114" i="5"/>
  <c r="H114" i="5"/>
  <c r="I114" i="5"/>
  <c r="J114" i="5"/>
  <c r="K114" i="5"/>
  <c r="L114" i="5"/>
  <c r="M114" i="5"/>
  <c r="D115" i="5"/>
  <c r="E115" i="5"/>
  <c r="F115" i="5"/>
  <c r="G115" i="5"/>
  <c r="H115" i="5"/>
  <c r="I115" i="5"/>
  <c r="J115" i="5"/>
  <c r="K115" i="5"/>
  <c r="L115" i="5"/>
  <c r="M115" i="5"/>
  <c r="D116" i="5"/>
  <c r="E116" i="5"/>
  <c r="F116" i="5"/>
  <c r="G116" i="5"/>
  <c r="H116" i="5"/>
  <c r="I116" i="5"/>
  <c r="J116" i="5"/>
  <c r="K116" i="5"/>
  <c r="L116" i="5"/>
  <c r="M116" i="5"/>
  <c r="D117" i="5"/>
  <c r="E117" i="5"/>
  <c r="F117" i="5"/>
  <c r="G117" i="5"/>
  <c r="H117" i="5"/>
  <c r="I117" i="5"/>
  <c r="J117" i="5"/>
  <c r="K117" i="5"/>
  <c r="L117" i="5"/>
  <c r="M117" i="5"/>
  <c r="D118" i="5"/>
  <c r="E118" i="5"/>
  <c r="F118" i="5"/>
  <c r="G118" i="5"/>
  <c r="H118" i="5"/>
  <c r="I118" i="5"/>
  <c r="J118" i="5"/>
  <c r="K118" i="5"/>
  <c r="L118" i="5"/>
  <c r="M118" i="5"/>
  <c r="D119" i="5"/>
  <c r="E119" i="5"/>
  <c r="F119" i="5"/>
  <c r="G119" i="5"/>
  <c r="H119" i="5"/>
  <c r="I119" i="5"/>
  <c r="J119" i="5"/>
  <c r="K119" i="5"/>
  <c r="L119" i="5"/>
  <c r="M119" i="5"/>
  <c r="D120" i="5"/>
  <c r="E120" i="5"/>
  <c r="F120" i="5"/>
  <c r="G120" i="5"/>
  <c r="H120" i="5"/>
  <c r="I120" i="5"/>
  <c r="J120" i="5"/>
  <c r="K120" i="5"/>
  <c r="L120" i="5"/>
  <c r="M120" i="5"/>
  <c r="D121" i="5"/>
  <c r="E121" i="5"/>
  <c r="F121" i="5"/>
  <c r="G121" i="5"/>
  <c r="H121" i="5"/>
  <c r="I121" i="5"/>
  <c r="J121" i="5"/>
  <c r="K121" i="5"/>
  <c r="L121" i="5"/>
  <c r="M121" i="5"/>
  <c r="D122" i="5"/>
  <c r="E122" i="5"/>
  <c r="F122" i="5"/>
  <c r="G122" i="5"/>
  <c r="H122" i="5"/>
  <c r="I122" i="5"/>
  <c r="J122" i="5"/>
  <c r="K122" i="5"/>
  <c r="L122" i="5"/>
  <c r="M122" i="5"/>
  <c r="D123" i="5"/>
  <c r="E123" i="5"/>
  <c r="F123" i="5"/>
  <c r="G123" i="5"/>
  <c r="H123" i="5"/>
  <c r="I123" i="5"/>
  <c r="J123" i="5"/>
  <c r="K123" i="5"/>
  <c r="L123" i="5"/>
  <c r="M123" i="5"/>
  <c r="D124" i="5"/>
  <c r="E124" i="5"/>
  <c r="F124" i="5"/>
  <c r="G124" i="5"/>
  <c r="H124" i="5"/>
  <c r="I124" i="5"/>
  <c r="J124" i="5"/>
  <c r="K124" i="5"/>
  <c r="L124" i="5"/>
  <c r="M124" i="5"/>
  <c r="D125" i="5"/>
  <c r="E125" i="5"/>
  <c r="F125" i="5"/>
  <c r="G125" i="5"/>
  <c r="H125" i="5"/>
  <c r="I125" i="5"/>
  <c r="J125" i="5"/>
  <c r="K125" i="5"/>
  <c r="L125" i="5"/>
  <c r="M125" i="5"/>
  <c r="D126" i="5"/>
  <c r="E126" i="5"/>
  <c r="F126" i="5"/>
  <c r="G126" i="5"/>
  <c r="H126" i="5"/>
  <c r="I126" i="5"/>
  <c r="J126" i="5"/>
  <c r="K126" i="5"/>
  <c r="L126" i="5"/>
  <c r="M126" i="5"/>
  <c r="D127" i="5"/>
  <c r="E127" i="5"/>
  <c r="F127" i="5"/>
  <c r="G127" i="5"/>
  <c r="H127" i="5"/>
  <c r="I127" i="5"/>
  <c r="J127" i="5"/>
  <c r="K127" i="5"/>
  <c r="L127" i="5"/>
  <c r="M127" i="5"/>
  <c r="D128" i="5"/>
  <c r="E128" i="5"/>
  <c r="F128" i="5"/>
  <c r="G128" i="5"/>
  <c r="H128" i="5"/>
  <c r="I128" i="5"/>
  <c r="J128" i="5"/>
  <c r="K128" i="5"/>
  <c r="L128" i="5"/>
  <c r="M128" i="5"/>
  <c r="D129" i="5"/>
  <c r="E129" i="5"/>
  <c r="F129" i="5"/>
  <c r="G129" i="5"/>
  <c r="H129" i="5"/>
  <c r="I129" i="5"/>
  <c r="J129" i="5"/>
  <c r="K129" i="5"/>
  <c r="L129" i="5"/>
  <c r="M129" i="5"/>
  <c r="D130" i="5"/>
  <c r="E130" i="5"/>
  <c r="F130" i="5"/>
  <c r="G130" i="5"/>
  <c r="H130" i="5"/>
  <c r="I130" i="5"/>
  <c r="J130" i="5"/>
  <c r="K130" i="5"/>
  <c r="L130" i="5"/>
  <c r="M130" i="5"/>
  <c r="D131" i="5"/>
  <c r="E131" i="5"/>
  <c r="F131" i="5"/>
  <c r="G131" i="5"/>
  <c r="H131" i="5"/>
  <c r="I131" i="5"/>
  <c r="J131" i="5"/>
  <c r="K131" i="5"/>
  <c r="L131" i="5"/>
  <c r="M131" i="5"/>
  <c r="D132" i="5"/>
  <c r="E132" i="5"/>
  <c r="F132" i="5"/>
  <c r="G132" i="5"/>
  <c r="H132" i="5"/>
  <c r="I132" i="5"/>
  <c r="J132" i="5"/>
  <c r="K132" i="5"/>
  <c r="L132" i="5"/>
  <c r="M132" i="5"/>
  <c r="D133" i="5"/>
  <c r="E133" i="5"/>
  <c r="F133" i="5"/>
  <c r="G133" i="5"/>
  <c r="H133" i="5"/>
  <c r="I133" i="5"/>
  <c r="J133" i="5"/>
  <c r="K133" i="5"/>
  <c r="L133" i="5"/>
  <c r="M133" i="5"/>
  <c r="D134" i="5"/>
  <c r="E134" i="5"/>
  <c r="F134" i="5"/>
  <c r="G134" i="5"/>
  <c r="H134" i="5"/>
  <c r="I134" i="5"/>
  <c r="J134" i="5"/>
  <c r="K134" i="5"/>
  <c r="L134" i="5"/>
  <c r="M134" i="5"/>
  <c r="D135" i="5"/>
  <c r="E135" i="5"/>
  <c r="F135" i="5"/>
  <c r="G135" i="5"/>
  <c r="H135" i="5"/>
  <c r="I135" i="5"/>
  <c r="J135" i="5"/>
  <c r="K135" i="5"/>
  <c r="L135" i="5"/>
  <c r="M135" i="5"/>
  <c r="D136" i="5"/>
  <c r="E136" i="5"/>
  <c r="F136" i="5"/>
  <c r="G136" i="5"/>
  <c r="H136" i="5"/>
  <c r="I136" i="5"/>
  <c r="J136" i="5"/>
  <c r="K136" i="5"/>
  <c r="L136" i="5"/>
  <c r="M136" i="5"/>
  <c r="D137" i="5"/>
  <c r="E137" i="5"/>
  <c r="F137" i="5"/>
  <c r="G137" i="5"/>
  <c r="H137" i="5"/>
  <c r="I137" i="5"/>
  <c r="J137" i="5"/>
  <c r="K137" i="5"/>
  <c r="L137" i="5"/>
  <c r="M137" i="5"/>
  <c r="D138" i="5"/>
  <c r="E138" i="5"/>
  <c r="F138" i="5"/>
  <c r="G138" i="5"/>
  <c r="H138" i="5"/>
  <c r="I138" i="5"/>
  <c r="J138" i="5"/>
  <c r="K138" i="5"/>
  <c r="L138" i="5"/>
  <c r="M138" i="5"/>
  <c r="D139" i="5"/>
  <c r="E139" i="5"/>
  <c r="F139" i="5"/>
  <c r="G139" i="5"/>
  <c r="H139" i="5"/>
  <c r="I139" i="5"/>
  <c r="J139" i="5"/>
  <c r="K139" i="5"/>
  <c r="L139" i="5"/>
  <c r="M139" i="5"/>
  <c r="D140" i="5"/>
  <c r="E140" i="5"/>
  <c r="F140" i="5"/>
  <c r="G140" i="5"/>
  <c r="H140" i="5"/>
  <c r="I140" i="5"/>
  <c r="J140" i="5"/>
  <c r="K140" i="5"/>
  <c r="L140" i="5"/>
  <c r="M140" i="5"/>
  <c r="D141" i="5"/>
  <c r="E141" i="5"/>
  <c r="F141" i="5"/>
  <c r="G141" i="5"/>
  <c r="H141" i="5"/>
  <c r="I141" i="5"/>
  <c r="J141" i="5"/>
  <c r="K141" i="5"/>
  <c r="L141" i="5"/>
  <c r="M141" i="5"/>
  <c r="D142" i="5"/>
  <c r="E142" i="5"/>
  <c r="F142" i="5"/>
  <c r="G142" i="5"/>
  <c r="H142" i="5"/>
  <c r="I142" i="5"/>
  <c r="J142" i="5"/>
  <c r="K142" i="5"/>
  <c r="L142" i="5"/>
  <c r="M142" i="5"/>
  <c r="D143" i="5"/>
  <c r="E143" i="5"/>
  <c r="F143" i="5"/>
  <c r="G143" i="5"/>
  <c r="H143" i="5"/>
  <c r="I143" i="5"/>
  <c r="J143" i="5"/>
  <c r="K143" i="5"/>
  <c r="L143" i="5"/>
  <c r="M143" i="5"/>
  <c r="D144" i="5"/>
  <c r="E144" i="5"/>
  <c r="F144" i="5"/>
  <c r="G144" i="5"/>
  <c r="H144" i="5"/>
  <c r="I144" i="5"/>
  <c r="J144" i="5"/>
  <c r="K144" i="5"/>
  <c r="L144" i="5"/>
  <c r="M144" i="5"/>
  <c r="D145" i="5"/>
  <c r="E145" i="5"/>
  <c r="F145" i="5"/>
  <c r="G145" i="5"/>
  <c r="H145" i="5"/>
  <c r="I145" i="5"/>
  <c r="J145" i="5"/>
  <c r="K145" i="5"/>
  <c r="L145" i="5"/>
  <c r="M145" i="5"/>
  <c r="D146" i="5"/>
  <c r="E146" i="5"/>
  <c r="F146" i="5"/>
  <c r="G146" i="5"/>
  <c r="H146" i="5"/>
  <c r="I146" i="5"/>
  <c r="J146" i="5"/>
  <c r="K146" i="5"/>
  <c r="L146" i="5"/>
  <c r="M146" i="5"/>
  <c r="D147" i="5"/>
  <c r="E147" i="5"/>
  <c r="F147" i="5"/>
  <c r="G147" i="5"/>
  <c r="H147" i="5"/>
  <c r="I147" i="5"/>
  <c r="J147" i="5"/>
  <c r="K147" i="5"/>
  <c r="L147" i="5"/>
  <c r="M147" i="5"/>
  <c r="D148" i="5"/>
  <c r="E148" i="5"/>
  <c r="F148" i="5"/>
  <c r="G148" i="5"/>
  <c r="H148" i="5"/>
  <c r="I148" i="5"/>
  <c r="J148" i="5"/>
  <c r="K148" i="5"/>
  <c r="L148" i="5"/>
  <c r="M148" i="5"/>
  <c r="D149" i="5"/>
  <c r="E149" i="5"/>
  <c r="F149" i="5"/>
  <c r="G149" i="5"/>
  <c r="H149" i="5"/>
  <c r="I149" i="5"/>
  <c r="J149" i="5"/>
  <c r="K149" i="5"/>
  <c r="L149" i="5"/>
  <c r="M149" i="5"/>
  <c r="D150" i="5"/>
  <c r="E150" i="5"/>
  <c r="F150" i="5"/>
  <c r="G150" i="5"/>
  <c r="H150" i="5"/>
  <c r="I150" i="5"/>
  <c r="J150" i="5"/>
  <c r="K150" i="5"/>
  <c r="L150" i="5"/>
  <c r="M150" i="5"/>
  <c r="D151" i="5"/>
  <c r="E151" i="5"/>
  <c r="F151" i="5"/>
  <c r="G151" i="5"/>
  <c r="H151" i="5"/>
  <c r="I151" i="5"/>
  <c r="J151" i="5"/>
  <c r="K151" i="5"/>
  <c r="L151" i="5"/>
  <c r="M151" i="5"/>
  <c r="D152" i="5"/>
  <c r="E152" i="5"/>
  <c r="F152" i="5"/>
  <c r="G152" i="5"/>
  <c r="H152" i="5"/>
  <c r="I152" i="5"/>
  <c r="J152" i="5"/>
  <c r="K152" i="5"/>
  <c r="L152" i="5"/>
  <c r="M152" i="5"/>
  <c r="D153" i="5"/>
  <c r="E153" i="5"/>
  <c r="F153" i="5"/>
  <c r="G153" i="5"/>
  <c r="H153" i="5"/>
  <c r="I153" i="5"/>
  <c r="J153" i="5"/>
  <c r="K153" i="5"/>
  <c r="L153" i="5"/>
  <c r="M153" i="5"/>
  <c r="D154" i="5"/>
  <c r="E154" i="5"/>
  <c r="F154" i="5"/>
  <c r="G154" i="5"/>
  <c r="H154" i="5"/>
  <c r="I154" i="5"/>
  <c r="J154" i="5"/>
  <c r="K154" i="5"/>
  <c r="L154" i="5"/>
  <c r="M154" i="5"/>
  <c r="D155" i="5"/>
  <c r="E155" i="5"/>
  <c r="F155" i="5"/>
  <c r="G155" i="5"/>
  <c r="H155" i="5"/>
  <c r="I155" i="5"/>
  <c r="J155" i="5"/>
  <c r="K155" i="5"/>
  <c r="L155" i="5"/>
  <c r="M155" i="5"/>
  <c r="D156" i="5"/>
  <c r="E156" i="5"/>
  <c r="F156" i="5"/>
  <c r="G156" i="5"/>
  <c r="H156" i="5"/>
  <c r="I156" i="5"/>
  <c r="J156" i="5"/>
  <c r="K156" i="5"/>
  <c r="L156" i="5"/>
  <c r="M156" i="5"/>
  <c r="D157" i="5"/>
  <c r="E157" i="5"/>
  <c r="F157" i="5"/>
  <c r="G157" i="5"/>
  <c r="H157" i="5"/>
  <c r="I157" i="5"/>
  <c r="J157" i="5"/>
  <c r="K157" i="5"/>
  <c r="L157" i="5"/>
  <c r="M157" i="5"/>
  <c r="D158" i="5"/>
  <c r="E158" i="5"/>
  <c r="F158" i="5"/>
  <c r="G158" i="5"/>
  <c r="H158" i="5"/>
  <c r="I158" i="5"/>
  <c r="J158" i="5"/>
  <c r="K158" i="5"/>
  <c r="L158" i="5"/>
  <c r="M158" i="5"/>
  <c r="D159" i="5"/>
  <c r="E159" i="5"/>
  <c r="F159" i="5"/>
  <c r="G159" i="5"/>
  <c r="H159" i="5"/>
  <c r="I159" i="5"/>
  <c r="J159" i="5"/>
  <c r="K159" i="5"/>
  <c r="L159" i="5"/>
  <c r="M159" i="5"/>
  <c r="D160" i="5"/>
  <c r="E160" i="5"/>
  <c r="F160" i="5"/>
  <c r="G160" i="5"/>
  <c r="H160" i="5"/>
  <c r="I160" i="5"/>
  <c r="J160" i="5"/>
  <c r="K160" i="5"/>
  <c r="L160" i="5"/>
  <c r="M160" i="5"/>
  <c r="D161" i="5"/>
  <c r="E161" i="5"/>
  <c r="F161" i="5"/>
  <c r="G161" i="5"/>
  <c r="H161" i="5"/>
  <c r="I161" i="5"/>
  <c r="J161" i="5"/>
  <c r="K161" i="5"/>
  <c r="L161" i="5"/>
  <c r="M161" i="5"/>
  <c r="D162" i="5"/>
  <c r="E162" i="5"/>
  <c r="F162" i="5"/>
  <c r="G162" i="5"/>
  <c r="H162" i="5"/>
  <c r="I162" i="5"/>
  <c r="J162" i="5"/>
  <c r="K162" i="5"/>
  <c r="L162" i="5"/>
  <c r="M162" i="5"/>
  <c r="D163" i="5"/>
  <c r="E163" i="5"/>
  <c r="F163" i="5"/>
  <c r="G163" i="5"/>
  <c r="H163" i="5"/>
  <c r="I163" i="5"/>
  <c r="J163" i="5"/>
  <c r="K163" i="5"/>
  <c r="L163" i="5"/>
  <c r="M163" i="5"/>
  <c r="D164" i="5"/>
  <c r="E164" i="5"/>
  <c r="F164" i="5"/>
  <c r="G164" i="5"/>
  <c r="H164" i="5"/>
  <c r="I164" i="5"/>
  <c r="J164" i="5"/>
  <c r="K164" i="5"/>
  <c r="L164" i="5"/>
  <c r="M164" i="5"/>
  <c r="D165" i="5"/>
  <c r="E165" i="5"/>
  <c r="F165" i="5"/>
  <c r="G165" i="5"/>
  <c r="H165" i="5"/>
  <c r="I165" i="5"/>
  <c r="J165" i="5"/>
  <c r="K165" i="5"/>
  <c r="L165" i="5"/>
  <c r="M165" i="5"/>
  <c r="D166" i="5"/>
  <c r="E166" i="5"/>
  <c r="F166" i="5"/>
  <c r="G166" i="5"/>
  <c r="H166" i="5"/>
  <c r="I166" i="5"/>
  <c r="J166" i="5"/>
  <c r="K166" i="5"/>
  <c r="L166" i="5"/>
  <c r="M166" i="5"/>
  <c r="D167" i="5"/>
  <c r="E167" i="5"/>
  <c r="F167" i="5"/>
  <c r="G167" i="5"/>
  <c r="H167" i="5"/>
  <c r="I167" i="5"/>
  <c r="J167" i="5"/>
  <c r="K167" i="5"/>
  <c r="L167" i="5"/>
  <c r="M167" i="5"/>
  <c r="D168" i="5"/>
  <c r="E168" i="5"/>
  <c r="F168" i="5"/>
  <c r="G168" i="5"/>
  <c r="H168" i="5"/>
  <c r="I168" i="5"/>
  <c r="J168" i="5"/>
  <c r="K168" i="5"/>
  <c r="L168" i="5"/>
  <c r="M168" i="5"/>
  <c r="D169" i="5"/>
  <c r="E169" i="5"/>
  <c r="F169" i="5"/>
  <c r="G169" i="5"/>
  <c r="H169" i="5"/>
  <c r="I169" i="5"/>
  <c r="J169" i="5"/>
  <c r="K169" i="5"/>
  <c r="L169" i="5"/>
  <c r="M169" i="5"/>
  <c r="D170" i="5"/>
  <c r="E170" i="5"/>
  <c r="F170" i="5"/>
  <c r="G170" i="5"/>
  <c r="H170" i="5"/>
  <c r="I170" i="5"/>
  <c r="J170" i="5"/>
  <c r="K170" i="5"/>
  <c r="L170" i="5"/>
  <c r="M170" i="5"/>
  <c r="D171" i="5"/>
  <c r="E171" i="5"/>
  <c r="F171" i="5"/>
  <c r="G171" i="5"/>
  <c r="H171" i="5"/>
  <c r="I171" i="5"/>
  <c r="J171" i="5"/>
  <c r="K171" i="5"/>
  <c r="L171" i="5"/>
  <c r="M171" i="5"/>
  <c r="D172" i="5"/>
  <c r="E172" i="5"/>
  <c r="F172" i="5"/>
  <c r="G172" i="5"/>
  <c r="H172" i="5"/>
  <c r="I172" i="5"/>
  <c r="J172" i="5"/>
  <c r="K172" i="5"/>
  <c r="L172" i="5"/>
  <c r="M172" i="5"/>
  <c r="D173" i="5"/>
  <c r="E173" i="5"/>
  <c r="F173" i="5"/>
  <c r="G173" i="5"/>
  <c r="H173" i="5"/>
  <c r="I173" i="5"/>
  <c r="J173" i="5"/>
  <c r="K173" i="5"/>
  <c r="L173" i="5"/>
  <c r="M173" i="5"/>
  <c r="D174" i="5"/>
  <c r="E174" i="5"/>
  <c r="F174" i="5"/>
  <c r="G174" i="5"/>
  <c r="H174" i="5"/>
  <c r="I174" i="5"/>
  <c r="J174" i="5"/>
  <c r="K174" i="5"/>
  <c r="L174" i="5"/>
  <c r="M174" i="5"/>
  <c r="D175" i="5"/>
  <c r="E175" i="5"/>
  <c r="F175" i="5"/>
  <c r="G175" i="5"/>
  <c r="H175" i="5"/>
  <c r="I175" i="5"/>
  <c r="J175" i="5"/>
  <c r="K175" i="5"/>
  <c r="L175" i="5"/>
  <c r="M175" i="5"/>
  <c r="D176" i="5"/>
  <c r="E176" i="5"/>
  <c r="F176" i="5"/>
  <c r="G176" i="5"/>
  <c r="H176" i="5"/>
  <c r="I176" i="5"/>
  <c r="J176" i="5"/>
  <c r="K176" i="5"/>
  <c r="L176" i="5"/>
  <c r="M176" i="5"/>
  <c r="D177" i="5"/>
  <c r="E177" i="5"/>
  <c r="F177" i="5"/>
  <c r="G177" i="5"/>
  <c r="H177" i="5"/>
  <c r="I177" i="5"/>
  <c r="J177" i="5"/>
  <c r="K177" i="5"/>
  <c r="L177" i="5"/>
  <c r="M177" i="5"/>
  <c r="D178" i="5"/>
  <c r="E178" i="5"/>
  <c r="F178" i="5"/>
  <c r="G178" i="5"/>
  <c r="H178" i="5"/>
  <c r="I178" i="5"/>
  <c r="J178" i="5"/>
  <c r="K178" i="5"/>
  <c r="L178" i="5"/>
  <c r="M178" i="5"/>
  <c r="D179" i="5"/>
  <c r="E179" i="5"/>
  <c r="F179" i="5"/>
  <c r="G179" i="5"/>
  <c r="H179" i="5"/>
  <c r="I179" i="5"/>
  <c r="J179" i="5"/>
  <c r="K179" i="5"/>
  <c r="L179" i="5"/>
  <c r="M179" i="5"/>
  <c r="D180" i="5"/>
  <c r="E180" i="5"/>
  <c r="F180" i="5"/>
  <c r="G180" i="5"/>
  <c r="H180" i="5"/>
  <c r="I180" i="5"/>
  <c r="J180" i="5"/>
  <c r="K180" i="5"/>
  <c r="L180" i="5"/>
  <c r="M180" i="5"/>
  <c r="D181" i="5"/>
  <c r="E181" i="5"/>
  <c r="F181" i="5"/>
  <c r="G181" i="5"/>
  <c r="H181" i="5"/>
  <c r="I181" i="5"/>
  <c r="J181" i="5"/>
  <c r="K181" i="5"/>
  <c r="L181" i="5"/>
  <c r="M181" i="5"/>
  <c r="D182" i="5"/>
  <c r="E182" i="5"/>
  <c r="F182" i="5"/>
  <c r="G182" i="5"/>
  <c r="H182" i="5"/>
  <c r="I182" i="5"/>
  <c r="J182" i="5"/>
  <c r="K182" i="5"/>
  <c r="L182" i="5"/>
  <c r="M182" i="5"/>
  <c r="D183" i="5"/>
  <c r="E183" i="5"/>
  <c r="F183" i="5"/>
  <c r="G183" i="5"/>
  <c r="H183" i="5"/>
  <c r="I183" i="5"/>
  <c r="J183" i="5"/>
  <c r="K183" i="5"/>
  <c r="L183" i="5"/>
  <c r="M183" i="5"/>
  <c r="D184" i="5"/>
  <c r="E184" i="5"/>
  <c r="F184" i="5"/>
  <c r="G184" i="5"/>
  <c r="H184" i="5"/>
  <c r="I184" i="5"/>
  <c r="J184" i="5"/>
  <c r="K184" i="5"/>
  <c r="L184" i="5"/>
  <c r="M184" i="5"/>
  <c r="D185" i="5"/>
  <c r="E185" i="5"/>
  <c r="F185" i="5"/>
  <c r="G185" i="5"/>
  <c r="H185" i="5"/>
  <c r="I185" i="5"/>
  <c r="J185" i="5"/>
  <c r="K185" i="5"/>
  <c r="L185" i="5"/>
  <c r="M185" i="5"/>
  <c r="D186" i="5"/>
  <c r="E186" i="5"/>
  <c r="F186" i="5"/>
  <c r="G186" i="5"/>
  <c r="H186" i="5"/>
  <c r="I186" i="5"/>
  <c r="J186" i="5"/>
  <c r="K186" i="5"/>
  <c r="L186" i="5"/>
  <c r="M186" i="5"/>
  <c r="D187" i="5"/>
  <c r="E187" i="5"/>
  <c r="F187" i="5"/>
  <c r="G187" i="5"/>
  <c r="H187" i="5"/>
  <c r="I187" i="5"/>
  <c r="J187" i="5"/>
  <c r="K187" i="5"/>
  <c r="L187" i="5"/>
  <c r="M187" i="5"/>
  <c r="D188" i="5"/>
  <c r="E188" i="5"/>
  <c r="F188" i="5"/>
  <c r="G188" i="5"/>
  <c r="H188" i="5"/>
  <c r="I188" i="5"/>
  <c r="J188" i="5"/>
  <c r="K188" i="5"/>
  <c r="L188" i="5"/>
  <c r="M188" i="5"/>
  <c r="D189" i="5"/>
  <c r="E189" i="5"/>
  <c r="F189" i="5"/>
  <c r="G189" i="5"/>
  <c r="H189" i="5"/>
  <c r="I189" i="5"/>
  <c r="J189" i="5"/>
  <c r="K189" i="5"/>
  <c r="L189" i="5"/>
  <c r="M189" i="5"/>
  <c r="D190" i="5"/>
  <c r="E190" i="5"/>
  <c r="F190" i="5"/>
  <c r="G190" i="5"/>
  <c r="H190" i="5"/>
  <c r="I190" i="5"/>
  <c r="J190" i="5"/>
  <c r="K190" i="5"/>
  <c r="L190" i="5"/>
  <c r="M190" i="5"/>
  <c r="D191" i="5"/>
  <c r="E191" i="5"/>
  <c r="F191" i="5"/>
  <c r="G191" i="5"/>
  <c r="H191" i="5"/>
  <c r="I191" i="5"/>
  <c r="J191" i="5"/>
  <c r="K191" i="5"/>
  <c r="L191" i="5"/>
  <c r="M191" i="5"/>
  <c r="D192" i="5"/>
  <c r="E192" i="5"/>
  <c r="F192" i="5"/>
  <c r="G192" i="5"/>
  <c r="H192" i="5"/>
  <c r="I192" i="5"/>
  <c r="J192" i="5"/>
  <c r="K192" i="5"/>
  <c r="L192" i="5"/>
  <c r="M192" i="5"/>
  <c r="D193" i="5"/>
  <c r="E193" i="5"/>
  <c r="F193" i="5"/>
  <c r="G193" i="5"/>
  <c r="H193" i="5"/>
  <c r="I193" i="5"/>
  <c r="J193" i="5"/>
  <c r="K193" i="5"/>
  <c r="L193" i="5"/>
  <c r="M193" i="5"/>
  <c r="D194" i="5"/>
  <c r="E194" i="5"/>
  <c r="F194" i="5"/>
  <c r="G194" i="5"/>
  <c r="H194" i="5"/>
  <c r="I194" i="5"/>
  <c r="J194" i="5"/>
  <c r="K194" i="5"/>
  <c r="L194" i="5"/>
  <c r="M194" i="5"/>
  <c r="D195" i="5"/>
  <c r="E195" i="5"/>
  <c r="F195" i="5"/>
  <c r="G195" i="5"/>
  <c r="H195" i="5"/>
  <c r="I195" i="5"/>
  <c r="J195" i="5"/>
  <c r="K195" i="5"/>
  <c r="L195" i="5"/>
  <c r="M195" i="5"/>
  <c r="D196" i="5"/>
  <c r="E196" i="5"/>
  <c r="F196" i="5"/>
  <c r="G196" i="5"/>
  <c r="H196" i="5"/>
  <c r="I196" i="5"/>
  <c r="J196" i="5"/>
  <c r="K196" i="5"/>
  <c r="L196" i="5"/>
  <c r="M196" i="5"/>
  <c r="D197" i="5"/>
  <c r="E197" i="5"/>
  <c r="F197" i="5"/>
  <c r="G197" i="5"/>
  <c r="H197" i="5"/>
  <c r="I197" i="5"/>
  <c r="J197" i="5"/>
  <c r="K197" i="5"/>
  <c r="L197" i="5"/>
  <c r="M197" i="5"/>
  <c r="D198" i="5"/>
  <c r="E198" i="5"/>
  <c r="F198" i="5"/>
  <c r="G198" i="5"/>
  <c r="H198" i="5"/>
  <c r="I198" i="5"/>
  <c r="J198" i="5"/>
  <c r="K198" i="5"/>
  <c r="L198" i="5"/>
  <c r="M198" i="5"/>
  <c r="D199" i="5"/>
  <c r="E199" i="5"/>
  <c r="F199" i="5"/>
  <c r="G199" i="5"/>
  <c r="H199" i="5"/>
  <c r="I199" i="5"/>
  <c r="J199" i="5"/>
  <c r="K199" i="5"/>
  <c r="L199" i="5"/>
  <c r="M199" i="5"/>
  <c r="D200" i="5"/>
  <c r="E200" i="5"/>
  <c r="F200" i="5"/>
  <c r="G200" i="5"/>
  <c r="H200" i="5"/>
  <c r="I200" i="5"/>
  <c r="J200" i="5"/>
  <c r="K200" i="5"/>
  <c r="L200" i="5"/>
  <c r="M200" i="5"/>
  <c r="D201" i="5"/>
  <c r="E201" i="5"/>
  <c r="F201" i="5"/>
  <c r="G201" i="5"/>
  <c r="H201" i="5"/>
  <c r="I201" i="5"/>
  <c r="J201" i="5"/>
  <c r="K201" i="5"/>
  <c r="L201" i="5"/>
  <c r="M201" i="5"/>
  <c r="D202" i="5"/>
  <c r="E202" i="5"/>
  <c r="F202" i="5"/>
  <c r="G202" i="5"/>
  <c r="H202" i="5"/>
  <c r="I202" i="5"/>
  <c r="J202" i="5"/>
  <c r="K202" i="5"/>
  <c r="L202" i="5"/>
  <c r="M202" i="5"/>
  <c r="D203" i="5"/>
  <c r="E203" i="5"/>
  <c r="F203" i="5"/>
  <c r="G203" i="5"/>
  <c r="H203" i="5"/>
  <c r="I203" i="5"/>
  <c r="J203" i="5"/>
  <c r="K203" i="5"/>
  <c r="L203" i="5"/>
  <c r="M203" i="5"/>
  <c r="D204" i="5"/>
  <c r="E204" i="5"/>
  <c r="F204" i="5"/>
  <c r="G204" i="5"/>
  <c r="H204" i="5"/>
  <c r="I204" i="5"/>
  <c r="J204" i="5"/>
  <c r="K204" i="5"/>
  <c r="L204" i="5"/>
  <c r="M204" i="5"/>
  <c r="D205" i="5"/>
  <c r="E205" i="5"/>
  <c r="F205" i="5"/>
  <c r="G205" i="5"/>
  <c r="H205" i="5"/>
  <c r="I205" i="5"/>
  <c r="J205" i="5"/>
  <c r="K205" i="5"/>
  <c r="L205" i="5"/>
  <c r="M205" i="5"/>
  <c r="D206" i="5"/>
  <c r="E206" i="5"/>
  <c r="F206" i="5"/>
  <c r="G206" i="5"/>
  <c r="H206" i="5"/>
  <c r="I206" i="5"/>
  <c r="J206" i="5"/>
  <c r="K206" i="5"/>
  <c r="L206" i="5"/>
  <c r="M206" i="5"/>
  <c r="D207" i="5"/>
  <c r="E207" i="5"/>
  <c r="F207" i="5"/>
  <c r="G207" i="5"/>
  <c r="H207" i="5"/>
  <c r="I207" i="5"/>
  <c r="J207" i="5"/>
  <c r="K207" i="5"/>
  <c r="L207" i="5"/>
  <c r="M207" i="5"/>
  <c r="D208" i="5"/>
  <c r="E208" i="5"/>
  <c r="F208" i="5"/>
  <c r="G208" i="5"/>
  <c r="H208" i="5"/>
  <c r="I208" i="5"/>
  <c r="J208" i="5"/>
  <c r="K208" i="5"/>
  <c r="L208" i="5"/>
  <c r="M208" i="5"/>
  <c r="D209" i="5"/>
  <c r="E209" i="5"/>
  <c r="F209" i="5"/>
  <c r="G209" i="5"/>
  <c r="H209" i="5"/>
  <c r="I209" i="5"/>
  <c r="J209" i="5"/>
  <c r="K209" i="5"/>
  <c r="L209" i="5"/>
  <c r="M209" i="5"/>
  <c r="D210" i="5"/>
  <c r="E210" i="5"/>
  <c r="F210" i="5"/>
  <c r="G210" i="5"/>
  <c r="H210" i="5"/>
  <c r="I210" i="5"/>
  <c r="J210" i="5"/>
  <c r="K210" i="5"/>
  <c r="L210" i="5"/>
  <c r="M210" i="5"/>
  <c r="D211" i="5"/>
  <c r="E211" i="5"/>
  <c r="F211" i="5"/>
  <c r="G211" i="5"/>
  <c r="H211" i="5"/>
  <c r="I211" i="5"/>
  <c r="J211" i="5"/>
  <c r="K211" i="5"/>
  <c r="L211" i="5"/>
  <c r="M211" i="5"/>
  <c r="D212" i="5"/>
  <c r="E212" i="5"/>
  <c r="F212" i="5"/>
  <c r="G212" i="5"/>
  <c r="H212" i="5"/>
  <c r="I212" i="5"/>
  <c r="J212" i="5"/>
  <c r="K212" i="5"/>
  <c r="L212" i="5"/>
  <c r="M212" i="5"/>
  <c r="D213" i="5"/>
  <c r="E213" i="5"/>
  <c r="F213" i="5"/>
  <c r="G213" i="5"/>
  <c r="H213" i="5"/>
  <c r="I213" i="5"/>
  <c r="J213" i="5"/>
  <c r="K213" i="5"/>
  <c r="L213" i="5"/>
  <c r="M213" i="5"/>
  <c r="D214" i="5"/>
  <c r="E214" i="5"/>
  <c r="F214" i="5"/>
  <c r="G214" i="5"/>
  <c r="H214" i="5"/>
  <c r="I214" i="5"/>
  <c r="J214" i="5"/>
  <c r="K214" i="5"/>
  <c r="L214" i="5"/>
  <c r="M214" i="5"/>
  <c r="D215" i="5"/>
  <c r="E215" i="5"/>
  <c r="F215" i="5"/>
  <c r="G215" i="5"/>
  <c r="H215" i="5"/>
  <c r="I215" i="5"/>
  <c r="J215" i="5"/>
  <c r="K215" i="5"/>
  <c r="L215" i="5"/>
  <c r="M215" i="5"/>
  <c r="D216" i="5"/>
  <c r="E216" i="5"/>
  <c r="F216" i="5"/>
  <c r="G216" i="5"/>
  <c r="H216" i="5"/>
  <c r="I216" i="5"/>
  <c r="J216" i="5"/>
  <c r="K216" i="5"/>
  <c r="L216" i="5"/>
  <c r="M216" i="5"/>
  <c r="D217" i="5"/>
  <c r="E217" i="5"/>
  <c r="F217" i="5"/>
  <c r="G217" i="5"/>
  <c r="H217" i="5"/>
  <c r="I217" i="5"/>
  <c r="J217" i="5"/>
  <c r="K217" i="5"/>
  <c r="L217" i="5"/>
  <c r="M217" i="5"/>
  <c r="D218" i="5"/>
  <c r="E218" i="5"/>
  <c r="F218" i="5"/>
  <c r="G218" i="5"/>
  <c r="H218" i="5"/>
  <c r="I218" i="5"/>
  <c r="J218" i="5"/>
  <c r="K218" i="5"/>
  <c r="L218" i="5"/>
  <c r="M218" i="5"/>
  <c r="D219" i="5"/>
  <c r="E219" i="5"/>
  <c r="F219" i="5"/>
  <c r="G219" i="5"/>
  <c r="H219" i="5"/>
  <c r="I219" i="5"/>
  <c r="J219" i="5"/>
  <c r="K219" i="5"/>
  <c r="L219" i="5"/>
  <c r="M219" i="5"/>
  <c r="D220" i="5"/>
  <c r="E220" i="5"/>
  <c r="F220" i="5"/>
  <c r="G220" i="5"/>
  <c r="H220" i="5"/>
  <c r="I220" i="5"/>
  <c r="J220" i="5"/>
  <c r="K220" i="5"/>
  <c r="L220" i="5"/>
  <c r="M220" i="5"/>
  <c r="D221" i="5"/>
  <c r="E221" i="5"/>
  <c r="F221" i="5"/>
  <c r="G221" i="5"/>
  <c r="H221" i="5"/>
  <c r="I221" i="5"/>
  <c r="J221" i="5"/>
  <c r="K221" i="5"/>
  <c r="L221" i="5"/>
  <c r="M221" i="5"/>
  <c r="D222" i="5"/>
  <c r="E222" i="5"/>
  <c r="F222" i="5"/>
  <c r="G222" i="5"/>
  <c r="H222" i="5"/>
  <c r="I222" i="5"/>
  <c r="J222" i="5"/>
  <c r="K222" i="5"/>
  <c r="L222" i="5"/>
  <c r="M222" i="5"/>
  <c r="D223" i="5"/>
  <c r="E223" i="5"/>
  <c r="F223" i="5"/>
  <c r="G223" i="5"/>
  <c r="H223" i="5"/>
  <c r="I223" i="5"/>
  <c r="J223" i="5"/>
  <c r="K223" i="5"/>
  <c r="L223" i="5"/>
  <c r="M223" i="5"/>
  <c r="D224" i="5"/>
  <c r="E224" i="5"/>
  <c r="F224" i="5"/>
  <c r="G224" i="5"/>
  <c r="H224" i="5"/>
  <c r="I224" i="5"/>
  <c r="J224" i="5"/>
  <c r="K224" i="5"/>
  <c r="L224" i="5"/>
  <c r="M224" i="5"/>
  <c r="D225" i="5"/>
  <c r="E225" i="5"/>
  <c r="F225" i="5"/>
  <c r="G225" i="5"/>
  <c r="H225" i="5"/>
  <c r="I225" i="5"/>
  <c r="J225" i="5"/>
  <c r="K225" i="5"/>
  <c r="L225" i="5"/>
  <c r="M225" i="5"/>
  <c r="D226" i="5"/>
  <c r="E226" i="5"/>
  <c r="F226" i="5"/>
  <c r="G226" i="5"/>
  <c r="H226" i="5"/>
  <c r="I226" i="5"/>
  <c r="J226" i="5"/>
  <c r="K226" i="5"/>
  <c r="L226" i="5"/>
  <c r="M226" i="5"/>
  <c r="D227" i="5"/>
  <c r="E227" i="5"/>
  <c r="F227" i="5"/>
  <c r="G227" i="5"/>
  <c r="H227" i="5"/>
  <c r="I227" i="5"/>
  <c r="J227" i="5"/>
  <c r="K227" i="5"/>
  <c r="L227" i="5"/>
  <c r="M227" i="5"/>
  <c r="D228" i="5"/>
  <c r="E228" i="5"/>
  <c r="F228" i="5"/>
  <c r="G228" i="5"/>
  <c r="H228" i="5"/>
  <c r="I228" i="5"/>
  <c r="J228" i="5"/>
  <c r="K228" i="5"/>
  <c r="L228" i="5"/>
  <c r="M228" i="5"/>
  <c r="D229" i="5"/>
  <c r="E229" i="5"/>
  <c r="F229" i="5"/>
  <c r="G229" i="5"/>
  <c r="H229" i="5"/>
  <c r="I229" i="5"/>
  <c r="J229" i="5"/>
  <c r="K229" i="5"/>
  <c r="L229" i="5"/>
  <c r="M229" i="5"/>
  <c r="D230" i="5"/>
  <c r="E230" i="5"/>
  <c r="F230" i="5"/>
  <c r="G230" i="5"/>
  <c r="H230" i="5"/>
  <c r="I230" i="5"/>
  <c r="J230" i="5"/>
  <c r="K230" i="5"/>
  <c r="L230" i="5"/>
  <c r="M230" i="5"/>
  <c r="D231" i="5"/>
  <c r="E231" i="5"/>
  <c r="F231" i="5"/>
  <c r="G231" i="5"/>
  <c r="H231" i="5"/>
  <c r="I231" i="5"/>
  <c r="J231" i="5"/>
  <c r="K231" i="5"/>
  <c r="L231" i="5"/>
  <c r="M231" i="5"/>
  <c r="D232" i="5"/>
  <c r="E232" i="5"/>
  <c r="F232" i="5"/>
  <c r="G232" i="5"/>
  <c r="H232" i="5"/>
  <c r="I232" i="5"/>
  <c r="J232" i="5"/>
  <c r="K232" i="5"/>
  <c r="L232" i="5"/>
  <c r="M232" i="5"/>
  <c r="D233" i="5"/>
  <c r="E233" i="5"/>
  <c r="F233" i="5"/>
  <c r="G233" i="5"/>
  <c r="H233" i="5"/>
  <c r="I233" i="5"/>
  <c r="J233" i="5"/>
  <c r="K233" i="5"/>
  <c r="L233" i="5"/>
  <c r="M233" i="5"/>
  <c r="D234" i="5"/>
  <c r="E234" i="5"/>
  <c r="F234" i="5"/>
  <c r="G234" i="5"/>
  <c r="H234" i="5"/>
  <c r="I234" i="5"/>
  <c r="J234" i="5"/>
  <c r="K234" i="5"/>
  <c r="L234" i="5"/>
  <c r="M234" i="5"/>
  <c r="D235" i="5"/>
  <c r="E235" i="5"/>
  <c r="F235" i="5"/>
  <c r="G235" i="5"/>
  <c r="H235" i="5"/>
  <c r="I235" i="5"/>
  <c r="J235" i="5"/>
  <c r="K235" i="5"/>
  <c r="L235" i="5"/>
  <c r="M235" i="5"/>
  <c r="D236" i="5"/>
  <c r="E236" i="5"/>
  <c r="F236" i="5"/>
  <c r="G236" i="5"/>
  <c r="H236" i="5"/>
  <c r="I236" i="5"/>
  <c r="J236" i="5"/>
  <c r="K236" i="5"/>
  <c r="L236" i="5"/>
  <c r="M236" i="5"/>
  <c r="D237" i="5"/>
  <c r="E237" i="5"/>
  <c r="F237" i="5"/>
  <c r="G237" i="5"/>
  <c r="H237" i="5"/>
  <c r="I237" i="5"/>
  <c r="J237" i="5"/>
  <c r="K237" i="5"/>
  <c r="L237" i="5"/>
  <c r="M237" i="5"/>
  <c r="D238" i="5"/>
  <c r="E238" i="5"/>
  <c r="F238" i="5"/>
  <c r="G238" i="5"/>
  <c r="H238" i="5"/>
  <c r="I238" i="5"/>
  <c r="J238" i="5"/>
  <c r="K238" i="5"/>
  <c r="L238" i="5"/>
  <c r="M238" i="5"/>
  <c r="D239" i="5"/>
  <c r="E239" i="5"/>
  <c r="F239" i="5"/>
  <c r="G239" i="5"/>
  <c r="H239" i="5"/>
  <c r="I239" i="5"/>
  <c r="J239" i="5"/>
  <c r="K239" i="5"/>
  <c r="L239" i="5"/>
  <c r="M239" i="5"/>
  <c r="D240" i="5"/>
  <c r="E240" i="5"/>
  <c r="F240" i="5"/>
  <c r="G240" i="5"/>
  <c r="H240" i="5"/>
  <c r="I240" i="5"/>
  <c r="J240" i="5"/>
  <c r="K240" i="5"/>
  <c r="L240" i="5"/>
  <c r="M240" i="5"/>
  <c r="D241" i="5"/>
  <c r="E241" i="5"/>
  <c r="F241" i="5"/>
  <c r="G241" i="5"/>
  <c r="H241" i="5"/>
  <c r="I241" i="5"/>
  <c r="J241" i="5"/>
  <c r="K241" i="5"/>
  <c r="L241" i="5"/>
  <c r="M241" i="5"/>
  <c r="D242" i="5"/>
  <c r="E242" i="5"/>
  <c r="F242" i="5"/>
  <c r="G242" i="5"/>
  <c r="H242" i="5"/>
  <c r="I242" i="5"/>
  <c r="J242" i="5"/>
  <c r="K242" i="5"/>
  <c r="L242" i="5"/>
  <c r="M242" i="5"/>
  <c r="D243" i="5"/>
  <c r="E243" i="5"/>
  <c r="F243" i="5"/>
  <c r="G243" i="5"/>
  <c r="H243" i="5"/>
  <c r="I243" i="5"/>
  <c r="J243" i="5"/>
  <c r="K243" i="5"/>
  <c r="L243" i="5"/>
  <c r="M243" i="5"/>
  <c r="D244" i="5"/>
  <c r="E244" i="5"/>
  <c r="F244" i="5"/>
  <c r="G244" i="5"/>
  <c r="H244" i="5"/>
  <c r="I244" i="5"/>
  <c r="J244" i="5"/>
  <c r="K244" i="5"/>
  <c r="L244" i="5"/>
  <c r="M244" i="5"/>
  <c r="D245" i="5"/>
  <c r="E245" i="5"/>
  <c r="F245" i="5"/>
  <c r="G245" i="5"/>
  <c r="H245" i="5"/>
  <c r="I245" i="5"/>
  <c r="J245" i="5"/>
  <c r="K245" i="5"/>
  <c r="L245" i="5"/>
  <c r="M245" i="5"/>
  <c r="D246" i="5"/>
  <c r="E246" i="5"/>
  <c r="F246" i="5"/>
  <c r="G246" i="5"/>
  <c r="H246" i="5"/>
  <c r="I246" i="5"/>
  <c r="J246" i="5"/>
  <c r="K246" i="5"/>
  <c r="L246" i="5"/>
  <c r="M246" i="5"/>
  <c r="D247" i="5"/>
  <c r="E247" i="5"/>
  <c r="F247" i="5"/>
  <c r="G247" i="5"/>
  <c r="H247" i="5"/>
  <c r="I247" i="5"/>
  <c r="J247" i="5"/>
  <c r="K247" i="5"/>
  <c r="L247" i="5"/>
  <c r="M247" i="5"/>
  <c r="D248" i="5"/>
  <c r="E248" i="5"/>
  <c r="F248" i="5"/>
  <c r="G248" i="5"/>
  <c r="H248" i="5"/>
  <c r="I248" i="5"/>
  <c r="J248" i="5"/>
  <c r="K248" i="5"/>
  <c r="L248" i="5"/>
  <c r="M248" i="5"/>
  <c r="D249" i="5"/>
  <c r="E249" i="5"/>
  <c r="F249" i="5"/>
  <c r="G249" i="5"/>
  <c r="H249" i="5"/>
  <c r="I249" i="5"/>
  <c r="J249" i="5"/>
  <c r="K249" i="5"/>
  <c r="L249" i="5"/>
  <c r="M249" i="5"/>
  <c r="D250" i="5"/>
  <c r="E250" i="5"/>
  <c r="F250" i="5"/>
  <c r="G250" i="5"/>
  <c r="H250" i="5"/>
  <c r="I250" i="5"/>
  <c r="J250" i="5"/>
  <c r="K250" i="5"/>
  <c r="L250" i="5"/>
  <c r="M250" i="5"/>
  <c r="D251" i="5"/>
  <c r="E251" i="5"/>
  <c r="F251" i="5"/>
  <c r="G251" i="5"/>
  <c r="H251" i="5"/>
  <c r="I251" i="5"/>
  <c r="J251" i="5"/>
  <c r="K251" i="5"/>
  <c r="L251" i="5"/>
  <c r="M251" i="5"/>
  <c r="D252" i="5"/>
  <c r="E252" i="5"/>
  <c r="F252" i="5"/>
  <c r="G252" i="5"/>
  <c r="H252" i="5"/>
  <c r="I252" i="5"/>
  <c r="J252" i="5"/>
  <c r="K252" i="5"/>
  <c r="L252" i="5"/>
  <c r="M252" i="5"/>
  <c r="D253" i="5"/>
  <c r="E253" i="5"/>
  <c r="F253" i="5"/>
  <c r="G253" i="5"/>
  <c r="H253" i="5"/>
  <c r="I253" i="5"/>
  <c r="J253" i="5"/>
  <c r="K253" i="5"/>
  <c r="L253" i="5"/>
  <c r="M253" i="5"/>
  <c r="D254" i="5"/>
  <c r="E254" i="5"/>
  <c r="F254" i="5"/>
  <c r="G254" i="5"/>
  <c r="H254" i="5"/>
  <c r="I254" i="5"/>
  <c r="J254" i="5"/>
  <c r="K254" i="5"/>
  <c r="L254" i="5"/>
  <c r="M254" i="5"/>
  <c r="D255" i="5"/>
  <c r="E255" i="5"/>
  <c r="F255" i="5"/>
  <c r="G255" i="5"/>
  <c r="H255" i="5"/>
  <c r="I255" i="5"/>
  <c r="J255" i="5"/>
  <c r="K255" i="5"/>
  <c r="L255" i="5"/>
  <c r="M255" i="5"/>
  <c r="D256" i="5"/>
  <c r="E256" i="5"/>
  <c r="F256" i="5"/>
  <c r="G256" i="5"/>
  <c r="H256" i="5"/>
  <c r="I256" i="5"/>
  <c r="J256" i="5"/>
  <c r="K256" i="5"/>
  <c r="L256" i="5"/>
  <c r="M256" i="5"/>
  <c r="D257" i="5"/>
  <c r="E257" i="5"/>
  <c r="F257" i="5"/>
  <c r="G257" i="5"/>
  <c r="H257" i="5"/>
  <c r="I257" i="5"/>
  <c r="J257" i="5"/>
  <c r="K257" i="5"/>
  <c r="L257" i="5"/>
  <c r="M257" i="5"/>
  <c r="D258" i="5"/>
  <c r="E258" i="5"/>
  <c r="F258" i="5"/>
  <c r="G258" i="5"/>
  <c r="H258" i="5"/>
  <c r="I258" i="5"/>
  <c r="J258" i="5"/>
  <c r="K258" i="5"/>
  <c r="L258" i="5"/>
  <c r="M258" i="5"/>
  <c r="D259" i="5"/>
  <c r="E259" i="5"/>
  <c r="F259" i="5"/>
  <c r="G259" i="5"/>
  <c r="H259" i="5"/>
  <c r="I259" i="5"/>
  <c r="J259" i="5"/>
  <c r="K259" i="5"/>
  <c r="L259" i="5"/>
  <c r="M259" i="5"/>
  <c r="D260" i="5"/>
  <c r="E260" i="5"/>
  <c r="F260" i="5"/>
  <c r="G260" i="5"/>
  <c r="H260" i="5"/>
  <c r="I260" i="5"/>
  <c r="J260" i="5"/>
  <c r="K260" i="5"/>
  <c r="L260" i="5"/>
  <c r="M260" i="5"/>
  <c r="D261" i="5"/>
  <c r="E261" i="5"/>
  <c r="F261" i="5"/>
  <c r="G261" i="5"/>
  <c r="H261" i="5"/>
  <c r="I261" i="5"/>
  <c r="J261" i="5"/>
  <c r="K261" i="5"/>
  <c r="L261" i="5"/>
  <c r="M261" i="5"/>
  <c r="M6" i="5"/>
  <c r="L6" i="5"/>
  <c r="K6" i="5"/>
  <c r="J6" i="5"/>
  <c r="I6" i="5"/>
  <c r="H6" i="5"/>
  <c r="G6" i="5"/>
  <c r="F6" i="5"/>
  <c r="E6" i="5"/>
  <c r="D6" i="5"/>
  <c r="B15" i="5"/>
  <c r="B16" i="5" s="1"/>
  <c r="B17" i="5" s="1"/>
  <c r="B19" i="5"/>
  <c r="B20" i="5" s="1"/>
  <c r="B21" i="5" s="1"/>
  <c r="B23" i="5"/>
  <c r="B24" i="5"/>
  <c r="B25" i="5"/>
  <c r="B27" i="5"/>
  <c r="B28" i="5" s="1"/>
  <c r="B29" i="5" s="1"/>
  <c r="B31" i="5"/>
  <c r="B32" i="5"/>
  <c r="B33" i="5" s="1"/>
  <c r="B35" i="5"/>
  <c r="B36" i="5"/>
  <c r="B37" i="5" s="1"/>
  <c r="B39" i="5"/>
  <c r="B40" i="5"/>
  <c r="B41" i="5" s="1"/>
  <c r="B43" i="5"/>
  <c r="B44" i="5" s="1"/>
  <c r="B45" i="5" s="1"/>
  <c r="B47" i="5"/>
  <c r="B48" i="5" s="1"/>
  <c r="B49" i="5" s="1"/>
  <c r="B51" i="5"/>
  <c r="B52" i="5" s="1"/>
  <c r="B53" i="5" s="1"/>
  <c r="B55" i="5"/>
  <c r="B56" i="5"/>
  <c r="B57" i="5"/>
  <c r="B59" i="5"/>
  <c r="B60" i="5" s="1"/>
  <c r="B61" i="5" s="1"/>
  <c r="B63" i="5"/>
  <c r="B64" i="5"/>
  <c r="B65" i="5" s="1"/>
  <c r="B67" i="5"/>
  <c r="B68" i="5"/>
  <c r="B69" i="5" s="1"/>
  <c r="B71" i="5"/>
  <c r="B72" i="5"/>
  <c r="B73" i="5" s="1"/>
  <c r="B75" i="5"/>
  <c r="B76" i="5" s="1"/>
  <c r="B77" i="5" s="1"/>
  <c r="B79" i="5"/>
  <c r="B80" i="5" s="1"/>
  <c r="B81" i="5" s="1"/>
  <c r="B83" i="5"/>
  <c r="B84" i="5" s="1"/>
  <c r="B85" i="5" s="1"/>
  <c r="B87" i="5"/>
  <c r="B88" i="5"/>
  <c r="B89" i="5"/>
  <c r="B91" i="5"/>
  <c r="B92" i="5" s="1"/>
  <c r="B93" i="5" s="1"/>
  <c r="B95" i="5"/>
  <c r="B96" i="5"/>
  <c r="B97" i="5" s="1"/>
  <c r="B99" i="5"/>
  <c r="B100" i="5"/>
  <c r="B101" i="5" s="1"/>
  <c r="B103" i="5"/>
  <c r="B104" i="5" s="1"/>
  <c r="B105" i="5" s="1"/>
  <c r="B107" i="5"/>
  <c r="B108" i="5" s="1"/>
  <c r="B109" i="5" s="1"/>
  <c r="B111" i="5"/>
  <c r="B112" i="5" s="1"/>
  <c r="B113" i="5" s="1"/>
  <c r="B115" i="5"/>
  <c r="B116" i="5" s="1"/>
  <c r="B117" i="5" s="1"/>
  <c r="B119" i="5"/>
  <c r="B120" i="5"/>
  <c r="B121" i="5"/>
  <c r="B123" i="5"/>
  <c r="B124" i="5" s="1"/>
  <c r="B125" i="5" s="1"/>
  <c r="B127" i="5"/>
  <c r="B128" i="5"/>
  <c r="B129" i="5" s="1"/>
  <c r="B131" i="5"/>
  <c r="B132" i="5"/>
  <c r="B133" i="5" s="1"/>
  <c r="B135" i="5"/>
  <c r="B136" i="5" s="1"/>
  <c r="B137" i="5" s="1"/>
  <c r="B139" i="5"/>
  <c r="B140" i="5" s="1"/>
  <c r="B141" i="5" s="1"/>
  <c r="B143" i="5"/>
  <c r="B144" i="5" s="1"/>
  <c r="B145" i="5" s="1"/>
  <c r="B147" i="5"/>
  <c r="B148" i="5" s="1"/>
  <c r="B149" i="5" s="1"/>
  <c r="B151" i="5"/>
  <c r="B152" i="5"/>
  <c r="B153" i="5"/>
  <c r="B155" i="5"/>
  <c r="B156" i="5" s="1"/>
  <c r="B157" i="5" s="1"/>
  <c r="B159" i="5"/>
  <c r="B160" i="5"/>
  <c r="B161" i="5" s="1"/>
  <c r="B163" i="5"/>
  <c r="B164" i="5"/>
  <c r="B165" i="5" s="1"/>
  <c r="B167" i="5"/>
  <c r="B168" i="5" s="1"/>
  <c r="B169" i="5" s="1"/>
  <c r="B171" i="5"/>
  <c r="B172" i="5" s="1"/>
  <c r="B173" i="5" s="1"/>
  <c r="B175" i="5"/>
  <c r="B176" i="5" s="1"/>
  <c r="B177" i="5" s="1"/>
  <c r="B179" i="5"/>
  <c r="B180" i="5" s="1"/>
  <c r="B181" i="5" s="1"/>
  <c r="B183" i="5"/>
  <c r="B184" i="5"/>
  <c r="B185" i="5"/>
  <c r="B187" i="5"/>
  <c r="B188" i="5" s="1"/>
  <c r="B189" i="5" s="1"/>
  <c r="B191" i="5"/>
  <c r="B192" i="5"/>
  <c r="B193" i="5" s="1"/>
  <c r="B195" i="5"/>
  <c r="B196" i="5"/>
  <c r="B197" i="5" s="1"/>
  <c r="B199" i="5"/>
  <c r="B200" i="5" s="1"/>
  <c r="B201" i="5" s="1"/>
  <c r="B203" i="5"/>
  <c r="B204" i="5" s="1"/>
  <c r="B205" i="5" s="1"/>
  <c r="B207" i="5"/>
  <c r="B208" i="5" s="1"/>
  <c r="B209" i="5" s="1"/>
  <c r="B211" i="5"/>
  <c r="B212" i="5" s="1"/>
  <c r="B213" i="5" s="1"/>
  <c r="B215" i="5"/>
  <c r="B216" i="5"/>
  <c r="B217" i="5"/>
  <c r="B219" i="5"/>
  <c r="B220" i="5" s="1"/>
  <c r="B221" i="5" s="1"/>
  <c r="B223" i="5"/>
  <c r="B224" i="5"/>
  <c r="B225" i="5" s="1"/>
  <c r="B227" i="5"/>
  <c r="B228" i="5"/>
  <c r="B229" i="5" s="1"/>
  <c r="B231" i="5"/>
  <c r="B232" i="5"/>
  <c r="B233" i="5" s="1"/>
  <c r="B235" i="5"/>
  <c r="B236" i="5" s="1"/>
  <c r="B237" i="5" s="1"/>
  <c r="B239" i="5"/>
  <c r="B240" i="5" s="1"/>
  <c r="B241" i="5" s="1"/>
  <c r="B243" i="5"/>
  <c r="B244" i="5" s="1"/>
  <c r="B245" i="5" s="1"/>
  <c r="B247" i="5"/>
  <c r="B248" i="5"/>
  <c r="B249" i="5"/>
  <c r="B251" i="5"/>
  <c r="B252" i="5" s="1"/>
  <c r="B253" i="5" s="1"/>
  <c r="B255" i="5"/>
  <c r="B256" i="5"/>
  <c r="B257" i="5" s="1"/>
  <c r="B259" i="5"/>
  <c r="B260" i="5"/>
  <c r="B261" i="5" s="1"/>
  <c r="A257" i="5"/>
  <c r="A258" i="5" s="1"/>
  <c r="A259" i="5" s="1"/>
  <c r="A260" i="5" s="1"/>
  <c r="A261" i="5" s="1"/>
  <c r="A134" i="5"/>
  <c r="A135" i="5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L8" i="2" l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L38" i="2" s="1"/>
  <c r="L39" i="2" s="1"/>
  <c r="L40" i="2" s="1"/>
  <c r="L41" i="2" s="1"/>
  <c r="L42" i="2" s="1"/>
  <c r="L43" i="2" s="1"/>
  <c r="L44" i="2" s="1"/>
  <c r="L45" i="2" s="1"/>
  <c r="L46" i="2" s="1"/>
  <c r="L47" i="2" s="1"/>
  <c r="L48" i="2" l="1"/>
  <c r="L49" i="2" l="1"/>
  <c r="L50" i="2" l="1"/>
  <c r="L51" i="2" l="1"/>
  <c r="L52" i="2" l="1"/>
  <c r="L53" i="2" l="1"/>
  <c r="L54" i="2" l="1"/>
  <c r="L55" i="2" l="1"/>
  <c r="L56" i="2" l="1"/>
  <c r="L57" i="2" l="1"/>
  <c r="L58" i="2" l="1"/>
  <c r="L59" i="2" l="1"/>
  <c r="L60" i="2" l="1"/>
  <c r="L61" i="2" l="1"/>
  <c r="L62" i="2" l="1"/>
  <c r="L63" i="2" l="1"/>
  <c r="L64" i="2" l="1"/>
  <c r="L65" i="2" l="1"/>
  <c r="L66" i="2" l="1"/>
  <c r="L67" i="2" l="1"/>
  <c r="L68" i="2" l="1"/>
  <c r="L69" i="2" l="1"/>
  <c r="L70" i="2" l="1"/>
  <c r="L71" i="2" l="1"/>
  <c r="L72" i="2" l="1"/>
  <c r="L73" i="2" l="1"/>
  <c r="L74" i="2" l="1"/>
  <c r="L75" i="2" l="1"/>
  <c r="L76" i="2" l="1"/>
  <c r="L77" i="2" l="1"/>
  <c r="L78" i="2" l="1"/>
  <c r="L79" i="2" l="1"/>
  <c r="L80" i="2" l="1"/>
  <c r="L81" i="2" l="1"/>
  <c r="L82" i="2" l="1"/>
  <c r="L83" i="2" l="1"/>
  <c r="L84" i="2" l="1"/>
  <c r="L85" i="2" l="1"/>
  <c r="AU77" i="4"/>
  <c r="AV77" i="4"/>
  <c r="AW77" i="4"/>
  <c r="AX77" i="4"/>
  <c r="AU78" i="4"/>
  <c r="AV78" i="4"/>
  <c r="AW78" i="4"/>
  <c r="AX78" i="4"/>
  <c r="AU79" i="4"/>
  <c r="AV79" i="4"/>
  <c r="AW79" i="4"/>
  <c r="AX79" i="4"/>
  <c r="AU80" i="4"/>
  <c r="AV80" i="4"/>
  <c r="AW80" i="4"/>
  <c r="AX80" i="4"/>
  <c r="AU81" i="4"/>
  <c r="AV81" i="4"/>
  <c r="AW81" i="4"/>
  <c r="AX81" i="4"/>
  <c r="AU82" i="4"/>
  <c r="AV82" i="4"/>
  <c r="AW82" i="4"/>
  <c r="AX82" i="4"/>
  <c r="AU83" i="4"/>
  <c r="AV83" i="4"/>
  <c r="AW83" i="4"/>
  <c r="AX83" i="4"/>
  <c r="AU84" i="4"/>
  <c r="AV84" i="4"/>
  <c r="AW84" i="4"/>
  <c r="AX84" i="4"/>
  <c r="AU85" i="4"/>
  <c r="AV85" i="4"/>
  <c r="AW85" i="4"/>
  <c r="AX85" i="4"/>
  <c r="AU86" i="4"/>
  <c r="AV86" i="4"/>
  <c r="AW86" i="4"/>
  <c r="AX86" i="4"/>
  <c r="AU87" i="4"/>
  <c r="AV87" i="4"/>
  <c r="AW87" i="4"/>
  <c r="AX87" i="4"/>
  <c r="AU88" i="4"/>
  <c r="AV88" i="4"/>
  <c r="AW88" i="4"/>
  <c r="AX88" i="4"/>
  <c r="AU89" i="4"/>
  <c r="AV89" i="4"/>
  <c r="AW89" i="4"/>
  <c r="AX89" i="4"/>
  <c r="AU90" i="4"/>
  <c r="AV90" i="4"/>
  <c r="AW90" i="4"/>
  <c r="AX90" i="4"/>
  <c r="AU91" i="4"/>
  <c r="AV91" i="4"/>
  <c r="AW91" i="4"/>
  <c r="AX91" i="4"/>
  <c r="AU92" i="4"/>
  <c r="AV92" i="4"/>
  <c r="AW92" i="4"/>
  <c r="AX92" i="4"/>
  <c r="AU93" i="4"/>
  <c r="AV93" i="4"/>
  <c r="AW93" i="4"/>
  <c r="AX93" i="4"/>
  <c r="AU94" i="4"/>
  <c r="AV94" i="4"/>
  <c r="AW94" i="4"/>
  <c r="AX94" i="4"/>
  <c r="AU95" i="4"/>
  <c r="AV95" i="4"/>
  <c r="AW95" i="4"/>
  <c r="AX95" i="4"/>
  <c r="AU96" i="4"/>
  <c r="AV96" i="4"/>
  <c r="AW96" i="4"/>
  <c r="AX96" i="4"/>
  <c r="AU97" i="4"/>
  <c r="AV97" i="4"/>
  <c r="AW97" i="4"/>
  <c r="AX97" i="4"/>
  <c r="AU98" i="4"/>
  <c r="AV98" i="4"/>
  <c r="AW98" i="4"/>
  <c r="AX98" i="4"/>
  <c r="AU99" i="4"/>
  <c r="AV99" i="4"/>
  <c r="AW99" i="4"/>
  <c r="AX99" i="4"/>
  <c r="AU100" i="4"/>
  <c r="AV100" i="4"/>
  <c r="AW100" i="4"/>
  <c r="AX100" i="4"/>
  <c r="AU101" i="4"/>
  <c r="AV101" i="4"/>
  <c r="AW101" i="4"/>
  <c r="AX101" i="4"/>
  <c r="AU102" i="4"/>
  <c r="AV102" i="4"/>
  <c r="AW102" i="4"/>
  <c r="AX102" i="4"/>
  <c r="AU103" i="4"/>
  <c r="AV103" i="4"/>
  <c r="AW103" i="4"/>
  <c r="AX103" i="4"/>
  <c r="AU104" i="4"/>
  <c r="AV104" i="4"/>
  <c r="AW104" i="4"/>
  <c r="AX104" i="4"/>
  <c r="AU105" i="4"/>
  <c r="AV105" i="4"/>
  <c r="AW105" i="4"/>
  <c r="AX105" i="4"/>
  <c r="AU106" i="4"/>
  <c r="AV106" i="4"/>
  <c r="AW106" i="4"/>
  <c r="AX106" i="4"/>
  <c r="AU107" i="4"/>
  <c r="AV107" i="4"/>
  <c r="AW107" i="4"/>
  <c r="AX107" i="4"/>
  <c r="AU108" i="4"/>
  <c r="AV108" i="4"/>
  <c r="AW108" i="4"/>
  <c r="AX108" i="4"/>
  <c r="AU113" i="4"/>
  <c r="AV113" i="4"/>
  <c r="AW113" i="4"/>
  <c r="AX113" i="4"/>
  <c r="AU114" i="4"/>
  <c r="AV114" i="4"/>
  <c r="AW114" i="4"/>
  <c r="AX114" i="4"/>
  <c r="AU115" i="4"/>
  <c r="AV115" i="4"/>
  <c r="AW115" i="4"/>
  <c r="AX115" i="4"/>
  <c r="AU116" i="4"/>
  <c r="AV116" i="4"/>
  <c r="AW116" i="4"/>
  <c r="AX116" i="4"/>
  <c r="AU117" i="4"/>
  <c r="AV117" i="4"/>
  <c r="AW117" i="4"/>
  <c r="AX117" i="4"/>
  <c r="AU118" i="4"/>
  <c r="AV118" i="4"/>
  <c r="AW118" i="4"/>
  <c r="AX118" i="4"/>
  <c r="AU119" i="4"/>
  <c r="AV119" i="4"/>
  <c r="AW119" i="4"/>
  <c r="AX119" i="4"/>
  <c r="AU120" i="4"/>
  <c r="AV120" i="4"/>
  <c r="AW120" i="4"/>
  <c r="AX120" i="4"/>
  <c r="AU121" i="4"/>
  <c r="AV121" i="4"/>
  <c r="AW121" i="4"/>
  <c r="AX121" i="4"/>
  <c r="AU122" i="4"/>
  <c r="AV122" i="4"/>
  <c r="AW122" i="4"/>
  <c r="AX122" i="4"/>
  <c r="AU123" i="4"/>
  <c r="AV123" i="4"/>
  <c r="AW123" i="4"/>
  <c r="AX123" i="4"/>
  <c r="AU124" i="4"/>
  <c r="AV124" i="4"/>
  <c r="AW124" i="4"/>
  <c r="AX124" i="4"/>
  <c r="AU125" i="4"/>
  <c r="AV125" i="4"/>
  <c r="AW125" i="4"/>
  <c r="AX125" i="4"/>
  <c r="AU126" i="4"/>
  <c r="AV126" i="4"/>
  <c r="AW126" i="4"/>
  <c r="AX126" i="4"/>
  <c r="AU127" i="4"/>
  <c r="AV127" i="4"/>
  <c r="AW127" i="4"/>
  <c r="AX127" i="4"/>
  <c r="AU128" i="4"/>
  <c r="AV128" i="4"/>
  <c r="AW128" i="4"/>
  <c r="AX128" i="4"/>
  <c r="AU129" i="4"/>
  <c r="AV129" i="4"/>
  <c r="AW129" i="4"/>
  <c r="AX129" i="4"/>
  <c r="AU130" i="4"/>
  <c r="AV130" i="4"/>
  <c r="AW130" i="4"/>
  <c r="AX130" i="4"/>
  <c r="AU131" i="4"/>
  <c r="AV131" i="4"/>
  <c r="AW131" i="4"/>
  <c r="AX131" i="4"/>
  <c r="AU132" i="4"/>
  <c r="AV132" i="4"/>
  <c r="AW132" i="4"/>
  <c r="AX132" i="4"/>
  <c r="AU133" i="4"/>
  <c r="AV133" i="4"/>
  <c r="AW133" i="4"/>
  <c r="AX133" i="4"/>
  <c r="AU134" i="4"/>
  <c r="AV134" i="4"/>
  <c r="AW134" i="4"/>
  <c r="AX134" i="4"/>
  <c r="AU135" i="4"/>
  <c r="AV135" i="4"/>
  <c r="AW135" i="4"/>
  <c r="AX135" i="4"/>
  <c r="AU136" i="4"/>
  <c r="AV136" i="4"/>
  <c r="AW136" i="4"/>
  <c r="AX136" i="4"/>
  <c r="AU137" i="4"/>
  <c r="AV137" i="4"/>
  <c r="AW137" i="4"/>
  <c r="AX137" i="4"/>
  <c r="AU138" i="4"/>
  <c r="AV138" i="4"/>
  <c r="AW138" i="4"/>
  <c r="AX138" i="4"/>
  <c r="AU139" i="4"/>
  <c r="AV139" i="4"/>
  <c r="AW139" i="4"/>
  <c r="AX139" i="4"/>
  <c r="AU140" i="4"/>
  <c r="AV140" i="4"/>
  <c r="AW140" i="4"/>
  <c r="AX140" i="4"/>
  <c r="AU141" i="4"/>
  <c r="AV141" i="4"/>
  <c r="AW141" i="4"/>
  <c r="AX141" i="4"/>
  <c r="AU142" i="4"/>
  <c r="AV142" i="4"/>
  <c r="AW142" i="4"/>
  <c r="AX142" i="4"/>
  <c r="AU143" i="4"/>
  <c r="AV143" i="4"/>
  <c r="AW143" i="4"/>
  <c r="AX143" i="4"/>
  <c r="AU144" i="4"/>
  <c r="AV144" i="4"/>
  <c r="AW144" i="4"/>
  <c r="AX144" i="4"/>
  <c r="AU149" i="4"/>
  <c r="AV149" i="4"/>
  <c r="AW149" i="4"/>
  <c r="AX149" i="4"/>
  <c r="AU150" i="4"/>
  <c r="AV150" i="4"/>
  <c r="AW150" i="4"/>
  <c r="AX150" i="4"/>
  <c r="AU151" i="4"/>
  <c r="AV151" i="4"/>
  <c r="AW151" i="4"/>
  <c r="AX151" i="4"/>
  <c r="AU152" i="4"/>
  <c r="AV152" i="4"/>
  <c r="AW152" i="4"/>
  <c r="AX152" i="4"/>
  <c r="AU153" i="4"/>
  <c r="AV153" i="4"/>
  <c r="AW153" i="4"/>
  <c r="AX153" i="4"/>
  <c r="AU154" i="4"/>
  <c r="AV154" i="4"/>
  <c r="AW154" i="4"/>
  <c r="AX154" i="4"/>
  <c r="AU155" i="4"/>
  <c r="AV155" i="4"/>
  <c r="AW155" i="4"/>
  <c r="AX155" i="4"/>
  <c r="AU156" i="4"/>
  <c r="AV156" i="4"/>
  <c r="AW156" i="4"/>
  <c r="AX156" i="4"/>
  <c r="AU157" i="4"/>
  <c r="AV157" i="4"/>
  <c r="AW157" i="4"/>
  <c r="AX157" i="4"/>
  <c r="AU158" i="4"/>
  <c r="AV158" i="4"/>
  <c r="AW158" i="4"/>
  <c r="AX158" i="4"/>
  <c r="AU159" i="4"/>
  <c r="AV159" i="4"/>
  <c r="AW159" i="4"/>
  <c r="AX159" i="4"/>
  <c r="AU160" i="4"/>
  <c r="AV160" i="4"/>
  <c r="AW160" i="4"/>
  <c r="AX160" i="4"/>
  <c r="AU161" i="4"/>
  <c r="AV161" i="4"/>
  <c r="AW161" i="4"/>
  <c r="AX161" i="4"/>
  <c r="AU162" i="4"/>
  <c r="AV162" i="4"/>
  <c r="AW162" i="4"/>
  <c r="AX162" i="4"/>
  <c r="AU163" i="4"/>
  <c r="AV163" i="4"/>
  <c r="AW163" i="4"/>
  <c r="AX163" i="4"/>
  <c r="AU164" i="4"/>
  <c r="AV164" i="4"/>
  <c r="AW164" i="4"/>
  <c r="AX164" i="4"/>
  <c r="AU165" i="4"/>
  <c r="AV165" i="4"/>
  <c r="AW165" i="4"/>
  <c r="AX165" i="4"/>
  <c r="AU166" i="4"/>
  <c r="AV166" i="4"/>
  <c r="AW166" i="4"/>
  <c r="AX166" i="4"/>
  <c r="AU167" i="4"/>
  <c r="AV167" i="4"/>
  <c r="AW167" i="4"/>
  <c r="AX167" i="4"/>
  <c r="AU168" i="4"/>
  <c r="AV168" i="4"/>
  <c r="AW168" i="4"/>
  <c r="AX168" i="4"/>
  <c r="AU169" i="4"/>
  <c r="AV169" i="4"/>
  <c r="AW169" i="4"/>
  <c r="AX169" i="4"/>
  <c r="AU170" i="4"/>
  <c r="AV170" i="4"/>
  <c r="AW170" i="4"/>
  <c r="AX170" i="4"/>
  <c r="AU171" i="4"/>
  <c r="AV171" i="4"/>
  <c r="AW171" i="4"/>
  <c r="AX171" i="4"/>
  <c r="AU172" i="4"/>
  <c r="AV172" i="4"/>
  <c r="AW172" i="4"/>
  <c r="AX172" i="4"/>
  <c r="AU173" i="4"/>
  <c r="AV173" i="4"/>
  <c r="AW173" i="4"/>
  <c r="AX173" i="4"/>
  <c r="AU174" i="4"/>
  <c r="AV174" i="4"/>
  <c r="AW174" i="4"/>
  <c r="AX174" i="4"/>
  <c r="AU175" i="4"/>
  <c r="AV175" i="4"/>
  <c r="AW175" i="4"/>
  <c r="AX175" i="4"/>
  <c r="AU176" i="4"/>
  <c r="AV176" i="4"/>
  <c r="AW176" i="4"/>
  <c r="AX176" i="4"/>
  <c r="AU177" i="4"/>
  <c r="AV177" i="4"/>
  <c r="AW177" i="4"/>
  <c r="AX177" i="4"/>
  <c r="AU178" i="4"/>
  <c r="AV178" i="4"/>
  <c r="AW178" i="4"/>
  <c r="AX178" i="4"/>
  <c r="AU179" i="4"/>
  <c r="AV179" i="4"/>
  <c r="AW179" i="4"/>
  <c r="AX179" i="4"/>
  <c r="AU180" i="4"/>
  <c r="AV180" i="4"/>
  <c r="AW180" i="4"/>
  <c r="AX180" i="4"/>
  <c r="AU185" i="4"/>
  <c r="AV185" i="4"/>
  <c r="AW185" i="4"/>
  <c r="AX185" i="4"/>
  <c r="AU186" i="4"/>
  <c r="AV186" i="4"/>
  <c r="AW186" i="4"/>
  <c r="AX186" i="4"/>
  <c r="AU187" i="4"/>
  <c r="AV187" i="4"/>
  <c r="AW187" i="4"/>
  <c r="AX187" i="4"/>
  <c r="AU188" i="4"/>
  <c r="AV188" i="4"/>
  <c r="AW188" i="4"/>
  <c r="AX188" i="4"/>
  <c r="AU189" i="4"/>
  <c r="AV189" i="4"/>
  <c r="AW189" i="4"/>
  <c r="AX189" i="4"/>
  <c r="AU190" i="4"/>
  <c r="AV190" i="4"/>
  <c r="AW190" i="4"/>
  <c r="AX190" i="4"/>
  <c r="AU191" i="4"/>
  <c r="AV191" i="4"/>
  <c r="AW191" i="4"/>
  <c r="AX191" i="4"/>
  <c r="AU192" i="4"/>
  <c r="AV192" i="4"/>
  <c r="AW192" i="4"/>
  <c r="AX192" i="4"/>
  <c r="AU193" i="4"/>
  <c r="AV193" i="4"/>
  <c r="AW193" i="4"/>
  <c r="AX193" i="4"/>
  <c r="AU194" i="4"/>
  <c r="AV194" i="4"/>
  <c r="AW194" i="4"/>
  <c r="AX194" i="4"/>
  <c r="AU195" i="4"/>
  <c r="AV195" i="4"/>
  <c r="AW195" i="4"/>
  <c r="AX195" i="4"/>
  <c r="AU196" i="4"/>
  <c r="AV196" i="4"/>
  <c r="AW196" i="4"/>
  <c r="AX196" i="4"/>
  <c r="AU197" i="4"/>
  <c r="AV197" i="4"/>
  <c r="AW197" i="4"/>
  <c r="AX197" i="4"/>
  <c r="AU198" i="4"/>
  <c r="AV198" i="4"/>
  <c r="AW198" i="4"/>
  <c r="AX198" i="4"/>
  <c r="AU199" i="4"/>
  <c r="AV199" i="4"/>
  <c r="AW199" i="4"/>
  <c r="AX199" i="4"/>
  <c r="AU200" i="4"/>
  <c r="AV200" i="4"/>
  <c r="AW200" i="4"/>
  <c r="AX200" i="4"/>
  <c r="AU201" i="4"/>
  <c r="AV201" i="4"/>
  <c r="AW201" i="4"/>
  <c r="AX201" i="4"/>
  <c r="AU202" i="4"/>
  <c r="AV202" i="4"/>
  <c r="AW202" i="4"/>
  <c r="AX202" i="4"/>
  <c r="AU203" i="4"/>
  <c r="AV203" i="4"/>
  <c r="AW203" i="4"/>
  <c r="AX203" i="4"/>
  <c r="AU204" i="4"/>
  <c r="AV204" i="4"/>
  <c r="AW204" i="4"/>
  <c r="AX204" i="4"/>
  <c r="AU205" i="4"/>
  <c r="AV205" i="4"/>
  <c r="AW205" i="4"/>
  <c r="AX205" i="4"/>
  <c r="AU206" i="4"/>
  <c r="AV206" i="4"/>
  <c r="AW206" i="4"/>
  <c r="AX206" i="4"/>
  <c r="AU207" i="4"/>
  <c r="AV207" i="4"/>
  <c r="AW207" i="4"/>
  <c r="AX207" i="4"/>
  <c r="AU208" i="4"/>
  <c r="AV208" i="4"/>
  <c r="AW208" i="4"/>
  <c r="AX208" i="4"/>
  <c r="AU209" i="4"/>
  <c r="AV209" i="4"/>
  <c r="AW209" i="4"/>
  <c r="AX209" i="4"/>
  <c r="AU210" i="4"/>
  <c r="AV210" i="4"/>
  <c r="AW210" i="4"/>
  <c r="AX210" i="4"/>
  <c r="AU211" i="4"/>
  <c r="AV211" i="4"/>
  <c r="AW211" i="4"/>
  <c r="AX211" i="4"/>
  <c r="AU212" i="4"/>
  <c r="AV212" i="4"/>
  <c r="AW212" i="4"/>
  <c r="AX212" i="4"/>
  <c r="AU213" i="4"/>
  <c r="AV213" i="4"/>
  <c r="AW213" i="4"/>
  <c r="AX213" i="4"/>
  <c r="AU214" i="4"/>
  <c r="AV214" i="4"/>
  <c r="AW214" i="4"/>
  <c r="AX214" i="4"/>
  <c r="AU215" i="4"/>
  <c r="AV215" i="4"/>
  <c r="AW215" i="4"/>
  <c r="AX215" i="4"/>
  <c r="AU216" i="4"/>
  <c r="AV216" i="4"/>
  <c r="AW216" i="4"/>
  <c r="AX216" i="4"/>
  <c r="AU221" i="4"/>
  <c r="AV221" i="4"/>
  <c r="AW221" i="4"/>
  <c r="AX221" i="4"/>
  <c r="AU222" i="4"/>
  <c r="AV222" i="4"/>
  <c r="AW222" i="4"/>
  <c r="AX222" i="4"/>
  <c r="AU223" i="4"/>
  <c r="AV223" i="4"/>
  <c r="AW223" i="4"/>
  <c r="AX223" i="4"/>
  <c r="AU224" i="4"/>
  <c r="AV224" i="4"/>
  <c r="AW224" i="4"/>
  <c r="AX224" i="4"/>
  <c r="AU225" i="4"/>
  <c r="AV225" i="4"/>
  <c r="AW225" i="4"/>
  <c r="AX225" i="4"/>
  <c r="AU226" i="4"/>
  <c r="AV226" i="4"/>
  <c r="AW226" i="4"/>
  <c r="AX226" i="4"/>
  <c r="AU227" i="4"/>
  <c r="AV227" i="4"/>
  <c r="AW227" i="4"/>
  <c r="AX227" i="4"/>
  <c r="AU228" i="4"/>
  <c r="AV228" i="4"/>
  <c r="AW228" i="4"/>
  <c r="AX228" i="4"/>
  <c r="AU229" i="4"/>
  <c r="AV229" i="4"/>
  <c r="AW229" i="4"/>
  <c r="AX229" i="4"/>
  <c r="AU230" i="4"/>
  <c r="AV230" i="4"/>
  <c r="AW230" i="4"/>
  <c r="AX230" i="4"/>
  <c r="AU231" i="4"/>
  <c r="AV231" i="4"/>
  <c r="AW231" i="4"/>
  <c r="AX231" i="4"/>
  <c r="AU232" i="4"/>
  <c r="AV232" i="4"/>
  <c r="AW232" i="4"/>
  <c r="AX232" i="4"/>
  <c r="AU233" i="4"/>
  <c r="AV233" i="4"/>
  <c r="AW233" i="4"/>
  <c r="AX233" i="4"/>
  <c r="AU234" i="4"/>
  <c r="AV234" i="4"/>
  <c r="AW234" i="4"/>
  <c r="AX234" i="4"/>
  <c r="AU235" i="4"/>
  <c r="AV235" i="4"/>
  <c r="AW235" i="4"/>
  <c r="AX235" i="4"/>
  <c r="AU236" i="4"/>
  <c r="AV236" i="4"/>
  <c r="AW236" i="4"/>
  <c r="AX236" i="4"/>
  <c r="AU237" i="4"/>
  <c r="AV237" i="4"/>
  <c r="AW237" i="4"/>
  <c r="AX237" i="4"/>
  <c r="AU238" i="4"/>
  <c r="AV238" i="4"/>
  <c r="AW238" i="4"/>
  <c r="AX238" i="4"/>
  <c r="AU239" i="4"/>
  <c r="AV239" i="4"/>
  <c r="AW239" i="4"/>
  <c r="AX239" i="4"/>
  <c r="AU240" i="4"/>
  <c r="AV240" i="4"/>
  <c r="AW240" i="4"/>
  <c r="AX240" i="4"/>
  <c r="AU241" i="4"/>
  <c r="AV241" i="4"/>
  <c r="AW241" i="4"/>
  <c r="AX241" i="4"/>
  <c r="AU242" i="4"/>
  <c r="AV242" i="4"/>
  <c r="AW242" i="4"/>
  <c r="AX242" i="4"/>
  <c r="AU243" i="4"/>
  <c r="AV243" i="4"/>
  <c r="AW243" i="4"/>
  <c r="AX243" i="4"/>
  <c r="AU244" i="4"/>
  <c r="AV244" i="4"/>
  <c r="AW244" i="4"/>
  <c r="AX244" i="4"/>
  <c r="AU245" i="4"/>
  <c r="AV245" i="4"/>
  <c r="AW245" i="4"/>
  <c r="AX245" i="4"/>
  <c r="AU246" i="4"/>
  <c r="AV246" i="4"/>
  <c r="AW246" i="4"/>
  <c r="AX246" i="4"/>
  <c r="AU247" i="4"/>
  <c r="AV247" i="4"/>
  <c r="AW247" i="4"/>
  <c r="AX247" i="4"/>
  <c r="AU248" i="4"/>
  <c r="AV248" i="4"/>
  <c r="AW248" i="4"/>
  <c r="AX248" i="4"/>
  <c r="AU249" i="4"/>
  <c r="AV249" i="4"/>
  <c r="AW249" i="4"/>
  <c r="AX249" i="4"/>
  <c r="AU250" i="4"/>
  <c r="AV250" i="4"/>
  <c r="AW250" i="4"/>
  <c r="AX250" i="4"/>
  <c r="AU251" i="4"/>
  <c r="AV251" i="4"/>
  <c r="AW251" i="4"/>
  <c r="AX251" i="4"/>
  <c r="AU252" i="4"/>
  <c r="AV252" i="4"/>
  <c r="AW252" i="4"/>
  <c r="AX252" i="4"/>
  <c r="AU257" i="4"/>
  <c r="AV257" i="4"/>
  <c r="AW257" i="4"/>
  <c r="AX257" i="4"/>
  <c r="AU258" i="4"/>
  <c r="AV258" i="4"/>
  <c r="AW258" i="4"/>
  <c r="AX258" i="4"/>
  <c r="AU259" i="4"/>
  <c r="AV259" i="4"/>
  <c r="AW259" i="4"/>
  <c r="AX259" i="4"/>
  <c r="AU260" i="4"/>
  <c r="AV260" i="4"/>
  <c r="AW260" i="4"/>
  <c r="AX260" i="4"/>
  <c r="AU261" i="4"/>
  <c r="AV261" i="4"/>
  <c r="AW261" i="4"/>
  <c r="AX261" i="4"/>
  <c r="AU262" i="4"/>
  <c r="AV262" i="4"/>
  <c r="AW262" i="4"/>
  <c r="AX262" i="4"/>
  <c r="AU263" i="4"/>
  <c r="AV263" i="4"/>
  <c r="AW263" i="4"/>
  <c r="AX263" i="4"/>
  <c r="AU264" i="4"/>
  <c r="AV264" i="4"/>
  <c r="AW264" i="4"/>
  <c r="AX264" i="4"/>
  <c r="AU265" i="4"/>
  <c r="AV265" i="4"/>
  <c r="AW265" i="4"/>
  <c r="AX265" i="4"/>
  <c r="AU266" i="4"/>
  <c r="AV266" i="4"/>
  <c r="AW266" i="4"/>
  <c r="AX266" i="4"/>
  <c r="AU267" i="4"/>
  <c r="AV267" i="4"/>
  <c r="AW267" i="4"/>
  <c r="AX267" i="4"/>
  <c r="AU268" i="4"/>
  <c r="AV268" i="4"/>
  <c r="AW268" i="4"/>
  <c r="AX268" i="4"/>
  <c r="AU269" i="4"/>
  <c r="AV269" i="4"/>
  <c r="AW269" i="4"/>
  <c r="AX269" i="4"/>
  <c r="AU270" i="4"/>
  <c r="AV270" i="4"/>
  <c r="AW270" i="4"/>
  <c r="AX270" i="4"/>
  <c r="AU271" i="4"/>
  <c r="AV271" i="4"/>
  <c r="AW271" i="4"/>
  <c r="AX271" i="4"/>
  <c r="AU272" i="4"/>
  <c r="AV272" i="4"/>
  <c r="AW272" i="4"/>
  <c r="AX272" i="4"/>
  <c r="AU273" i="4"/>
  <c r="AV273" i="4"/>
  <c r="AW273" i="4"/>
  <c r="AX273" i="4"/>
  <c r="AU274" i="4"/>
  <c r="AV274" i="4"/>
  <c r="AW274" i="4"/>
  <c r="AX274" i="4"/>
  <c r="AU275" i="4"/>
  <c r="AV275" i="4"/>
  <c r="AW275" i="4"/>
  <c r="AX275" i="4"/>
  <c r="AU276" i="4"/>
  <c r="AV276" i="4"/>
  <c r="AW276" i="4"/>
  <c r="AX276" i="4"/>
  <c r="AU277" i="4"/>
  <c r="AV277" i="4"/>
  <c r="AW277" i="4"/>
  <c r="AX277" i="4"/>
  <c r="AU278" i="4"/>
  <c r="AV278" i="4"/>
  <c r="AW278" i="4"/>
  <c r="AX278" i="4"/>
  <c r="AU279" i="4"/>
  <c r="AV279" i="4"/>
  <c r="AW279" i="4"/>
  <c r="AX279" i="4"/>
  <c r="AU280" i="4"/>
  <c r="AV280" i="4"/>
  <c r="AW280" i="4"/>
  <c r="AX280" i="4"/>
  <c r="AU281" i="4"/>
  <c r="AV281" i="4"/>
  <c r="AW281" i="4"/>
  <c r="AX281" i="4"/>
  <c r="AU282" i="4"/>
  <c r="AV282" i="4"/>
  <c r="AW282" i="4"/>
  <c r="AX282" i="4"/>
  <c r="AU283" i="4"/>
  <c r="AV283" i="4"/>
  <c r="AW283" i="4"/>
  <c r="AX283" i="4"/>
  <c r="AU284" i="4"/>
  <c r="AV284" i="4"/>
  <c r="AW284" i="4"/>
  <c r="AX284" i="4"/>
  <c r="AU285" i="4"/>
  <c r="AV285" i="4"/>
  <c r="AW285" i="4"/>
  <c r="AX285" i="4"/>
  <c r="AU286" i="4"/>
  <c r="AV286" i="4"/>
  <c r="AW286" i="4"/>
  <c r="AX286" i="4"/>
  <c r="AU287" i="4"/>
  <c r="AV287" i="4"/>
  <c r="AW287" i="4"/>
  <c r="AX287" i="4"/>
  <c r="AU288" i="4"/>
  <c r="AV288" i="4"/>
  <c r="AW288" i="4"/>
  <c r="AX288" i="4"/>
  <c r="AU293" i="4"/>
  <c r="AV293" i="4"/>
  <c r="AW293" i="4"/>
  <c r="AX293" i="4"/>
  <c r="AU294" i="4"/>
  <c r="AV294" i="4"/>
  <c r="AW294" i="4"/>
  <c r="AX294" i="4"/>
  <c r="AU295" i="4"/>
  <c r="AV295" i="4"/>
  <c r="AW295" i="4"/>
  <c r="AX295" i="4"/>
  <c r="AU296" i="4"/>
  <c r="AV296" i="4"/>
  <c r="AW296" i="4"/>
  <c r="AX296" i="4"/>
  <c r="AU297" i="4"/>
  <c r="AV297" i="4"/>
  <c r="AW297" i="4"/>
  <c r="AX297" i="4"/>
  <c r="AU298" i="4"/>
  <c r="AV298" i="4"/>
  <c r="AW298" i="4"/>
  <c r="AX298" i="4"/>
  <c r="AU299" i="4"/>
  <c r="AV299" i="4"/>
  <c r="AW299" i="4"/>
  <c r="AX299" i="4"/>
  <c r="AU300" i="4"/>
  <c r="AV300" i="4"/>
  <c r="AW300" i="4"/>
  <c r="AX300" i="4"/>
  <c r="AU301" i="4"/>
  <c r="AV301" i="4"/>
  <c r="AW301" i="4"/>
  <c r="AX301" i="4"/>
  <c r="AU302" i="4"/>
  <c r="AV302" i="4"/>
  <c r="AW302" i="4"/>
  <c r="AX302" i="4"/>
  <c r="AU303" i="4"/>
  <c r="AV303" i="4"/>
  <c r="AW303" i="4"/>
  <c r="AX303" i="4"/>
  <c r="AU304" i="4"/>
  <c r="AV304" i="4"/>
  <c r="AW304" i="4"/>
  <c r="AX304" i="4"/>
  <c r="AU305" i="4"/>
  <c r="AV305" i="4"/>
  <c r="AW305" i="4"/>
  <c r="AX305" i="4"/>
  <c r="AU306" i="4"/>
  <c r="AV306" i="4"/>
  <c r="AW306" i="4"/>
  <c r="AX306" i="4"/>
  <c r="AU307" i="4"/>
  <c r="AV307" i="4"/>
  <c r="AW307" i="4"/>
  <c r="AX307" i="4"/>
  <c r="AU308" i="4"/>
  <c r="AV308" i="4"/>
  <c r="AW308" i="4"/>
  <c r="AX308" i="4"/>
  <c r="AU309" i="4"/>
  <c r="AV309" i="4"/>
  <c r="AW309" i="4"/>
  <c r="AX309" i="4"/>
  <c r="AU310" i="4"/>
  <c r="AV310" i="4"/>
  <c r="AW310" i="4"/>
  <c r="AX310" i="4"/>
  <c r="AU311" i="4"/>
  <c r="AV311" i="4"/>
  <c r="AW311" i="4"/>
  <c r="AX311" i="4"/>
  <c r="AU312" i="4"/>
  <c r="AV312" i="4"/>
  <c r="AW312" i="4"/>
  <c r="AX312" i="4"/>
  <c r="AU313" i="4"/>
  <c r="AV313" i="4"/>
  <c r="AW313" i="4"/>
  <c r="AX313" i="4"/>
  <c r="AU314" i="4"/>
  <c r="AV314" i="4"/>
  <c r="AW314" i="4"/>
  <c r="AX314" i="4"/>
  <c r="AU315" i="4"/>
  <c r="AV315" i="4"/>
  <c r="AW315" i="4"/>
  <c r="AX315" i="4"/>
  <c r="AU316" i="4"/>
  <c r="AV316" i="4"/>
  <c r="AW316" i="4"/>
  <c r="AX316" i="4"/>
  <c r="AU317" i="4"/>
  <c r="AV317" i="4"/>
  <c r="AW317" i="4"/>
  <c r="AX317" i="4"/>
  <c r="AU318" i="4"/>
  <c r="AV318" i="4"/>
  <c r="AW318" i="4"/>
  <c r="AX318" i="4"/>
  <c r="AU319" i="4"/>
  <c r="AV319" i="4"/>
  <c r="AW319" i="4"/>
  <c r="AX319" i="4"/>
  <c r="AU320" i="4"/>
  <c r="AV320" i="4"/>
  <c r="AW320" i="4"/>
  <c r="AX320" i="4"/>
  <c r="AU321" i="4"/>
  <c r="AV321" i="4"/>
  <c r="AW321" i="4"/>
  <c r="AX321" i="4"/>
  <c r="AU322" i="4"/>
  <c r="AV322" i="4"/>
  <c r="AW322" i="4"/>
  <c r="AX322" i="4"/>
  <c r="AU323" i="4"/>
  <c r="AV323" i="4"/>
  <c r="AW323" i="4"/>
  <c r="AX323" i="4"/>
  <c r="AU324" i="4"/>
  <c r="AV324" i="4"/>
  <c r="AW324" i="4"/>
  <c r="AX324" i="4"/>
  <c r="AU329" i="4"/>
  <c r="AV329" i="4"/>
  <c r="AW329" i="4"/>
  <c r="AX329" i="4"/>
  <c r="AU330" i="4"/>
  <c r="AV330" i="4"/>
  <c r="AW330" i="4"/>
  <c r="AX330" i="4"/>
  <c r="AU331" i="4"/>
  <c r="AV331" i="4"/>
  <c r="AW331" i="4"/>
  <c r="AX331" i="4"/>
  <c r="AU332" i="4"/>
  <c r="AV332" i="4"/>
  <c r="AW332" i="4"/>
  <c r="AX332" i="4"/>
  <c r="AU333" i="4"/>
  <c r="AV333" i="4"/>
  <c r="AW333" i="4"/>
  <c r="AX333" i="4"/>
  <c r="AU334" i="4"/>
  <c r="AV334" i="4"/>
  <c r="AW334" i="4"/>
  <c r="AX334" i="4"/>
  <c r="AU335" i="4"/>
  <c r="AV335" i="4"/>
  <c r="AW335" i="4"/>
  <c r="AX335" i="4"/>
  <c r="AU336" i="4"/>
  <c r="AV336" i="4"/>
  <c r="AW336" i="4"/>
  <c r="AX336" i="4"/>
  <c r="AU337" i="4"/>
  <c r="AV337" i="4"/>
  <c r="AW337" i="4"/>
  <c r="AX337" i="4"/>
  <c r="AU338" i="4"/>
  <c r="AV338" i="4"/>
  <c r="AW338" i="4"/>
  <c r="AX338" i="4"/>
  <c r="AU339" i="4"/>
  <c r="AV339" i="4"/>
  <c r="AW339" i="4"/>
  <c r="AX339" i="4"/>
  <c r="AU340" i="4"/>
  <c r="AV340" i="4"/>
  <c r="AW340" i="4"/>
  <c r="AX340" i="4"/>
  <c r="AU341" i="4"/>
  <c r="AV341" i="4"/>
  <c r="AW341" i="4"/>
  <c r="AX341" i="4"/>
  <c r="AU342" i="4"/>
  <c r="AV342" i="4"/>
  <c r="AW342" i="4"/>
  <c r="AX342" i="4"/>
  <c r="AU343" i="4"/>
  <c r="AV343" i="4"/>
  <c r="AW343" i="4"/>
  <c r="AX343" i="4"/>
  <c r="AU344" i="4"/>
  <c r="AV344" i="4"/>
  <c r="AW344" i="4"/>
  <c r="AX344" i="4"/>
  <c r="AU345" i="4"/>
  <c r="AV345" i="4"/>
  <c r="AW345" i="4"/>
  <c r="AX345" i="4"/>
  <c r="AU346" i="4"/>
  <c r="AV346" i="4"/>
  <c r="AW346" i="4"/>
  <c r="AX346" i="4"/>
  <c r="AU347" i="4"/>
  <c r="AV347" i="4"/>
  <c r="AW347" i="4"/>
  <c r="AX347" i="4"/>
  <c r="AU348" i="4"/>
  <c r="AV348" i="4"/>
  <c r="AW348" i="4"/>
  <c r="AX348" i="4"/>
  <c r="AU349" i="4"/>
  <c r="AV349" i="4"/>
  <c r="AW349" i="4"/>
  <c r="AX349" i="4"/>
  <c r="AU350" i="4"/>
  <c r="AV350" i="4"/>
  <c r="AW350" i="4"/>
  <c r="AX350" i="4"/>
  <c r="AU351" i="4"/>
  <c r="AV351" i="4"/>
  <c r="AW351" i="4"/>
  <c r="AX351" i="4"/>
  <c r="AU352" i="4"/>
  <c r="AV352" i="4"/>
  <c r="AW352" i="4"/>
  <c r="AX352" i="4"/>
  <c r="AU353" i="4"/>
  <c r="AV353" i="4"/>
  <c r="AW353" i="4"/>
  <c r="AX353" i="4"/>
  <c r="AU354" i="4"/>
  <c r="AV354" i="4"/>
  <c r="AW354" i="4"/>
  <c r="AX354" i="4"/>
  <c r="AU355" i="4"/>
  <c r="AV355" i="4"/>
  <c r="AW355" i="4"/>
  <c r="AX355" i="4"/>
  <c r="AU356" i="4"/>
  <c r="AV356" i="4"/>
  <c r="AW356" i="4"/>
  <c r="AX356" i="4"/>
  <c r="AU357" i="4"/>
  <c r="AV357" i="4"/>
  <c r="AW357" i="4"/>
  <c r="AX357" i="4"/>
  <c r="AU358" i="4"/>
  <c r="AV358" i="4"/>
  <c r="AW358" i="4"/>
  <c r="AX358" i="4"/>
  <c r="AU359" i="4"/>
  <c r="AV359" i="4"/>
  <c r="AW359" i="4"/>
  <c r="AX359" i="4"/>
  <c r="AU360" i="4"/>
  <c r="AV360" i="4"/>
  <c r="AW360" i="4"/>
  <c r="AX360" i="4"/>
  <c r="AU41" i="4"/>
  <c r="AV41" i="4"/>
  <c r="AW41" i="4"/>
  <c r="AX41" i="4"/>
  <c r="AU42" i="4"/>
  <c r="AV42" i="4"/>
  <c r="AW42" i="4"/>
  <c r="AX42" i="4"/>
  <c r="AU43" i="4"/>
  <c r="AV43" i="4"/>
  <c r="AW43" i="4"/>
  <c r="AX43" i="4"/>
  <c r="AU44" i="4"/>
  <c r="AV44" i="4"/>
  <c r="AW44" i="4"/>
  <c r="AX44" i="4"/>
  <c r="AU45" i="4"/>
  <c r="AV45" i="4"/>
  <c r="AW45" i="4"/>
  <c r="AX45" i="4"/>
  <c r="AU46" i="4"/>
  <c r="AV46" i="4"/>
  <c r="AW46" i="4"/>
  <c r="AX46" i="4"/>
  <c r="AU47" i="4"/>
  <c r="AV47" i="4"/>
  <c r="AW47" i="4"/>
  <c r="AX47" i="4"/>
  <c r="AU48" i="4"/>
  <c r="AV48" i="4"/>
  <c r="AW48" i="4"/>
  <c r="AX48" i="4"/>
  <c r="AU49" i="4"/>
  <c r="AV49" i="4"/>
  <c r="AW49" i="4"/>
  <c r="AX49" i="4"/>
  <c r="AU50" i="4"/>
  <c r="AV50" i="4"/>
  <c r="AW50" i="4"/>
  <c r="AX50" i="4"/>
  <c r="AU51" i="4"/>
  <c r="AV51" i="4"/>
  <c r="AW51" i="4"/>
  <c r="AX51" i="4"/>
  <c r="AU52" i="4"/>
  <c r="AV52" i="4"/>
  <c r="AW52" i="4"/>
  <c r="AX52" i="4"/>
  <c r="AU53" i="4"/>
  <c r="AV53" i="4"/>
  <c r="AW53" i="4"/>
  <c r="AX53" i="4"/>
  <c r="AU54" i="4"/>
  <c r="AV54" i="4"/>
  <c r="AW54" i="4"/>
  <c r="AX54" i="4"/>
  <c r="AU55" i="4"/>
  <c r="AV55" i="4"/>
  <c r="AW55" i="4"/>
  <c r="AX55" i="4"/>
  <c r="AU56" i="4"/>
  <c r="AV56" i="4"/>
  <c r="AW56" i="4"/>
  <c r="AX56" i="4"/>
  <c r="AU57" i="4"/>
  <c r="AV57" i="4"/>
  <c r="AW57" i="4"/>
  <c r="AX57" i="4"/>
  <c r="AU58" i="4"/>
  <c r="AV58" i="4"/>
  <c r="AW58" i="4"/>
  <c r="AX58" i="4"/>
  <c r="AU59" i="4"/>
  <c r="AV59" i="4"/>
  <c r="AW59" i="4"/>
  <c r="AX59" i="4"/>
  <c r="AU60" i="4"/>
  <c r="AV60" i="4"/>
  <c r="AW60" i="4"/>
  <c r="AX60" i="4"/>
  <c r="AU61" i="4"/>
  <c r="AV61" i="4"/>
  <c r="AW61" i="4"/>
  <c r="AX61" i="4"/>
  <c r="AU62" i="4"/>
  <c r="AV62" i="4"/>
  <c r="AW62" i="4"/>
  <c r="AX62" i="4"/>
  <c r="AU63" i="4"/>
  <c r="AV63" i="4"/>
  <c r="AW63" i="4"/>
  <c r="AX63" i="4"/>
  <c r="AU64" i="4"/>
  <c r="AV64" i="4"/>
  <c r="AW64" i="4"/>
  <c r="AX64" i="4"/>
  <c r="AU65" i="4"/>
  <c r="AV65" i="4"/>
  <c r="AW65" i="4"/>
  <c r="AX65" i="4"/>
  <c r="AU66" i="4"/>
  <c r="AV66" i="4"/>
  <c r="AW66" i="4"/>
  <c r="AX66" i="4"/>
  <c r="AU67" i="4"/>
  <c r="AV67" i="4"/>
  <c r="AW67" i="4"/>
  <c r="AX67" i="4"/>
  <c r="AU68" i="4"/>
  <c r="AV68" i="4"/>
  <c r="AW68" i="4"/>
  <c r="AX68" i="4"/>
  <c r="AU69" i="4"/>
  <c r="AV69" i="4"/>
  <c r="AW69" i="4"/>
  <c r="AX69" i="4"/>
  <c r="AU70" i="4"/>
  <c r="AV70" i="4"/>
  <c r="AW70" i="4"/>
  <c r="AX70" i="4"/>
  <c r="AU71" i="4"/>
  <c r="AV71" i="4"/>
  <c r="AW71" i="4"/>
  <c r="AX71" i="4"/>
  <c r="AU72" i="4"/>
  <c r="AV72" i="4"/>
  <c r="AW72" i="4"/>
  <c r="AX72" i="4"/>
  <c r="AU6" i="4"/>
  <c r="AV6" i="4"/>
  <c r="AW6" i="4"/>
  <c r="AX6" i="4"/>
  <c r="AU7" i="4"/>
  <c r="AV7" i="4"/>
  <c r="AW7" i="4"/>
  <c r="AX7" i="4"/>
  <c r="AU8" i="4"/>
  <c r="AV8" i="4"/>
  <c r="AW8" i="4"/>
  <c r="AX8" i="4"/>
  <c r="AU9" i="4"/>
  <c r="AV9" i="4"/>
  <c r="AW9" i="4"/>
  <c r="AX9" i="4"/>
  <c r="AU10" i="4"/>
  <c r="AV10" i="4"/>
  <c r="AW10" i="4"/>
  <c r="AX10" i="4"/>
  <c r="AU11" i="4"/>
  <c r="AV11" i="4"/>
  <c r="AW11" i="4"/>
  <c r="AX11" i="4"/>
  <c r="AU12" i="4"/>
  <c r="AV12" i="4"/>
  <c r="AW12" i="4"/>
  <c r="AX12" i="4"/>
  <c r="AU13" i="4"/>
  <c r="AV13" i="4"/>
  <c r="AW13" i="4"/>
  <c r="AX13" i="4"/>
  <c r="AU14" i="4"/>
  <c r="AV14" i="4"/>
  <c r="AW14" i="4"/>
  <c r="AX14" i="4"/>
  <c r="AU15" i="4"/>
  <c r="AV15" i="4"/>
  <c r="AW15" i="4"/>
  <c r="AX15" i="4"/>
  <c r="AU16" i="4"/>
  <c r="AV16" i="4"/>
  <c r="AW16" i="4"/>
  <c r="AX16" i="4"/>
  <c r="AU17" i="4"/>
  <c r="AV17" i="4"/>
  <c r="AW17" i="4"/>
  <c r="AX17" i="4"/>
  <c r="AU18" i="4"/>
  <c r="AV18" i="4"/>
  <c r="AW18" i="4"/>
  <c r="AX18" i="4"/>
  <c r="AU19" i="4"/>
  <c r="AV19" i="4"/>
  <c r="AW19" i="4"/>
  <c r="AX19" i="4"/>
  <c r="AU20" i="4"/>
  <c r="AV20" i="4"/>
  <c r="AW20" i="4"/>
  <c r="AX20" i="4"/>
  <c r="AU21" i="4"/>
  <c r="AV21" i="4"/>
  <c r="AW21" i="4"/>
  <c r="AX21" i="4"/>
  <c r="AU22" i="4"/>
  <c r="AV22" i="4"/>
  <c r="AW22" i="4"/>
  <c r="AX22" i="4"/>
  <c r="AU23" i="4"/>
  <c r="AV23" i="4"/>
  <c r="AW23" i="4"/>
  <c r="AX23" i="4"/>
  <c r="AU24" i="4"/>
  <c r="AV24" i="4"/>
  <c r="AW24" i="4"/>
  <c r="AX24" i="4"/>
  <c r="AU25" i="4"/>
  <c r="AV25" i="4"/>
  <c r="AW25" i="4"/>
  <c r="AX25" i="4"/>
  <c r="AU26" i="4"/>
  <c r="AV26" i="4"/>
  <c r="AW26" i="4"/>
  <c r="AX26" i="4"/>
  <c r="AU27" i="4"/>
  <c r="AV27" i="4"/>
  <c r="AW27" i="4"/>
  <c r="AX27" i="4"/>
  <c r="AU28" i="4"/>
  <c r="AV28" i="4"/>
  <c r="AW28" i="4"/>
  <c r="AX28" i="4"/>
  <c r="AU29" i="4"/>
  <c r="AV29" i="4"/>
  <c r="AW29" i="4"/>
  <c r="AX29" i="4"/>
  <c r="AU30" i="4"/>
  <c r="AV30" i="4"/>
  <c r="AW30" i="4"/>
  <c r="AX30" i="4"/>
  <c r="AU31" i="4"/>
  <c r="AV31" i="4"/>
  <c r="AW31" i="4"/>
  <c r="AX31" i="4"/>
  <c r="AU32" i="4"/>
  <c r="AV32" i="4"/>
  <c r="AW32" i="4"/>
  <c r="AX32" i="4"/>
  <c r="AU33" i="4"/>
  <c r="AV33" i="4"/>
  <c r="AW33" i="4"/>
  <c r="AX33" i="4"/>
  <c r="AU34" i="4"/>
  <c r="AV34" i="4"/>
  <c r="AW34" i="4"/>
  <c r="AX34" i="4"/>
  <c r="AU35" i="4"/>
  <c r="AV35" i="4"/>
  <c r="AW35" i="4"/>
  <c r="AX35" i="4"/>
  <c r="AU36" i="4"/>
  <c r="AV36" i="4"/>
  <c r="AW36" i="4"/>
  <c r="AX36" i="4"/>
  <c r="AX5" i="4"/>
  <c r="AW5" i="4"/>
  <c r="AV5" i="4"/>
  <c r="AU5" i="4"/>
  <c r="AR5" i="4"/>
  <c r="AS5" i="4"/>
  <c r="AT5" i="4"/>
  <c r="AT360" i="4"/>
  <c r="AS360" i="4"/>
  <c r="AR360" i="4"/>
  <c r="AQ360" i="4"/>
  <c r="AP360" i="4"/>
  <c r="AT359" i="4"/>
  <c r="AS359" i="4"/>
  <c r="AR359" i="4"/>
  <c r="AQ359" i="4"/>
  <c r="AP359" i="4"/>
  <c r="AT358" i="4"/>
  <c r="AS358" i="4"/>
  <c r="AR358" i="4"/>
  <c r="AQ358" i="4"/>
  <c r="AP358" i="4"/>
  <c r="AT357" i="4"/>
  <c r="AS357" i="4"/>
  <c r="AR357" i="4"/>
  <c r="AQ357" i="4"/>
  <c r="AP357" i="4"/>
  <c r="AT356" i="4"/>
  <c r="AS356" i="4"/>
  <c r="AR356" i="4"/>
  <c r="AQ356" i="4"/>
  <c r="AP356" i="4"/>
  <c r="AT355" i="4"/>
  <c r="AS355" i="4"/>
  <c r="AR355" i="4"/>
  <c r="AQ355" i="4"/>
  <c r="AP355" i="4"/>
  <c r="AT354" i="4"/>
  <c r="AS354" i="4"/>
  <c r="AR354" i="4"/>
  <c r="AQ354" i="4"/>
  <c r="AP354" i="4"/>
  <c r="AT353" i="4"/>
  <c r="AS353" i="4"/>
  <c r="AR353" i="4"/>
  <c r="AQ353" i="4"/>
  <c r="AP353" i="4"/>
  <c r="AT352" i="4"/>
  <c r="AS352" i="4"/>
  <c r="AR352" i="4"/>
  <c r="AQ352" i="4"/>
  <c r="AP352" i="4"/>
  <c r="AT351" i="4"/>
  <c r="AS351" i="4"/>
  <c r="AR351" i="4"/>
  <c r="AQ351" i="4"/>
  <c r="AP351" i="4"/>
  <c r="AT350" i="4"/>
  <c r="AS350" i="4"/>
  <c r="AR350" i="4"/>
  <c r="AQ350" i="4"/>
  <c r="AP350" i="4"/>
  <c r="AT349" i="4"/>
  <c r="AS349" i="4"/>
  <c r="AR349" i="4"/>
  <c r="AQ349" i="4"/>
  <c r="AP349" i="4"/>
  <c r="AT348" i="4"/>
  <c r="AS348" i="4"/>
  <c r="AR348" i="4"/>
  <c r="AQ348" i="4"/>
  <c r="AP348" i="4"/>
  <c r="AT347" i="4"/>
  <c r="AS347" i="4"/>
  <c r="AR347" i="4"/>
  <c r="AQ347" i="4"/>
  <c r="AP347" i="4"/>
  <c r="AT346" i="4"/>
  <c r="AS346" i="4"/>
  <c r="AR346" i="4"/>
  <c r="AQ346" i="4"/>
  <c r="AP346" i="4"/>
  <c r="AT345" i="4"/>
  <c r="AS345" i="4"/>
  <c r="AR345" i="4"/>
  <c r="AQ345" i="4"/>
  <c r="AP345" i="4"/>
  <c r="AT344" i="4"/>
  <c r="AS344" i="4"/>
  <c r="AR344" i="4"/>
  <c r="AQ344" i="4"/>
  <c r="AP344" i="4"/>
  <c r="AT343" i="4"/>
  <c r="AS343" i="4"/>
  <c r="AR343" i="4"/>
  <c r="AQ343" i="4"/>
  <c r="AP343" i="4"/>
  <c r="AT342" i="4"/>
  <c r="AS342" i="4"/>
  <c r="AR342" i="4"/>
  <c r="AQ342" i="4"/>
  <c r="AP342" i="4"/>
  <c r="AT341" i="4"/>
  <c r="AS341" i="4"/>
  <c r="AR341" i="4"/>
  <c r="AQ341" i="4"/>
  <c r="AP341" i="4"/>
  <c r="AT340" i="4"/>
  <c r="AS340" i="4"/>
  <c r="AR340" i="4"/>
  <c r="AQ340" i="4"/>
  <c r="AP340" i="4"/>
  <c r="AT339" i="4"/>
  <c r="AS339" i="4"/>
  <c r="AR339" i="4"/>
  <c r="AQ339" i="4"/>
  <c r="AP339" i="4"/>
  <c r="AT338" i="4"/>
  <c r="AS338" i="4"/>
  <c r="AR338" i="4"/>
  <c r="AQ338" i="4"/>
  <c r="AP338" i="4"/>
  <c r="AT337" i="4"/>
  <c r="AS337" i="4"/>
  <c r="AR337" i="4"/>
  <c r="AQ337" i="4"/>
  <c r="AP337" i="4"/>
  <c r="AT336" i="4"/>
  <c r="AS336" i="4"/>
  <c r="AR336" i="4"/>
  <c r="AQ336" i="4"/>
  <c r="AP336" i="4"/>
  <c r="AT335" i="4"/>
  <c r="AS335" i="4"/>
  <c r="AR335" i="4"/>
  <c r="AQ335" i="4"/>
  <c r="AP335" i="4"/>
  <c r="AT334" i="4"/>
  <c r="AS334" i="4"/>
  <c r="AR334" i="4"/>
  <c r="AQ334" i="4"/>
  <c r="AP334" i="4"/>
  <c r="AT333" i="4"/>
  <c r="AS333" i="4"/>
  <c r="AR333" i="4"/>
  <c r="AQ333" i="4"/>
  <c r="AP333" i="4"/>
  <c r="AT332" i="4"/>
  <c r="AS332" i="4"/>
  <c r="AR332" i="4"/>
  <c r="AQ332" i="4"/>
  <c r="AP332" i="4"/>
  <c r="AT331" i="4"/>
  <c r="AS331" i="4"/>
  <c r="AR331" i="4"/>
  <c r="AQ331" i="4"/>
  <c r="AP331" i="4"/>
  <c r="AT330" i="4"/>
  <c r="AS330" i="4"/>
  <c r="AR330" i="4"/>
  <c r="AQ330" i="4"/>
  <c r="AP330" i="4"/>
  <c r="AT329" i="4"/>
  <c r="AS329" i="4"/>
  <c r="AR329" i="4"/>
  <c r="AQ329" i="4"/>
  <c r="AP329" i="4"/>
  <c r="AT328" i="4"/>
  <c r="AS328" i="4"/>
  <c r="AR328" i="4"/>
  <c r="AQ328" i="4"/>
  <c r="AP327" i="4"/>
  <c r="AT324" i="4"/>
  <c r="AS324" i="4"/>
  <c r="AR324" i="4"/>
  <c r="AQ324" i="4"/>
  <c r="AP324" i="4"/>
  <c r="AT323" i="4"/>
  <c r="AS323" i="4"/>
  <c r="AR323" i="4"/>
  <c r="AQ323" i="4"/>
  <c r="AP323" i="4"/>
  <c r="AT322" i="4"/>
  <c r="AS322" i="4"/>
  <c r="AR322" i="4"/>
  <c r="AQ322" i="4"/>
  <c r="AP322" i="4"/>
  <c r="AT321" i="4"/>
  <c r="AS321" i="4"/>
  <c r="AR321" i="4"/>
  <c r="AQ321" i="4"/>
  <c r="AP321" i="4"/>
  <c r="AT320" i="4"/>
  <c r="AS320" i="4"/>
  <c r="AR320" i="4"/>
  <c r="AQ320" i="4"/>
  <c r="AP320" i="4"/>
  <c r="AT319" i="4"/>
  <c r="AS319" i="4"/>
  <c r="AR319" i="4"/>
  <c r="AQ319" i="4"/>
  <c r="AP319" i="4"/>
  <c r="AT318" i="4"/>
  <c r="AS318" i="4"/>
  <c r="AR318" i="4"/>
  <c r="AQ318" i="4"/>
  <c r="AP318" i="4"/>
  <c r="AT317" i="4"/>
  <c r="AS317" i="4"/>
  <c r="AR317" i="4"/>
  <c r="AQ317" i="4"/>
  <c r="AP317" i="4"/>
  <c r="AT316" i="4"/>
  <c r="AS316" i="4"/>
  <c r="AR316" i="4"/>
  <c r="AQ316" i="4"/>
  <c r="AP316" i="4"/>
  <c r="AT315" i="4"/>
  <c r="AS315" i="4"/>
  <c r="AR315" i="4"/>
  <c r="AQ315" i="4"/>
  <c r="AP315" i="4"/>
  <c r="AT314" i="4"/>
  <c r="AS314" i="4"/>
  <c r="AR314" i="4"/>
  <c r="AQ314" i="4"/>
  <c r="AP314" i="4"/>
  <c r="AT313" i="4"/>
  <c r="AS313" i="4"/>
  <c r="AR313" i="4"/>
  <c r="AQ313" i="4"/>
  <c r="AP313" i="4"/>
  <c r="AT312" i="4"/>
  <c r="AS312" i="4"/>
  <c r="AR312" i="4"/>
  <c r="AQ312" i="4"/>
  <c r="AP312" i="4"/>
  <c r="AT311" i="4"/>
  <c r="AS311" i="4"/>
  <c r="AR311" i="4"/>
  <c r="AQ311" i="4"/>
  <c r="AP311" i="4"/>
  <c r="AT310" i="4"/>
  <c r="AS310" i="4"/>
  <c r="AR310" i="4"/>
  <c r="AQ310" i="4"/>
  <c r="AP310" i="4"/>
  <c r="AT309" i="4"/>
  <c r="AS309" i="4"/>
  <c r="AR309" i="4"/>
  <c r="AQ309" i="4"/>
  <c r="AP309" i="4"/>
  <c r="AT308" i="4"/>
  <c r="AS308" i="4"/>
  <c r="AR308" i="4"/>
  <c r="AQ308" i="4"/>
  <c r="AP308" i="4"/>
  <c r="AT307" i="4"/>
  <c r="AS307" i="4"/>
  <c r="AR307" i="4"/>
  <c r="AQ307" i="4"/>
  <c r="AP307" i="4"/>
  <c r="AT306" i="4"/>
  <c r="AS306" i="4"/>
  <c r="AR306" i="4"/>
  <c r="AQ306" i="4"/>
  <c r="AP306" i="4"/>
  <c r="AT305" i="4"/>
  <c r="AS305" i="4"/>
  <c r="AR305" i="4"/>
  <c r="AQ305" i="4"/>
  <c r="AP305" i="4"/>
  <c r="AT304" i="4"/>
  <c r="AS304" i="4"/>
  <c r="AR304" i="4"/>
  <c r="AQ304" i="4"/>
  <c r="AP304" i="4"/>
  <c r="AT303" i="4"/>
  <c r="AS303" i="4"/>
  <c r="AR303" i="4"/>
  <c r="AQ303" i="4"/>
  <c r="AP303" i="4"/>
  <c r="AT302" i="4"/>
  <c r="AS302" i="4"/>
  <c r="AR302" i="4"/>
  <c r="AQ302" i="4"/>
  <c r="AP302" i="4"/>
  <c r="AT301" i="4"/>
  <c r="AS301" i="4"/>
  <c r="AR301" i="4"/>
  <c r="AQ301" i="4"/>
  <c r="AP301" i="4"/>
  <c r="AT300" i="4"/>
  <c r="AS300" i="4"/>
  <c r="AR300" i="4"/>
  <c r="AQ300" i="4"/>
  <c r="AP300" i="4"/>
  <c r="AT299" i="4"/>
  <c r="AS299" i="4"/>
  <c r="AR299" i="4"/>
  <c r="AQ299" i="4"/>
  <c r="AP299" i="4"/>
  <c r="AT298" i="4"/>
  <c r="AS298" i="4"/>
  <c r="AR298" i="4"/>
  <c r="AQ298" i="4"/>
  <c r="AP298" i="4"/>
  <c r="AT297" i="4"/>
  <c r="AS297" i="4"/>
  <c r="AR297" i="4"/>
  <c r="AQ297" i="4"/>
  <c r="AP297" i="4"/>
  <c r="AT296" i="4"/>
  <c r="AS296" i="4"/>
  <c r="AR296" i="4"/>
  <c r="AQ296" i="4"/>
  <c r="AP296" i="4"/>
  <c r="AT295" i="4"/>
  <c r="AS295" i="4"/>
  <c r="AR295" i="4"/>
  <c r="AQ295" i="4"/>
  <c r="AP295" i="4"/>
  <c r="AT294" i="4"/>
  <c r="AS294" i="4"/>
  <c r="AR294" i="4"/>
  <c r="AQ294" i="4"/>
  <c r="AP294" i="4"/>
  <c r="AT293" i="4"/>
  <c r="AS293" i="4"/>
  <c r="AR293" i="4"/>
  <c r="AQ293" i="4"/>
  <c r="AP293" i="4"/>
  <c r="AT292" i="4"/>
  <c r="AS292" i="4"/>
  <c r="AR292" i="4"/>
  <c r="AQ292" i="4"/>
  <c r="AP291" i="4"/>
  <c r="L86" i="2" l="1"/>
  <c r="L87" i="2" l="1"/>
  <c r="C17" i="3"/>
  <c r="L88" i="2" l="1"/>
  <c r="F16" i="3"/>
  <c r="L89" i="2" l="1"/>
  <c r="AT256" i="4"/>
  <c r="AS256" i="4"/>
  <c r="AR256" i="4"/>
  <c r="AQ256" i="4"/>
  <c r="AT220" i="4"/>
  <c r="AS220" i="4"/>
  <c r="AR220" i="4"/>
  <c r="AQ220" i="4"/>
  <c r="AT184" i="4"/>
  <c r="AS184" i="4"/>
  <c r="AR184" i="4"/>
  <c r="AQ184" i="4"/>
  <c r="AT148" i="4"/>
  <c r="AS148" i="4"/>
  <c r="AR148" i="4"/>
  <c r="AQ148" i="4"/>
  <c r="AT112" i="4"/>
  <c r="AS112" i="4"/>
  <c r="AR112" i="4"/>
  <c r="AQ112" i="4"/>
  <c r="AT76" i="4"/>
  <c r="AS76" i="4"/>
  <c r="AR76" i="4"/>
  <c r="AQ76" i="4"/>
  <c r="AT40" i="4"/>
  <c r="AS40" i="4"/>
  <c r="AR40" i="4"/>
  <c r="AQ40" i="4"/>
  <c r="AQ41" i="4"/>
  <c r="AR41" i="4"/>
  <c r="AS41" i="4"/>
  <c r="AT41" i="4"/>
  <c r="AQ42" i="4"/>
  <c r="AR42" i="4"/>
  <c r="AS42" i="4"/>
  <c r="AT42" i="4"/>
  <c r="AQ43" i="4"/>
  <c r="AR43" i="4"/>
  <c r="AS43" i="4"/>
  <c r="AT43" i="4"/>
  <c r="AQ44" i="4"/>
  <c r="AR44" i="4"/>
  <c r="AS44" i="4"/>
  <c r="AT44" i="4"/>
  <c r="AQ45" i="4"/>
  <c r="AR45" i="4"/>
  <c r="AS45" i="4"/>
  <c r="AT45" i="4"/>
  <c r="AQ46" i="4"/>
  <c r="AR46" i="4"/>
  <c r="AS46" i="4"/>
  <c r="AT46" i="4"/>
  <c r="AQ47" i="4"/>
  <c r="AR47" i="4"/>
  <c r="AS47" i="4"/>
  <c r="AT47" i="4"/>
  <c r="AQ48" i="4"/>
  <c r="AR48" i="4"/>
  <c r="AS48" i="4"/>
  <c r="AT48" i="4"/>
  <c r="AQ49" i="4"/>
  <c r="AR49" i="4"/>
  <c r="AS49" i="4"/>
  <c r="AT49" i="4"/>
  <c r="AQ50" i="4"/>
  <c r="AR50" i="4"/>
  <c r="AS50" i="4"/>
  <c r="AT50" i="4"/>
  <c r="AQ51" i="4"/>
  <c r="AR51" i="4"/>
  <c r="AS51" i="4"/>
  <c r="AT51" i="4"/>
  <c r="AQ52" i="4"/>
  <c r="AR52" i="4"/>
  <c r="AS52" i="4"/>
  <c r="AT52" i="4"/>
  <c r="AQ53" i="4"/>
  <c r="AR53" i="4"/>
  <c r="AS53" i="4"/>
  <c r="AT53" i="4"/>
  <c r="AQ54" i="4"/>
  <c r="AR54" i="4"/>
  <c r="AS54" i="4"/>
  <c r="AT54" i="4"/>
  <c r="AQ55" i="4"/>
  <c r="AR55" i="4"/>
  <c r="AS55" i="4"/>
  <c r="AT55" i="4"/>
  <c r="AQ56" i="4"/>
  <c r="AR56" i="4"/>
  <c r="AS56" i="4"/>
  <c r="AT56" i="4"/>
  <c r="AQ57" i="4"/>
  <c r="AR57" i="4"/>
  <c r="AS57" i="4"/>
  <c r="AT57" i="4"/>
  <c r="AQ58" i="4"/>
  <c r="AR58" i="4"/>
  <c r="AS58" i="4"/>
  <c r="AT58" i="4"/>
  <c r="AQ59" i="4"/>
  <c r="AR59" i="4"/>
  <c r="AS59" i="4"/>
  <c r="AT59" i="4"/>
  <c r="AQ60" i="4"/>
  <c r="AR60" i="4"/>
  <c r="AS60" i="4"/>
  <c r="AT60" i="4"/>
  <c r="AQ61" i="4"/>
  <c r="AR61" i="4"/>
  <c r="AS61" i="4"/>
  <c r="AT61" i="4"/>
  <c r="AQ62" i="4"/>
  <c r="AR62" i="4"/>
  <c r="AS62" i="4"/>
  <c r="AT62" i="4"/>
  <c r="AQ63" i="4"/>
  <c r="AR63" i="4"/>
  <c r="AS63" i="4"/>
  <c r="AT63" i="4"/>
  <c r="AQ64" i="4"/>
  <c r="AR64" i="4"/>
  <c r="AS64" i="4"/>
  <c r="AT64" i="4"/>
  <c r="AQ65" i="4"/>
  <c r="AR65" i="4"/>
  <c r="AS65" i="4"/>
  <c r="AT65" i="4"/>
  <c r="AQ66" i="4"/>
  <c r="AR66" i="4"/>
  <c r="AS66" i="4"/>
  <c r="AT66" i="4"/>
  <c r="AQ67" i="4"/>
  <c r="AR67" i="4"/>
  <c r="AS67" i="4"/>
  <c r="AT67" i="4"/>
  <c r="AQ68" i="4"/>
  <c r="AR68" i="4"/>
  <c r="AS68" i="4"/>
  <c r="AT68" i="4"/>
  <c r="AQ69" i="4"/>
  <c r="AR69" i="4"/>
  <c r="AS69" i="4"/>
  <c r="AT69" i="4"/>
  <c r="AQ70" i="4"/>
  <c r="AR70" i="4"/>
  <c r="AS70" i="4"/>
  <c r="AT70" i="4"/>
  <c r="AQ71" i="4"/>
  <c r="AR71" i="4"/>
  <c r="AS71" i="4"/>
  <c r="AT71" i="4"/>
  <c r="AQ72" i="4"/>
  <c r="AR72" i="4"/>
  <c r="AS72" i="4"/>
  <c r="AT72" i="4"/>
  <c r="AQ77" i="4"/>
  <c r="AR77" i="4"/>
  <c r="AS77" i="4"/>
  <c r="AT77" i="4"/>
  <c r="AQ78" i="4"/>
  <c r="AR78" i="4"/>
  <c r="AS78" i="4"/>
  <c r="AT78" i="4"/>
  <c r="AQ79" i="4"/>
  <c r="AR79" i="4"/>
  <c r="AS79" i="4"/>
  <c r="AT79" i="4"/>
  <c r="AQ80" i="4"/>
  <c r="AR80" i="4"/>
  <c r="AS80" i="4"/>
  <c r="AT80" i="4"/>
  <c r="AQ81" i="4"/>
  <c r="AR81" i="4"/>
  <c r="AS81" i="4"/>
  <c r="AT81" i="4"/>
  <c r="AQ82" i="4"/>
  <c r="AR82" i="4"/>
  <c r="AS82" i="4"/>
  <c r="AT82" i="4"/>
  <c r="AQ83" i="4"/>
  <c r="AR83" i="4"/>
  <c r="AS83" i="4"/>
  <c r="AT83" i="4"/>
  <c r="AQ84" i="4"/>
  <c r="AR84" i="4"/>
  <c r="AS84" i="4"/>
  <c r="AT84" i="4"/>
  <c r="AQ85" i="4"/>
  <c r="AR85" i="4"/>
  <c r="AS85" i="4"/>
  <c r="AT85" i="4"/>
  <c r="AQ86" i="4"/>
  <c r="AR86" i="4"/>
  <c r="AS86" i="4"/>
  <c r="AT86" i="4"/>
  <c r="AQ87" i="4"/>
  <c r="AR87" i="4"/>
  <c r="AS87" i="4"/>
  <c r="AT87" i="4"/>
  <c r="AQ88" i="4"/>
  <c r="AR88" i="4"/>
  <c r="AS88" i="4"/>
  <c r="AT88" i="4"/>
  <c r="AQ89" i="4"/>
  <c r="AR89" i="4"/>
  <c r="AS89" i="4"/>
  <c r="AT89" i="4"/>
  <c r="AQ90" i="4"/>
  <c r="AR90" i="4"/>
  <c r="AS90" i="4"/>
  <c r="AT90" i="4"/>
  <c r="AQ91" i="4"/>
  <c r="AR91" i="4"/>
  <c r="AS91" i="4"/>
  <c r="AT91" i="4"/>
  <c r="AQ92" i="4"/>
  <c r="AR92" i="4"/>
  <c r="AS92" i="4"/>
  <c r="AT92" i="4"/>
  <c r="AQ93" i="4"/>
  <c r="AR93" i="4"/>
  <c r="AS93" i="4"/>
  <c r="AT93" i="4"/>
  <c r="AQ94" i="4"/>
  <c r="AR94" i="4"/>
  <c r="AS94" i="4"/>
  <c r="AT94" i="4"/>
  <c r="AQ95" i="4"/>
  <c r="AR95" i="4"/>
  <c r="AS95" i="4"/>
  <c r="AT95" i="4"/>
  <c r="AQ96" i="4"/>
  <c r="AR96" i="4"/>
  <c r="AS96" i="4"/>
  <c r="AT96" i="4"/>
  <c r="AQ97" i="4"/>
  <c r="AR97" i="4"/>
  <c r="AS97" i="4"/>
  <c r="AT97" i="4"/>
  <c r="AQ98" i="4"/>
  <c r="AR98" i="4"/>
  <c r="AS98" i="4"/>
  <c r="AT98" i="4"/>
  <c r="AQ99" i="4"/>
  <c r="AR99" i="4"/>
  <c r="AS99" i="4"/>
  <c r="AT99" i="4"/>
  <c r="AQ100" i="4"/>
  <c r="AR100" i="4"/>
  <c r="AS100" i="4"/>
  <c r="AT100" i="4"/>
  <c r="AQ101" i="4"/>
  <c r="AR101" i="4"/>
  <c r="AS101" i="4"/>
  <c r="AT101" i="4"/>
  <c r="AQ102" i="4"/>
  <c r="AR102" i="4"/>
  <c r="AS102" i="4"/>
  <c r="AT102" i="4"/>
  <c r="AQ103" i="4"/>
  <c r="AR103" i="4"/>
  <c r="AS103" i="4"/>
  <c r="AT103" i="4"/>
  <c r="AQ104" i="4"/>
  <c r="AR104" i="4"/>
  <c r="AS104" i="4"/>
  <c r="AT104" i="4"/>
  <c r="AQ105" i="4"/>
  <c r="AR105" i="4"/>
  <c r="AS105" i="4"/>
  <c r="AT105" i="4"/>
  <c r="AQ106" i="4"/>
  <c r="AR106" i="4"/>
  <c r="AS106" i="4"/>
  <c r="AT106" i="4"/>
  <c r="AQ107" i="4"/>
  <c r="AR107" i="4"/>
  <c r="AS107" i="4"/>
  <c r="AT107" i="4"/>
  <c r="AQ108" i="4"/>
  <c r="AR108" i="4"/>
  <c r="AS108" i="4"/>
  <c r="AT108" i="4"/>
  <c r="AQ113" i="4"/>
  <c r="AR113" i="4"/>
  <c r="AS113" i="4"/>
  <c r="AT113" i="4"/>
  <c r="AQ114" i="4"/>
  <c r="AR114" i="4"/>
  <c r="AS114" i="4"/>
  <c r="AT114" i="4"/>
  <c r="AQ115" i="4"/>
  <c r="AR115" i="4"/>
  <c r="AS115" i="4"/>
  <c r="AT115" i="4"/>
  <c r="AQ116" i="4"/>
  <c r="AR116" i="4"/>
  <c r="AS116" i="4"/>
  <c r="AT116" i="4"/>
  <c r="AQ117" i="4"/>
  <c r="AR117" i="4"/>
  <c r="AS117" i="4"/>
  <c r="AT117" i="4"/>
  <c r="AQ118" i="4"/>
  <c r="AR118" i="4"/>
  <c r="AS118" i="4"/>
  <c r="AT118" i="4"/>
  <c r="AQ119" i="4"/>
  <c r="AR119" i="4"/>
  <c r="AS119" i="4"/>
  <c r="AT119" i="4"/>
  <c r="AQ120" i="4"/>
  <c r="AR120" i="4"/>
  <c r="AS120" i="4"/>
  <c r="AT120" i="4"/>
  <c r="AQ121" i="4"/>
  <c r="AR121" i="4"/>
  <c r="AS121" i="4"/>
  <c r="AT121" i="4"/>
  <c r="AQ122" i="4"/>
  <c r="AR122" i="4"/>
  <c r="AS122" i="4"/>
  <c r="AT122" i="4"/>
  <c r="AQ123" i="4"/>
  <c r="AR123" i="4"/>
  <c r="AS123" i="4"/>
  <c r="AT123" i="4"/>
  <c r="AQ124" i="4"/>
  <c r="AR124" i="4"/>
  <c r="AS124" i="4"/>
  <c r="AT124" i="4"/>
  <c r="AQ125" i="4"/>
  <c r="AR125" i="4"/>
  <c r="AS125" i="4"/>
  <c r="AT125" i="4"/>
  <c r="AQ126" i="4"/>
  <c r="AR126" i="4"/>
  <c r="AS126" i="4"/>
  <c r="AT126" i="4"/>
  <c r="AQ127" i="4"/>
  <c r="AR127" i="4"/>
  <c r="AS127" i="4"/>
  <c r="AT127" i="4"/>
  <c r="AQ128" i="4"/>
  <c r="AR128" i="4"/>
  <c r="AS128" i="4"/>
  <c r="AT128" i="4"/>
  <c r="AQ129" i="4"/>
  <c r="AR129" i="4"/>
  <c r="AS129" i="4"/>
  <c r="AT129" i="4"/>
  <c r="AQ130" i="4"/>
  <c r="AR130" i="4"/>
  <c r="AS130" i="4"/>
  <c r="AT130" i="4"/>
  <c r="AQ131" i="4"/>
  <c r="AR131" i="4"/>
  <c r="AS131" i="4"/>
  <c r="AT131" i="4"/>
  <c r="AQ132" i="4"/>
  <c r="AR132" i="4"/>
  <c r="AS132" i="4"/>
  <c r="AT132" i="4"/>
  <c r="AQ133" i="4"/>
  <c r="AR133" i="4"/>
  <c r="AS133" i="4"/>
  <c r="AT133" i="4"/>
  <c r="AQ134" i="4"/>
  <c r="AR134" i="4"/>
  <c r="AS134" i="4"/>
  <c r="AT134" i="4"/>
  <c r="AQ135" i="4"/>
  <c r="AR135" i="4"/>
  <c r="AS135" i="4"/>
  <c r="AT135" i="4"/>
  <c r="AQ136" i="4"/>
  <c r="AR136" i="4"/>
  <c r="AS136" i="4"/>
  <c r="AT136" i="4"/>
  <c r="AQ137" i="4"/>
  <c r="AR137" i="4"/>
  <c r="AS137" i="4"/>
  <c r="AT137" i="4"/>
  <c r="AQ138" i="4"/>
  <c r="AR138" i="4"/>
  <c r="AS138" i="4"/>
  <c r="AT138" i="4"/>
  <c r="AQ139" i="4"/>
  <c r="AR139" i="4"/>
  <c r="AS139" i="4"/>
  <c r="AT139" i="4"/>
  <c r="AQ140" i="4"/>
  <c r="AR140" i="4"/>
  <c r="AS140" i="4"/>
  <c r="AT140" i="4"/>
  <c r="AQ141" i="4"/>
  <c r="AR141" i="4"/>
  <c r="AS141" i="4"/>
  <c r="AT141" i="4"/>
  <c r="AQ142" i="4"/>
  <c r="AR142" i="4"/>
  <c r="AS142" i="4"/>
  <c r="AT142" i="4"/>
  <c r="AQ143" i="4"/>
  <c r="AR143" i="4"/>
  <c r="AS143" i="4"/>
  <c r="AT143" i="4"/>
  <c r="AQ144" i="4"/>
  <c r="AR144" i="4"/>
  <c r="AS144" i="4"/>
  <c r="AT144" i="4"/>
  <c r="AQ149" i="4"/>
  <c r="AR149" i="4"/>
  <c r="AS149" i="4"/>
  <c r="AT149" i="4"/>
  <c r="AQ150" i="4"/>
  <c r="AR150" i="4"/>
  <c r="AS150" i="4"/>
  <c r="AT150" i="4"/>
  <c r="AQ151" i="4"/>
  <c r="AR151" i="4"/>
  <c r="AS151" i="4"/>
  <c r="AT151" i="4"/>
  <c r="AQ152" i="4"/>
  <c r="AR152" i="4"/>
  <c r="AS152" i="4"/>
  <c r="AT152" i="4"/>
  <c r="AQ153" i="4"/>
  <c r="AR153" i="4"/>
  <c r="AS153" i="4"/>
  <c r="AT153" i="4"/>
  <c r="AQ154" i="4"/>
  <c r="AR154" i="4"/>
  <c r="AS154" i="4"/>
  <c r="AT154" i="4"/>
  <c r="AQ155" i="4"/>
  <c r="AR155" i="4"/>
  <c r="AS155" i="4"/>
  <c r="AT155" i="4"/>
  <c r="AQ156" i="4"/>
  <c r="AR156" i="4"/>
  <c r="AS156" i="4"/>
  <c r="AT156" i="4"/>
  <c r="AQ157" i="4"/>
  <c r="AR157" i="4"/>
  <c r="AS157" i="4"/>
  <c r="AT157" i="4"/>
  <c r="AQ158" i="4"/>
  <c r="AR158" i="4"/>
  <c r="AS158" i="4"/>
  <c r="AT158" i="4"/>
  <c r="AQ159" i="4"/>
  <c r="AR159" i="4"/>
  <c r="AS159" i="4"/>
  <c r="AT159" i="4"/>
  <c r="AQ160" i="4"/>
  <c r="AR160" i="4"/>
  <c r="AS160" i="4"/>
  <c r="AT160" i="4"/>
  <c r="AQ161" i="4"/>
  <c r="AR161" i="4"/>
  <c r="AS161" i="4"/>
  <c r="AT161" i="4"/>
  <c r="AQ162" i="4"/>
  <c r="AR162" i="4"/>
  <c r="AS162" i="4"/>
  <c r="AT162" i="4"/>
  <c r="AQ163" i="4"/>
  <c r="AR163" i="4"/>
  <c r="AS163" i="4"/>
  <c r="AT163" i="4"/>
  <c r="AQ164" i="4"/>
  <c r="AR164" i="4"/>
  <c r="AS164" i="4"/>
  <c r="AT164" i="4"/>
  <c r="AQ165" i="4"/>
  <c r="AR165" i="4"/>
  <c r="AS165" i="4"/>
  <c r="AT165" i="4"/>
  <c r="AQ166" i="4"/>
  <c r="AR166" i="4"/>
  <c r="AS166" i="4"/>
  <c r="AT166" i="4"/>
  <c r="AQ167" i="4"/>
  <c r="AR167" i="4"/>
  <c r="AS167" i="4"/>
  <c r="AT167" i="4"/>
  <c r="AQ168" i="4"/>
  <c r="AR168" i="4"/>
  <c r="AS168" i="4"/>
  <c r="AT168" i="4"/>
  <c r="AQ169" i="4"/>
  <c r="AR169" i="4"/>
  <c r="AS169" i="4"/>
  <c r="AT169" i="4"/>
  <c r="AQ170" i="4"/>
  <c r="AR170" i="4"/>
  <c r="AS170" i="4"/>
  <c r="AT170" i="4"/>
  <c r="AQ171" i="4"/>
  <c r="AR171" i="4"/>
  <c r="AS171" i="4"/>
  <c r="AT171" i="4"/>
  <c r="AQ172" i="4"/>
  <c r="AR172" i="4"/>
  <c r="AS172" i="4"/>
  <c r="AT172" i="4"/>
  <c r="AQ173" i="4"/>
  <c r="AR173" i="4"/>
  <c r="AS173" i="4"/>
  <c r="AT173" i="4"/>
  <c r="AQ174" i="4"/>
  <c r="AR174" i="4"/>
  <c r="AS174" i="4"/>
  <c r="AT174" i="4"/>
  <c r="AQ175" i="4"/>
  <c r="AR175" i="4"/>
  <c r="AS175" i="4"/>
  <c r="AT175" i="4"/>
  <c r="AQ176" i="4"/>
  <c r="AR176" i="4"/>
  <c r="AS176" i="4"/>
  <c r="AT176" i="4"/>
  <c r="AQ177" i="4"/>
  <c r="AR177" i="4"/>
  <c r="AS177" i="4"/>
  <c r="AT177" i="4"/>
  <c r="AQ178" i="4"/>
  <c r="AR178" i="4"/>
  <c r="AS178" i="4"/>
  <c r="AT178" i="4"/>
  <c r="AQ179" i="4"/>
  <c r="AR179" i="4"/>
  <c r="AS179" i="4"/>
  <c r="AT179" i="4"/>
  <c r="AQ180" i="4"/>
  <c r="AR180" i="4"/>
  <c r="AS180" i="4"/>
  <c r="AT180" i="4"/>
  <c r="AQ185" i="4"/>
  <c r="AR185" i="4"/>
  <c r="AS185" i="4"/>
  <c r="AT185" i="4"/>
  <c r="AQ186" i="4"/>
  <c r="AR186" i="4"/>
  <c r="AS186" i="4"/>
  <c r="AT186" i="4"/>
  <c r="AQ187" i="4"/>
  <c r="AR187" i="4"/>
  <c r="AS187" i="4"/>
  <c r="AT187" i="4"/>
  <c r="AQ188" i="4"/>
  <c r="AR188" i="4"/>
  <c r="AS188" i="4"/>
  <c r="AT188" i="4"/>
  <c r="AQ189" i="4"/>
  <c r="AR189" i="4"/>
  <c r="AS189" i="4"/>
  <c r="AT189" i="4"/>
  <c r="AQ190" i="4"/>
  <c r="AR190" i="4"/>
  <c r="AS190" i="4"/>
  <c r="AT190" i="4"/>
  <c r="AQ191" i="4"/>
  <c r="AR191" i="4"/>
  <c r="AS191" i="4"/>
  <c r="AT191" i="4"/>
  <c r="AQ192" i="4"/>
  <c r="AR192" i="4"/>
  <c r="AS192" i="4"/>
  <c r="AT192" i="4"/>
  <c r="AQ193" i="4"/>
  <c r="AR193" i="4"/>
  <c r="AS193" i="4"/>
  <c r="AT193" i="4"/>
  <c r="AQ194" i="4"/>
  <c r="AR194" i="4"/>
  <c r="AS194" i="4"/>
  <c r="AT194" i="4"/>
  <c r="AQ195" i="4"/>
  <c r="AR195" i="4"/>
  <c r="AS195" i="4"/>
  <c r="AT195" i="4"/>
  <c r="AQ196" i="4"/>
  <c r="AR196" i="4"/>
  <c r="AS196" i="4"/>
  <c r="AT196" i="4"/>
  <c r="AQ197" i="4"/>
  <c r="AR197" i="4"/>
  <c r="AS197" i="4"/>
  <c r="AT197" i="4"/>
  <c r="AQ198" i="4"/>
  <c r="AR198" i="4"/>
  <c r="AS198" i="4"/>
  <c r="AT198" i="4"/>
  <c r="AQ199" i="4"/>
  <c r="AR199" i="4"/>
  <c r="AS199" i="4"/>
  <c r="AT199" i="4"/>
  <c r="AQ200" i="4"/>
  <c r="AR200" i="4"/>
  <c r="AS200" i="4"/>
  <c r="AT200" i="4"/>
  <c r="AQ201" i="4"/>
  <c r="AR201" i="4"/>
  <c r="AS201" i="4"/>
  <c r="AT201" i="4"/>
  <c r="AQ202" i="4"/>
  <c r="AR202" i="4"/>
  <c r="AS202" i="4"/>
  <c r="AT202" i="4"/>
  <c r="AQ203" i="4"/>
  <c r="AR203" i="4"/>
  <c r="AS203" i="4"/>
  <c r="AT203" i="4"/>
  <c r="AQ204" i="4"/>
  <c r="AR204" i="4"/>
  <c r="AS204" i="4"/>
  <c r="AT204" i="4"/>
  <c r="AQ205" i="4"/>
  <c r="AR205" i="4"/>
  <c r="AS205" i="4"/>
  <c r="AT205" i="4"/>
  <c r="AQ206" i="4"/>
  <c r="AR206" i="4"/>
  <c r="AS206" i="4"/>
  <c r="AT206" i="4"/>
  <c r="AQ207" i="4"/>
  <c r="AR207" i="4"/>
  <c r="AS207" i="4"/>
  <c r="AT207" i="4"/>
  <c r="AQ208" i="4"/>
  <c r="AR208" i="4"/>
  <c r="AS208" i="4"/>
  <c r="AT208" i="4"/>
  <c r="AQ209" i="4"/>
  <c r="AR209" i="4"/>
  <c r="AS209" i="4"/>
  <c r="AT209" i="4"/>
  <c r="AQ210" i="4"/>
  <c r="AR210" i="4"/>
  <c r="AS210" i="4"/>
  <c r="AT210" i="4"/>
  <c r="AQ211" i="4"/>
  <c r="AR211" i="4"/>
  <c r="AS211" i="4"/>
  <c r="AT211" i="4"/>
  <c r="AQ212" i="4"/>
  <c r="AR212" i="4"/>
  <c r="AS212" i="4"/>
  <c r="AT212" i="4"/>
  <c r="AQ213" i="4"/>
  <c r="AR213" i="4"/>
  <c r="AS213" i="4"/>
  <c r="AT213" i="4"/>
  <c r="AQ214" i="4"/>
  <c r="AR214" i="4"/>
  <c r="AS214" i="4"/>
  <c r="AT214" i="4"/>
  <c r="AQ215" i="4"/>
  <c r="AR215" i="4"/>
  <c r="AS215" i="4"/>
  <c r="AT215" i="4"/>
  <c r="AQ216" i="4"/>
  <c r="AR216" i="4"/>
  <c r="AS216" i="4"/>
  <c r="AT216" i="4"/>
  <c r="AQ221" i="4"/>
  <c r="AR221" i="4"/>
  <c r="AS221" i="4"/>
  <c r="AT221" i="4"/>
  <c r="AQ222" i="4"/>
  <c r="AR222" i="4"/>
  <c r="AS222" i="4"/>
  <c r="AT222" i="4"/>
  <c r="AQ223" i="4"/>
  <c r="AR223" i="4"/>
  <c r="AS223" i="4"/>
  <c r="AT223" i="4"/>
  <c r="AQ224" i="4"/>
  <c r="AR224" i="4"/>
  <c r="AS224" i="4"/>
  <c r="AT224" i="4"/>
  <c r="AQ225" i="4"/>
  <c r="AR225" i="4"/>
  <c r="AS225" i="4"/>
  <c r="AT225" i="4"/>
  <c r="AQ226" i="4"/>
  <c r="AR226" i="4"/>
  <c r="AS226" i="4"/>
  <c r="AT226" i="4"/>
  <c r="AQ227" i="4"/>
  <c r="AR227" i="4"/>
  <c r="AS227" i="4"/>
  <c r="AT227" i="4"/>
  <c r="AQ228" i="4"/>
  <c r="AR228" i="4"/>
  <c r="AS228" i="4"/>
  <c r="AT228" i="4"/>
  <c r="AQ229" i="4"/>
  <c r="AR229" i="4"/>
  <c r="AS229" i="4"/>
  <c r="AT229" i="4"/>
  <c r="AQ230" i="4"/>
  <c r="AR230" i="4"/>
  <c r="AS230" i="4"/>
  <c r="AT230" i="4"/>
  <c r="AQ231" i="4"/>
  <c r="AR231" i="4"/>
  <c r="AS231" i="4"/>
  <c r="AT231" i="4"/>
  <c r="AQ232" i="4"/>
  <c r="AR232" i="4"/>
  <c r="AS232" i="4"/>
  <c r="AT232" i="4"/>
  <c r="AQ233" i="4"/>
  <c r="AR233" i="4"/>
  <c r="AS233" i="4"/>
  <c r="AT233" i="4"/>
  <c r="AQ234" i="4"/>
  <c r="AR234" i="4"/>
  <c r="AS234" i="4"/>
  <c r="AT234" i="4"/>
  <c r="AQ235" i="4"/>
  <c r="AR235" i="4"/>
  <c r="AS235" i="4"/>
  <c r="AT235" i="4"/>
  <c r="AQ236" i="4"/>
  <c r="AR236" i="4"/>
  <c r="AS236" i="4"/>
  <c r="AT236" i="4"/>
  <c r="AQ237" i="4"/>
  <c r="AR237" i="4"/>
  <c r="AS237" i="4"/>
  <c r="AT237" i="4"/>
  <c r="AQ238" i="4"/>
  <c r="AR238" i="4"/>
  <c r="AS238" i="4"/>
  <c r="AT238" i="4"/>
  <c r="AQ239" i="4"/>
  <c r="AR239" i="4"/>
  <c r="AS239" i="4"/>
  <c r="AT239" i="4"/>
  <c r="AQ240" i="4"/>
  <c r="AR240" i="4"/>
  <c r="AS240" i="4"/>
  <c r="AT240" i="4"/>
  <c r="AQ241" i="4"/>
  <c r="AR241" i="4"/>
  <c r="AS241" i="4"/>
  <c r="AT241" i="4"/>
  <c r="AQ242" i="4"/>
  <c r="AR242" i="4"/>
  <c r="AS242" i="4"/>
  <c r="AT242" i="4"/>
  <c r="AQ243" i="4"/>
  <c r="AR243" i="4"/>
  <c r="AS243" i="4"/>
  <c r="AT243" i="4"/>
  <c r="AQ244" i="4"/>
  <c r="AR244" i="4"/>
  <c r="AS244" i="4"/>
  <c r="AT244" i="4"/>
  <c r="AQ245" i="4"/>
  <c r="AR245" i="4"/>
  <c r="AS245" i="4"/>
  <c r="AT245" i="4"/>
  <c r="AQ246" i="4"/>
  <c r="AR246" i="4"/>
  <c r="AS246" i="4"/>
  <c r="AT246" i="4"/>
  <c r="AQ247" i="4"/>
  <c r="AR247" i="4"/>
  <c r="AS247" i="4"/>
  <c r="AT247" i="4"/>
  <c r="AQ248" i="4"/>
  <c r="AR248" i="4"/>
  <c r="AS248" i="4"/>
  <c r="AT248" i="4"/>
  <c r="AQ249" i="4"/>
  <c r="AR249" i="4"/>
  <c r="AS249" i="4"/>
  <c r="AT249" i="4"/>
  <c r="AQ250" i="4"/>
  <c r="AR250" i="4"/>
  <c r="AS250" i="4"/>
  <c r="AT250" i="4"/>
  <c r="AQ251" i="4"/>
  <c r="AR251" i="4"/>
  <c r="AS251" i="4"/>
  <c r="AT251" i="4"/>
  <c r="AQ252" i="4"/>
  <c r="AR252" i="4"/>
  <c r="AS252" i="4"/>
  <c r="AT252" i="4"/>
  <c r="AQ257" i="4"/>
  <c r="AR257" i="4"/>
  <c r="AS257" i="4"/>
  <c r="AT257" i="4"/>
  <c r="AQ258" i="4"/>
  <c r="AR258" i="4"/>
  <c r="AS258" i="4"/>
  <c r="AT258" i="4"/>
  <c r="AQ259" i="4"/>
  <c r="AR259" i="4"/>
  <c r="AS259" i="4"/>
  <c r="AT259" i="4"/>
  <c r="AQ260" i="4"/>
  <c r="AR260" i="4"/>
  <c r="AS260" i="4"/>
  <c r="AT260" i="4"/>
  <c r="AQ261" i="4"/>
  <c r="AR261" i="4"/>
  <c r="AS261" i="4"/>
  <c r="AT261" i="4"/>
  <c r="AQ262" i="4"/>
  <c r="AR262" i="4"/>
  <c r="AS262" i="4"/>
  <c r="AT262" i="4"/>
  <c r="AQ263" i="4"/>
  <c r="AR263" i="4"/>
  <c r="AS263" i="4"/>
  <c r="AT263" i="4"/>
  <c r="AQ264" i="4"/>
  <c r="AR264" i="4"/>
  <c r="AS264" i="4"/>
  <c r="AT264" i="4"/>
  <c r="AQ265" i="4"/>
  <c r="AR265" i="4"/>
  <c r="AS265" i="4"/>
  <c r="AT265" i="4"/>
  <c r="AQ266" i="4"/>
  <c r="AR266" i="4"/>
  <c r="AS266" i="4"/>
  <c r="AT266" i="4"/>
  <c r="AQ267" i="4"/>
  <c r="AR267" i="4"/>
  <c r="AS267" i="4"/>
  <c r="AT267" i="4"/>
  <c r="AQ268" i="4"/>
  <c r="AR268" i="4"/>
  <c r="AS268" i="4"/>
  <c r="AT268" i="4"/>
  <c r="AQ269" i="4"/>
  <c r="AR269" i="4"/>
  <c r="AS269" i="4"/>
  <c r="AT269" i="4"/>
  <c r="AQ270" i="4"/>
  <c r="AR270" i="4"/>
  <c r="AS270" i="4"/>
  <c r="AT270" i="4"/>
  <c r="AQ271" i="4"/>
  <c r="AR271" i="4"/>
  <c r="AS271" i="4"/>
  <c r="AT271" i="4"/>
  <c r="AQ272" i="4"/>
  <c r="AR272" i="4"/>
  <c r="AS272" i="4"/>
  <c r="AT272" i="4"/>
  <c r="AQ273" i="4"/>
  <c r="AR273" i="4"/>
  <c r="AS273" i="4"/>
  <c r="AT273" i="4"/>
  <c r="AQ274" i="4"/>
  <c r="AR274" i="4"/>
  <c r="AS274" i="4"/>
  <c r="AT274" i="4"/>
  <c r="AQ275" i="4"/>
  <c r="AR275" i="4"/>
  <c r="AS275" i="4"/>
  <c r="AT275" i="4"/>
  <c r="AQ276" i="4"/>
  <c r="AR276" i="4"/>
  <c r="AS276" i="4"/>
  <c r="AT276" i="4"/>
  <c r="AQ277" i="4"/>
  <c r="AR277" i="4"/>
  <c r="AS277" i="4"/>
  <c r="AT277" i="4"/>
  <c r="AQ278" i="4"/>
  <c r="AR278" i="4"/>
  <c r="AS278" i="4"/>
  <c r="AT278" i="4"/>
  <c r="AQ279" i="4"/>
  <c r="AR279" i="4"/>
  <c r="AS279" i="4"/>
  <c r="AT279" i="4"/>
  <c r="AQ280" i="4"/>
  <c r="AR280" i="4"/>
  <c r="AS280" i="4"/>
  <c r="AT280" i="4"/>
  <c r="AQ281" i="4"/>
  <c r="AR281" i="4"/>
  <c r="AS281" i="4"/>
  <c r="AT281" i="4"/>
  <c r="AQ282" i="4"/>
  <c r="AR282" i="4"/>
  <c r="AS282" i="4"/>
  <c r="AT282" i="4"/>
  <c r="AQ283" i="4"/>
  <c r="AR283" i="4"/>
  <c r="AS283" i="4"/>
  <c r="AT283" i="4"/>
  <c r="AQ284" i="4"/>
  <c r="AR284" i="4"/>
  <c r="AS284" i="4"/>
  <c r="AT284" i="4"/>
  <c r="AQ285" i="4"/>
  <c r="AR285" i="4"/>
  <c r="AS285" i="4"/>
  <c r="AT285" i="4"/>
  <c r="AQ286" i="4"/>
  <c r="AR286" i="4"/>
  <c r="AS286" i="4"/>
  <c r="AT286" i="4"/>
  <c r="AQ287" i="4"/>
  <c r="AR287" i="4"/>
  <c r="AS287" i="4"/>
  <c r="AT287" i="4"/>
  <c r="AQ288" i="4"/>
  <c r="AR288" i="4"/>
  <c r="AS288" i="4"/>
  <c r="AT288" i="4"/>
  <c r="AQ36" i="4"/>
  <c r="AT36" i="4"/>
  <c r="AT6" i="4"/>
  <c r="AT7" i="4"/>
  <c r="AT8" i="4"/>
  <c r="AT9" i="4"/>
  <c r="AT10" i="4"/>
  <c r="AT11" i="4"/>
  <c r="AT12" i="4"/>
  <c r="AT13" i="4"/>
  <c r="AT14" i="4"/>
  <c r="AT15" i="4"/>
  <c r="AT16" i="4"/>
  <c r="AT17" i="4"/>
  <c r="AT18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5" i="4"/>
  <c r="AS6" i="4"/>
  <c r="AS7" i="4"/>
  <c r="AS8" i="4"/>
  <c r="AS9" i="4"/>
  <c r="AS10" i="4"/>
  <c r="AS11" i="4"/>
  <c r="AS12" i="4"/>
  <c r="AS13" i="4"/>
  <c r="AS14" i="4"/>
  <c r="AS15" i="4"/>
  <c r="AS16" i="4"/>
  <c r="AS17" i="4"/>
  <c r="AS18" i="4"/>
  <c r="AS19" i="4"/>
  <c r="AS20" i="4"/>
  <c r="AS21" i="4"/>
  <c r="AS22" i="4"/>
  <c r="AS23" i="4"/>
  <c r="AS24" i="4"/>
  <c r="AS25" i="4"/>
  <c r="AS26" i="4"/>
  <c r="AS27" i="4"/>
  <c r="AS28" i="4"/>
  <c r="AS29" i="4"/>
  <c r="AS30" i="4"/>
  <c r="AS31" i="4"/>
  <c r="AS32" i="4"/>
  <c r="AS33" i="4"/>
  <c r="AS34" i="4"/>
  <c r="AS35" i="4"/>
  <c r="AS36" i="4"/>
  <c r="AR6" i="4"/>
  <c r="AR7" i="4"/>
  <c r="AR8" i="4"/>
  <c r="AR9" i="4"/>
  <c r="AR10" i="4"/>
  <c r="AR11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Q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6" i="4"/>
  <c r="AQ7" i="4"/>
  <c r="AQ8" i="4"/>
  <c r="AQ9" i="4"/>
  <c r="AQ10" i="4"/>
  <c r="AQ11" i="4"/>
  <c r="AQ12" i="4"/>
  <c r="AQ13" i="4"/>
  <c r="AQ14" i="4"/>
  <c r="AQ15" i="4"/>
  <c r="L90" i="2" l="1"/>
  <c r="C16" i="3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B7" i="5"/>
  <c r="AP2" i="4"/>
  <c r="AP3" i="4"/>
  <c r="AQ4" i="4"/>
  <c r="AR4" i="4"/>
  <c r="AS4" i="4"/>
  <c r="AT4" i="4"/>
  <c r="AP5" i="4"/>
  <c r="AP6" i="4"/>
  <c r="AP7" i="4"/>
  <c r="AP8" i="4"/>
  <c r="AP9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9" i="4"/>
  <c r="AP41" i="4"/>
  <c r="AP42" i="4"/>
  <c r="AP43" i="4"/>
  <c r="AP44" i="4"/>
  <c r="AP45" i="4"/>
  <c r="AP46" i="4"/>
  <c r="AP47" i="4"/>
  <c r="AP48" i="4"/>
  <c r="AP49" i="4"/>
  <c r="AP50" i="4"/>
  <c r="AP51" i="4"/>
  <c r="AP52" i="4"/>
  <c r="AP53" i="4"/>
  <c r="AP54" i="4"/>
  <c r="AP55" i="4"/>
  <c r="AP56" i="4"/>
  <c r="AP57" i="4"/>
  <c r="AP58" i="4"/>
  <c r="AP59" i="4"/>
  <c r="AP60" i="4"/>
  <c r="AP61" i="4"/>
  <c r="AP62" i="4"/>
  <c r="AP63" i="4"/>
  <c r="AP64" i="4"/>
  <c r="AP65" i="4"/>
  <c r="AP66" i="4"/>
  <c r="AP67" i="4"/>
  <c r="AP68" i="4"/>
  <c r="AP69" i="4"/>
  <c r="AP70" i="4"/>
  <c r="AP71" i="4"/>
  <c r="AP72" i="4"/>
  <c r="AP75" i="4"/>
  <c r="AP77" i="4"/>
  <c r="AP78" i="4"/>
  <c r="AP79" i="4"/>
  <c r="AP80" i="4"/>
  <c r="AP81" i="4"/>
  <c r="AP82" i="4"/>
  <c r="AP83" i="4"/>
  <c r="AP84" i="4"/>
  <c r="AP85" i="4"/>
  <c r="AP86" i="4"/>
  <c r="AP87" i="4"/>
  <c r="AP88" i="4"/>
  <c r="AP89" i="4"/>
  <c r="AP90" i="4"/>
  <c r="AP91" i="4"/>
  <c r="AP92" i="4"/>
  <c r="AP93" i="4"/>
  <c r="AP94" i="4"/>
  <c r="AP95" i="4"/>
  <c r="AP96" i="4"/>
  <c r="AP97" i="4"/>
  <c r="AP98" i="4"/>
  <c r="AP99" i="4"/>
  <c r="AP100" i="4"/>
  <c r="AP101" i="4"/>
  <c r="AP102" i="4"/>
  <c r="AP103" i="4"/>
  <c r="AP104" i="4"/>
  <c r="AP105" i="4"/>
  <c r="AP106" i="4"/>
  <c r="AP107" i="4"/>
  <c r="AP108" i="4"/>
  <c r="AP111" i="4"/>
  <c r="AP113" i="4"/>
  <c r="AP114" i="4"/>
  <c r="AP115" i="4"/>
  <c r="AP116" i="4"/>
  <c r="AP117" i="4"/>
  <c r="AP118" i="4"/>
  <c r="AP119" i="4"/>
  <c r="AP120" i="4"/>
  <c r="AP121" i="4"/>
  <c r="AP122" i="4"/>
  <c r="AP123" i="4"/>
  <c r="AP124" i="4"/>
  <c r="AP125" i="4"/>
  <c r="AP126" i="4"/>
  <c r="AP127" i="4"/>
  <c r="AP128" i="4"/>
  <c r="AP129" i="4"/>
  <c r="AP130" i="4"/>
  <c r="AP131" i="4"/>
  <c r="AP132" i="4"/>
  <c r="AP133" i="4"/>
  <c r="AP134" i="4"/>
  <c r="AP135" i="4"/>
  <c r="AP136" i="4"/>
  <c r="AP137" i="4"/>
  <c r="AP138" i="4"/>
  <c r="AP139" i="4"/>
  <c r="AP140" i="4"/>
  <c r="AP141" i="4"/>
  <c r="AP142" i="4"/>
  <c r="AP143" i="4"/>
  <c r="AP144" i="4"/>
  <c r="AP147" i="4"/>
  <c r="AP149" i="4"/>
  <c r="AP150" i="4"/>
  <c r="AP151" i="4"/>
  <c r="AP152" i="4"/>
  <c r="AP153" i="4"/>
  <c r="AP154" i="4"/>
  <c r="AP155" i="4"/>
  <c r="AP156" i="4"/>
  <c r="AP157" i="4"/>
  <c r="AP158" i="4"/>
  <c r="AP159" i="4"/>
  <c r="AP160" i="4"/>
  <c r="AP161" i="4"/>
  <c r="AP162" i="4"/>
  <c r="AP163" i="4"/>
  <c r="AP164" i="4"/>
  <c r="AP165" i="4"/>
  <c r="AP166" i="4"/>
  <c r="AP167" i="4"/>
  <c r="AP168" i="4"/>
  <c r="AP169" i="4"/>
  <c r="AP170" i="4"/>
  <c r="AP171" i="4"/>
  <c r="AP172" i="4"/>
  <c r="AP173" i="4"/>
  <c r="AP174" i="4"/>
  <c r="AP175" i="4"/>
  <c r="AP176" i="4"/>
  <c r="AP177" i="4"/>
  <c r="AP178" i="4"/>
  <c r="AP179" i="4"/>
  <c r="AP180" i="4"/>
  <c r="AP183" i="4"/>
  <c r="AP185" i="4"/>
  <c r="AP186" i="4"/>
  <c r="AP187" i="4"/>
  <c r="AP188" i="4"/>
  <c r="AP189" i="4"/>
  <c r="AP190" i="4"/>
  <c r="AP191" i="4"/>
  <c r="AP192" i="4"/>
  <c r="AP193" i="4"/>
  <c r="AP194" i="4"/>
  <c r="AP195" i="4"/>
  <c r="AP196" i="4"/>
  <c r="AP197" i="4"/>
  <c r="AP198" i="4"/>
  <c r="AP199" i="4"/>
  <c r="AP200" i="4"/>
  <c r="AP201" i="4"/>
  <c r="AP202" i="4"/>
  <c r="AP203" i="4"/>
  <c r="AP204" i="4"/>
  <c r="AP205" i="4"/>
  <c r="AP206" i="4"/>
  <c r="AP207" i="4"/>
  <c r="AP208" i="4"/>
  <c r="AP209" i="4"/>
  <c r="AP210" i="4"/>
  <c r="AP211" i="4"/>
  <c r="AP212" i="4"/>
  <c r="AP213" i="4"/>
  <c r="AP214" i="4"/>
  <c r="AP215" i="4"/>
  <c r="AP216" i="4"/>
  <c r="AP219" i="4"/>
  <c r="AP221" i="4"/>
  <c r="AP222" i="4"/>
  <c r="AP223" i="4"/>
  <c r="AP224" i="4"/>
  <c r="AP225" i="4"/>
  <c r="AP226" i="4"/>
  <c r="AP227" i="4"/>
  <c r="AP228" i="4"/>
  <c r="AP229" i="4"/>
  <c r="AP230" i="4"/>
  <c r="AP231" i="4"/>
  <c r="AP232" i="4"/>
  <c r="AP233" i="4"/>
  <c r="AP234" i="4"/>
  <c r="AP235" i="4"/>
  <c r="AP236" i="4"/>
  <c r="AP237" i="4"/>
  <c r="AP238" i="4"/>
  <c r="AP239" i="4"/>
  <c r="AP240" i="4"/>
  <c r="AP241" i="4"/>
  <c r="AP242" i="4"/>
  <c r="AP243" i="4"/>
  <c r="AP244" i="4"/>
  <c r="AP245" i="4"/>
  <c r="AP246" i="4"/>
  <c r="AP247" i="4"/>
  <c r="AP248" i="4"/>
  <c r="AP249" i="4"/>
  <c r="AP250" i="4"/>
  <c r="AP251" i="4"/>
  <c r="AP252" i="4"/>
  <c r="AP255" i="4"/>
  <c r="AP257" i="4"/>
  <c r="AP258" i="4"/>
  <c r="AP259" i="4"/>
  <c r="AP260" i="4"/>
  <c r="AP261" i="4"/>
  <c r="AP262" i="4"/>
  <c r="AP263" i="4"/>
  <c r="AP264" i="4"/>
  <c r="AP265" i="4"/>
  <c r="AP266" i="4"/>
  <c r="AP267" i="4"/>
  <c r="AP268" i="4"/>
  <c r="AP269" i="4"/>
  <c r="AP270" i="4"/>
  <c r="AP271" i="4"/>
  <c r="AP272" i="4"/>
  <c r="AP273" i="4"/>
  <c r="AP274" i="4"/>
  <c r="AP275" i="4"/>
  <c r="AP276" i="4"/>
  <c r="AP277" i="4"/>
  <c r="AP278" i="4"/>
  <c r="AP279" i="4"/>
  <c r="AP280" i="4"/>
  <c r="AP281" i="4"/>
  <c r="AP282" i="4"/>
  <c r="AP283" i="4"/>
  <c r="AP284" i="4"/>
  <c r="AP285" i="4"/>
  <c r="AP286" i="4"/>
  <c r="AP287" i="4"/>
  <c r="AP288" i="4"/>
  <c r="L91" i="2" l="1"/>
  <c r="B11" i="5"/>
  <c r="C23" i="3"/>
  <c r="C24" i="3" s="1"/>
  <c r="I11" i="2"/>
  <c r="I7" i="2"/>
  <c r="I12" i="2"/>
  <c r="B8" i="5"/>
  <c r="I8" i="2"/>
  <c r="B12" i="5"/>
  <c r="L92" i="2" l="1"/>
  <c r="I15" i="2"/>
  <c r="B13" i="5"/>
  <c r="I13" i="2"/>
  <c r="B9" i="5"/>
  <c r="I9" i="2"/>
  <c r="L93" i="2" l="1"/>
  <c r="I16" i="2"/>
  <c r="I19" i="2"/>
  <c r="I14" i="2"/>
  <c r="I10" i="2"/>
  <c r="L94" i="2" l="1"/>
  <c r="I20" i="2"/>
  <c r="I23" i="2"/>
  <c r="I17" i="2"/>
  <c r="L95" i="2" l="1"/>
  <c r="I18" i="2"/>
  <c r="I27" i="2"/>
  <c r="I24" i="2"/>
  <c r="I21" i="2"/>
  <c r="L96" i="2" l="1"/>
  <c r="I22" i="2"/>
  <c r="I25" i="2"/>
  <c r="I28" i="2"/>
  <c r="I31" i="2"/>
  <c r="L97" i="2" l="1"/>
  <c r="I32" i="2"/>
  <c r="I35" i="2"/>
  <c r="I29" i="2"/>
  <c r="I26" i="2"/>
  <c r="L98" i="2" l="1"/>
  <c r="I39" i="2"/>
  <c r="I30" i="2"/>
  <c r="I36" i="2"/>
  <c r="I33" i="2"/>
  <c r="L99" i="2" l="1"/>
  <c r="I34" i="2"/>
  <c r="I40" i="2"/>
  <c r="I37" i="2"/>
  <c r="I43" i="2"/>
  <c r="L100" i="2" l="1"/>
  <c r="I44" i="2"/>
  <c r="I38" i="2"/>
  <c r="I41" i="2"/>
  <c r="I47" i="2"/>
  <c r="L101" i="2" l="1"/>
  <c r="I51" i="2"/>
  <c r="I45" i="2"/>
  <c r="I42" i="2"/>
  <c r="I48" i="2"/>
  <c r="L102" i="2" l="1"/>
  <c r="I52" i="2"/>
  <c r="I49" i="2"/>
  <c r="I46" i="2"/>
  <c r="I55" i="2"/>
  <c r="L103" i="2" l="1"/>
  <c r="I59" i="2"/>
  <c r="I50" i="2"/>
  <c r="I56" i="2"/>
  <c r="I53" i="2"/>
  <c r="L104" i="2" l="1"/>
  <c r="I54" i="2"/>
  <c r="I57" i="2"/>
  <c r="I60" i="2"/>
  <c r="I63" i="2"/>
  <c r="L105" i="2" l="1"/>
  <c r="I64" i="2"/>
  <c r="I67" i="2"/>
  <c r="I61" i="2"/>
  <c r="I58" i="2"/>
  <c r="L106" i="2" l="1"/>
  <c r="I71" i="2"/>
  <c r="I62" i="2"/>
  <c r="I68" i="2"/>
  <c r="I65" i="2"/>
  <c r="L107" i="2" l="1"/>
  <c r="I72" i="2"/>
  <c r="I69" i="2"/>
  <c r="I66" i="2"/>
  <c r="I75" i="2"/>
  <c r="L108" i="2" l="1"/>
  <c r="I76" i="2"/>
  <c r="I73" i="2"/>
  <c r="I70" i="2"/>
  <c r="I79" i="2"/>
  <c r="L109" i="2" l="1"/>
  <c r="I80" i="2"/>
  <c r="I74" i="2"/>
  <c r="I83" i="2"/>
  <c r="I77" i="2"/>
  <c r="L110" i="2" l="1"/>
  <c r="I78" i="2"/>
  <c r="I87" i="2"/>
  <c r="I84" i="2"/>
  <c r="I81" i="2"/>
  <c r="L111" i="2" l="1"/>
  <c r="I85" i="2"/>
  <c r="I82" i="2"/>
  <c r="I91" i="2"/>
  <c r="I88" i="2"/>
  <c r="L112" i="2" l="1"/>
  <c r="I86" i="2"/>
  <c r="I89" i="2"/>
  <c r="I92" i="2"/>
  <c r="I95" i="2"/>
  <c r="L113" i="2" l="1"/>
  <c r="I99" i="2"/>
  <c r="I96" i="2"/>
  <c r="I93" i="2"/>
  <c r="I90" i="2"/>
  <c r="L114" i="2" l="1"/>
  <c r="I97" i="2"/>
  <c r="I94" i="2"/>
  <c r="I103" i="2"/>
  <c r="I100" i="2"/>
  <c r="L115" i="2" l="1"/>
  <c r="I101" i="2"/>
  <c r="I98" i="2"/>
  <c r="I107" i="2"/>
  <c r="I104" i="2"/>
  <c r="L116" i="2" l="1"/>
  <c r="I105" i="2"/>
  <c r="I111" i="2"/>
  <c r="I108" i="2"/>
  <c r="I102" i="2"/>
  <c r="L117" i="2" l="1"/>
  <c r="I112" i="2"/>
  <c r="I109" i="2"/>
  <c r="I115" i="2"/>
  <c r="I106" i="2"/>
  <c r="L118" i="2" l="1"/>
  <c r="I116" i="2"/>
  <c r="I119" i="2"/>
  <c r="I110" i="2"/>
  <c r="I113" i="2"/>
  <c r="L119" i="2" l="1"/>
  <c r="I114" i="2"/>
  <c r="I120" i="2"/>
  <c r="I123" i="2"/>
  <c r="I117" i="2"/>
  <c r="L120" i="2" l="1"/>
  <c r="I124" i="2"/>
  <c r="I118" i="2"/>
  <c r="I127" i="2"/>
  <c r="I121" i="2"/>
  <c r="L121" i="2" l="1"/>
  <c r="I122" i="2"/>
  <c r="I131" i="2"/>
  <c r="I128" i="2"/>
  <c r="I125" i="2"/>
  <c r="L122" i="2" l="1"/>
  <c r="I126" i="2"/>
  <c r="I129" i="2"/>
  <c r="I132" i="2"/>
  <c r="L123" i="2" l="1"/>
  <c r="I133" i="2"/>
  <c r="I130" i="2"/>
  <c r="L124" i="2" l="1"/>
  <c r="I134" i="2"/>
  <c r="L125" i="2" l="1"/>
  <c r="L126" i="2" l="1"/>
  <c r="L127" i="2" l="1"/>
  <c r="L128" i="2" l="1"/>
  <c r="L129" i="2" l="1"/>
  <c r="L130" i="2" l="1"/>
  <c r="L131" i="2" l="1"/>
  <c r="L132" i="2" l="1"/>
  <c r="L133" i="2" l="1"/>
  <c r="L134" i="2" l="1"/>
  <c r="L135" i="2" l="1"/>
  <c r="L136" i="2" l="1"/>
  <c r="L137" i="2" l="1"/>
  <c r="L138" i="2" l="1"/>
  <c r="L139" i="2" l="1"/>
  <c r="L140" i="2" l="1"/>
  <c r="L141" i="2" l="1"/>
  <c r="L142" i="2" l="1"/>
  <c r="L143" i="2" l="1"/>
  <c r="L144" i="2" l="1"/>
  <c r="L145" i="2" l="1"/>
  <c r="L146" i="2" l="1"/>
  <c r="L147" i="2" l="1"/>
  <c r="L148" i="2" l="1"/>
  <c r="L149" i="2" l="1"/>
  <c r="L150" i="2" l="1"/>
  <c r="L151" i="2" l="1"/>
  <c r="L152" i="2" l="1"/>
  <c r="L153" i="2" l="1"/>
  <c r="L154" i="2" l="1"/>
  <c r="L155" i="2" l="1"/>
  <c r="L156" i="2" l="1"/>
  <c r="L157" i="2" l="1"/>
  <c r="L158" i="2" l="1"/>
  <c r="L159" i="2" l="1"/>
  <c r="L160" i="2" l="1"/>
  <c r="L161" i="2" l="1"/>
  <c r="L162" i="2" l="1"/>
  <c r="L163" i="2" l="1"/>
  <c r="L164" i="2" l="1"/>
  <c r="L165" i="2" l="1"/>
  <c r="L166" i="2" l="1"/>
  <c r="L167" i="2" l="1"/>
  <c r="L168" i="2" l="1"/>
  <c r="L169" i="2" l="1"/>
  <c r="L170" i="2" l="1"/>
  <c r="L171" i="2" l="1"/>
  <c r="L172" i="2" l="1"/>
  <c r="L173" i="2" l="1"/>
  <c r="L174" i="2" l="1"/>
  <c r="L175" i="2" l="1"/>
  <c r="L176" i="2" l="1"/>
  <c r="L177" i="2" l="1"/>
  <c r="L178" i="2" l="1"/>
  <c r="L179" i="2" l="1"/>
  <c r="L180" i="2" l="1"/>
  <c r="L181" i="2" l="1"/>
  <c r="L182" i="2" l="1"/>
  <c r="L183" i="2" l="1"/>
  <c r="L184" i="2" l="1"/>
  <c r="L185" i="2" l="1"/>
  <c r="L186" i="2" l="1"/>
  <c r="L187" i="2" l="1"/>
  <c r="L188" i="2" l="1"/>
  <c r="L189" i="2" l="1"/>
  <c r="L190" i="2" l="1"/>
  <c r="L191" i="2" l="1"/>
  <c r="L192" i="2" l="1"/>
  <c r="L193" i="2" l="1"/>
  <c r="L194" i="2" l="1"/>
  <c r="L195" i="2" l="1"/>
  <c r="L196" i="2" l="1"/>
  <c r="L197" i="2" l="1"/>
  <c r="L198" i="2" l="1"/>
  <c r="L199" i="2" l="1"/>
  <c r="L200" i="2" l="1"/>
  <c r="L201" i="2" l="1"/>
  <c r="L202" i="2" l="1"/>
  <c r="L203" i="2" l="1"/>
  <c r="L204" i="2" l="1"/>
  <c r="L205" i="2" l="1"/>
  <c r="L206" i="2" l="1"/>
  <c r="L207" i="2" l="1"/>
  <c r="L208" i="2" l="1"/>
  <c r="L209" i="2" l="1"/>
  <c r="L210" i="2" l="1"/>
  <c r="L211" i="2" l="1"/>
  <c r="L212" i="2" l="1"/>
  <c r="L213" i="2" l="1"/>
  <c r="L214" i="2" l="1"/>
  <c r="L215" i="2" l="1"/>
  <c r="L216" i="2" l="1"/>
  <c r="L217" i="2" l="1"/>
  <c r="L218" i="2" l="1"/>
  <c r="L219" i="2" l="1"/>
  <c r="L220" i="2" l="1"/>
  <c r="L221" i="2" l="1"/>
  <c r="L222" i="2" l="1"/>
  <c r="L223" i="2" l="1"/>
  <c r="L224" i="2" l="1"/>
  <c r="L225" i="2" l="1"/>
  <c r="L226" i="2" l="1"/>
  <c r="L227" i="2" l="1"/>
  <c r="L228" i="2" l="1"/>
  <c r="L229" i="2" l="1"/>
  <c r="L230" i="2" l="1"/>
  <c r="L231" i="2" l="1"/>
  <c r="L232" i="2" l="1"/>
  <c r="L233" i="2" l="1"/>
  <c r="L234" i="2" l="1"/>
  <c r="L235" i="2" l="1"/>
  <c r="L236" i="2" l="1"/>
  <c r="L237" i="2" l="1"/>
  <c r="L238" i="2" l="1"/>
  <c r="L239" i="2" l="1"/>
  <c r="L240" i="2" l="1"/>
  <c r="L241" i="2" l="1"/>
  <c r="L242" i="2" l="1"/>
  <c r="L243" i="2" l="1"/>
  <c r="L244" i="2" l="1"/>
  <c r="L245" i="2" l="1"/>
  <c r="L246" i="2" l="1"/>
  <c r="L247" i="2" l="1"/>
  <c r="L248" i="2" l="1"/>
  <c r="L249" i="2" l="1"/>
  <c r="L250" i="2" l="1"/>
  <c r="L251" i="2" l="1"/>
  <c r="L252" i="2" l="1"/>
  <c r="L253" i="2" l="1"/>
  <c r="L254" i="2" l="1"/>
  <c r="L255" i="2" l="1"/>
  <c r="L256" i="2" l="1"/>
  <c r="L257" i="2" l="1"/>
  <c r="L258" i="2" l="1"/>
  <c r="L259" i="2" l="1"/>
  <c r="L260" i="2" l="1"/>
  <c r="L261" i="2" l="1"/>
  <c r="L262" i="2" l="1"/>
  <c r="L263" i="2" l="1"/>
  <c r="L264" i="2" l="1"/>
  <c r="L265" i="2" l="1"/>
  <c r="L266" i="2" l="1"/>
  <c r="L267" i="2" l="1"/>
  <c r="L268" i="2" l="1"/>
  <c r="L269" i="2" l="1"/>
  <c r="L270" i="2" l="1"/>
  <c r="L271" i="2" l="1"/>
  <c r="L272" i="2" l="1"/>
  <c r="L273" i="2" l="1"/>
  <c r="L274" i="2" l="1"/>
  <c r="L275" i="2" l="1"/>
  <c r="L276" i="2" l="1"/>
  <c r="L277" i="2" l="1"/>
  <c r="L278" i="2" l="1"/>
  <c r="L279" i="2" l="1"/>
  <c r="L280" i="2" l="1"/>
  <c r="L281" i="2" l="1"/>
  <c r="L282" i="2" l="1"/>
  <c r="L283" i="2" l="1"/>
  <c r="L284" i="2" l="1"/>
  <c r="L285" i="2" l="1"/>
  <c r="L286" i="2" l="1"/>
  <c r="L287" i="2" l="1"/>
  <c r="L288" i="2" l="1"/>
  <c r="L289" i="2" l="1"/>
  <c r="L290" i="2" l="1"/>
  <c r="L291" i="2" l="1"/>
  <c r="L292" i="2" l="1"/>
  <c r="L293" i="2" l="1"/>
  <c r="L294" i="2" l="1"/>
  <c r="L295" i="2" l="1"/>
  <c r="L296" i="2" l="1"/>
  <c r="L297" i="2" l="1"/>
  <c r="L298" i="2" l="1"/>
  <c r="L299" i="2" l="1"/>
  <c r="L300" i="2" l="1"/>
  <c r="L301" i="2" l="1"/>
  <c r="L302" i="2" l="1"/>
  <c r="L303" i="2" l="1"/>
  <c r="L304" i="2" l="1"/>
  <c r="L305" i="2" l="1"/>
  <c r="L306" i="2" l="1"/>
  <c r="L307" i="2" l="1"/>
  <c r="L308" i="2" l="1"/>
  <c r="L309" i="2" l="1"/>
  <c r="L310" i="2" l="1"/>
  <c r="L311" i="2" l="1"/>
  <c r="L312" i="2" l="1"/>
  <c r="L313" i="2" l="1"/>
  <c r="L314" i="2" l="1"/>
  <c r="L315" i="2" l="1"/>
  <c r="L316" i="2" l="1"/>
  <c r="L317" i="2" l="1"/>
  <c r="L318" i="2" l="1"/>
  <c r="L319" i="2" l="1"/>
  <c r="L320" i="2" l="1"/>
  <c r="L321" i="2" l="1"/>
  <c r="L322" i="2" l="1"/>
  <c r="L323" i="2" l="1"/>
  <c r="L324" i="2" l="1"/>
  <c r="L325" i="2" l="1"/>
  <c r="L326" i="2" l="1"/>
  <c r="L327" i="2" l="1"/>
  <c r="L328" i="2" l="1"/>
  <c r="L329" i="2" l="1"/>
  <c r="L330" i="2" l="1"/>
  <c r="L331" i="2" l="1"/>
  <c r="L332" i="2" l="1"/>
  <c r="L333" i="2" l="1"/>
  <c r="L334" i="2" l="1"/>
  <c r="L335" i="2" l="1"/>
  <c r="L336" i="2" l="1"/>
  <c r="L337" i="2" l="1"/>
  <c r="L338" i="2" l="1"/>
  <c r="L339" i="2" l="1"/>
  <c r="L340" i="2" l="1"/>
  <c r="L341" i="2" l="1"/>
  <c r="L342" i="2" l="1"/>
  <c r="L343" i="2" l="1"/>
  <c r="L344" i="2" l="1"/>
  <c r="L345" i="2" l="1"/>
  <c r="L346" i="2" l="1"/>
  <c r="L347" i="2" l="1"/>
  <c r="L348" i="2" l="1"/>
  <c r="L349" i="2" l="1"/>
  <c r="L350" i="2" l="1"/>
  <c r="L351" i="2" l="1"/>
  <c r="L352" i="2" l="1"/>
  <c r="L353" i="2" l="1"/>
  <c r="L354" i="2" l="1"/>
  <c r="L355" i="2" l="1"/>
  <c r="L356" i="2" l="1"/>
  <c r="L357" i="2" l="1"/>
  <c r="L358" i="2" l="1"/>
  <c r="L359" i="2" l="1"/>
  <c r="L360" i="2" l="1"/>
  <c r="L361" i="2" l="1"/>
  <c r="L362" i="2" l="1"/>
  <c r="L363" i="2" l="1"/>
  <c r="L364" i="2" l="1"/>
  <c r="L365" i="2" l="1"/>
  <c r="L366" i="2" l="1"/>
  <c r="L367" i="2" l="1"/>
  <c r="L368" i="2" l="1"/>
  <c r="L369" i="2" l="1"/>
  <c r="L370" i="2" l="1"/>
  <c r="L371" i="2" l="1"/>
  <c r="L372" i="2" l="1"/>
  <c r="L373" i="2" l="1"/>
  <c r="L374" i="2" l="1"/>
  <c r="L375" i="2" l="1"/>
  <c r="L376" i="2" l="1"/>
  <c r="L377" i="2" l="1"/>
  <c r="L378" i="2" l="1"/>
  <c r="L379" i="2" l="1"/>
  <c r="L380" i="2" l="1"/>
  <c r="L381" i="2" l="1"/>
  <c r="L382" i="2" l="1"/>
  <c r="L383" i="2" l="1"/>
  <c r="L384" i="2" l="1"/>
  <c r="L385" i="2" l="1"/>
  <c r="L386" i="2" l="1"/>
  <c r="L387" i="2" l="1"/>
  <c r="L388" i="2" l="1"/>
  <c r="L389" i="2" l="1"/>
  <c r="L390" i="2" l="1"/>
  <c r="L391" i="2" l="1"/>
  <c r="L392" i="2" l="1"/>
  <c r="L393" i="2" l="1"/>
  <c r="L394" i="2" l="1"/>
  <c r="L395" i="2" l="1"/>
  <c r="L396" i="2" l="1"/>
  <c r="L397" i="2" l="1"/>
  <c r="L398" i="2" l="1"/>
  <c r="L399" i="2" l="1"/>
  <c r="L400" i="2" l="1"/>
  <c r="L401" i="2" l="1"/>
  <c r="L402" i="2" l="1"/>
  <c r="L403" i="2" l="1"/>
  <c r="L404" i="2" l="1"/>
  <c r="L405" i="2" l="1"/>
  <c r="L406" i="2" l="1"/>
  <c r="L407" i="2" l="1"/>
  <c r="L408" i="2" l="1"/>
  <c r="L409" i="2" l="1"/>
  <c r="L410" i="2" l="1"/>
  <c r="L411" i="2" l="1"/>
  <c r="L412" i="2" l="1"/>
  <c r="L413" i="2" l="1"/>
  <c r="L414" i="2" l="1"/>
  <c r="L415" i="2" l="1"/>
  <c r="L416" i="2" l="1"/>
  <c r="L417" i="2" l="1"/>
  <c r="L418" i="2" l="1"/>
  <c r="L419" i="2" l="1"/>
  <c r="L420" i="2" l="1"/>
  <c r="L421" i="2" l="1"/>
  <c r="L422" i="2" l="1"/>
  <c r="L423" i="2" l="1"/>
  <c r="L424" i="2" l="1"/>
  <c r="L425" i="2" l="1"/>
  <c r="L426" i="2" l="1"/>
  <c r="L427" i="2" l="1"/>
  <c r="L428" i="2" l="1"/>
  <c r="L429" i="2" l="1"/>
  <c r="L430" i="2" l="1"/>
  <c r="L431" i="2" l="1"/>
  <c r="L432" i="2" l="1"/>
  <c r="L433" i="2" l="1"/>
  <c r="L434" i="2" l="1"/>
  <c r="L435" i="2" l="1"/>
  <c r="L436" i="2" l="1"/>
  <c r="L437" i="2" l="1"/>
  <c r="L438" i="2" l="1"/>
  <c r="L439" i="2" l="1"/>
  <c r="L440" i="2" l="1"/>
  <c r="L441" i="2" l="1"/>
  <c r="L442" i="2" l="1"/>
  <c r="L443" i="2" l="1"/>
  <c r="L444" i="2" l="1"/>
  <c r="L445" i="2" l="1"/>
  <c r="L446" i="2" l="1"/>
  <c r="L447" i="2" l="1"/>
  <c r="L448" i="2" l="1"/>
  <c r="L449" i="2" l="1"/>
  <c r="L450" i="2" l="1"/>
  <c r="L451" i="2" l="1"/>
  <c r="L452" i="2" l="1"/>
  <c r="L453" i="2" l="1"/>
  <c r="L454" i="2" l="1"/>
  <c r="L455" i="2" l="1"/>
  <c r="L456" i="2" l="1"/>
  <c r="L457" i="2" l="1"/>
  <c r="L458" i="2" l="1"/>
  <c r="L459" i="2" l="1"/>
  <c r="L460" i="2" l="1"/>
  <c r="L461" i="2" l="1"/>
  <c r="L462" i="2" l="1"/>
  <c r="L463" i="2" l="1"/>
  <c r="L464" i="2" l="1"/>
  <c r="L465" i="2" l="1"/>
  <c r="L466" i="2" l="1"/>
  <c r="L467" i="2" l="1"/>
  <c r="L468" i="2" l="1"/>
  <c r="L469" i="2" l="1"/>
  <c r="L470" i="2" l="1"/>
  <c r="L471" i="2" l="1"/>
  <c r="L472" i="2" l="1"/>
  <c r="L473" i="2" l="1"/>
  <c r="L474" i="2" l="1"/>
  <c r="L475" i="2" l="1"/>
  <c r="L476" i="2" l="1"/>
  <c r="L477" i="2" l="1"/>
  <c r="L478" i="2" l="1"/>
  <c r="L479" i="2" l="1"/>
  <c r="L480" i="2" l="1"/>
  <c r="L481" i="2" l="1"/>
  <c r="L482" i="2" l="1"/>
  <c r="L483" i="2" l="1"/>
  <c r="L484" i="2" l="1"/>
  <c r="L485" i="2" l="1"/>
  <c r="L486" i="2" l="1"/>
  <c r="L487" i="2" l="1"/>
  <c r="L488" i="2" l="1"/>
  <c r="L489" i="2" l="1"/>
  <c r="L490" i="2" l="1"/>
  <c r="L491" i="2" l="1"/>
  <c r="L492" i="2" l="1"/>
  <c r="L493" i="2" l="1"/>
  <c r="L494" i="2" l="1"/>
  <c r="L495" i="2" l="1"/>
  <c r="L496" i="2" l="1"/>
  <c r="L497" i="2" l="1"/>
  <c r="L498" i="2" l="1"/>
  <c r="L499" i="2" l="1"/>
  <c r="L500" i="2" l="1"/>
  <c r="L501" i="2" l="1"/>
  <c r="L502" i="2" l="1"/>
  <c r="L503" i="2" l="1"/>
  <c r="L504" i="2" l="1"/>
  <c r="L505" i="2" l="1"/>
  <c r="L506" i="2" l="1"/>
  <c r="L507" i="2" l="1"/>
  <c r="L508" i="2" l="1"/>
  <c r="L509" i="2" l="1"/>
  <c r="L510" i="2" l="1"/>
  <c r="L511" i="2" l="1"/>
  <c r="L512" i="2" l="1"/>
  <c r="L513" i="2" l="1"/>
  <c r="L514" i="2" l="1"/>
  <c r="L515" i="2" l="1"/>
  <c r="L516" i="2" l="1"/>
  <c r="L517" i="2" l="1"/>
  <c r="L518" i="2" l="1"/>
  <c r="L519" i="2" l="1"/>
  <c r="L520" i="2" l="1"/>
  <c r="L521" i="2" l="1"/>
  <c r="L522" i="2" l="1"/>
  <c r="L523" i="2" l="1"/>
  <c r="L524" i="2" l="1"/>
  <c r="L525" i="2" l="1"/>
  <c r="L526" i="2" l="1"/>
  <c r="L527" i="2" l="1"/>
  <c r="L528" i="2" l="1"/>
  <c r="L529" i="2" l="1"/>
  <c r="L530" i="2" l="1"/>
  <c r="L531" i="2" l="1"/>
  <c r="L532" i="2" l="1"/>
  <c r="L533" i="2" l="1"/>
  <c r="L534" i="2" l="1"/>
  <c r="L535" i="2" l="1"/>
  <c r="L536" i="2" l="1"/>
  <c r="L537" i="2" l="1"/>
  <c r="L538" i="2" l="1"/>
  <c r="L539" i="2" l="1"/>
  <c r="L540" i="2" l="1"/>
  <c r="L541" i="2" l="1"/>
  <c r="L542" i="2" l="1"/>
  <c r="L543" i="2" l="1"/>
  <c r="L544" i="2" l="1"/>
  <c r="L545" i="2" l="1"/>
  <c r="L546" i="2" l="1"/>
  <c r="L547" i="2" l="1"/>
  <c r="L548" i="2" l="1"/>
  <c r="L549" i="2" l="1"/>
  <c r="L550" i="2" l="1"/>
  <c r="L551" i="2" l="1"/>
  <c r="L552" i="2" l="1"/>
  <c r="L553" i="2" l="1"/>
  <c r="L554" i="2" l="1"/>
  <c r="L555" i="2" l="1"/>
  <c r="L556" i="2" l="1"/>
  <c r="L557" i="2" l="1"/>
  <c r="L558" i="2" l="1"/>
  <c r="L559" i="2" l="1"/>
  <c r="L560" i="2" l="1"/>
  <c r="L561" i="2" l="1"/>
  <c r="L562" i="2" l="1"/>
  <c r="L563" i="2" l="1"/>
  <c r="L564" i="2" l="1"/>
  <c r="L565" i="2" l="1"/>
  <c r="L566" i="2" l="1"/>
  <c r="L567" i="2" l="1"/>
  <c r="L568" i="2" l="1"/>
  <c r="L569" i="2" l="1"/>
  <c r="L570" i="2" l="1"/>
  <c r="L571" i="2" l="1"/>
  <c r="L572" i="2" l="1"/>
  <c r="L573" i="2" l="1"/>
  <c r="L574" i="2" l="1"/>
  <c r="L575" i="2" l="1"/>
  <c r="L576" i="2" l="1"/>
  <c r="L577" i="2" l="1"/>
  <c r="L578" i="2" l="1"/>
  <c r="L579" i="2" l="1"/>
  <c r="L580" i="2" l="1"/>
  <c r="L581" i="2" l="1"/>
  <c r="L582" i="2" l="1"/>
  <c r="L583" i="2" l="1"/>
  <c r="L584" i="2" l="1"/>
  <c r="L585" i="2" l="1"/>
  <c r="L586" i="2" l="1"/>
  <c r="L587" i="2" l="1"/>
  <c r="L588" i="2" l="1"/>
  <c r="L589" i="2" l="1"/>
  <c r="L590" i="2" l="1"/>
  <c r="L591" i="2" l="1"/>
  <c r="L592" i="2" l="1"/>
  <c r="L593" i="2" l="1"/>
  <c r="L594" i="2" l="1"/>
  <c r="L595" i="2" l="1"/>
  <c r="L596" i="2" l="1"/>
  <c r="L597" i="2" l="1"/>
  <c r="L598" i="2" l="1"/>
  <c r="L599" i="2" l="1"/>
  <c r="L600" i="2" l="1"/>
  <c r="L601" i="2" l="1"/>
  <c r="L602" i="2" l="1"/>
  <c r="L603" i="2" l="1"/>
  <c r="L604" i="2" l="1"/>
  <c r="L605" i="2" l="1"/>
  <c r="L606" i="2" l="1"/>
  <c r="L607" i="2" l="1"/>
  <c r="L608" i="2" l="1"/>
  <c r="L609" i="2" l="1"/>
  <c r="L610" i="2" l="1"/>
  <c r="L611" i="2" l="1"/>
  <c r="L612" i="2" l="1"/>
  <c r="L613" i="2" l="1"/>
  <c r="L614" i="2" l="1"/>
  <c r="L615" i="2" l="1"/>
  <c r="L616" i="2" l="1"/>
  <c r="L617" i="2" l="1"/>
  <c r="L618" i="2" l="1"/>
  <c r="L619" i="2" l="1"/>
  <c r="L620" i="2" l="1"/>
  <c r="L621" i="2" l="1"/>
  <c r="L622" i="2" l="1"/>
  <c r="L623" i="2" l="1"/>
  <c r="L624" i="2" l="1"/>
  <c r="L625" i="2" l="1"/>
  <c r="L626" i="2" l="1"/>
  <c r="L627" i="2" l="1"/>
  <c r="L628" i="2" l="1"/>
  <c r="L629" i="2" l="1"/>
  <c r="L630" i="2" l="1"/>
  <c r="L631" i="2" l="1"/>
  <c r="L632" i="2" l="1"/>
  <c r="L633" i="2" l="1"/>
  <c r="L634" i="2" l="1"/>
  <c r="L635" i="2" l="1"/>
  <c r="L636" i="2" l="1"/>
  <c r="L637" i="2" l="1"/>
  <c r="L638" i="2" l="1"/>
  <c r="L639" i="2" l="1"/>
  <c r="L640" i="2" l="1"/>
  <c r="L641" i="2" l="1"/>
  <c r="L642" i="2" l="1"/>
  <c r="L643" i="2" l="1"/>
  <c r="L644" i="2" l="1"/>
  <c r="L645" i="2" l="1"/>
  <c r="L646" i="2" l="1"/>
  <c r="L647" i="2" l="1"/>
  <c r="L648" i="2" l="1"/>
  <c r="L649" i="2" l="1"/>
  <c r="L650" i="2" l="1"/>
  <c r="L651" i="2" l="1"/>
  <c r="L652" i="2" l="1"/>
  <c r="L653" i="2" l="1"/>
  <c r="L654" i="2" l="1"/>
  <c r="L655" i="2" l="1"/>
  <c r="L656" i="2" l="1"/>
  <c r="L657" i="2" l="1"/>
  <c r="L658" i="2" l="1"/>
  <c r="L659" i="2" l="1"/>
  <c r="L660" i="2" l="1"/>
  <c r="L661" i="2" l="1"/>
  <c r="L662" i="2" l="1"/>
  <c r="L663" i="2" l="1"/>
  <c r="L664" i="2" l="1"/>
  <c r="L665" i="2" l="1"/>
  <c r="L666" i="2" l="1"/>
  <c r="L667" i="2" l="1"/>
  <c r="L668" i="2" l="1"/>
  <c r="L669" i="2" l="1"/>
  <c r="L670" i="2" l="1"/>
  <c r="L671" i="2" l="1"/>
  <c r="L672" i="2" l="1"/>
  <c r="L673" i="2" l="1"/>
  <c r="L674" i="2" l="1"/>
  <c r="L675" i="2" l="1"/>
  <c r="L676" i="2" l="1"/>
  <c r="L677" i="2" l="1"/>
  <c r="L678" i="2" l="1"/>
  <c r="L679" i="2" l="1"/>
  <c r="L680" i="2" l="1"/>
  <c r="L681" i="2" l="1"/>
  <c r="L682" i="2" l="1"/>
  <c r="L683" i="2" l="1"/>
  <c r="L684" i="2" l="1"/>
  <c r="L685" i="2" l="1"/>
  <c r="L686" i="2" l="1"/>
  <c r="L687" i="2" l="1"/>
  <c r="L688" i="2" l="1"/>
  <c r="L689" i="2" l="1"/>
  <c r="L690" i="2" l="1"/>
  <c r="L691" i="2" l="1"/>
  <c r="L692" i="2" l="1"/>
  <c r="L693" i="2" l="1"/>
  <c r="L694" i="2" l="1"/>
  <c r="L695" i="2" l="1"/>
  <c r="L696" i="2" l="1"/>
  <c r="L697" i="2" l="1"/>
  <c r="L698" i="2" l="1"/>
  <c r="L699" i="2" l="1"/>
  <c r="L700" i="2" l="1"/>
  <c r="L701" i="2" l="1"/>
  <c r="L702" i="2" l="1"/>
  <c r="L703" i="2" l="1"/>
  <c r="L704" i="2" l="1"/>
  <c r="L705" i="2" l="1"/>
  <c r="L706" i="2" l="1"/>
  <c r="L707" i="2" l="1"/>
  <c r="L708" i="2" l="1"/>
  <c r="L709" i="2" l="1"/>
  <c r="L710" i="2" l="1"/>
  <c r="L711" i="2" l="1"/>
  <c r="L712" i="2" l="1"/>
  <c r="L713" i="2" l="1"/>
  <c r="L714" i="2" l="1"/>
  <c r="L715" i="2" l="1"/>
  <c r="L716" i="2" l="1"/>
  <c r="L717" i="2" l="1"/>
  <c r="L718" i="2" l="1"/>
  <c r="L719" i="2" l="1"/>
  <c r="L720" i="2" l="1"/>
  <c r="L721" i="2" l="1"/>
  <c r="L722" i="2" l="1"/>
  <c r="L723" i="2" l="1"/>
  <c r="L724" i="2" l="1"/>
  <c r="L725" i="2" l="1"/>
  <c r="L726" i="2" l="1"/>
  <c r="L727" i="2" l="1"/>
  <c r="L728" i="2" l="1"/>
  <c r="L729" i="2" l="1"/>
  <c r="L730" i="2" l="1"/>
  <c r="L731" i="2" l="1"/>
  <c r="L732" i="2" l="1"/>
  <c r="L733" i="2" l="1"/>
  <c r="L734" i="2" l="1"/>
  <c r="L735" i="2" l="1"/>
  <c r="L736" i="2" l="1"/>
  <c r="L737" i="2" l="1"/>
  <c r="L738" i="2" l="1"/>
  <c r="L739" i="2" l="1"/>
  <c r="L740" i="2" l="1"/>
  <c r="L741" i="2" l="1"/>
  <c r="L742" i="2" l="1"/>
  <c r="L743" i="2" l="1"/>
  <c r="L744" i="2" l="1"/>
  <c r="L745" i="2" l="1"/>
  <c r="L746" i="2" l="1"/>
  <c r="L747" i="2" l="1"/>
  <c r="L748" i="2" l="1"/>
  <c r="L749" i="2" l="1"/>
  <c r="L750" i="2" l="1"/>
  <c r="L751" i="2" l="1"/>
  <c r="L752" i="2" l="1"/>
  <c r="L753" i="2" l="1"/>
  <c r="L754" i="2" l="1"/>
  <c r="L755" i="2" l="1"/>
  <c r="L756" i="2" l="1"/>
  <c r="L757" i="2" l="1"/>
  <c r="L758" i="2" l="1"/>
  <c r="L759" i="2" l="1"/>
  <c r="L760" i="2" l="1"/>
  <c r="L761" i="2" l="1"/>
  <c r="L762" i="2" l="1"/>
  <c r="L763" i="2" l="1"/>
  <c r="L764" i="2" l="1"/>
  <c r="L765" i="2" l="1"/>
  <c r="L766" i="2" l="1"/>
  <c r="L767" i="2" l="1"/>
  <c r="L768" i="2" l="1"/>
  <c r="L769" i="2" l="1"/>
  <c r="L770" i="2" l="1"/>
  <c r="L771" i="2" l="1"/>
  <c r="L772" i="2" l="1"/>
  <c r="L773" i="2" l="1"/>
  <c r="L774" i="2" l="1"/>
  <c r="L775" i="2" l="1"/>
  <c r="L776" i="2" l="1"/>
  <c r="L777" i="2" l="1"/>
  <c r="L778" i="2" l="1"/>
  <c r="L779" i="2" l="1"/>
  <c r="L780" i="2" l="1"/>
  <c r="L781" i="2" l="1"/>
  <c r="L782" i="2" l="1"/>
  <c r="L783" i="2" l="1"/>
  <c r="L784" i="2" l="1"/>
  <c r="L785" i="2" l="1"/>
  <c r="L786" i="2" l="1"/>
  <c r="L787" i="2" l="1"/>
  <c r="L788" i="2" l="1"/>
  <c r="L789" i="2" l="1"/>
  <c r="L790" i="2" l="1"/>
  <c r="L791" i="2" l="1"/>
  <c r="L792" i="2" l="1"/>
  <c r="L793" i="2" l="1"/>
  <c r="L794" i="2" l="1"/>
  <c r="L795" i="2" l="1"/>
  <c r="L796" i="2" l="1"/>
  <c r="L797" i="2" l="1"/>
  <c r="L798" i="2" l="1"/>
  <c r="L799" i="2" l="1"/>
  <c r="L800" i="2" l="1"/>
  <c r="L801" i="2" l="1"/>
  <c r="L802" i="2" l="1"/>
  <c r="L803" i="2" l="1"/>
  <c r="L804" i="2" l="1"/>
  <c r="L805" i="2" l="1"/>
  <c r="L806" i="2" l="1"/>
  <c r="L807" i="2" l="1"/>
  <c r="L808" i="2" l="1"/>
  <c r="L809" i="2" l="1"/>
  <c r="L810" i="2" l="1"/>
  <c r="L811" i="2" l="1"/>
  <c r="L812" i="2" l="1"/>
  <c r="L813" i="2" l="1"/>
  <c r="L814" i="2" l="1"/>
  <c r="L815" i="2" l="1"/>
  <c r="L816" i="2" l="1"/>
  <c r="L817" i="2" l="1"/>
  <c r="L818" i="2" l="1"/>
  <c r="L819" i="2" l="1"/>
  <c r="L820" i="2" l="1"/>
  <c r="L821" i="2" l="1"/>
  <c r="L822" i="2" l="1"/>
  <c r="L823" i="2" l="1"/>
  <c r="L824" i="2" l="1"/>
  <c r="L825" i="2" l="1"/>
  <c r="L826" i="2" l="1"/>
  <c r="L827" i="2" l="1"/>
  <c r="L828" i="2" l="1"/>
  <c r="L829" i="2" l="1"/>
  <c r="L830" i="2" l="1"/>
  <c r="L831" i="2" l="1"/>
  <c r="L832" i="2" l="1"/>
  <c r="L833" i="2" l="1"/>
  <c r="L834" i="2" l="1"/>
  <c r="L835" i="2" l="1"/>
  <c r="L836" i="2" l="1"/>
  <c r="L837" i="2" l="1"/>
  <c r="L838" i="2" l="1"/>
  <c r="L839" i="2" l="1"/>
  <c r="L840" i="2" l="1"/>
  <c r="L841" i="2" l="1"/>
  <c r="L842" i="2" l="1"/>
  <c r="L843" i="2" l="1"/>
  <c r="L844" i="2" l="1"/>
  <c r="L845" i="2" l="1"/>
  <c r="L846" i="2" l="1"/>
  <c r="L847" i="2" l="1"/>
  <c r="L848" i="2" l="1"/>
  <c r="L849" i="2" l="1"/>
  <c r="L850" i="2" l="1"/>
  <c r="L851" i="2" l="1"/>
  <c r="L852" i="2" l="1"/>
  <c r="L853" i="2" l="1"/>
  <c r="L854" i="2" l="1"/>
  <c r="L855" i="2" l="1"/>
  <c r="L856" i="2" l="1"/>
  <c r="L857" i="2" l="1"/>
  <c r="L858" i="2" l="1"/>
  <c r="L859" i="2" l="1"/>
  <c r="L860" i="2" l="1"/>
  <c r="L861" i="2" l="1"/>
  <c r="L862" i="2" l="1"/>
  <c r="L863" i="2" l="1"/>
  <c r="L864" i="2" l="1"/>
  <c r="L865" i="2" l="1"/>
  <c r="L866" i="2" l="1"/>
  <c r="L867" i="2" l="1"/>
  <c r="L868" i="2" l="1"/>
  <c r="L869" i="2" l="1"/>
  <c r="L870" i="2" l="1"/>
  <c r="L871" i="2" l="1"/>
  <c r="L872" i="2" l="1"/>
  <c r="L873" i="2" l="1"/>
  <c r="L874" i="2" l="1"/>
  <c r="L875" i="2" l="1"/>
  <c r="L876" i="2" l="1"/>
  <c r="L877" i="2" l="1"/>
  <c r="L878" i="2" l="1"/>
  <c r="L879" i="2" l="1"/>
  <c r="L880" i="2" l="1"/>
  <c r="L881" i="2" l="1"/>
  <c r="L882" i="2" l="1"/>
  <c r="L883" i="2" l="1"/>
  <c r="L884" i="2" l="1"/>
  <c r="L885" i="2" l="1"/>
  <c r="L886" i="2" l="1"/>
  <c r="L887" i="2" l="1"/>
  <c r="L888" i="2" l="1"/>
  <c r="L889" i="2" l="1"/>
  <c r="L890" i="2" l="1"/>
  <c r="L891" i="2" l="1"/>
  <c r="L892" i="2" l="1"/>
  <c r="L893" i="2" l="1"/>
  <c r="L894" i="2" l="1"/>
  <c r="L895" i="2" l="1"/>
  <c r="L896" i="2" l="1"/>
  <c r="L897" i="2" l="1"/>
  <c r="L898" i="2" l="1"/>
  <c r="L899" i="2" l="1"/>
  <c r="L900" i="2" l="1"/>
  <c r="L901" i="2" l="1"/>
  <c r="L902" i="2" l="1"/>
  <c r="L903" i="2" l="1"/>
  <c r="L904" i="2" l="1"/>
  <c r="L905" i="2" l="1"/>
  <c r="L906" i="2" l="1"/>
  <c r="L907" i="2" l="1"/>
  <c r="L908" i="2" l="1"/>
  <c r="L909" i="2" l="1"/>
  <c r="L910" i="2" l="1"/>
  <c r="L911" i="2" l="1"/>
  <c r="L912" i="2" l="1"/>
  <c r="L913" i="2" l="1"/>
  <c r="L914" i="2" l="1"/>
  <c r="L915" i="2" l="1"/>
  <c r="L916" i="2" l="1"/>
  <c r="L917" i="2" l="1"/>
  <c r="L918" i="2" l="1"/>
  <c r="L919" i="2" l="1"/>
  <c r="L920" i="2" l="1"/>
  <c r="L921" i="2" l="1"/>
  <c r="L922" i="2" l="1"/>
  <c r="L923" i="2" l="1"/>
  <c r="L924" i="2" l="1"/>
  <c r="L925" i="2" l="1"/>
  <c r="L926" i="2" l="1"/>
  <c r="L927" i="2" l="1"/>
  <c r="L928" i="2" l="1"/>
  <c r="L929" i="2" l="1"/>
  <c r="L930" i="2" l="1"/>
  <c r="L931" i="2" l="1"/>
  <c r="L932" i="2" l="1"/>
  <c r="L933" i="2" l="1"/>
  <c r="L934" i="2" l="1"/>
  <c r="L935" i="2" l="1"/>
  <c r="L936" i="2" l="1"/>
  <c r="L937" i="2" l="1"/>
  <c r="L938" i="2" l="1"/>
  <c r="L939" i="2" l="1"/>
  <c r="L940" i="2" l="1"/>
  <c r="L941" i="2" l="1"/>
  <c r="L942" i="2" l="1"/>
  <c r="L943" i="2" l="1"/>
  <c r="L944" i="2" l="1"/>
  <c r="L945" i="2" l="1"/>
  <c r="L946" i="2" l="1"/>
  <c r="L947" i="2" l="1"/>
  <c r="L948" i="2" l="1"/>
  <c r="L949" i="2" l="1"/>
  <c r="L950" i="2" l="1"/>
  <c r="L951" i="2" l="1"/>
  <c r="L952" i="2" l="1"/>
  <c r="L953" i="2" l="1"/>
  <c r="L954" i="2" l="1"/>
  <c r="L955" i="2" l="1"/>
  <c r="L956" i="2" l="1"/>
  <c r="L957" i="2" l="1"/>
  <c r="L958" i="2" l="1"/>
  <c r="L959" i="2" l="1"/>
  <c r="L960" i="2" l="1"/>
  <c r="L961" i="2" l="1"/>
  <c r="L962" i="2" l="1"/>
  <c r="L963" i="2" l="1"/>
  <c r="L964" i="2" l="1"/>
  <c r="L965" i="2" l="1"/>
  <c r="L966" i="2" l="1"/>
  <c r="L967" i="2" l="1"/>
  <c r="L968" i="2" l="1"/>
  <c r="L969" i="2" l="1"/>
  <c r="L970" i="2" l="1"/>
  <c r="L971" i="2" l="1"/>
  <c r="L972" i="2" l="1"/>
  <c r="L973" i="2" l="1"/>
  <c r="L974" i="2" l="1"/>
  <c r="L975" i="2" l="1"/>
  <c r="L976" i="2" l="1"/>
  <c r="L977" i="2" l="1"/>
  <c r="L978" i="2" l="1"/>
  <c r="L979" i="2" l="1"/>
  <c r="L980" i="2" l="1"/>
  <c r="L981" i="2" l="1"/>
  <c r="L982" i="2" l="1"/>
  <c r="L983" i="2" l="1"/>
  <c r="L984" i="2" l="1"/>
  <c r="L985" i="2" l="1"/>
  <c r="L986" i="2" l="1"/>
  <c r="L987" i="2" l="1"/>
  <c r="L988" i="2" l="1"/>
  <c r="L989" i="2" l="1"/>
  <c r="L990" i="2" l="1"/>
  <c r="L991" i="2" l="1"/>
  <c r="L992" i="2" l="1"/>
  <c r="L993" i="2" l="1"/>
  <c r="L994" i="2" l="1"/>
  <c r="L995" i="2" l="1"/>
  <c r="L996" i="2" l="1"/>
  <c r="L997" i="2" l="1"/>
  <c r="L998" i="2" l="1"/>
  <c r="L999" i="2" l="1"/>
  <c r="L1000" i="2" l="1"/>
  <c r="L1001" i="2" l="1"/>
  <c r="L1002" i="2" l="1"/>
  <c r="L1003" i="2" l="1"/>
  <c r="L1004" i="2" l="1"/>
  <c r="L1005" i="2" l="1"/>
  <c r="L1006" i="2" l="1"/>
  <c r="L1007" i="2" l="1"/>
  <c r="L1008" i="2" l="1"/>
  <c r="L1009" i="2" l="1"/>
  <c r="L1010" i="2" l="1"/>
  <c r="L1011" i="2" l="1"/>
  <c r="L1012" i="2" l="1"/>
  <c r="L1013" i="2" l="1"/>
  <c r="L1014" i="2" l="1"/>
  <c r="L1015" i="2" l="1"/>
  <c r="L1016" i="2" l="1"/>
  <c r="L1017" i="2" l="1"/>
  <c r="L1018" i="2" l="1"/>
  <c r="L1019" i="2" l="1"/>
  <c r="L1020" i="2" l="1"/>
  <c r="L1021" i="2" l="1"/>
  <c r="L1022" i="2" l="1"/>
  <c r="L1023" i="2" l="1"/>
  <c r="L1024" i="2" l="1"/>
  <c r="L1025" i="2" l="1"/>
  <c r="L1026" i="2" l="1"/>
  <c r="L1027" i="2" l="1"/>
  <c r="L1028" i="2" l="1"/>
  <c r="L1029" i="2" l="1"/>
  <c r="L1030" i="2" l="1"/>
  <c r="L1031" i="2" l="1"/>
  <c r="L1032" i="2" l="1"/>
  <c r="L1033" i="2" l="1"/>
  <c r="L1034" i="2" l="1"/>
  <c r="L1035" i="2" l="1"/>
  <c r="L1036" i="2" l="1"/>
  <c r="L1037" i="2" l="1"/>
  <c r="L1038" i="2" l="1"/>
  <c r="L1039" i="2" l="1"/>
  <c r="L1040" i="2" l="1"/>
  <c r="L1041" i="2" l="1"/>
  <c r="L1042" i="2" l="1"/>
  <c r="L1043" i="2" l="1"/>
  <c r="L1044" i="2" l="1"/>
  <c r="L1045" i="2" l="1"/>
  <c r="L1046" i="2" l="1"/>
  <c r="L1047" i="2" l="1"/>
  <c r="L1048" i="2" l="1"/>
  <c r="L1049" i="2" l="1"/>
  <c r="L1050" i="2" l="1"/>
  <c r="L1051" i="2" l="1"/>
  <c r="L1052" i="2" l="1"/>
  <c r="L1053" i="2" l="1"/>
  <c r="L1054" i="2" l="1"/>
  <c r="L1055" i="2" l="1"/>
  <c r="L1056" i="2" l="1"/>
  <c r="L1057" i="2" l="1"/>
  <c r="L1058" i="2" l="1"/>
  <c r="L1059" i="2" l="1"/>
  <c r="L1060" i="2" l="1"/>
  <c r="L1061" i="2" l="1"/>
  <c r="L1062" i="2" l="1"/>
  <c r="L1063" i="2" l="1"/>
  <c r="L1064" i="2" l="1"/>
  <c r="L1065" i="2" l="1"/>
  <c r="L1066" i="2" l="1"/>
  <c r="L1067" i="2" l="1"/>
  <c r="L1068" i="2" l="1"/>
  <c r="L1069" i="2" l="1"/>
  <c r="L1070" i="2" l="1"/>
  <c r="L1071" i="2" l="1"/>
  <c r="L1072" i="2" l="1"/>
  <c r="L1073" i="2" l="1"/>
  <c r="L1074" i="2" l="1"/>
  <c r="L1075" i="2" l="1"/>
  <c r="L1076" i="2" l="1"/>
  <c r="L1077" i="2" l="1"/>
  <c r="L1078" i="2" l="1"/>
  <c r="L1079" i="2" l="1"/>
  <c r="L1080" i="2" l="1"/>
  <c r="L1081" i="2" l="1"/>
  <c r="L1082" i="2" l="1"/>
  <c r="L1083" i="2" l="1"/>
  <c r="L1084" i="2" l="1"/>
  <c r="L1085" i="2" l="1"/>
  <c r="L1086" i="2" l="1"/>
  <c r="L1087" i="2" l="1"/>
  <c r="L1088" i="2" l="1"/>
  <c r="L1089" i="2" l="1"/>
  <c r="L1090" i="2" l="1"/>
  <c r="L1091" i="2" l="1"/>
  <c r="L1092" i="2" l="1"/>
  <c r="L1093" i="2" l="1"/>
  <c r="L1094" i="2" l="1"/>
  <c r="L1095" i="2" l="1"/>
  <c r="L1096" i="2" l="1"/>
  <c r="L1097" i="2" l="1"/>
  <c r="L1098" i="2" l="1"/>
  <c r="L1099" i="2" l="1"/>
  <c r="L1100" i="2" l="1"/>
  <c r="L1101" i="2" l="1"/>
  <c r="L1102" i="2" l="1"/>
  <c r="L1103" i="2" l="1"/>
  <c r="L1104" i="2" l="1"/>
  <c r="L1105" i="2" l="1"/>
  <c r="L1106" i="2" l="1"/>
  <c r="L1107" i="2" l="1"/>
  <c r="L1108" i="2" l="1"/>
  <c r="L1109" i="2" l="1"/>
  <c r="L1110" i="2" l="1"/>
  <c r="L1111" i="2" l="1"/>
  <c r="L1112" i="2" l="1"/>
  <c r="L1113" i="2" l="1"/>
  <c r="L1114" i="2" l="1"/>
  <c r="L1115" i="2" l="1"/>
  <c r="L1116" i="2" l="1"/>
  <c r="L1117" i="2" l="1"/>
  <c r="L1118" i="2" l="1"/>
  <c r="L1119" i="2" l="1"/>
  <c r="L1120" i="2" l="1"/>
  <c r="L1121" i="2" l="1"/>
  <c r="L1122" i="2" l="1"/>
  <c r="L1123" i="2" l="1"/>
  <c r="L1124" i="2" l="1"/>
  <c r="L1125" i="2" l="1"/>
  <c r="L1126" i="2" l="1"/>
  <c r="L1127" i="2" l="1"/>
  <c r="L1128" i="2" l="1"/>
  <c r="L1129" i="2" l="1"/>
  <c r="L1130" i="2" l="1"/>
  <c r="L1131" i="2" l="1"/>
  <c r="L1132" i="2" l="1"/>
  <c r="L1133" i="2" l="1"/>
  <c r="L1134" i="2" l="1"/>
  <c r="L1135" i="2" l="1"/>
  <c r="L1136" i="2" l="1"/>
  <c r="L1137" i="2" l="1"/>
  <c r="L1138" i="2" l="1"/>
  <c r="L1139" i="2" l="1"/>
  <c r="L1140" i="2" l="1"/>
  <c r="L1141" i="2" l="1"/>
  <c r="L1142" i="2" l="1"/>
  <c r="L1143" i="2" l="1"/>
  <c r="L1144" i="2" l="1"/>
  <c r="L1145" i="2" l="1"/>
  <c r="L1146" i="2" l="1"/>
  <c r="L1147" i="2" l="1"/>
  <c r="L1148" i="2" l="1"/>
  <c r="L1149" i="2" l="1"/>
  <c r="L1150" i="2" l="1"/>
  <c r="L1151" i="2" l="1"/>
  <c r="L1152" i="2" l="1"/>
  <c r="L1153" i="2" l="1"/>
  <c r="L1154" i="2" l="1"/>
  <c r="L1155" i="2" l="1"/>
  <c r="L1156" i="2" l="1"/>
  <c r="L1157" i="2" l="1"/>
  <c r="L1158" i="2" l="1"/>
  <c r="L1159" i="2" l="1"/>
  <c r="L1160" i="2" l="1"/>
  <c r="L1161" i="2" l="1"/>
  <c r="L1162" i="2" l="1"/>
  <c r="L1163" i="2" l="1"/>
  <c r="L1164" i="2" l="1"/>
  <c r="L1165" i="2" l="1"/>
  <c r="L1166" i="2" l="1"/>
  <c r="L1167" i="2" l="1"/>
  <c r="L1168" i="2" l="1"/>
  <c r="L1169" i="2" l="1"/>
  <c r="L1170" i="2" l="1"/>
  <c r="L1171" i="2" l="1"/>
  <c r="L1172" i="2" l="1"/>
  <c r="L1173" i="2" l="1"/>
  <c r="L1174" i="2" l="1"/>
  <c r="L1175" i="2" l="1"/>
  <c r="L1176" i="2" l="1"/>
  <c r="L1177" i="2" l="1"/>
  <c r="L1178" i="2" l="1"/>
  <c r="L1179" i="2" l="1"/>
  <c r="L1180" i="2" l="1"/>
  <c r="L1181" i="2" l="1"/>
  <c r="L1182" i="2" l="1"/>
  <c r="L1183" i="2" l="1"/>
  <c r="L1184" i="2" l="1"/>
  <c r="L1185" i="2" l="1"/>
  <c r="L1186" i="2" l="1"/>
  <c r="L1187" i="2" l="1"/>
  <c r="L1188" i="2" l="1"/>
  <c r="L1189" i="2" l="1"/>
  <c r="L1190" i="2" l="1"/>
  <c r="L1191" i="2" l="1"/>
  <c r="L1192" i="2" l="1"/>
  <c r="L1193" i="2" l="1"/>
  <c r="L1194" i="2" l="1"/>
  <c r="L1195" i="2" l="1"/>
  <c r="L1196" i="2" l="1"/>
  <c r="L1197" i="2" l="1"/>
  <c r="L1198" i="2" l="1"/>
  <c r="L1199" i="2" l="1"/>
  <c r="L1200" i="2" l="1"/>
  <c r="L1201" i="2" l="1"/>
  <c r="L1202" i="2" l="1"/>
  <c r="L1203" i="2" l="1"/>
  <c r="L1204" i="2" l="1"/>
  <c r="L1205" i="2" l="1"/>
  <c r="L1206" i="2" l="1"/>
  <c r="L1207" i="2" l="1"/>
  <c r="L1208" i="2" l="1"/>
  <c r="L1209" i="2" l="1"/>
  <c r="L1210" i="2" l="1"/>
  <c r="L1211" i="2" l="1"/>
  <c r="L1212" i="2" l="1"/>
  <c r="L1213" i="2" l="1"/>
  <c r="L1214" i="2" l="1"/>
  <c r="L1215" i="2" l="1"/>
  <c r="L1216" i="2" l="1"/>
  <c r="L1217" i="2" l="1"/>
  <c r="L1218" i="2" l="1"/>
  <c r="L1219" i="2" l="1"/>
  <c r="L1220" i="2" l="1"/>
  <c r="L1221" i="2" l="1"/>
  <c r="L1222" i="2" l="1"/>
  <c r="L1223" i="2" l="1"/>
  <c r="L1224" i="2" l="1"/>
  <c r="L1225" i="2" l="1"/>
  <c r="L1226" i="2" l="1"/>
  <c r="L1227" i="2" l="1"/>
  <c r="L1228" i="2" l="1"/>
  <c r="L1229" i="2" l="1"/>
  <c r="L1230" i="2" l="1"/>
  <c r="L1231" i="2" l="1"/>
  <c r="L1232" i="2" l="1"/>
  <c r="L1233" i="2" l="1"/>
  <c r="L1234" i="2" l="1"/>
  <c r="L1235" i="2" l="1"/>
  <c r="L1236" i="2" l="1"/>
  <c r="L1237" i="2" l="1"/>
  <c r="L1238" i="2" l="1"/>
  <c r="L1239" i="2" l="1"/>
  <c r="L1240" i="2" l="1"/>
  <c r="L1241" i="2" l="1"/>
  <c r="L1242" i="2" l="1"/>
  <c r="L1243" i="2" l="1"/>
  <c r="L1244" i="2" l="1"/>
  <c r="L1245" i="2" l="1"/>
  <c r="L1246" i="2" l="1"/>
  <c r="L1247" i="2" l="1"/>
  <c r="L1248" i="2" l="1"/>
  <c r="L1249" i="2" l="1"/>
  <c r="L1250" i="2" l="1"/>
  <c r="L1251" i="2" l="1"/>
  <c r="L1252" i="2" l="1"/>
  <c r="L1253" i="2" l="1"/>
  <c r="L1254" i="2" l="1"/>
  <c r="L1255" i="2" l="1"/>
  <c r="L1256" i="2" l="1"/>
  <c r="L1257" i="2" l="1"/>
  <c r="L1258" i="2" l="1"/>
  <c r="L1259" i="2" l="1"/>
  <c r="L1260" i="2" l="1"/>
  <c r="L1261" i="2" l="1"/>
  <c r="L1262" i="2" l="1"/>
  <c r="L1263" i="2" l="1"/>
  <c r="L1264" i="2" l="1"/>
  <c r="L1265" i="2" l="1"/>
  <c r="L1266" i="2" l="1"/>
  <c r="L1267" i="2" l="1"/>
  <c r="L1268" i="2" l="1"/>
  <c r="L1269" i="2" l="1"/>
  <c r="L1270" i="2" l="1"/>
  <c r="L1271" i="2" l="1"/>
  <c r="L1272" i="2" l="1"/>
  <c r="L1273" i="2" l="1"/>
  <c r="L1274" i="2" l="1"/>
  <c r="L1275" i="2" l="1"/>
  <c r="L1276" i="2" l="1"/>
  <c r="L1277" i="2" l="1"/>
  <c r="L1278" i="2" l="1"/>
  <c r="L1279" i="2" l="1"/>
  <c r="L1280" i="2" l="1"/>
  <c r="L1281" i="2" l="1"/>
  <c r="L1282" i="2" l="1"/>
  <c r="L1283" i="2" l="1"/>
  <c r="L1284" i="2" l="1"/>
  <c r="L1285" i="2" l="1"/>
  <c r="L1286" i="2" l="1"/>
  <c r="L1287" i="2" l="1"/>
  <c r="L1288" i="2" l="1"/>
  <c r="L1289" i="2" l="1"/>
  <c r="L1290" i="2" l="1"/>
  <c r="L1291" i="2" l="1"/>
  <c r="L1292" i="2" l="1"/>
  <c r="L1293" i="2" l="1"/>
  <c r="L1294" i="2" l="1"/>
  <c r="L1295" i="2" l="1"/>
  <c r="L1296" i="2" l="1"/>
  <c r="L1297" i="2" l="1"/>
  <c r="L1298" i="2" l="1"/>
  <c r="L1299" i="2" l="1"/>
  <c r="L1300" i="2" l="1"/>
  <c r="L1301" i="2" l="1"/>
  <c r="L1302" i="2" l="1"/>
  <c r="L1303" i="2" l="1"/>
  <c r="L1304" i="2" l="1"/>
  <c r="L1305" i="2" l="1"/>
  <c r="L1306" i="2" l="1"/>
  <c r="L1307" i="2" l="1"/>
  <c r="L1308" i="2" l="1"/>
  <c r="L1309" i="2" l="1"/>
  <c r="L1310" i="2" l="1"/>
  <c r="L1311" i="2" l="1"/>
  <c r="L1312" i="2" l="1"/>
  <c r="L1313" i="2" l="1"/>
  <c r="L1314" i="2" l="1"/>
  <c r="L1315" i="2" l="1"/>
  <c r="L1316" i="2" l="1"/>
  <c r="L1317" i="2" l="1"/>
  <c r="L1318" i="2" l="1"/>
  <c r="L1319" i="2" l="1"/>
  <c r="L1320" i="2" l="1"/>
  <c r="L1321" i="2" l="1"/>
  <c r="L1322" i="2" l="1"/>
  <c r="L1323" i="2" l="1"/>
  <c r="L1324" i="2" l="1"/>
  <c r="L1325" i="2" l="1"/>
  <c r="L1326" i="2" l="1"/>
  <c r="L1327" i="2" l="1"/>
  <c r="L1328" i="2" l="1"/>
  <c r="L1329" i="2" l="1"/>
  <c r="L1330" i="2" l="1"/>
  <c r="L1331" i="2" l="1"/>
  <c r="L1332" i="2" l="1"/>
  <c r="L1333" i="2" l="1"/>
  <c r="L1334" i="2" l="1"/>
  <c r="L1335" i="2" l="1"/>
  <c r="L1336" i="2" l="1"/>
  <c r="L1337" i="2" l="1"/>
  <c r="L1338" i="2" l="1"/>
  <c r="L1339" i="2" l="1"/>
  <c r="L1340" i="2" l="1"/>
  <c r="L1341" i="2" l="1"/>
  <c r="L1342" i="2" l="1"/>
  <c r="L1343" i="2" l="1"/>
  <c r="L1344" i="2" l="1"/>
  <c r="L1345" i="2" l="1"/>
  <c r="L1346" i="2" l="1"/>
  <c r="L1347" i="2" l="1"/>
  <c r="L1348" i="2" l="1"/>
  <c r="L1349" i="2" l="1"/>
  <c r="L1350" i="2" l="1"/>
  <c r="L1351" i="2" l="1"/>
  <c r="L1352" i="2" l="1"/>
  <c r="L1353" i="2" l="1"/>
  <c r="L1354" i="2" l="1"/>
  <c r="L1355" i="2" l="1"/>
  <c r="L1356" i="2" l="1"/>
  <c r="L1357" i="2" l="1"/>
  <c r="L1358" i="2" l="1"/>
  <c r="L1359" i="2" l="1"/>
  <c r="L1360" i="2" l="1"/>
  <c r="L1361" i="2" l="1"/>
  <c r="L1362" i="2" l="1"/>
  <c r="L1363" i="2" l="1"/>
  <c r="L1364" i="2" l="1"/>
  <c r="L1365" i="2" l="1"/>
  <c r="L1366" i="2" l="1"/>
  <c r="L1367" i="2" l="1"/>
  <c r="L1368" i="2" l="1"/>
  <c r="L1369" i="2" l="1"/>
  <c r="L1370" i="2" l="1"/>
  <c r="L1371" i="2" l="1"/>
  <c r="L1372" i="2" l="1"/>
  <c r="L1373" i="2" l="1"/>
  <c r="L1374" i="2" l="1"/>
  <c r="L1375" i="2" l="1"/>
  <c r="L1376" i="2" l="1"/>
  <c r="L1377" i="2" l="1"/>
  <c r="L1378" i="2" l="1"/>
  <c r="L1379" i="2" l="1"/>
  <c r="L1380" i="2" l="1"/>
  <c r="L1381" i="2" l="1"/>
  <c r="L1382" i="2" l="1"/>
  <c r="L1383" i="2" l="1"/>
  <c r="L1384" i="2" l="1"/>
  <c r="L1385" i="2" l="1"/>
  <c r="L1386" i="2" l="1"/>
  <c r="L1387" i="2" l="1"/>
  <c r="L1388" i="2" l="1"/>
  <c r="L1389" i="2" l="1"/>
  <c r="L1390" i="2" l="1"/>
  <c r="L1391" i="2" l="1"/>
  <c r="L1392" i="2" l="1"/>
  <c r="L1393" i="2" l="1"/>
  <c r="L1394" i="2" l="1"/>
  <c r="L1395" i="2" l="1"/>
  <c r="L1396" i="2" l="1"/>
  <c r="L1397" i="2" l="1"/>
  <c r="L1398" i="2" l="1"/>
  <c r="L1399" i="2" l="1"/>
  <c r="L1400" i="2" l="1"/>
  <c r="L1401" i="2" l="1"/>
  <c r="L1402" i="2" l="1"/>
  <c r="L1403" i="2" l="1"/>
  <c r="L1404" i="2" l="1"/>
  <c r="L1405" i="2" l="1"/>
  <c r="L1406" i="2" l="1"/>
  <c r="L1407" i="2" l="1"/>
  <c r="L1408" i="2" l="1"/>
  <c r="L1409" i="2" l="1"/>
  <c r="L1410" i="2" l="1"/>
  <c r="L1411" i="2" l="1"/>
  <c r="L1412" i="2" l="1"/>
  <c r="L1413" i="2" l="1"/>
  <c r="L1414" i="2" l="1"/>
  <c r="L1415" i="2" l="1"/>
  <c r="L1416" i="2" l="1"/>
  <c r="L1417" i="2" l="1"/>
  <c r="L1418" i="2" l="1"/>
  <c r="L1419" i="2" l="1"/>
  <c r="L1420" i="2" l="1"/>
  <c r="L1421" i="2" l="1"/>
  <c r="L1422" i="2" l="1"/>
  <c r="L1423" i="2" l="1"/>
  <c r="L1424" i="2" l="1"/>
  <c r="L1425" i="2" l="1"/>
  <c r="L1426" i="2" l="1"/>
  <c r="L1427" i="2" l="1"/>
  <c r="L1428" i="2" l="1"/>
  <c r="L1429" i="2" l="1"/>
  <c r="L1430" i="2" l="1"/>
  <c r="L1431" i="2" l="1"/>
  <c r="L1432" i="2" l="1"/>
  <c r="L1433" i="2" l="1"/>
  <c r="L1434" i="2" l="1"/>
  <c r="L1435" i="2" l="1"/>
  <c r="L1436" i="2" l="1"/>
  <c r="L1437" i="2" l="1"/>
  <c r="L1438" i="2" l="1"/>
  <c r="L1439" i="2" l="1"/>
  <c r="L1440" i="2" l="1"/>
  <c r="L1441" i="2" l="1"/>
  <c r="L1442" i="2" l="1"/>
  <c r="L1443" i="2" l="1"/>
  <c r="L1444" i="2" l="1"/>
  <c r="L1445" i="2" l="1"/>
  <c r="L1446" i="2" l="1"/>
  <c r="L1447" i="2" l="1"/>
  <c r="L1448" i="2" l="1"/>
  <c r="L1449" i="2" l="1"/>
  <c r="L1450" i="2" l="1"/>
  <c r="L1451" i="2" l="1"/>
  <c r="L1452" i="2" l="1"/>
  <c r="L1453" i="2" l="1"/>
  <c r="L1454" i="2" l="1"/>
  <c r="L1455" i="2" l="1"/>
  <c r="L1456" i="2" l="1"/>
  <c r="L1457" i="2" l="1"/>
  <c r="L1458" i="2" l="1"/>
  <c r="L1459" i="2" l="1"/>
  <c r="L1460" i="2" l="1"/>
  <c r="L1461" i="2" l="1"/>
  <c r="L1462" i="2" l="1"/>
  <c r="L1463" i="2" l="1"/>
  <c r="L1464" i="2" l="1"/>
  <c r="L1465" i="2" l="1"/>
  <c r="L1466" i="2" l="1"/>
  <c r="L1467" i="2" l="1"/>
  <c r="L1468" i="2" l="1"/>
  <c r="L1469" i="2" l="1"/>
  <c r="L1470" i="2" l="1"/>
  <c r="L1471" i="2" l="1"/>
  <c r="L1472" i="2" l="1"/>
  <c r="L1473" i="2" l="1"/>
  <c r="L1474" i="2" l="1"/>
  <c r="L1475" i="2" l="1"/>
  <c r="L1476" i="2" l="1"/>
  <c r="L1477" i="2" l="1"/>
  <c r="L1478" i="2" l="1"/>
  <c r="L1479" i="2" l="1"/>
  <c r="L1480" i="2" l="1"/>
  <c r="L1481" i="2" l="1"/>
  <c r="L1482" i="2" l="1"/>
  <c r="L1483" i="2" l="1"/>
  <c r="L1484" i="2" l="1"/>
  <c r="L1485" i="2" l="1"/>
  <c r="L1486" i="2" l="1"/>
  <c r="L1487" i="2" l="1"/>
  <c r="L1488" i="2" l="1"/>
  <c r="L1489" i="2" l="1"/>
  <c r="L1490" i="2" l="1"/>
  <c r="L1491" i="2" l="1"/>
  <c r="L1492" i="2" l="1"/>
  <c r="L1493" i="2" l="1"/>
  <c r="L1494" i="2" l="1"/>
  <c r="L1495" i="2" l="1"/>
  <c r="L1496" i="2" l="1"/>
  <c r="L1497" i="2" l="1"/>
  <c r="L1498" i="2" l="1"/>
  <c r="L1499" i="2" l="1"/>
  <c r="L1500" i="2" l="1"/>
  <c r="L1501" i="2" l="1"/>
  <c r="L1502" i="2" l="1"/>
  <c r="L1503" i="2" l="1"/>
  <c r="L1504" i="2" l="1"/>
  <c r="L1505" i="2" l="1"/>
  <c r="L1506" i="2" l="1"/>
  <c r="L1507" i="2" l="1"/>
  <c r="L1508" i="2" l="1"/>
  <c r="L1509" i="2" l="1"/>
  <c r="L1510" i="2" l="1"/>
  <c r="L1511" i="2" l="1"/>
  <c r="L1512" i="2" l="1"/>
  <c r="L1513" i="2" l="1"/>
  <c r="L1514" i="2" l="1"/>
  <c r="L1515" i="2" l="1"/>
  <c r="L1516" i="2" l="1"/>
  <c r="L1517" i="2" l="1"/>
  <c r="L1518" i="2" l="1"/>
  <c r="L1519" i="2" l="1"/>
  <c r="L1520" i="2" l="1"/>
  <c r="L1521" i="2" l="1"/>
  <c r="L1522" i="2" l="1"/>
  <c r="L1523" i="2" l="1"/>
  <c r="L1524" i="2" l="1"/>
  <c r="L1525" i="2" l="1"/>
  <c r="L1526" i="2" l="1"/>
  <c r="L1527" i="2" l="1"/>
  <c r="L1528" i="2" l="1"/>
  <c r="L1529" i="2" l="1"/>
  <c r="L1530" i="2" l="1"/>
  <c r="L1531" i="2" l="1"/>
  <c r="L1532" i="2" l="1"/>
  <c r="L1533" i="2" l="1"/>
  <c r="L1534" i="2" l="1"/>
  <c r="L1535" i="2" l="1"/>
  <c r="L1536" i="2" l="1"/>
  <c r="L1537" i="2" l="1"/>
  <c r="L1538" i="2" l="1"/>
  <c r="L1539" i="2" l="1"/>
  <c r="L1540" i="2" l="1"/>
  <c r="L1541" i="2" l="1"/>
  <c r="L1542" i="2" l="1"/>
  <c r="L1543" i="2" l="1"/>
  <c r="L1544" i="2" l="1"/>
  <c r="L1545" i="2" l="1"/>
  <c r="L1546" i="2" l="1"/>
  <c r="L1547" i="2" l="1"/>
  <c r="L1548" i="2" l="1"/>
  <c r="L1549" i="2" l="1"/>
  <c r="L1550" i="2" l="1"/>
  <c r="L1551" i="2" l="1"/>
  <c r="L1552" i="2" l="1"/>
  <c r="L1553" i="2" l="1"/>
  <c r="L1554" i="2" l="1"/>
  <c r="L1555" i="2" l="1"/>
  <c r="L1556" i="2" l="1"/>
  <c r="L1557" i="2" l="1"/>
  <c r="L1558" i="2" l="1"/>
  <c r="L1559" i="2" l="1"/>
  <c r="L1560" i="2" l="1"/>
  <c r="L1561" i="2" l="1"/>
  <c r="L1562" i="2" l="1"/>
  <c r="L1563" i="2" l="1"/>
  <c r="L1564" i="2" l="1"/>
  <c r="L1565" i="2" l="1"/>
  <c r="L1566" i="2" l="1"/>
  <c r="L1567" i="2" l="1"/>
  <c r="L1568" i="2" l="1"/>
  <c r="L1569" i="2" l="1"/>
  <c r="L1570" i="2" l="1"/>
  <c r="L1571" i="2" l="1"/>
  <c r="L1572" i="2" l="1"/>
  <c r="L1573" i="2" l="1"/>
  <c r="L1574" i="2" l="1"/>
  <c r="L1575" i="2" l="1"/>
  <c r="L1576" i="2" l="1"/>
  <c r="L1577" i="2" l="1"/>
  <c r="L1578" i="2" l="1"/>
  <c r="L1579" i="2" l="1"/>
  <c r="L1580" i="2" l="1"/>
  <c r="L1581" i="2" l="1"/>
  <c r="L1582" i="2" l="1"/>
  <c r="L1583" i="2" l="1"/>
  <c r="L1584" i="2" l="1"/>
  <c r="L1585" i="2" l="1"/>
  <c r="L1586" i="2" l="1"/>
  <c r="L1587" i="2" l="1"/>
  <c r="L1588" i="2" l="1"/>
  <c r="L1589" i="2" l="1"/>
  <c r="L1590" i="2" l="1"/>
  <c r="L1591" i="2" l="1"/>
  <c r="L1592" i="2" l="1"/>
  <c r="L1593" i="2" l="1"/>
  <c r="L1594" i="2" l="1"/>
  <c r="L1595" i="2" l="1"/>
  <c r="L1596" i="2" l="1"/>
  <c r="L1597" i="2" l="1"/>
  <c r="L1598" i="2" l="1"/>
  <c r="L1599" i="2" l="1"/>
  <c r="L1600" i="2" l="1"/>
  <c r="L1601" i="2" l="1"/>
  <c r="L1602" i="2" l="1"/>
  <c r="L1603" i="2" l="1"/>
  <c r="L1604" i="2" l="1"/>
  <c r="L1605" i="2" l="1"/>
  <c r="L1606" i="2" l="1"/>
  <c r="L1607" i="2" l="1"/>
  <c r="L1608" i="2" l="1"/>
  <c r="L1609" i="2" l="1"/>
  <c r="L1610" i="2" l="1"/>
  <c r="L1611" i="2" l="1"/>
  <c r="L1612" i="2" l="1"/>
  <c r="L1613" i="2" l="1"/>
  <c r="L1614" i="2" l="1"/>
  <c r="L1615" i="2" l="1"/>
  <c r="L1616" i="2" l="1"/>
  <c r="L1617" i="2" l="1"/>
  <c r="L1618" i="2" l="1"/>
  <c r="L1619" i="2" l="1"/>
  <c r="L1620" i="2" l="1"/>
  <c r="L1621" i="2" l="1"/>
  <c r="L1622" i="2" l="1"/>
  <c r="L1623" i="2" l="1"/>
  <c r="L1624" i="2" l="1"/>
  <c r="L1625" i="2" l="1"/>
  <c r="L1626" i="2" l="1"/>
  <c r="L1627" i="2" l="1"/>
  <c r="L1628" i="2" l="1"/>
  <c r="L1629" i="2" l="1"/>
  <c r="L1630" i="2" l="1"/>
  <c r="L1631" i="2" l="1"/>
  <c r="L1632" i="2" l="1"/>
  <c r="L1633" i="2" l="1"/>
  <c r="L1634" i="2" l="1"/>
  <c r="L1635" i="2" l="1"/>
  <c r="L1636" i="2" l="1"/>
  <c r="L1637" i="2" l="1"/>
  <c r="L1638" i="2" l="1"/>
  <c r="L1639" i="2" l="1"/>
  <c r="L1640" i="2" l="1"/>
  <c r="L1641" i="2" l="1"/>
  <c r="L1642" i="2" l="1"/>
  <c r="L1643" i="2" l="1"/>
  <c r="L1644" i="2" l="1"/>
  <c r="L1645" i="2" l="1"/>
  <c r="L1646" i="2" l="1"/>
  <c r="L1647" i="2" l="1"/>
  <c r="L1648" i="2" l="1"/>
  <c r="L1649" i="2" l="1"/>
  <c r="L1650" i="2" l="1"/>
  <c r="L1651" i="2" l="1"/>
  <c r="L1652" i="2" l="1"/>
  <c r="L1653" i="2" l="1"/>
  <c r="L1654" i="2" l="1"/>
  <c r="L1655" i="2" l="1"/>
  <c r="L1656" i="2" l="1"/>
  <c r="L1657" i="2" l="1"/>
  <c r="L1658" i="2" l="1"/>
  <c r="L1659" i="2" l="1"/>
  <c r="L1660" i="2" l="1"/>
  <c r="L1661" i="2" l="1"/>
  <c r="L1662" i="2" l="1"/>
  <c r="L1663" i="2" l="1"/>
  <c r="L1664" i="2" l="1"/>
  <c r="L1665" i="2" l="1"/>
  <c r="L1666" i="2" l="1"/>
  <c r="L1667" i="2" l="1"/>
  <c r="L1668" i="2" l="1"/>
  <c r="L1669" i="2" l="1"/>
  <c r="L1670" i="2" l="1"/>
  <c r="L1671" i="2" l="1"/>
  <c r="L1672" i="2" l="1"/>
  <c r="L1673" i="2" l="1"/>
  <c r="L1674" i="2" l="1"/>
  <c r="L1675" i="2" l="1"/>
  <c r="L1676" i="2" l="1"/>
  <c r="L1677" i="2" l="1"/>
  <c r="L1678" i="2" l="1"/>
  <c r="L1679" i="2" l="1"/>
  <c r="L1680" i="2" l="1"/>
  <c r="L1681" i="2" l="1"/>
  <c r="L1682" i="2" l="1"/>
  <c r="L1683" i="2" l="1"/>
  <c r="L1684" i="2" l="1"/>
  <c r="L1685" i="2" l="1"/>
  <c r="L1686" i="2" l="1"/>
  <c r="L1687" i="2" l="1"/>
  <c r="L1688" i="2" l="1"/>
  <c r="L1689" i="2" l="1"/>
  <c r="L1690" i="2" l="1"/>
  <c r="L1691" i="2" l="1"/>
  <c r="L1692" i="2" l="1"/>
  <c r="L1693" i="2" l="1"/>
  <c r="L1694" i="2" l="1"/>
  <c r="L1695" i="2" l="1"/>
  <c r="L1696" i="2" l="1"/>
  <c r="L1697" i="2" l="1"/>
  <c r="L1698" i="2" l="1"/>
  <c r="L1699" i="2" l="1"/>
  <c r="L1700" i="2" l="1"/>
  <c r="L1701" i="2" l="1"/>
  <c r="L1702" i="2" l="1"/>
  <c r="L1703" i="2" l="1"/>
  <c r="L1704" i="2" l="1"/>
  <c r="L1705" i="2" l="1"/>
  <c r="L1706" i="2" l="1"/>
  <c r="L1707" i="2" l="1"/>
  <c r="L1708" i="2" l="1"/>
  <c r="L1709" i="2" l="1"/>
  <c r="L1710" i="2" l="1"/>
  <c r="L1711" i="2" l="1"/>
  <c r="L1712" i="2" l="1"/>
  <c r="L1713" i="2" l="1"/>
  <c r="L1714" i="2" l="1"/>
  <c r="L1715" i="2" l="1"/>
  <c r="L1716" i="2" l="1"/>
  <c r="L1717" i="2" l="1"/>
  <c r="L1718" i="2" l="1"/>
  <c r="L1719" i="2" l="1"/>
  <c r="L1720" i="2" l="1"/>
  <c r="L1721" i="2" l="1"/>
  <c r="L1722" i="2" l="1"/>
  <c r="L1723" i="2" l="1"/>
  <c r="L1724" i="2" l="1"/>
  <c r="L1725" i="2" l="1"/>
  <c r="L1726" i="2" l="1"/>
  <c r="L1727" i="2" l="1"/>
  <c r="L1728" i="2" l="1"/>
  <c r="L1729" i="2" l="1"/>
  <c r="L1730" i="2" l="1"/>
  <c r="L1731" i="2" l="1"/>
  <c r="L1732" i="2" l="1"/>
  <c r="L1733" i="2" l="1"/>
  <c r="L1734" i="2" l="1"/>
  <c r="L1735" i="2" l="1"/>
  <c r="L1736" i="2" l="1"/>
  <c r="L1737" i="2" l="1"/>
  <c r="L1738" i="2" l="1"/>
  <c r="L1739" i="2" l="1"/>
  <c r="L1740" i="2" l="1"/>
  <c r="L1741" i="2" l="1"/>
  <c r="L1742" i="2" l="1"/>
  <c r="L1743" i="2" l="1"/>
  <c r="L1744" i="2" l="1"/>
  <c r="L1745" i="2" l="1"/>
  <c r="L1746" i="2" l="1"/>
  <c r="L1747" i="2" l="1"/>
  <c r="L1748" i="2" l="1"/>
  <c r="L1749" i="2" l="1"/>
  <c r="L1750" i="2" l="1"/>
  <c r="L1751" i="2" l="1"/>
  <c r="L1752" i="2" l="1"/>
  <c r="L1753" i="2" l="1"/>
  <c r="L1754" i="2" l="1"/>
  <c r="L1755" i="2" l="1"/>
  <c r="L1756" i="2" l="1"/>
  <c r="L1757" i="2" l="1"/>
  <c r="L1758" i="2" l="1"/>
  <c r="L1759" i="2" l="1"/>
  <c r="L1760" i="2" l="1"/>
  <c r="L1761" i="2" l="1"/>
  <c r="L1762" i="2" l="1"/>
  <c r="L1763" i="2" l="1"/>
  <c r="L1764" i="2" l="1"/>
  <c r="L1765" i="2" l="1"/>
  <c r="L1766" i="2" l="1"/>
  <c r="L1767" i="2" l="1"/>
  <c r="L1768" i="2" l="1"/>
  <c r="L1769" i="2" l="1"/>
  <c r="L1770" i="2" l="1"/>
  <c r="L1771" i="2" l="1"/>
  <c r="L1772" i="2" l="1"/>
  <c r="L1773" i="2" l="1"/>
  <c r="L1774" i="2" l="1"/>
  <c r="L1775" i="2" l="1"/>
  <c r="L1776" i="2" l="1"/>
  <c r="L1777" i="2" l="1"/>
  <c r="L1778" i="2" l="1"/>
  <c r="L1779" i="2" l="1"/>
  <c r="L1780" i="2" l="1"/>
  <c r="L1781" i="2" l="1"/>
  <c r="L1782" i="2" l="1"/>
  <c r="L1783" i="2" l="1"/>
  <c r="L1784" i="2" l="1"/>
  <c r="L1785" i="2" l="1"/>
  <c r="L1786" i="2" l="1"/>
  <c r="L1787" i="2" l="1"/>
  <c r="L1788" i="2" l="1"/>
  <c r="L1789" i="2" l="1"/>
  <c r="L1790" i="2" l="1"/>
  <c r="L1791" i="2" l="1"/>
  <c r="L1792" i="2" l="1"/>
  <c r="L1793" i="2" l="1"/>
  <c r="L1794" i="2" l="1"/>
  <c r="L1795" i="2" l="1"/>
  <c r="L1796" i="2" l="1"/>
  <c r="L1797" i="2" l="1"/>
  <c r="L1798" i="2" l="1"/>
  <c r="L1799" i="2" l="1"/>
  <c r="L1800" i="2" l="1"/>
  <c r="L1801" i="2" l="1"/>
  <c r="L1802" i="2" l="1"/>
  <c r="L1803" i="2" l="1"/>
  <c r="L1804" i="2" l="1"/>
  <c r="L1805" i="2" l="1"/>
  <c r="L1806" i="2" l="1"/>
  <c r="L1807" i="2" l="1"/>
  <c r="L1808" i="2" l="1"/>
  <c r="L1809" i="2" l="1"/>
  <c r="L1810" i="2" l="1"/>
  <c r="L1811" i="2" l="1"/>
  <c r="L1812" i="2" l="1"/>
  <c r="L1813" i="2" l="1"/>
  <c r="L1814" i="2" l="1"/>
  <c r="L1815" i="2" l="1"/>
  <c r="L1816" i="2" l="1"/>
  <c r="L1817" i="2" l="1"/>
  <c r="L1818" i="2" l="1"/>
  <c r="L1819" i="2" l="1"/>
  <c r="L1820" i="2" l="1"/>
  <c r="L1821" i="2" l="1"/>
  <c r="L1822" i="2" l="1"/>
  <c r="L1823" i="2" l="1"/>
  <c r="L1824" i="2" l="1"/>
  <c r="L1825" i="2" l="1"/>
  <c r="L1826" i="2" l="1"/>
  <c r="L1827" i="2" l="1"/>
  <c r="L1828" i="2" l="1"/>
  <c r="L1829" i="2" l="1"/>
  <c r="L1830" i="2" l="1"/>
  <c r="L1831" i="2" l="1"/>
  <c r="L1832" i="2" l="1"/>
  <c r="L1833" i="2" l="1"/>
  <c r="L1834" i="2" l="1"/>
  <c r="L1835" i="2" l="1"/>
  <c r="L1836" i="2" l="1"/>
  <c r="L1837" i="2" l="1"/>
  <c r="L1838" i="2" l="1"/>
  <c r="L1839" i="2" l="1"/>
  <c r="L1840" i="2" l="1"/>
  <c r="L1841" i="2" l="1"/>
  <c r="L1842" i="2" l="1"/>
  <c r="L1843" i="2" l="1"/>
  <c r="L1844" i="2" l="1"/>
  <c r="L1845" i="2" l="1"/>
  <c r="L1846" i="2" l="1"/>
  <c r="L1847" i="2" l="1"/>
  <c r="L1848" i="2" l="1"/>
  <c r="L1849" i="2" l="1"/>
  <c r="L1850" i="2" l="1"/>
  <c r="L1851" i="2" l="1"/>
  <c r="L1852" i="2" l="1"/>
  <c r="L1853" i="2" l="1"/>
  <c r="L1854" i="2" l="1"/>
  <c r="L1855" i="2" l="1"/>
  <c r="L1856" i="2" l="1"/>
  <c r="L1857" i="2" l="1"/>
  <c r="L1858" i="2" l="1"/>
  <c r="L1859" i="2" l="1"/>
  <c r="L1860" i="2" l="1"/>
  <c r="L1861" i="2" l="1"/>
  <c r="L1862" i="2" l="1"/>
  <c r="L1863" i="2" l="1"/>
  <c r="L1864" i="2" l="1"/>
  <c r="L1865" i="2" l="1"/>
  <c r="L1866" i="2" l="1"/>
  <c r="L1867" i="2" l="1"/>
  <c r="L1868" i="2" l="1"/>
  <c r="L1869" i="2" l="1"/>
  <c r="L1870" i="2" l="1"/>
  <c r="L1871" i="2" l="1"/>
  <c r="L1872" i="2" l="1"/>
  <c r="L1873" i="2" l="1"/>
  <c r="L1874" i="2" l="1"/>
  <c r="L1875" i="2" l="1"/>
  <c r="L1876" i="2" l="1"/>
  <c r="L1877" i="2" l="1"/>
  <c r="L1878" i="2" l="1"/>
  <c r="L1879" i="2" l="1"/>
  <c r="L1880" i="2" l="1"/>
  <c r="L1881" i="2" l="1"/>
  <c r="L1882" i="2" l="1"/>
  <c r="L1883" i="2" l="1"/>
  <c r="L1884" i="2" l="1"/>
  <c r="L1885" i="2" l="1"/>
  <c r="L1886" i="2" l="1"/>
  <c r="L1887" i="2" l="1"/>
  <c r="L1888" i="2" l="1"/>
  <c r="L1889" i="2" l="1"/>
  <c r="L1890" i="2" l="1"/>
  <c r="L1891" i="2" l="1"/>
  <c r="L1892" i="2" l="1"/>
  <c r="L1893" i="2" l="1"/>
  <c r="L1894" i="2" l="1"/>
  <c r="L1895" i="2" l="1"/>
  <c r="L1896" i="2" l="1"/>
  <c r="L1897" i="2" l="1"/>
  <c r="L1898" i="2" l="1"/>
  <c r="L1899" i="2" l="1"/>
  <c r="L1900" i="2" l="1"/>
  <c r="L1901" i="2" l="1"/>
  <c r="L1902" i="2" l="1"/>
  <c r="L1903" i="2" l="1"/>
  <c r="L1904" i="2" l="1"/>
  <c r="L1905" i="2" l="1"/>
  <c r="L1906" i="2" l="1"/>
  <c r="L1907" i="2" l="1"/>
  <c r="L1908" i="2" l="1"/>
  <c r="L1909" i="2" l="1"/>
  <c r="L1910" i="2" l="1"/>
  <c r="L1911" i="2" l="1"/>
  <c r="L1912" i="2" l="1"/>
  <c r="L1913" i="2" l="1"/>
  <c r="L1914" i="2" l="1"/>
  <c r="L1915" i="2" l="1"/>
  <c r="L1916" i="2" l="1"/>
  <c r="L1917" i="2" l="1"/>
  <c r="L1918" i="2" l="1"/>
  <c r="L1919" i="2" l="1"/>
  <c r="L1920" i="2" l="1"/>
  <c r="L1921" i="2" l="1"/>
  <c r="L1922" i="2" l="1"/>
  <c r="L1923" i="2" l="1"/>
  <c r="L1924" i="2" l="1"/>
  <c r="L1925" i="2" l="1"/>
  <c r="L1926" i="2" l="1"/>
  <c r="L1927" i="2" l="1"/>
  <c r="L1928" i="2" l="1"/>
  <c r="L1929" i="2" l="1"/>
  <c r="L1930" i="2" l="1"/>
  <c r="L1931" i="2" l="1"/>
  <c r="L1932" i="2" l="1"/>
  <c r="L1933" i="2" l="1"/>
  <c r="L1934" i="2" l="1"/>
  <c r="L1935" i="2" l="1"/>
  <c r="L1936" i="2" l="1"/>
  <c r="L1937" i="2" l="1"/>
  <c r="L1938" i="2" l="1"/>
  <c r="L1939" i="2" l="1"/>
  <c r="L1940" i="2" l="1"/>
  <c r="L1941" i="2" l="1"/>
  <c r="L1942" i="2" l="1"/>
  <c r="L1943" i="2" l="1"/>
  <c r="L1944" i="2" l="1"/>
  <c r="L1945" i="2" l="1"/>
  <c r="L1946" i="2" l="1"/>
  <c r="L1947" i="2" l="1"/>
  <c r="L1948" i="2" l="1"/>
  <c r="L1949" i="2" l="1"/>
  <c r="L1950" i="2" l="1"/>
  <c r="L1951" i="2" l="1"/>
  <c r="L1952" i="2" l="1"/>
  <c r="L1953" i="2" l="1"/>
  <c r="L1954" i="2" l="1"/>
  <c r="L1955" i="2" l="1"/>
  <c r="L1956" i="2" l="1"/>
  <c r="L1957" i="2" l="1"/>
  <c r="L1958" i="2" l="1"/>
  <c r="L1959" i="2" l="1"/>
  <c r="L1960" i="2" l="1"/>
  <c r="L1961" i="2" l="1"/>
  <c r="L1962" i="2" l="1"/>
  <c r="L1963" i="2" l="1"/>
  <c r="L1964" i="2" l="1"/>
  <c r="L1965" i="2" l="1"/>
  <c r="L1966" i="2" l="1"/>
  <c r="L1967" i="2" l="1"/>
  <c r="L1968" i="2" l="1"/>
  <c r="L1969" i="2" l="1"/>
  <c r="L1970" i="2" l="1"/>
  <c r="L1971" i="2" l="1"/>
  <c r="L1972" i="2" l="1"/>
  <c r="L1973" i="2" l="1"/>
  <c r="L1974" i="2" l="1"/>
  <c r="L1975" i="2" l="1"/>
  <c r="L1976" i="2" l="1"/>
  <c r="L1977" i="2" l="1"/>
  <c r="L1978" i="2" l="1"/>
  <c r="L1979" i="2" l="1"/>
  <c r="L1980" i="2" l="1"/>
  <c r="L1981" i="2" l="1"/>
  <c r="L1982" i="2" l="1"/>
  <c r="L1983" i="2" l="1"/>
  <c r="L1984" i="2" l="1"/>
  <c r="L1985" i="2" l="1"/>
  <c r="L1986" i="2" l="1"/>
  <c r="L1987" i="2" l="1"/>
  <c r="L1988" i="2" l="1"/>
  <c r="L1989" i="2" l="1"/>
  <c r="L1990" i="2" l="1"/>
  <c r="L1991" i="2" l="1"/>
  <c r="L1992" i="2" l="1"/>
  <c r="L1993" i="2" l="1"/>
  <c r="L1994" i="2" l="1"/>
  <c r="L1995" i="2" l="1"/>
  <c r="L1996" i="2" l="1"/>
  <c r="L1997" i="2" l="1"/>
  <c r="L1998" i="2" l="1"/>
  <c r="L1999" i="2" l="1"/>
  <c r="L2000" i="2" l="1"/>
  <c r="L2001" i="2" l="1"/>
  <c r="L2002" i="2" l="1"/>
  <c r="L2003" i="2" l="1"/>
  <c r="L2004" i="2" l="1"/>
  <c r="L2005" i="2" l="1"/>
  <c r="L2006" i="2" l="1"/>
  <c r="L2007" i="2" l="1"/>
  <c r="L2008" i="2" l="1"/>
  <c r="L2009" i="2" l="1"/>
  <c r="L2010" i="2" l="1"/>
  <c r="L2011" i="2" l="1"/>
  <c r="L2012" i="2" l="1"/>
  <c r="L2013" i="2" l="1"/>
  <c r="L2014" i="2" l="1"/>
  <c r="L2015" i="2" l="1"/>
  <c r="L2016" i="2" l="1"/>
  <c r="L2017" i="2" l="1"/>
  <c r="L2018" i="2" l="1"/>
  <c r="L2019" i="2" l="1"/>
  <c r="L2020" i="2" l="1"/>
  <c r="L2021" i="2" l="1"/>
  <c r="L2022" i="2" l="1"/>
  <c r="L2023" i="2" l="1"/>
  <c r="L2024" i="2" l="1"/>
  <c r="L2025" i="2" l="1"/>
  <c r="L2026" i="2" l="1"/>
  <c r="L2027" i="2" l="1"/>
  <c r="L2028" i="2" l="1"/>
  <c r="L2029" i="2" l="1"/>
  <c r="L2030" i="2" l="1"/>
  <c r="L2031" i="2" l="1"/>
  <c r="L2032" i="2" l="1"/>
  <c r="L2033" i="2" l="1"/>
  <c r="L2034" i="2" l="1"/>
  <c r="L2035" i="2" l="1"/>
  <c r="L2036" i="2" l="1"/>
  <c r="L2037" i="2" l="1"/>
  <c r="L2038" i="2" l="1"/>
  <c r="L2039" i="2" l="1"/>
  <c r="L2040" i="2" l="1"/>
  <c r="L2041" i="2" l="1"/>
  <c r="L2042" i="2" l="1"/>
  <c r="L2043" i="2" l="1"/>
  <c r="L2044" i="2" l="1"/>
  <c r="L2045" i="2" l="1"/>
  <c r="L2046" i="2" l="1"/>
  <c r="L2047" i="2" l="1"/>
  <c r="L2048" i="2" l="1"/>
  <c r="L2049" i="2" l="1"/>
  <c r="L2050" i="2" l="1"/>
  <c r="L2051" i="2" l="1"/>
  <c r="L2052" i="2" l="1"/>
  <c r="L2053" i="2" l="1"/>
  <c r="L2054" i="2" l="1"/>
  <c r="L2055" i="2" l="1"/>
  <c r="L2056" i="2" l="1"/>
  <c r="L2057" i="2" l="1"/>
  <c r="L2058" i="2" l="1"/>
  <c r="L2059" i="2" l="1"/>
  <c r="L2060" i="2" l="1"/>
  <c r="L2061" i="2" l="1"/>
  <c r="L2062" i="2" l="1"/>
  <c r="L2063" i="2" l="1"/>
  <c r="L2064" i="2" l="1"/>
  <c r="L2065" i="2" l="1"/>
  <c r="L2066" i="2" l="1"/>
  <c r="L2067" i="2" l="1"/>
  <c r="L2068" i="2" l="1"/>
  <c r="L2069" i="2" l="1"/>
  <c r="L2070" i="2" l="1"/>
  <c r="L2071" i="2" l="1"/>
  <c r="L2072" i="2" l="1"/>
  <c r="L2073" i="2" l="1"/>
  <c r="L2074" i="2" l="1"/>
  <c r="L2075" i="2" l="1"/>
  <c r="L2076" i="2" l="1"/>
  <c r="L2077" i="2" l="1"/>
  <c r="L2078" i="2" l="1"/>
  <c r="L2079" i="2" l="1"/>
  <c r="L2080" i="2" l="1"/>
  <c r="L2081" i="2" l="1"/>
  <c r="L2082" i="2" l="1"/>
  <c r="L2083" i="2" l="1"/>
  <c r="L2084" i="2" l="1"/>
  <c r="L2085" i="2" l="1"/>
  <c r="L2086" i="2" l="1"/>
  <c r="L2087" i="2" l="1"/>
  <c r="L2088" i="2" l="1"/>
  <c r="L2089" i="2" l="1"/>
  <c r="L2090" i="2" l="1"/>
  <c r="L2091" i="2" l="1"/>
  <c r="L2092" i="2" l="1"/>
  <c r="L2093" i="2" l="1"/>
  <c r="L2094" i="2" l="1"/>
  <c r="L2095" i="2" l="1"/>
  <c r="L2096" i="2" l="1"/>
  <c r="L2097" i="2" l="1"/>
  <c r="L2098" i="2" l="1"/>
  <c r="L2099" i="2" l="1"/>
  <c r="L2100" i="2" l="1"/>
  <c r="L2101" i="2" l="1"/>
  <c r="L2102" i="2" l="1"/>
  <c r="L2103" i="2" l="1"/>
  <c r="L2104" i="2" l="1"/>
  <c r="L2105" i="2" l="1"/>
  <c r="L2106" i="2" l="1"/>
  <c r="L2107" i="2" l="1"/>
  <c r="L2108" i="2" l="1"/>
  <c r="L2109" i="2" l="1"/>
  <c r="L2110" i="2" l="1"/>
  <c r="L2111" i="2" l="1"/>
  <c r="L2112" i="2" l="1"/>
  <c r="L2113" i="2" l="1"/>
  <c r="L2114" i="2" l="1"/>
  <c r="L2115" i="2" l="1"/>
  <c r="L2116" i="2" l="1"/>
  <c r="L2117" i="2" l="1"/>
  <c r="L2118" i="2" l="1"/>
  <c r="L2119" i="2" l="1"/>
  <c r="L2120" i="2" l="1"/>
  <c r="L2121" i="2" l="1"/>
  <c r="L2122" i="2" l="1"/>
  <c r="L2123" i="2" l="1"/>
  <c r="L2124" i="2" l="1"/>
  <c r="L2125" i="2" l="1"/>
  <c r="L2126" i="2" l="1"/>
  <c r="L2127" i="2" l="1"/>
  <c r="L2128" i="2" l="1"/>
  <c r="L2129" i="2" l="1"/>
  <c r="L2130" i="2" l="1"/>
  <c r="L2131" i="2" l="1"/>
  <c r="L2132" i="2" l="1"/>
  <c r="L2133" i="2" l="1"/>
  <c r="L2134" i="2" l="1"/>
  <c r="L2135" i="2" l="1"/>
  <c r="L2136" i="2" l="1"/>
  <c r="L2137" i="2" l="1"/>
  <c r="L2138" i="2" l="1"/>
  <c r="L2139" i="2" l="1"/>
  <c r="L2140" i="2" l="1"/>
  <c r="L2141" i="2" l="1"/>
  <c r="L2142" i="2" l="1"/>
  <c r="L2143" i="2" l="1"/>
  <c r="L2144" i="2" l="1"/>
  <c r="L2145" i="2" l="1"/>
  <c r="L2146" i="2" l="1"/>
  <c r="L2147" i="2" l="1"/>
  <c r="L2148" i="2" l="1"/>
  <c r="L2149" i="2" l="1"/>
  <c r="L2150" i="2" l="1"/>
  <c r="L2151" i="2" l="1"/>
  <c r="L2152" i="2" l="1"/>
  <c r="L2153" i="2" l="1"/>
  <c r="L2154" i="2" l="1"/>
  <c r="L2155" i="2" l="1"/>
  <c r="L2156" i="2" l="1"/>
  <c r="L2157" i="2" l="1"/>
  <c r="L2158" i="2" l="1"/>
  <c r="L2159" i="2" l="1"/>
  <c r="L2160" i="2" l="1"/>
  <c r="L2161" i="2" l="1"/>
  <c r="L2162" i="2" l="1"/>
  <c r="L2163" i="2" l="1"/>
  <c r="L2164" i="2" l="1"/>
  <c r="L2165" i="2" l="1"/>
  <c r="L2166" i="2" l="1"/>
  <c r="L2167" i="2" l="1"/>
  <c r="L2168" i="2" l="1"/>
  <c r="L2169" i="2" l="1"/>
  <c r="L2170" i="2" l="1"/>
  <c r="L2171" i="2" l="1"/>
  <c r="L2172" i="2" l="1"/>
  <c r="L2173" i="2" l="1"/>
  <c r="L2174" i="2" l="1"/>
  <c r="L2175" i="2" l="1"/>
  <c r="L2176" i="2" l="1"/>
  <c r="L2177" i="2" l="1"/>
  <c r="L2178" i="2" l="1"/>
  <c r="L2179" i="2" l="1"/>
  <c r="L2180" i="2" l="1"/>
  <c r="L2181" i="2" l="1"/>
  <c r="L2182" i="2" l="1"/>
  <c r="L2183" i="2" l="1"/>
  <c r="L2184" i="2" l="1"/>
  <c r="L2185" i="2" l="1"/>
  <c r="L2186" i="2" l="1"/>
  <c r="L2187" i="2" l="1"/>
  <c r="L2188" i="2" l="1"/>
  <c r="L2189" i="2" l="1"/>
  <c r="L2190" i="2" l="1"/>
  <c r="L2191" i="2" l="1"/>
  <c r="L2192" i="2" l="1"/>
  <c r="L2193" i="2" l="1"/>
  <c r="L2194" i="2" l="1"/>
  <c r="L2195" i="2" l="1"/>
  <c r="L2196" i="2" l="1"/>
  <c r="L2197" i="2" l="1"/>
  <c r="L2198" i="2" l="1"/>
  <c r="L2199" i="2" l="1"/>
  <c r="L2200" i="2" l="1"/>
  <c r="L2201" i="2" l="1"/>
  <c r="L2202" i="2" l="1"/>
  <c r="L2203" i="2" l="1"/>
  <c r="L2204" i="2" l="1"/>
  <c r="L2205" i="2" l="1"/>
  <c r="L2206" i="2" l="1"/>
  <c r="L2207" i="2" l="1"/>
  <c r="L2208" i="2" l="1"/>
  <c r="L2209" i="2" l="1"/>
  <c r="L2210" i="2" l="1"/>
  <c r="L2211" i="2" l="1"/>
  <c r="L2212" i="2" l="1"/>
  <c r="L2213" i="2" l="1"/>
  <c r="L2214" i="2" l="1"/>
  <c r="L2215" i="2" l="1"/>
  <c r="L2216" i="2" l="1"/>
  <c r="L2217" i="2" l="1"/>
  <c r="L2218" i="2" l="1"/>
  <c r="L2219" i="2" l="1"/>
  <c r="L2220" i="2" l="1"/>
  <c r="L2221" i="2" l="1"/>
  <c r="L2222" i="2" l="1"/>
  <c r="L2223" i="2" l="1"/>
  <c r="L2224" i="2" l="1"/>
  <c r="L2225" i="2" l="1"/>
  <c r="L2226" i="2" l="1"/>
  <c r="L2227" i="2" l="1"/>
  <c r="L2228" i="2" l="1"/>
  <c r="L2229" i="2" l="1"/>
  <c r="L2230" i="2" l="1"/>
  <c r="L2231" i="2" l="1"/>
  <c r="L2232" i="2" l="1"/>
  <c r="L2233" i="2" l="1"/>
  <c r="L2234" i="2" l="1"/>
  <c r="L2235" i="2" l="1"/>
  <c r="L2236" i="2" l="1"/>
  <c r="L2237" i="2" l="1"/>
  <c r="L2238" i="2" l="1"/>
  <c r="L2239" i="2" l="1"/>
  <c r="L2240" i="2" l="1"/>
  <c r="L2241" i="2" l="1"/>
  <c r="L2242" i="2" l="1"/>
  <c r="L2243" i="2" l="1"/>
  <c r="L2244" i="2" l="1"/>
  <c r="L2245" i="2" l="1"/>
  <c r="L2246" i="2" l="1"/>
  <c r="L2247" i="2" l="1"/>
  <c r="L2248" i="2" l="1"/>
  <c r="L2249" i="2" l="1"/>
  <c r="L2250" i="2" l="1"/>
  <c r="L2251" i="2" l="1"/>
  <c r="L2252" i="2" l="1"/>
  <c r="L2253" i="2" l="1"/>
  <c r="L2254" i="2" l="1"/>
  <c r="L2255" i="2" l="1"/>
  <c r="L2256" i="2" l="1"/>
  <c r="L2257" i="2" l="1"/>
  <c r="L2258" i="2" l="1"/>
  <c r="L2259" i="2" l="1"/>
  <c r="L2260" i="2" l="1"/>
  <c r="L2261" i="2" l="1"/>
  <c r="L2262" i="2" l="1"/>
  <c r="L2263" i="2" l="1"/>
  <c r="L2264" i="2" l="1"/>
  <c r="L2265" i="2" l="1"/>
  <c r="L2266" i="2" l="1"/>
  <c r="L2267" i="2" l="1"/>
  <c r="L2268" i="2" l="1"/>
  <c r="L2269" i="2" l="1"/>
  <c r="L2270" i="2" l="1"/>
  <c r="L2271" i="2" l="1"/>
  <c r="L2272" i="2" l="1"/>
  <c r="L2273" i="2" l="1"/>
  <c r="L2274" i="2" l="1"/>
  <c r="L2275" i="2" l="1"/>
  <c r="L2276" i="2" l="1"/>
  <c r="L2277" i="2" l="1"/>
  <c r="L2278" i="2" l="1"/>
  <c r="L2279" i="2" l="1"/>
  <c r="L2280" i="2" l="1"/>
  <c r="L2281" i="2" l="1"/>
  <c r="L2282" i="2" l="1"/>
  <c r="L2283" i="2" l="1"/>
  <c r="L2284" i="2" l="1"/>
  <c r="L2285" i="2" l="1"/>
  <c r="L2286" i="2" l="1"/>
  <c r="L2287" i="2" l="1"/>
  <c r="L2288" i="2" l="1"/>
  <c r="L2289" i="2" l="1"/>
  <c r="L2290" i="2" l="1"/>
  <c r="L2291" i="2" l="1"/>
  <c r="L2292" i="2" l="1"/>
  <c r="L2293" i="2" l="1"/>
  <c r="L2294" i="2" l="1"/>
  <c r="L2295" i="2" l="1"/>
  <c r="L2296" i="2" l="1"/>
  <c r="L2297" i="2" l="1"/>
  <c r="L2298" i="2" l="1"/>
  <c r="L2299" i="2" l="1"/>
  <c r="L2300" i="2" l="1"/>
  <c r="L2301" i="2" l="1"/>
  <c r="L2302" i="2" l="1"/>
  <c r="L2303" i="2" l="1"/>
  <c r="L2304" i="2" l="1"/>
  <c r="L2305" i="2" l="1"/>
  <c r="L2306" i="2" l="1"/>
  <c r="L2307" i="2" l="1"/>
  <c r="L2308" i="2" l="1"/>
  <c r="L2309" i="2" l="1"/>
  <c r="L2310" i="2" l="1"/>
  <c r="L2311" i="2" l="1"/>
  <c r="L2312" i="2" l="1"/>
  <c r="L2313" i="2" l="1"/>
  <c r="L2314" i="2" l="1"/>
  <c r="L2315" i="2" l="1"/>
  <c r="L2316" i="2" l="1"/>
  <c r="L2317" i="2" l="1"/>
  <c r="L2318" i="2" l="1"/>
  <c r="L2319" i="2" l="1"/>
  <c r="L2320" i="2" l="1"/>
  <c r="L2321" i="2" l="1"/>
  <c r="L2322" i="2" l="1"/>
  <c r="L2323" i="2" l="1"/>
  <c r="L2324" i="2" l="1"/>
  <c r="L2325" i="2" l="1"/>
  <c r="L2326" i="2" l="1"/>
  <c r="L2327" i="2" l="1"/>
  <c r="L2328" i="2" l="1"/>
  <c r="L2329" i="2" l="1"/>
  <c r="L2330" i="2" l="1"/>
  <c r="L2331" i="2" l="1"/>
  <c r="L2332" i="2" l="1"/>
  <c r="L2333" i="2" l="1"/>
  <c r="L2334" i="2" l="1"/>
  <c r="L2335" i="2" l="1"/>
  <c r="L2336" i="2" l="1"/>
  <c r="L2337" i="2" l="1"/>
  <c r="L2338" i="2" l="1"/>
  <c r="L2339" i="2" l="1"/>
  <c r="L2340" i="2" l="1"/>
  <c r="L2341" i="2" l="1"/>
  <c r="L2342" i="2" l="1"/>
  <c r="L2343" i="2" l="1"/>
  <c r="L2344" i="2" l="1"/>
  <c r="L2345" i="2" l="1"/>
  <c r="L2346" i="2" l="1"/>
  <c r="L2347" i="2" l="1"/>
  <c r="L2348" i="2" l="1"/>
  <c r="L2349" i="2" l="1"/>
  <c r="L2350" i="2" l="1"/>
  <c r="L2351" i="2" l="1"/>
  <c r="L2352" i="2" l="1"/>
  <c r="L2353" i="2" l="1"/>
  <c r="L2354" i="2" l="1"/>
  <c r="L2355" i="2" l="1"/>
  <c r="L2356" i="2" l="1"/>
  <c r="L2357" i="2" l="1"/>
  <c r="L2358" i="2" l="1"/>
  <c r="L2359" i="2" l="1"/>
  <c r="L2360" i="2" l="1"/>
  <c r="L2361" i="2" l="1"/>
  <c r="L2362" i="2" l="1"/>
  <c r="L2363" i="2" l="1"/>
  <c r="L2364" i="2" l="1"/>
  <c r="L2365" i="2" l="1"/>
  <c r="L2366" i="2" l="1"/>
  <c r="L2367" i="2" l="1"/>
  <c r="L2368" i="2" l="1"/>
  <c r="L2369" i="2" l="1"/>
  <c r="L2370" i="2" l="1"/>
  <c r="L2371" i="2" l="1"/>
  <c r="L2372" i="2" l="1"/>
  <c r="L2373" i="2" l="1"/>
  <c r="L2374" i="2" l="1"/>
  <c r="L2375" i="2" l="1"/>
  <c r="L2376" i="2" l="1"/>
  <c r="L2377" i="2" l="1"/>
  <c r="L2378" i="2" l="1"/>
  <c r="L2379" i="2" l="1"/>
  <c r="L2380" i="2" l="1"/>
  <c r="L2381" i="2" l="1"/>
  <c r="L2382" i="2" l="1"/>
  <c r="L2383" i="2" l="1"/>
  <c r="L2384" i="2" l="1"/>
  <c r="L2385" i="2" l="1"/>
  <c r="L2386" i="2" l="1"/>
  <c r="L2387" i="2" l="1"/>
  <c r="L2388" i="2" l="1"/>
  <c r="L2389" i="2" l="1"/>
  <c r="L2390" i="2" l="1"/>
  <c r="L2391" i="2" l="1"/>
  <c r="L2392" i="2" l="1"/>
  <c r="L2393" i="2" l="1"/>
  <c r="L2394" i="2" l="1"/>
  <c r="L2395" i="2" l="1"/>
  <c r="L2396" i="2" l="1"/>
  <c r="L2397" i="2" l="1"/>
  <c r="L2398" i="2" l="1"/>
  <c r="L2399" i="2" l="1"/>
  <c r="L2400" i="2" l="1"/>
  <c r="L2401" i="2" l="1"/>
  <c r="L2402" i="2" l="1"/>
  <c r="L2403" i="2" l="1"/>
  <c r="L2404" i="2" l="1"/>
  <c r="L2405" i="2" l="1"/>
  <c r="L2406" i="2" l="1"/>
  <c r="L2407" i="2" l="1"/>
  <c r="L2408" i="2" l="1"/>
  <c r="L2409" i="2" l="1"/>
  <c r="L2410" i="2" l="1"/>
  <c r="L2411" i="2" l="1"/>
  <c r="L2412" i="2" l="1"/>
  <c r="L2413" i="2" l="1"/>
  <c r="L2414" i="2" l="1"/>
  <c r="L2415" i="2" l="1"/>
  <c r="L2416" i="2" l="1"/>
  <c r="L2417" i="2" l="1"/>
  <c r="L2418" i="2" l="1"/>
  <c r="L2419" i="2" l="1"/>
  <c r="L2420" i="2" l="1"/>
  <c r="L2421" i="2" l="1"/>
  <c r="L2422" i="2" l="1"/>
  <c r="L2423" i="2" l="1"/>
  <c r="L2424" i="2" l="1"/>
  <c r="L2425" i="2" l="1"/>
  <c r="L2426" i="2" l="1"/>
  <c r="L2427" i="2" l="1"/>
  <c r="L2428" i="2" l="1"/>
  <c r="L2429" i="2" l="1"/>
  <c r="L2430" i="2" l="1"/>
  <c r="L2431" i="2" l="1"/>
  <c r="L2432" i="2" l="1"/>
  <c r="L2433" i="2" l="1"/>
  <c r="L2434" i="2" l="1"/>
  <c r="L2435" i="2" l="1"/>
  <c r="L2436" i="2" l="1"/>
  <c r="L2437" i="2" l="1"/>
  <c r="L2438" i="2" l="1"/>
  <c r="L2439" i="2" l="1"/>
  <c r="L2440" i="2" l="1"/>
  <c r="L2441" i="2" l="1"/>
  <c r="L2442" i="2" l="1"/>
  <c r="L2443" i="2" l="1"/>
  <c r="L2444" i="2" l="1"/>
  <c r="L2445" i="2" l="1"/>
  <c r="L2446" i="2" l="1"/>
  <c r="L2447" i="2" l="1"/>
  <c r="L2448" i="2" l="1"/>
  <c r="L2449" i="2" l="1"/>
  <c r="L2450" i="2" l="1"/>
  <c r="L2451" i="2" l="1"/>
  <c r="L2452" i="2" l="1"/>
  <c r="L2453" i="2" l="1"/>
  <c r="L2454" i="2" l="1"/>
  <c r="L2455" i="2" l="1"/>
  <c r="L2456" i="2" l="1"/>
  <c r="L2457" i="2" l="1"/>
  <c r="L2458" i="2" l="1"/>
  <c r="L2459" i="2" l="1"/>
  <c r="L2460" i="2" l="1"/>
  <c r="L2461" i="2" l="1"/>
  <c r="L2462" i="2" l="1"/>
  <c r="L2463" i="2" l="1"/>
  <c r="L2464" i="2" l="1"/>
  <c r="L2465" i="2" l="1"/>
  <c r="L2466" i="2" l="1"/>
  <c r="L2467" i="2" l="1"/>
  <c r="L2468" i="2" l="1"/>
  <c r="L2469" i="2" l="1"/>
  <c r="L2470" i="2" l="1"/>
  <c r="L2471" i="2" l="1"/>
  <c r="L2472" i="2" l="1"/>
  <c r="L2473" i="2" l="1"/>
  <c r="L2474" i="2" l="1"/>
  <c r="L2475" i="2" l="1"/>
  <c r="L2476" i="2" l="1"/>
  <c r="L2477" i="2" l="1"/>
  <c r="L2478" i="2" l="1"/>
  <c r="L2479" i="2" l="1"/>
  <c r="L2480" i="2" l="1"/>
  <c r="L2481" i="2" l="1"/>
  <c r="L2482" i="2" l="1"/>
  <c r="L2483" i="2" l="1"/>
  <c r="L2484" i="2" l="1"/>
  <c r="L2485" i="2" l="1"/>
  <c r="L2486" i="2" l="1"/>
  <c r="L2487" i="2" l="1"/>
  <c r="L2488" i="2" l="1"/>
  <c r="L2489" i="2" l="1"/>
  <c r="L2490" i="2" l="1"/>
  <c r="L2491" i="2" l="1"/>
  <c r="L2492" i="2" l="1"/>
  <c r="L2493" i="2" l="1"/>
  <c r="L2494" i="2" l="1"/>
  <c r="L2495" i="2" l="1"/>
  <c r="L2496" i="2" l="1"/>
  <c r="L2497" i="2" l="1"/>
  <c r="L2498" i="2" l="1"/>
  <c r="L2499" i="2" l="1"/>
  <c r="L2500" i="2" l="1"/>
  <c r="L2501" i="2" l="1"/>
  <c r="L2502" i="2" l="1"/>
  <c r="L2503" i="2" l="1"/>
  <c r="L2504" i="2" l="1"/>
  <c r="L2505" i="2" l="1"/>
  <c r="L2506" i="2" l="1"/>
  <c r="L2507" i="2" l="1"/>
  <c r="L2508" i="2" l="1"/>
  <c r="L2509" i="2" l="1"/>
  <c r="L2510" i="2" l="1"/>
  <c r="L2511" i="2" l="1"/>
  <c r="L2512" i="2" l="1"/>
  <c r="L2513" i="2" l="1"/>
  <c r="L2514" i="2" l="1"/>
  <c r="L2515" i="2" l="1"/>
  <c r="L2516" i="2" l="1"/>
  <c r="L2517" i="2" l="1"/>
  <c r="L2518" i="2" l="1"/>
  <c r="L2519" i="2" l="1"/>
  <c r="L2520" i="2" l="1"/>
  <c r="L2521" i="2" l="1"/>
  <c r="L2522" i="2" l="1"/>
  <c r="L2523" i="2" l="1"/>
  <c r="L2524" i="2" l="1"/>
  <c r="L2525" i="2" l="1"/>
  <c r="L2526" i="2" l="1"/>
  <c r="L2527" i="2" l="1"/>
  <c r="L2528" i="2" l="1"/>
  <c r="L2529" i="2" l="1"/>
  <c r="L2530" i="2" l="1"/>
  <c r="L2531" i="2" l="1"/>
  <c r="L2532" i="2" l="1"/>
  <c r="L2533" i="2" l="1"/>
  <c r="L2534" i="2" l="1"/>
  <c r="L2535" i="2" l="1"/>
  <c r="L2536" i="2" l="1"/>
  <c r="L2537" i="2" l="1"/>
  <c r="L2538" i="2" l="1"/>
  <c r="L2539" i="2" l="1"/>
  <c r="L2540" i="2" l="1"/>
  <c r="L2541" i="2" l="1"/>
  <c r="L2542" i="2" l="1"/>
  <c r="L2543" i="2" l="1"/>
  <c r="L2544" i="2" l="1"/>
  <c r="L2545" i="2" l="1"/>
  <c r="L2546" i="2" l="1"/>
  <c r="L2547" i="2" l="1"/>
  <c r="L2548" i="2" l="1"/>
  <c r="L2549" i="2" l="1"/>
  <c r="L2550" i="2" l="1"/>
  <c r="L2551" i="2" l="1"/>
  <c r="L2552" i="2" l="1"/>
  <c r="L2553" i="2" l="1"/>
  <c r="L2554" i="2" l="1"/>
  <c r="L2555" i="2" l="1"/>
  <c r="L2556" i="2" l="1"/>
  <c r="L2557" i="2" l="1"/>
  <c r="L2558" i="2" l="1"/>
  <c r="L2559" i="2" l="1"/>
  <c r="L2560" i="2" l="1"/>
  <c r="L2561" i="2" l="1"/>
  <c r="L2562" i="2" l="1"/>
  <c r="L2563" i="2" l="1"/>
  <c r="L2564" i="2" l="1"/>
  <c r="L2565" i="2" l="1"/>
  <c r="L2566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海野秀祐</author>
  </authors>
  <commentList>
    <comment ref="D6" authorId="0" shapeId="0" xr:uid="{00000000-0006-0000-02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海野秀祐:</t>
        </r>
        <r>
          <rPr>
            <sz val="9"/>
            <color indexed="81"/>
            <rFont val="ＭＳ Ｐゴシック"/>
            <family val="3"/>
            <charset val="128"/>
          </rPr>
          <t xml:space="preserve">
空白ならシートと同じディレクトリに出力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高橋　誠治</author>
  </authors>
  <commentList>
    <comment ref="G219" authorId="0" shapeId="0" xr:uid="{00000000-0006-0000-03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2007/1/25
中央重点測光ベースでスポット測光寄り</t>
        </r>
      </text>
    </comment>
  </commentList>
</comments>
</file>

<file path=xl/sharedStrings.xml><?xml version="1.0" encoding="utf-8"?>
<sst xmlns="http://schemas.openxmlformats.org/spreadsheetml/2006/main" count="10359" uniqueCount="2933">
  <si>
    <t>AE_BLOCK_WEIGHT_234</t>
  </si>
  <si>
    <t>AE_BLOCK_WEIGHT_235</t>
  </si>
  <si>
    <t>AE_BLOCK_WEIGHT_236</t>
  </si>
  <si>
    <t>AE_BLOCK_WEIGHT_237</t>
  </si>
  <si>
    <t>AE_BLOCK_WEIGHT_238</t>
  </si>
  <si>
    <t>AE_BLOCK_WEIGHT_239</t>
  </si>
  <si>
    <t>AE_BLOCK_WEIGHT_240</t>
  </si>
  <si>
    <t>AE_BLOCK_WEIGHT_241</t>
  </si>
  <si>
    <t>AE_BLOCK_WEIGHT_242</t>
  </si>
  <si>
    <t>AE_BLOCK_WEIGHT_243</t>
  </si>
  <si>
    <t>AE_BLOCK_WEIGHT_244</t>
  </si>
  <si>
    <t>AE_BLOCK_WEIGHT_245</t>
  </si>
  <si>
    <t>AE_BLOCK_WEIGHT_246</t>
  </si>
  <si>
    <t>AE_BLOCK_WEIGHT_247</t>
  </si>
  <si>
    <t>AE_BLOCK_WEIGHT_248</t>
  </si>
  <si>
    <t>AE_BLOCK_WEIGHT_249</t>
  </si>
  <si>
    <t>AE_BLOCK_WEIGHT_250</t>
  </si>
  <si>
    <t>AE_BLOCK_WEIGHT_251</t>
  </si>
  <si>
    <t>AE_BLOCK_WEIGHT_252</t>
  </si>
  <si>
    <t>AE_BLOCK_WEIGHT_253</t>
  </si>
  <si>
    <t>AE_BLOCK_WEIGHT_254</t>
  </si>
  <si>
    <t>AE_BLOCK_WEIGHT_255</t>
  </si>
  <si>
    <t>AE_BLOCK_WEIGHT_4</t>
  </si>
  <si>
    <t>AE_BLOCK_WEIGHT_5</t>
  </si>
  <si>
    <t>AE_BLOCK_WEIGHT_6</t>
  </si>
  <si>
    <t>AE_BLOCK_WEIGHT_7</t>
  </si>
  <si>
    <t>AE_BLOCK_WEIGHT_8</t>
  </si>
  <si>
    <t>AE_BLOCK_WEIGHT_9</t>
  </si>
  <si>
    <t>AE_BLOCK_WEIGHT_10</t>
  </si>
  <si>
    <t>AE_BLOCK_WEIGHT_11</t>
  </si>
  <si>
    <t>AE_BLOCK_WEIGHT_12</t>
  </si>
  <si>
    <t>AE_BLOCK_WEIGHT_13</t>
  </si>
  <si>
    <t>AE_BLOCK_WEIGHT_14</t>
  </si>
  <si>
    <t>AE_BLOCK_WEIGHT_15</t>
  </si>
  <si>
    <t>AE_BLOCK_WEIGHT_16</t>
  </si>
  <si>
    <t>AE_BLOCK_WEIGHT_17</t>
  </si>
  <si>
    <t>AE_BLOCK_WEIGHT_18</t>
  </si>
  <si>
    <t>AE_BLOCK_WEIGHT_19</t>
  </si>
  <si>
    <t>AE_BLOCK_WEIGHT_20</t>
  </si>
  <si>
    <t>AE_BLOCK_WEIGHT_21</t>
  </si>
  <si>
    <t>AE_BLOCK_WEIGHT_22</t>
  </si>
  <si>
    <t>AE_BLOCK_WEIGHT_23</t>
  </si>
  <si>
    <t>AE_BLOCK_WEIGHT_24</t>
  </si>
  <si>
    <t>AE_BLOCK_WEIGHT_25</t>
  </si>
  <si>
    <t>AE_BLOCK_WEIGHT_26</t>
  </si>
  <si>
    <t>AE_BLOCK_WEIGHT_27</t>
  </si>
  <si>
    <t>AE_BLOCK_WEIGHT_28</t>
  </si>
  <si>
    <t>AE_BLOCK_WEIGHT_29</t>
  </si>
  <si>
    <t>AE_BLOCK_WEIGHT_30</t>
  </si>
  <si>
    <t>AE_BLOCK_WEIGHT_31</t>
  </si>
  <si>
    <t>AE_BLOCK_WEIGHT_32</t>
  </si>
  <si>
    <t>AE_BLOCK_WEIGHT_33</t>
  </si>
  <si>
    <t>AE_BLOCK_WEIGHT_34</t>
  </si>
  <si>
    <t>AE_BLOCK_WEIGHT_35</t>
  </si>
  <si>
    <t>AE_BLOCK_WEIGHT_36</t>
  </si>
  <si>
    <t>AE_BLOCK_WEIGHT_37</t>
  </si>
  <si>
    <t>AE_BLOCK_WEIGHT_38</t>
  </si>
  <si>
    <t>AE_BLOCK_WEIGHT_39</t>
  </si>
  <si>
    <t>AE_BLOCK_WEIGHT_40</t>
  </si>
  <si>
    <t>AE_BLOCK_WEIGHT_41</t>
  </si>
  <si>
    <t>AE_BLOCK_WEIGHT_42</t>
  </si>
  <si>
    <t>AE_BLOCK_WEIGHT_43</t>
  </si>
  <si>
    <t>AE_BLOCK_WEIGHT_44</t>
  </si>
  <si>
    <t>AE_BLOCK_WEIGHT_45</t>
  </si>
  <si>
    <t>AE_BLOCK_WEIGHT_46</t>
  </si>
  <si>
    <t>AE_BLOCK_WEIGHT_47</t>
  </si>
  <si>
    <t>AE_BLOCK_WEIGHT_48</t>
  </si>
  <si>
    <t>AE_BLOCK_WEIGHT_49</t>
  </si>
  <si>
    <t>AE_BLOCK_WEIGHT_50</t>
  </si>
  <si>
    <t>AE_BLOCK_WEIGHT_51</t>
  </si>
  <si>
    <t>AE_BLOCK_WEIGHT_52</t>
  </si>
  <si>
    <t>AE_BLOCK_WEIGHT_53</t>
  </si>
  <si>
    <t>AE_BLOCK_WEIGHT_54</t>
  </si>
  <si>
    <t>AE_BLOCK_WEIGHT_55</t>
  </si>
  <si>
    <t>AE_BLOCK_WEIGHT_56</t>
  </si>
  <si>
    <t>AE_WEIGHT</t>
  </si>
  <si>
    <t>MACRO</t>
    <phoneticPr fontId="11"/>
  </si>
  <si>
    <t>AE_BLOCK_WEIGHT_2</t>
    <phoneticPr fontId="11"/>
  </si>
  <si>
    <t>AE_BLOCK_WEIGHT_3</t>
    <phoneticPr fontId="11"/>
  </si>
  <si>
    <t>AE_BLOCK_WEIGHT_0</t>
    <phoneticPr fontId="11"/>
  </si>
  <si>
    <t>AE_BLOCK_WEIGHT_1</t>
    <phoneticPr fontId="11"/>
  </si>
  <si>
    <t>AE_BLOCK_WEIGHT_193</t>
  </si>
  <si>
    <t>AE_BLOCK_WEIGHT_194</t>
  </si>
  <si>
    <t>AE_BLOCK_WEIGHT_195</t>
  </si>
  <si>
    <t>AE_BLOCK_WEIGHT_196</t>
  </si>
  <si>
    <t>AE_BLOCK_WEIGHT_197</t>
  </si>
  <si>
    <t>AE_BLOCK_WEIGHT_198</t>
  </si>
  <si>
    <t>AE_BLOCK_WEIGHT_199</t>
  </si>
  <si>
    <t>AE_BLOCK_WEIGHT_200</t>
  </si>
  <si>
    <t>AE_BLOCK_WEIGHT_201</t>
  </si>
  <si>
    <t>AE_BLOCK_WEIGHT_202</t>
  </si>
  <si>
    <t>AE_BLOCK_WEIGHT_203</t>
  </si>
  <si>
    <t>AE_BLOCK_WEIGHT_204</t>
  </si>
  <si>
    <t>AE_BLOCK_WEIGHT_205</t>
  </si>
  <si>
    <t>AE_BLOCK_WEIGHT_206</t>
  </si>
  <si>
    <t>AE_BLOCK_WEIGHT_207</t>
  </si>
  <si>
    <t>AE_BLOCK_WEIGHT_208</t>
  </si>
  <si>
    <t>AE_BLOCK_WEIGHT_209</t>
  </si>
  <si>
    <t>AE_BLOCK_WEIGHT_210</t>
  </si>
  <si>
    <t>AE_BLOCK_WEIGHT_211</t>
  </si>
  <si>
    <t>AE_BLOCK_WEIGHT_212</t>
  </si>
  <si>
    <t>AE_BLOCK_WEIGHT_213</t>
  </si>
  <si>
    <t>AE_BLOCK_WEIGHT_214</t>
  </si>
  <si>
    <t>AE_BLOCK_WEIGHT_215</t>
  </si>
  <si>
    <t>AE_BLOCK_WEIGHT_216</t>
  </si>
  <si>
    <t>AE_BLOCK_WEIGHT_217</t>
  </si>
  <si>
    <t>AE_BLOCK_WEIGHT_218</t>
  </si>
  <si>
    <t>AE_BLOCK_WEIGHT_219</t>
  </si>
  <si>
    <t>AE_BLOCK_WEIGHT_220</t>
  </si>
  <si>
    <t>AE_BLOCK_WEIGHT_221</t>
  </si>
  <si>
    <t>AE_BLOCK_WEIGHT_222</t>
  </si>
  <si>
    <t>AE_BLOCK_WEIGHT_223</t>
  </si>
  <si>
    <t>AE_BLOCK_WEIGHT_224</t>
  </si>
  <si>
    <t>AE_BLOCK_WEIGHT_225</t>
  </si>
  <si>
    <t>AE_BLOCK_WEIGHT_226</t>
  </si>
  <si>
    <t>AE_BLOCK_WEIGHT_227</t>
  </si>
  <si>
    <t>AE_BLOCK_WEIGHT_228</t>
  </si>
  <si>
    <t>AE_BLOCK_WEIGHT_229</t>
  </si>
  <si>
    <t>AE_BLOCK_WEIGHT_230</t>
  </si>
  <si>
    <t>AE_BLOCK_WEIGHT_231</t>
  </si>
  <si>
    <t>AE_BLOCK_WEIGHT_232</t>
  </si>
  <si>
    <t>_ae_weight</t>
    <phoneticPr fontId="10"/>
  </si>
  <si>
    <t>0x0</t>
    <phoneticPr fontId="10"/>
  </si>
  <si>
    <t>AE_W</t>
    <phoneticPr fontId="10"/>
  </si>
  <si>
    <t>ram_map.h</t>
    <phoneticPr fontId="10"/>
  </si>
  <si>
    <t>No</t>
    <phoneticPr fontId="11"/>
  </si>
  <si>
    <t>縦</t>
    <rPh sb="0" eb="1">
      <t>タテ</t>
    </rPh>
    <phoneticPr fontId="11"/>
  </si>
  <si>
    <t>横</t>
    <rPh sb="0" eb="1">
      <t>ヨコ</t>
    </rPh>
    <phoneticPr fontId="11"/>
  </si>
  <si>
    <t>AE_BLOCK_WEIGHT_57</t>
  </si>
  <si>
    <t>AE_BLOCK_WEIGHT_58</t>
  </si>
  <si>
    <t>AE_BLOCK_WEIGHT_59</t>
  </si>
  <si>
    <t>AE_BLOCK_WEIGHT_60</t>
  </si>
  <si>
    <t>AE_BLOCK_WEIGHT_61</t>
  </si>
  <si>
    <t>AE_BLOCK_WEIGHT_62</t>
  </si>
  <si>
    <t>AE_BLOCK_WEIGHT_63</t>
  </si>
  <si>
    <t>AE_BLOCK_WEIGHT_64</t>
  </si>
  <si>
    <t>AE_BLOCK_WEIGHT_65</t>
  </si>
  <si>
    <t>AE_BLOCK_WEIGHT_66</t>
  </si>
  <si>
    <t>AE_BLOCK_WEIGHT_67</t>
  </si>
  <si>
    <t>AE_BLOCK_WEIGHT_68</t>
  </si>
  <si>
    <t>AE_BLOCK_WEIGHT_69</t>
  </si>
  <si>
    <t>AE_BLOCK_WEIGHT_70</t>
  </si>
  <si>
    <t>AE_BLOCK_WEIGHT_71</t>
  </si>
  <si>
    <t>AE_BLOCK_WEIGHT_72</t>
  </si>
  <si>
    <t>AE_BLOCK_WEIGHT_73</t>
  </si>
  <si>
    <t>AE_BLOCK_WEIGHT_74</t>
  </si>
  <si>
    <t>AE_BLOCK_WEIGHT_75</t>
  </si>
  <si>
    <t>AE_BLOCK_WEIGHT_76</t>
  </si>
  <si>
    <t>AE_BLOCK_WEIGHT_77</t>
  </si>
  <si>
    <t>AE_BLOCK_WEIGHT_78</t>
  </si>
  <si>
    <t>AE_BLOCK_WEIGHT_79</t>
  </si>
  <si>
    <t>AE_BLOCK_WEIGHT_80</t>
  </si>
  <si>
    <t>AE_BLOCK_WEIGHT_81</t>
  </si>
  <si>
    <t>AE_BLOCK_WEIGHT_82</t>
  </si>
  <si>
    <t>AE_BLOCK_WEIGHT_83</t>
  </si>
  <si>
    <t>AE_BLOCK_WEIGHT_84</t>
  </si>
  <si>
    <t>AE_BLOCK_WEIGHT_85</t>
  </si>
  <si>
    <t>AE_BLOCK_WEIGHT_86</t>
  </si>
  <si>
    <t>AE_BLOCK_WEIGHT_87</t>
  </si>
  <si>
    <t>AE_BLOCK_WEIGHT_88</t>
  </si>
  <si>
    <t>AE_BLOCK_WEIGHT_89</t>
  </si>
  <si>
    <t>AE_BLOCK_WEIGHT_90</t>
  </si>
  <si>
    <t>AE_BLOCK_WEIGHT_91</t>
  </si>
  <si>
    <t>AE_BLOCK_WEIGHT_92</t>
  </si>
  <si>
    <t>AE_BLOCK_WEIGHT_93</t>
  </si>
  <si>
    <t>AE_BLOCK_WEIGHT_94</t>
  </si>
  <si>
    <t>AE_BLOCK_WEIGHT_95</t>
  </si>
  <si>
    <t>AE_BLOCK_WEIGHT_96</t>
  </si>
  <si>
    <t>AE_BLOCK_WEIGHT_97</t>
  </si>
  <si>
    <t>AE_BLOCK_WEIGHT_98</t>
  </si>
  <si>
    <t>AE_BLOCK_WEIGHT_99</t>
  </si>
  <si>
    <t>AE_BLOCK_WEIGHT_100</t>
  </si>
  <si>
    <t>AE_BLOCK_WEIGHT_101</t>
  </si>
  <si>
    <t>AE_BLOCK_WEIGHT_102</t>
  </si>
  <si>
    <t>AE_BLOCK_WEIGHT_103</t>
  </si>
  <si>
    <t>AE_BLOCK_WEIGHT_104</t>
  </si>
  <si>
    <t>AE_BLOCK_WEIGHT_105</t>
  </si>
  <si>
    <t>AE_BLOCK_WEIGHT_106</t>
  </si>
  <si>
    <t>AE_BLOCK_WEIGHT_107</t>
  </si>
  <si>
    <t>AE_BLOCK_WEIGHT_108</t>
  </si>
  <si>
    <t>AE_BLOCK_WEIGHT_109</t>
  </si>
  <si>
    <t>AE_BLOCK_WEIGHT_110</t>
  </si>
  <si>
    <t>AE_BLOCK_WEIGHT_111</t>
  </si>
  <si>
    <t>AE_BLOCK_WEIGHT_112</t>
  </si>
  <si>
    <t>AE_BLOCK_WEIGHT_113</t>
  </si>
  <si>
    <t>AE_BLOCK_WEIGHT_114</t>
  </si>
  <si>
    <t>AE_BLOCK_WEIGHT_115</t>
  </si>
  <si>
    <t>AE_BLOCK_WEIGHT_116</t>
  </si>
  <si>
    <t>AE_BLOCK_WEIGHT_117</t>
  </si>
  <si>
    <t>AE_BLOCK_WEIGHT_118</t>
  </si>
  <si>
    <t>AE_BLOCK_WEIGHT_119</t>
  </si>
  <si>
    <t>AE_BLOCK_WEIGHT_120</t>
  </si>
  <si>
    <t>AE_BLOCK_WEIGHT_121</t>
  </si>
  <si>
    <t>AE_BLOCK_WEIGHT_122</t>
  </si>
  <si>
    <t>AE_BLOCK_WEIGHT_123</t>
  </si>
  <si>
    <t>AE_BLOCK_WEIGHT_124</t>
  </si>
  <si>
    <t>AE_BLOCK_WEIGHT_125</t>
  </si>
  <si>
    <t>AE_BLOCK_WEIGHT_126</t>
  </si>
  <si>
    <t>AE_BLOCK_WEIGHT_127</t>
  </si>
  <si>
    <t>AE_BLOCK_WEIGHT_128</t>
  </si>
  <si>
    <t>AE_BLOCK_WEIGHT_129</t>
  </si>
  <si>
    <t>AE_BLOCK_WEIGHT_130</t>
  </si>
  <si>
    <t>AE_BLOCK_WEIGHT_131</t>
  </si>
  <si>
    <t>AE_BLOCK_WEIGHT_132</t>
  </si>
  <si>
    <t>AE_BLOCK_WEIGHT_133</t>
  </si>
  <si>
    <t>AE_BLOCK_WEIGHT_134</t>
  </si>
  <si>
    <t>AE_BLOCK_WEIGHT_135</t>
  </si>
  <si>
    <t>AE_BLOCK_WEIGHT_136</t>
  </si>
  <si>
    <t>AE_BLOCK_WEIGHT_137</t>
  </si>
  <si>
    <t>AE_BLOCK_WEIGHT_138</t>
  </si>
  <si>
    <t>AE_BLOCK_WEIGHT_139</t>
  </si>
  <si>
    <t>AE_BLOCK_WEIGHT_140</t>
  </si>
  <si>
    <t>AE_BLOCK_WEIGHT_141</t>
  </si>
  <si>
    <t>AE_BLOCK_WEIGHT_142</t>
  </si>
  <si>
    <t>AE_BLOCK_WEIGHT_143</t>
  </si>
  <si>
    <t>AE_BLOCK_WEIGHT_144</t>
  </si>
  <si>
    <t>AE_BLOCK_WEIGHT_145</t>
  </si>
  <si>
    <t>AE_BLOCK_WEIGHT_146</t>
  </si>
  <si>
    <t>AE_BLOCK_WEIGHT_147</t>
  </si>
  <si>
    <t>AE_BLOCK_WEIGHT_148</t>
  </si>
  <si>
    <t>AE_BLOCK_WEIGHT_149</t>
  </si>
  <si>
    <t>AE_BLOCK_WEIGHT_150</t>
  </si>
  <si>
    <t>AE_BLOCK_WEIGHT_151</t>
  </si>
  <si>
    <t>AE_BLOCK_WEIGHT_152</t>
  </si>
  <si>
    <t>AE_BLOCK_WEIGHT_153</t>
  </si>
  <si>
    <t>AE_BLOCK_WEIGHT_154</t>
  </si>
  <si>
    <t>AE_BLOCK_WEIGHT_155</t>
  </si>
  <si>
    <t>AE_BLOCK_WEIGHT_156</t>
  </si>
  <si>
    <t>AE_BLOCK_WEIGHT_157</t>
  </si>
  <si>
    <t>AE_BLOCK_WEIGHT_158</t>
  </si>
  <si>
    <t>AE_BLOCK_WEIGHT_159</t>
  </si>
  <si>
    <t>AE_BLOCK_WEIGHT_160</t>
  </si>
  <si>
    <t>AE_BLOCK_WEIGHT_161</t>
  </si>
  <si>
    <t>AE_BLOCK_WEIGHT_162</t>
  </si>
  <si>
    <t>AE_BLOCK_WEIGHT_163</t>
  </si>
  <si>
    <t>AE_BLOCK_WEIGHT_164</t>
  </si>
  <si>
    <t>AE_BLOCK_WEIGHT_165</t>
  </si>
  <si>
    <t>AE_BLOCK_WEIGHT_166</t>
  </si>
  <si>
    <t>AE_BLOCK_WEIGHT_167</t>
  </si>
  <si>
    <t>AE_BLOCK_WEIGHT_168</t>
  </si>
  <si>
    <t>AE_BLOCK_WEIGHT_169</t>
  </si>
  <si>
    <t>AE_BLOCK_WEIGHT_170</t>
  </si>
  <si>
    <t>AE_BLOCK_WEIGHT_171</t>
  </si>
  <si>
    <t>AE_BLOCK_WEIGHT_172</t>
  </si>
  <si>
    <t>AE_BLOCK_WEIGHT_173</t>
  </si>
  <si>
    <t>AE_BLOCK_WEIGHT_174</t>
  </si>
  <si>
    <t>AE_BLOCK_WEIGHT_175</t>
  </si>
  <si>
    <t>AE_BLOCK_WEIGHT_176</t>
  </si>
  <si>
    <t>AE_BLOCK_WEIGHT_177</t>
  </si>
  <si>
    <t>AE_BLOCK_WEIGHT_178</t>
  </si>
  <si>
    <t>AE_BLOCK_WEIGHT_179</t>
  </si>
  <si>
    <t>AE_BLOCK_WEIGHT_180</t>
  </si>
  <si>
    <t>AE_BLOCK_WEIGHT_181</t>
  </si>
  <si>
    <t>AE_BLOCK_WEIGHT_182</t>
  </si>
  <si>
    <t>AE_BLOCK_WEIGHT_183</t>
  </si>
  <si>
    <t>AE_BLOCK_WEIGHT_184</t>
  </si>
  <si>
    <t>AE_BLOCK_WEIGHT_185</t>
  </si>
  <si>
    <t>AE_BLOCK_WEIGHT_186</t>
  </si>
  <si>
    <t>AE_BLOCK_WEIGHT_187</t>
  </si>
  <si>
    <t>AE_BLOCK_WEIGHT_188</t>
  </si>
  <si>
    <t>AE_BLOCK_WEIGHT_189</t>
  </si>
  <si>
    <t>AE_BLOCK_WEIGHT_190</t>
  </si>
  <si>
    <t>AE_BLOCK_WEIGHT_191</t>
  </si>
  <si>
    <t>AE_BLOCK_WEIGHT_192</t>
  </si>
  <si>
    <t>AE_BLOCK_WEIGHT_233</t>
  </si>
  <si>
    <t>End Address + 1</t>
  </si>
  <si>
    <t>AE Weight Table</t>
  </si>
  <si>
    <t>Name of BIN file</t>
    <phoneticPr fontId="11"/>
  </si>
  <si>
    <t>Name of Header file</t>
    <phoneticPr fontId="11"/>
  </si>
  <si>
    <t>Name of Memory File</t>
    <phoneticPr fontId="11"/>
  </si>
  <si>
    <t>Memory Map Address</t>
    <phoneticPr fontId="11"/>
  </si>
  <si>
    <t>Nameof Section</t>
    <phoneticPr fontId="11"/>
  </si>
  <si>
    <t>Name of variable</t>
    <phoneticPr fontId="11"/>
  </si>
  <si>
    <t>Name of Structure</t>
    <phoneticPr fontId="11"/>
  </si>
  <si>
    <t>Name of RAM MAP Add.</t>
    <phoneticPr fontId="10"/>
  </si>
  <si>
    <t>Name</t>
    <phoneticPr fontId="10"/>
  </si>
  <si>
    <t>Address</t>
    <phoneticPr fontId="11"/>
  </si>
  <si>
    <t>Name of member variable</t>
    <phoneticPr fontId="11"/>
  </si>
  <si>
    <t>Detail</t>
    <phoneticPr fontId="11"/>
  </si>
  <si>
    <t>Size</t>
    <phoneticPr fontId="11"/>
  </si>
  <si>
    <t>Number of parameter set</t>
    <phoneticPr fontId="11"/>
  </si>
  <si>
    <t>Don't change the this sheet becouse of work area.</t>
    <phoneticPr fontId="11"/>
  </si>
  <si>
    <t>Name</t>
    <phoneticPr fontId="11"/>
  </si>
  <si>
    <t>Init Value</t>
    <phoneticPr fontId="11"/>
  </si>
  <si>
    <t>hexadecimal</t>
  </si>
  <si>
    <t>Whole of ROM structure</t>
    <phoneticPr fontId="11"/>
  </si>
  <si>
    <t>Sheet</t>
    <phoneticPr fontId="11"/>
  </si>
  <si>
    <t>Cell</t>
    <phoneticPr fontId="11"/>
  </si>
  <si>
    <t>Detail:Detail information cell name(At the jump destination)</t>
    <phoneticPr fontId="10"/>
  </si>
  <si>
    <t>Number of complete set</t>
    <phoneticPr fontId="11"/>
  </si>
  <si>
    <t>Strucures</t>
    <phoneticPr fontId="11"/>
  </si>
  <si>
    <t>Siz: Size: When using array, size of basic type</t>
    <phoneticPr fontId="10"/>
  </si>
  <si>
    <t>Number of complete set:When using 3 dimensional array, Number of elements of output data arrays</t>
    <phoneticPr fontId="10"/>
  </si>
  <si>
    <t>Number of parameter set:When using 2 dimensional array, Number of elements of output data arrays</t>
    <phoneticPr fontId="10"/>
  </si>
  <si>
    <t>5.Spot 1 (Storage to ROM)</t>
    <phoneticPr fontId="11"/>
  </si>
  <si>
    <r>
      <t xml:space="preserve">Byte
</t>
    </r>
    <r>
      <rPr>
        <sz val="10"/>
        <rFont val="ＭＳ Ｐゴシック"/>
        <family val="3"/>
        <charset val="128"/>
      </rPr>
      <t>数</t>
    </r>
    <rPh sb="5" eb="6">
      <t>スウ</t>
    </rPh>
    <phoneticPr fontId="11"/>
  </si>
  <si>
    <r>
      <t>Structures:Structure:1 = array, 2 = structure, 3 = Register map</t>
    </r>
    <r>
      <rPr>
        <sz val="10"/>
        <rFont val="Tahoma"/>
        <family val="2"/>
      </rPr>
      <t xml:space="preserve">, 4 = Menber  </t>
    </r>
    <phoneticPr fontId="11"/>
  </si>
  <si>
    <t>Data for detail refer</t>
    <phoneticPr fontId="10"/>
  </si>
  <si>
    <t>Detail of AE Weight Table structure</t>
    <phoneticPr fontId="10"/>
  </si>
  <si>
    <t>Section</t>
    <phoneticPr fontId="11"/>
  </si>
  <si>
    <t>Group</t>
    <phoneticPr fontId="11"/>
  </si>
  <si>
    <t>address</t>
    <phoneticPr fontId="11"/>
  </si>
  <si>
    <t xml:space="preserve">* Only the value of a black, bold above the line is reflected in "ROM_MAP"sheet. The value of a possible setting is 0-7. </t>
    <phoneticPr fontId="11"/>
  </si>
  <si>
    <t>テーブル色塗り範囲指定</t>
    <rPh sb="4" eb="5">
      <t>イロ</t>
    </rPh>
    <rPh sb="5" eb="6">
      <t>ヌ</t>
    </rPh>
    <rPh sb="7" eb="9">
      <t>ハンイ</t>
    </rPh>
    <rPh sb="9" eb="11">
      <t>シテイ</t>
    </rPh>
    <phoneticPr fontId="11"/>
  </si>
  <si>
    <t>下限</t>
    <rPh sb="0" eb="2">
      <t>カゲン</t>
    </rPh>
    <phoneticPr fontId="10"/>
  </si>
  <si>
    <t>上限</t>
    <rPh sb="0" eb="2">
      <t>ジョウゲン</t>
    </rPh>
    <phoneticPr fontId="10"/>
  </si>
  <si>
    <t>重み係数指定</t>
    <rPh sb="0" eb="1">
      <t>オモ</t>
    </rPh>
    <rPh sb="2" eb="4">
      <t>ケイスウ</t>
    </rPh>
    <rPh sb="4" eb="6">
      <t>シテイ</t>
    </rPh>
    <phoneticPr fontId="11"/>
  </si>
  <si>
    <t>設定値</t>
    <rPh sb="0" eb="2">
      <t>セッテイ</t>
    </rPh>
    <rPh sb="2" eb="3">
      <t>チ</t>
    </rPh>
    <phoneticPr fontId="10"/>
  </si>
  <si>
    <t>重み係数</t>
    <rPh sb="0" eb="1">
      <t>オモ</t>
    </rPh>
    <rPh sb="2" eb="4">
      <t>ケイスウ</t>
    </rPh>
    <phoneticPr fontId="10"/>
  </si>
  <si>
    <t>積算しない</t>
    <rPh sb="0" eb="2">
      <t>セキサン</t>
    </rPh>
    <phoneticPr fontId="10"/>
  </si>
  <si>
    <t>3.Center-weighted average 2(Storage to ROM)</t>
    <phoneticPr fontId="11"/>
  </si>
  <si>
    <t>4.Center-weighted average 3 (Storage to ROM)</t>
    <phoneticPr fontId="11"/>
  </si>
  <si>
    <t>6.Spot 2 (Storage to ROM)</t>
    <phoneticPr fontId="11"/>
  </si>
  <si>
    <t>7.User setting weight table 1 (Storage to ROM)</t>
    <phoneticPr fontId="11"/>
  </si>
  <si>
    <t>ROM_MAP PRO  Update History</t>
  </si>
  <si>
    <t>History</t>
  </si>
  <si>
    <t>Date</t>
  </si>
  <si>
    <t>Name</t>
  </si>
  <si>
    <t>Comment</t>
  </si>
  <si>
    <t>End Address + 1</t>
    <phoneticPr fontId="10"/>
  </si>
  <si>
    <t>_ae_weight</t>
    <phoneticPr fontId="10"/>
  </si>
  <si>
    <t>note</t>
    <phoneticPr fontId="11"/>
  </si>
  <si>
    <t>15 (even) 8</t>
    <phoneticPr fontId="11"/>
  </si>
  <si>
    <t>JDSPRO</t>
    <phoneticPr fontId="11"/>
  </si>
  <si>
    <t>All block integral</t>
    <phoneticPr fontId="11"/>
  </si>
  <si>
    <t>Center-weighted average 2</t>
    <phoneticPr fontId="11"/>
  </si>
  <si>
    <t>Center-weighted average 3</t>
    <phoneticPr fontId="11"/>
  </si>
  <si>
    <t>Spot 2</t>
    <phoneticPr fontId="11"/>
  </si>
  <si>
    <t>END</t>
    <phoneticPr fontId="11"/>
  </si>
  <si>
    <t>Update</t>
    <phoneticPr fontId="10"/>
  </si>
  <si>
    <t>7 (odd) 0</t>
    <phoneticPr fontId="11"/>
  </si>
  <si>
    <t>Center-weighted average 1</t>
    <phoneticPr fontId="11"/>
  </si>
  <si>
    <t>Spot 1</t>
    <phoneticPr fontId="11"/>
  </si>
  <si>
    <t xml:space="preserve"> 　垂直方向を1/2に間引いて設定するため</t>
    <rPh sb="2" eb="4">
      <t>スイチョク</t>
    </rPh>
    <rPh sb="4" eb="6">
      <t>ホウコウ</t>
    </rPh>
    <rPh sb="11" eb="13">
      <t>マビ</t>
    </rPh>
    <rPh sb="15" eb="17">
      <t>セッテイ</t>
    </rPh>
    <phoneticPr fontId="10"/>
  </si>
  <si>
    <r>
      <t>ROM_MAP  PRO</t>
    </r>
    <r>
      <rPr>
        <sz val="10"/>
        <rFont val="ＭＳ Ｐゴシック"/>
        <family val="3"/>
        <charset val="128"/>
      </rPr>
      <t>マクロ</t>
    </r>
    <phoneticPr fontId="10"/>
  </si>
  <si>
    <t>s</t>
    <phoneticPr fontId="10"/>
  </si>
  <si>
    <t>AE_WEIGHT_MAP.BIN</t>
    <phoneticPr fontId="10"/>
  </si>
  <si>
    <t>ae_weight_map.h</t>
    <phoneticPr fontId="11"/>
  </si>
  <si>
    <t>AE_WEIGHT_MAP_SECTION</t>
    <phoneticPr fontId="11"/>
  </si>
  <si>
    <r>
      <t>ae_weight_map.</t>
    </r>
    <r>
      <rPr>
        <sz val="11"/>
        <rFont val="Tahoma"/>
        <family val="2"/>
      </rPr>
      <t>c</t>
    </r>
    <phoneticPr fontId="11"/>
  </si>
  <si>
    <t>AE_WEIGHT_MEM</t>
    <phoneticPr fontId="11"/>
  </si>
  <si>
    <t>_AE_Weight_map</t>
    <phoneticPr fontId="11"/>
  </si>
  <si>
    <t>10.Portrait Multi Pattern        ( 0 degree clockwise )</t>
    <phoneticPr fontId="11"/>
  </si>
  <si>
    <t>9.Used by FD (Storage to ROM)</t>
    <phoneticPr fontId="11"/>
  </si>
  <si>
    <t>8.Used by Touch AE (Storage to ROM)</t>
    <phoneticPr fontId="11"/>
  </si>
  <si>
    <t>Used by Touch AE</t>
    <phoneticPr fontId="11"/>
  </si>
  <si>
    <t>Portrait Multi Pattern        ( 0 degree clockwise )</t>
    <phoneticPr fontId="11"/>
  </si>
  <si>
    <t>User setting weight table 1</t>
    <phoneticPr fontId="11"/>
  </si>
  <si>
    <t>Used by FD</t>
    <phoneticPr fontId="11"/>
  </si>
  <si>
    <t>ikuze</t>
    <phoneticPr fontId="11"/>
  </si>
  <si>
    <t>1.Center-weighted average 1 (Storage to ROM)</t>
    <phoneticPr fontId="11"/>
  </si>
  <si>
    <t>2.All block integral (Storage to ROM)</t>
    <phoneticPr fontId="11"/>
  </si>
  <si>
    <t>積算結果 * 1/16</t>
    <rPh sb="0" eb="2">
      <t>セキサン</t>
    </rPh>
    <rPh sb="2" eb="4">
      <t>ケッカ</t>
    </rPh>
    <phoneticPr fontId="10"/>
  </si>
  <si>
    <t>積算結果 * 2/16</t>
    <rPh sb="0" eb="2">
      <t>セキサン</t>
    </rPh>
    <rPh sb="2" eb="4">
      <t>ケッカ</t>
    </rPh>
    <phoneticPr fontId="10"/>
  </si>
  <si>
    <t>積算結果 * 3/16</t>
    <rPh sb="0" eb="2">
      <t>セキサン</t>
    </rPh>
    <rPh sb="2" eb="4">
      <t>ケッカ</t>
    </rPh>
    <phoneticPr fontId="10"/>
  </si>
  <si>
    <t>積算結果 * 4/16</t>
    <rPh sb="0" eb="2">
      <t>セキサン</t>
    </rPh>
    <rPh sb="2" eb="4">
      <t>ケッカ</t>
    </rPh>
    <phoneticPr fontId="10"/>
  </si>
  <si>
    <t>積算結果 * 5/16</t>
    <rPh sb="0" eb="2">
      <t>セキサン</t>
    </rPh>
    <rPh sb="2" eb="4">
      <t>ケッカ</t>
    </rPh>
    <phoneticPr fontId="10"/>
  </si>
  <si>
    <t>積算結果 * 6/16</t>
    <rPh sb="0" eb="2">
      <t>セキサン</t>
    </rPh>
    <rPh sb="2" eb="4">
      <t>ケッカ</t>
    </rPh>
    <phoneticPr fontId="10"/>
  </si>
  <si>
    <t>積算結果 * 7/16</t>
    <rPh sb="0" eb="2">
      <t>セキサン</t>
    </rPh>
    <rPh sb="2" eb="4">
      <t>ケッカ</t>
    </rPh>
    <phoneticPr fontId="10"/>
  </si>
  <si>
    <t>積算結果 * 8/16</t>
    <rPh sb="0" eb="2">
      <t>セキサン</t>
    </rPh>
    <rPh sb="2" eb="4">
      <t>ケッカ</t>
    </rPh>
    <phoneticPr fontId="10"/>
  </si>
  <si>
    <t>積算結果 * 9/16</t>
    <rPh sb="0" eb="2">
      <t>セキサン</t>
    </rPh>
    <rPh sb="2" eb="4">
      <t>ケッカ</t>
    </rPh>
    <phoneticPr fontId="10"/>
  </si>
  <si>
    <t>積算結果 * 10/16</t>
    <rPh sb="0" eb="2">
      <t>セキサン</t>
    </rPh>
    <rPh sb="2" eb="4">
      <t>ケッカ</t>
    </rPh>
    <phoneticPr fontId="10"/>
  </si>
  <si>
    <t>積算結果 * 11/16</t>
    <rPh sb="0" eb="2">
      <t>セキサン</t>
    </rPh>
    <rPh sb="2" eb="4">
      <t>ケッカ</t>
    </rPh>
    <phoneticPr fontId="10"/>
  </si>
  <si>
    <t>積算結果 * 12/16</t>
    <rPh sb="0" eb="2">
      <t>セキサン</t>
    </rPh>
    <rPh sb="2" eb="4">
      <t>ケッカ</t>
    </rPh>
    <phoneticPr fontId="10"/>
  </si>
  <si>
    <t>積算結果 * 13/16</t>
    <rPh sb="0" eb="2">
      <t>セキサン</t>
    </rPh>
    <rPh sb="2" eb="4">
      <t>ケッカ</t>
    </rPh>
    <phoneticPr fontId="10"/>
  </si>
  <si>
    <t>積算結果 * 14/16</t>
    <rPh sb="0" eb="2">
      <t>セキサン</t>
    </rPh>
    <rPh sb="2" eb="4">
      <t>ケッカ</t>
    </rPh>
    <phoneticPr fontId="10"/>
  </si>
  <si>
    <t>積算結果 * 15/16</t>
    <rPh sb="0" eb="2">
      <t>セキサン</t>
    </rPh>
    <rPh sb="2" eb="4">
      <t>ケッカ</t>
    </rPh>
    <phoneticPr fontId="10"/>
  </si>
  <si>
    <t>※AE/AWB検波サイズが16x16の時は、</t>
    <rPh sb="7" eb="9">
      <t>ケンパ</t>
    </rPh>
    <rPh sb="19" eb="20">
      <t>トキ</t>
    </rPh>
    <phoneticPr fontId="10"/>
  </si>
  <si>
    <t>　 奇数列を使用しないのでご注意ください。</t>
    <rPh sb="14" eb="16">
      <t>チュウイ</t>
    </rPh>
    <phoneticPr fontId="10"/>
  </si>
  <si>
    <t>※重み係数はWD.cで変更できます。</t>
    <rPh sb="1" eb="2">
      <t>オモ</t>
    </rPh>
    <rPh sb="3" eb="5">
      <t>ケイスウ</t>
    </rPh>
    <rPh sb="11" eb="13">
      <t>ヘンコウ</t>
    </rPh>
    <phoneticPr fontId="10"/>
  </si>
  <si>
    <t>AE_BLOCK_WEIGHT_0</t>
  </si>
  <si>
    <t>AE_BLOCK_WEIGHT_1</t>
  </si>
  <si>
    <t>0x00000000</t>
    <phoneticPr fontId="10"/>
  </si>
  <si>
    <t>0x00000002</t>
    <phoneticPr fontId="10"/>
  </si>
  <si>
    <t>0x00000004</t>
    <phoneticPr fontId="10"/>
  </si>
  <si>
    <t>0x00000006</t>
    <phoneticPr fontId="10"/>
  </si>
  <si>
    <t>0x00000008</t>
    <phoneticPr fontId="10"/>
  </si>
  <si>
    <t>0x0000000A</t>
    <phoneticPr fontId="10"/>
  </si>
  <si>
    <t>0x0000000C</t>
    <phoneticPr fontId="10"/>
  </si>
  <si>
    <t>0x0000000E</t>
    <phoneticPr fontId="10"/>
  </si>
  <si>
    <t>0x00000010</t>
    <phoneticPr fontId="10"/>
  </si>
  <si>
    <t>0x00000012</t>
    <phoneticPr fontId="10"/>
  </si>
  <si>
    <t>0x00000014</t>
    <phoneticPr fontId="10"/>
  </si>
  <si>
    <t>0x00000016</t>
    <phoneticPr fontId="10"/>
  </si>
  <si>
    <t>0x00000018</t>
    <phoneticPr fontId="10"/>
  </si>
  <si>
    <t>0x0000001A</t>
    <phoneticPr fontId="10"/>
  </si>
  <si>
    <t>0x0000001C</t>
    <phoneticPr fontId="10"/>
  </si>
  <si>
    <t>0x0000001E</t>
    <phoneticPr fontId="10"/>
  </si>
  <si>
    <t>0x00000020</t>
    <phoneticPr fontId="10"/>
  </si>
  <si>
    <t>0x00000022</t>
    <phoneticPr fontId="10"/>
  </si>
  <si>
    <t>0x00000024</t>
    <phoneticPr fontId="10"/>
  </si>
  <si>
    <t>0x00000026</t>
    <phoneticPr fontId="10"/>
  </si>
  <si>
    <t>0x00000028</t>
    <phoneticPr fontId="10"/>
  </si>
  <si>
    <t>0x0000002A</t>
    <phoneticPr fontId="10"/>
  </si>
  <si>
    <t>0x0000002C</t>
    <phoneticPr fontId="10"/>
  </si>
  <si>
    <t>0x0000002E</t>
    <phoneticPr fontId="10"/>
  </si>
  <si>
    <t>0x00000030</t>
    <phoneticPr fontId="10"/>
  </si>
  <si>
    <t>0x00000032</t>
    <phoneticPr fontId="10"/>
  </si>
  <si>
    <t>0x00000034</t>
    <phoneticPr fontId="10"/>
  </si>
  <si>
    <t>0x00000036</t>
    <phoneticPr fontId="10"/>
  </si>
  <si>
    <t>0x00000038</t>
    <phoneticPr fontId="10"/>
  </si>
  <si>
    <t>0x0000003A</t>
    <phoneticPr fontId="10"/>
  </si>
  <si>
    <t>0x0000003C</t>
    <phoneticPr fontId="10"/>
  </si>
  <si>
    <t>0x0000003E</t>
    <phoneticPr fontId="10"/>
  </si>
  <si>
    <t>0x00000040</t>
    <phoneticPr fontId="10"/>
  </si>
  <si>
    <t>0x00000042</t>
    <phoneticPr fontId="10"/>
  </si>
  <si>
    <t>0x00000044</t>
    <phoneticPr fontId="10"/>
  </si>
  <si>
    <t>0x00000046</t>
    <phoneticPr fontId="10"/>
  </si>
  <si>
    <t>0x00000048</t>
    <phoneticPr fontId="10"/>
  </si>
  <si>
    <t>0x0000004A</t>
    <phoneticPr fontId="10"/>
  </si>
  <si>
    <t>0x0000004C</t>
    <phoneticPr fontId="10"/>
  </si>
  <si>
    <t>0x0000004E</t>
    <phoneticPr fontId="10"/>
  </si>
  <si>
    <t>0x00000050</t>
    <phoneticPr fontId="10"/>
  </si>
  <si>
    <t>0x00000052</t>
    <phoneticPr fontId="10"/>
  </si>
  <si>
    <t>0x00000054</t>
    <phoneticPr fontId="10"/>
  </si>
  <si>
    <t>0x00000056</t>
    <phoneticPr fontId="10"/>
  </si>
  <si>
    <t>0x00000058</t>
    <phoneticPr fontId="10"/>
  </si>
  <si>
    <t>0x0000005A</t>
    <phoneticPr fontId="10"/>
  </si>
  <si>
    <t>0x0000005C</t>
    <phoneticPr fontId="10"/>
  </si>
  <si>
    <t>0x0000005E</t>
    <phoneticPr fontId="10"/>
  </si>
  <si>
    <t>0x00000060</t>
    <phoneticPr fontId="10"/>
  </si>
  <si>
    <t>0x00000062</t>
    <phoneticPr fontId="10"/>
  </si>
  <si>
    <t>0x00000064</t>
    <phoneticPr fontId="10"/>
  </si>
  <si>
    <t>0x00000066</t>
    <phoneticPr fontId="10"/>
  </si>
  <si>
    <t>0x00000068</t>
    <phoneticPr fontId="10"/>
  </si>
  <si>
    <t>0x0000006A</t>
    <phoneticPr fontId="10"/>
  </si>
  <si>
    <t>0x0000006C</t>
    <phoneticPr fontId="10"/>
  </si>
  <si>
    <t>0x0000006E</t>
    <phoneticPr fontId="10"/>
  </si>
  <si>
    <t>0x00000070</t>
    <phoneticPr fontId="10"/>
  </si>
  <si>
    <t>0x00000072</t>
    <phoneticPr fontId="10"/>
  </si>
  <si>
    <t>0x00000074</t>
    <phoneticPr fontId="10"/>
  </si>
  <si>
    <t>0x00000076</t>
    <phoneticPr fontId="10"/>
  </si>
  <si>
    <t>0x00000078</t>
    <phoneticPr fontId="10"/>
  </si>
  <si>
    <t>0x0000007A</t>
    <phoneticPr fontId="10"/>
  </si>
  <si>
    <t>0x0000007C</t>
    <phoneticPr fontId="10"/>
  </si>
  <si>
    <t>0x0000007E</t>
    <phoneticPr fontId="10"/>
  </si>
  <si>
    <t>0x00000080</t>
    <phoneticPr fontId="10"/>
  </si>
  <si>
    <t>0x00000082</t>
    <phoneticPr fontId="10"/>
  </si>
  <si>
    <t>0x00000084</t>
    <phoneticPr fontId="10"/>
  </si>
  <si>
    <t>0x00000086</t>
    <phoneticPr fontId="10"/>
  </si>
  <si>
    <t>0x00000088</t>
    <phoneticPr fontId="10"/>
  </si>
  <si>
    <t>0x0000008A</t>
    <phoneticPr fontId="10"/>
  </si>
  <si>
    <t>0x0000008C</t>
    <phoneticPr fontId="10"/>
  </si>
  <si>
    <t>0x0000008E</t>
    <phoneticPr fontId="10"/>
  </si>
  <si>
    <t>0x00000090</t>
    <phoneticPr fontId="10"/>
  </si>
  <si>
    <t>0x00000092</t>
    <phoneticPr fontId="10"/>
  </si>
  <si>
    <t>0x00000094</t>
    <phoneticPr fontId="10"/>
  </si>
  <si>
    <t>0x00000096</t>
    <phoneticPr fontId="10"/>
  </si>
  <si>
    <t>0x00000098</t>
    <phoneticPr fontId="10"/>
  </si>
  <si>
    <t>0x0000009A</t>
    <phoneticPr fontId="10"/>
  </si>
  <si>
    <t>0x0000009C</t>
    <phoneticPr fontId="10"/>
  </si>
  <si>
    <t>0x0000009E</t>
    <phoneticPr fontId="10"/>
  </si>
  <si>
    <t>0x000000A0</t>
    <phoneticPr fontId="10"/>
  </si>
  <si>
    <t>0x000000A2</t>
    <phoneticPr fontId="10"/>
  </si>
  <si>
    <t>0x000000A4</t>
    <phoneticPr fontId="10"/>
  </si>
  <si>
    <t>0x000000A6</t>
    <phoneticPr fontId="10"/>
  </si>
  <si>
    <t>0x000000A8</t>
    <phoneticPr fontId="10"/>
  </si>
  <si>
    <t>0x000000AA</t>
    <phoneticPr fontId="10"/>
  </si>
  <si>
    <t>0x000000AC</t>
    <phoneticPr fontId="10"/>
  </si>
  <si>
    <t>0x000000AE</t>
    <phoneticPr fontId="10"/>
  </si>
  <si>
    <t>0x000000B0</t>
    <phoneticPr fontId="10"/>
  </si>
  <si>
    <t>0x000000B2</t>
    <phoneticPr fontId="10"/>
  </si>
  <si>
    <t>0x000000B4</t>
    <phoneticPr fontId="10"/>
  </si>
  <si>
    <t>0x000000B6</t>
    <phoneticPr fontId="10"/>
  </si>
  <si>
    <t>0x000000B8</t>
    <phoneticPr fontId="10"/>
  </si>
  <si>
    <t>0x000000BA</t>
    <phoneticPr fontId="10"/>
  </si>
  <si>
    <t>0x000000BC</t>
    <phoneticPr fontId="10"/>
  </si>
  <si>
    <t>0x000000BE</t>
    <phoneticPr fontId="10"/>
  </si>
  <si>
    <t>0x000000C0</t>
    <phoneticPr fontId="10"/>
  </si>
  <si>
    <t>0x000000C2</t>
    <phoneticPr fontId="10"/>
  </si>
  <si>
    <t>0x000000C4</t>
    <phoneticPr fontId="10"/>
  </si>
  <si>
    <t>0x000000C6</t>
    <phoneticPr fontId="10"/>
  </si>
  <si>
    <t>0x000000C8</t>
    <phoneticPr fontId="10"/>
  </si>
  <si>
    <t>0x000000CA</t>
    <phoneticPr fontId="10"/>
  </si>
  <si>
    <t>0x000000CC</t>
    <phoneticPr fontId="10"/>
  </si>
  <si>
    <t>0x000000CE</t>
    <phoneticPr fontId="10"/>
  </si>
  <si>
    <t>0x000000D0</t>
    <phoneticPr fontId="10"/>
  </si>
  <si>
    <t>0x000000D2</t>
    <phoneticPr fontId="10"/>
  </si>
  <si>
    <t>0x000000D4</t>
    <phoneticPr fontId="10"/>
  </si>
  <si>
    <t>0x000000D6</t>
    <phoneticPr fontId="10"/>
  </si>
  <si>
    <t>0x000000D8</t>
    <phoneticPr fontId="10"/>
  </si>
  <si>
    <t>0x000000DA</t>
    <phoneticPr fontId="10"/>
  </si>
  <si>
    <t>0x000000DC</t>
    <phoneticPr fontId="10"/>
  </si>
  <si>
    <t>0x000000DE</t>
    <phoneticPr fontId="10"/>
  </si>
  <si>
    <t>0x000000E0</t>
    <phoneticPr fontId="10"/>
  </si>
  <si>
    <t>0x000000E2</t>
    <phoneticPr fontId="10"/>
  </si>
  <si>
    <t>0x000000E4</t>
    <phoneticPr fontId="10"/>
  </si>
  <si>
    <t>0x000000E6</t>
    <phoneticPr fontId="10"/>
  </si>
  <si>
    <t>0x000000E8</t>
    <phoneticPr fontId="10"/>
  </si>
  <si>
    <t>0x000000EA</t>
    <phoneticPr fontId="10"/>
  </si>
  <si>
    <t>0x000000EC</t>
    <phoneticPr fontId="10"/>
  </si>
  <si>
    <t>0x000000EE</t>
    <phoneticPr fontId="10"/>
  </si>
  <si>
    <t>0x000000F0</t>
    <phoneticPr fontId="10"/>
  </si>
  <si>
    <t>0x000000F2</t>
    <phoneticPr fontId="10"/>
  </si>
  <si>
    <t>0x000000F4</t>
    <phoneticPr fontId="10"/>
  </si>
  <si>
    <t>0x000000F6</t>
    <phoneticPr fontId="10"/>
  </si>
  <si>
    <t>0x000000F8</t>
    <phoneticPr fontId="10"/>
  </si>
  <si>
    <t>0x000000FA</t>
    <phoneticPr fontId="10"/>
  </si>
  <si>
    <t>0x000000FC</t>
    <phoneticPr fontId="10"/>
  </si>
  <si>
    <t>0x000000FE</t>
    <phoneticPr fontId="10"/>
  </si>
  <si>
    <t>0x00000100</t>
    <phoneticPr fontId="10"/>
  </si>
  <si>
    <t>0x00000102</t>
    <phoneticPr fontId="10"/>
  </si>
  <si>
    <t>0x00000104</t>
    <phoneticPr fontId="10"/>
  </si>
  <si>
    <t>0x00000106</t>
    <phoneticPr fontId="10"/>
  </si>
  <si>
    <t>0x00000108</t>
    <phoneticPr fontId="10"/>
  </si>
  <si>
    <t>0x0000010A</t>
    <phoneticPr fontId="10"/>
  </si>
  <si>
    <t>0x0000010C</t>
    <phoneticPr fontId="10"/>
  </si>
  <si>
    <t>0x0000010E</t>
    <phoneticPr fontId="10"/>
  </si>
  <si>
    <t>0x00000110</t>
    <phoneticPr fontId="10"/>
  </si>
  <si>
    <t>0x00000112</t>
    <phoneticPr fontId="10"/>
  </si>
  <si>
    <t>0x00000114</t>
    <phoneticPr fontId="10"/>
  </si>
  <si>
    <t>0x00000116</t>
    <phoneticPr fontId="10"/>
  </si>
  <si>
    <t>0x00000118</t>
    <phoneticPr fontId="10"/>
  </si>
  <si>
    <t>0x0000011A</t>
    <phoneticPr fontId="10"/>
  </si>
  <si>
    <t>0x0000011C</t>
    <phoneticPr fontId="10"/>
  </si>
  <si>
    <t>0x0000011E</t>
    <phoneticPr fontId="10"/>
  </si>
  <si>
    <t>0x00000120</t>
    <phoneticPr fontId="10"/>
  </si>
  <si>
    <t>0x00000122</t>
    <phoneticPr fontId="10"/>
  </si>
  <si>
    <t>0x00000124</t>
    <phoneticPr fontId="10"/>
  </si>
  <si>
    <t>0x00000126</t>
    <phoneticPr fontId="10"/>
  </si>
  <si>
    <t>0x00000128</t>
    <phoneticPr fontId="10"/>
  </si>
  <si>
    <t>0x0000012A</t>
    <phoneticPr fontId="10"/>
  </si>
  <si>
    <t>0x0000012C</t>
    <phoneticPr fontId="10"/>
  </si>
  <si>
    <t>0x0000012E</t>
    <phoneticPr fontId="10"/>
  </si>
  <si>
    <t>0x00000130</t>
    <phoneticPr fontId="10"/>
  </si>
  <si>
    <t>0x00000132</t>
    <phoneticPr fontId="10"/>
  </si>
  <si>
    <t>0x00000134</t>
    <phoneticPr fontId="10"/>
  </si>
  <si>
    <t>0x00000136</t>
    <phoneticPr fontId="10"/>
  </si>
  <si>
    <t>0x00000138</t>
    <phoneticPr fontId="10"/>
  </si>
  <si>
    <t>0x0000013A</t>
    <phoneticPr fontId="10"/>
  </si>
  <si>
    <t>0x0000013C</t>
    <phoneticPr fontId="10"/>
  </si>
  <si>
    <t>0x0000013E</t>
    <phoneticPr fontId="10"/>
  </si>
  <si>
    <t>0x00000140</t>
    <phoneticPr fontId="10"/>
  </si>
  <si>
    <t>0x00000142</t>
    <phoneticPr fontId="10"/>
  </si>
  <si>
    <t>0x00000144</t>
    <phoneticPr fontId="10"/>
  </si>
  <si>
    <t>0x00000146</t>
    <phoneticPr fontId="10"/>
  </si>
  <si>
    <t>0x00000148</t>
    <phoneticPr fontId="10"/>
  </si>
  <si>
    <t>0x0000014A</t>
    <phoneticPr fontId="10"/>
  </si>
  <si>
    <t>0x0000014C</t>
    <phoneticPr fontId="10"/>
  </si>
  <si>
    <t>0x0000014E</t>
    <phoneticPr fontId="10"/>
  </si>
  <si>
    <t>0x00000150</t>
    <phoneticPr fontId="10"/>
  </si>
  <si>
    <t>0x00000152</t>
    <phoneticPr fontId="10"/>
  </si>
  <si>
    <t>0x00000154</t>
    <phoneticPr fontId="10"/>
  </si>
  <si>
    <t>0x00000156</t>
    <phoneticPr fontId="10"/>
  </si>
  <si>
    <t>0x00000158</t>
    <phoneticPr fontId="10"/>
  </si>
  <si>
    <t>0x0000015A</t>
    <phoneticPr fontId="10"/>
  </si>
  <si>
    <t>0x0000015C</t>
    <phoneticPr fontId="10"/>
  </si>
  <si>
    <t>0x0000015E</t>
    <phoneticPr fontId="10"/>
  </si>
  <si>
    <t>0x00000160</t>
    <phoneticPr fontId="10"/>
  </si>
  <si>
    <t>0x00000162</t>
    <phoneticPr fontId="10"/>
  </si>
  <si>
    <t>0x00000164</t>
    <phoneticPr fontId="10"/>
  </si>
  <si>
    <t>0x00000166</t>
    <phoneticPr fontId="10"/>
  </si>
  <si>
    <t>0x00000168</t>
    <phoneticPr fontId="10"/>
  </si>
  <si>
    <t>0x0000016A</t>
    <phoneticPr fontId="10"/>
  </si>
  <si>
    <t>0x0000016C</t>
    <phoneticPr fontId="10"/>
  </si>
  <si>
    <t>0x0000016E</t>
    <phoneticPr fontId="10"/>
  </si>
  <si>
    <t>0x00000170</t>
    <phoneticPr fontId="10"/>
  </si>
  <si>
    <t>0x00000172</t>
    <phoneticPr fontId="10"/>
  </si>
  <si>
    <t>0x00000174</t>
    <phoneticPr fontId="10"/>
  </si>
  <si>
    <t>0x00000176</t>
    <phoneticPr fontId="10"/>
  </si>
  <si>
    <t>0x00000178</t>
    <phoneticPr fontId="10"/>
  </si>
  <si>
    <t>0x0000017A</t>
    <phoneticPr fontId="10"/>
  </si>
  <si>
    <t>0x0000017C</t>
    <phoneticPr fontId="10"/>
  </si>
  <si>
    <t>0x0000017E</t>
    <phoneticPr fontId="10"/>
  </si>
  <si>
    <t>0x00000180</t>
    <phoneticPr fontId="10"/>
  </si>
  <si>
    <t>0x00000182</t>
    <phoneticPr fontId="10"/>
  </si>
  <si>
    <t>0x00000184</t>
    <phoneticPr fontId="10"/>
  </si>
  <si>
    <t>0x00000186</t>
    <phoneticPr fontId="10"/>
  </si>
  <si>
    <t>0x00000188</t>
    <phoneticPr fontId="10"/>
  </si>
  <si>
    <t>0x0000018A</t>
    <phoneticPr fontId="10"/>
  </si>
  <si>
    <t>0x0000018C</t>
    <phoneticPr fontId="10"/>
  </si>
  <si>
    <t>0x0000018E</t>
    <phoneticPr fontId="10"/>
  </si>
  <si>
    <t>0x00000190</t>
    <phoneticPr fontId="10"/>
  </si>
  <si>
    <t>0x00000192</t>
    <phoneticPr fontId="10"/>
  </si>
  <si>
    <t>0x00000194</t>
    <phoneticPr fontId="10"/>
  </si>
  <si>
    <t>0x00000196</t>
    <phoneticPr fontId="10"/>
  </si>
  <si>
    <t>0x00000198</t>
    <phoneticPr fontId="10"/>
  </si>
  <si>
    <t>0x0000019A</t>
    <phoneticPr fontId="10"/>
  </si>
  <si>
    <t>0x0000019C</t>
    <phoneticPr fontId="10"/>
  </si>
  <si>
    <t>0x0000019E</t>
    <phoneticPr fontId="10"/>
  </si>
  <si>
    <t>0x000001A0</t>
    <phoneticPr fontId="10"/>
  </si>
  <si>
    <t>0x000001A2</t>
    <phoneticPr fontId="10"/>
  </si>
  <si>
    <t>0x000001A4</t>
    <phoneticPr fontId="10"/>
  </si>
  <si>
    <t>0x000001A6</t>
    <phoneticPr fontId="10"/>
  </si>
  <si>
    <t>0x000001A8</t>
    <phoneticPr fontId="10"/>
  </si>
  <si>
    <t>0x000001AA</t>
    <phoneticPr fontId="10"/>
  </si>
  <si>
    <t>0x000001AC</t>
    <phoneticPr fontId="10"/>
  </si>
  <si>
    <t>0x000001AE</t>
    <phoneticPr fontId="10"/>
  </si>
  <si>
    <t>0x000001B0</t>
    <phoneticPr fontId="10"/>
  </si>
  <si>
    <t>0x000001B2</t>
    <phoneticPr fontId="10"/>
  </si>
  <si>
    <t>0x000001B4</t>
    <phoneticPr fontId="10"/>
  </si>
  <si>
    <t>0x000001B6</t>
    <phoneticPr fontId="10"/>
  </si>
  <si>
    <t>0x000001B8</t>
    <phoneticPr fontId="10"/>
  </si>
  <si>
    <t>0x000001BA</t>
    <phoneticPr fontId="10"/>
  </si>
  <si>
    <t>0x000001BC</t>
    <phoneticPr fontId="10"/>
  </si>
  <si>
    <t>0x000001BE</t>
    <phoneticPr fontId="10"/>
  </si>
  <si>
    <t>0x000001C0</t>
    <phoneticPr fontId="10"/>
  </si>
  <si>
    <t>0x000001C2</t>
    <phoneticPr fontId="10"/>
  </si>
  <si>
    <t>0x000001C4</t>
    <phoneticPr fontId="10"/>
  </si>
  <si>
    <t>0x000001C6</t>
    <phoneticPr fontId="10"/>
  </si>
  <si>
    <t>0x000001C8</t>
    <phoneticPr fontId="10"/>
  </si>
  <si>
    <t>0x000001CA</t>
    <phoneticPr fontId="10"/>
  </si>
  <si>
    <t>0x000001CC</t>
    <phoneticPr fontId="10"/>
  </si>
  <si>
    <t>0x000001CE</t>
    <phoneticPr fontId="10"/>
  </si>
  <si>
    <t>0x000001D0</t>
    <phoneticPr fontId="10"/>
  </si>
  <si>
    <t>0x000001D2</t>
    <phoneticPr fontId="10"/>
  </si>
  <si>
    <t>0x000001D4</t>
    <phoneticPr fontId="10"/>
  </si>
  <si>
    <t>0x000001D6</t>
    <phoneticPr fontId="10"/>
  </si>
  <si>
    <t>0x000001D8</t>
    <phoneticPr fontId="10"/>
  </si>
  <si>
    <t>0x000001DA</t>
    <phoneticPr fontId="10"/>
  </si>
  <si>
    <t>0x000001DC</t>
    <phoneticPr fontId="10"/>
  </si>
  <si>
    <t>0x000001DE</t>
    <phoneticPr fontId="10"/>
  </si>
  <si>
    <t>0x000001E0</t>
    <phoneticPr fontId="10"/>
  </si>
  <si>
    <t>0x000001E2</t>
    <phoneticPr fontId="10"/>
  </si>
  <si>
    <t>0x000001E4</t>
    <phoneticPr fontId="10"/>
  </si>
  <si>
    <t>0x000001E6</t>
    <phoneticPr fontId="10"/>
  </si>
  <si>
    <t>0x000001E8</t>
    <phoneticPr fontId="10"/>
  </si>
  <si>
    <t>0x000001EA</t>
    <phoneticPr fontId="10"/>
  </si>
  <si>
    <t>0x000001EC</t>
    <phoneticPr fontId="10"/>
  </si>
  <si>
    <t>0x000001EE</t>
    <phoneticPr fontId="10"/>
  </si>
  <si>
    <t>0x000001F0</t>
    <phoneticPr fontId="10"/>
  </si>
  <si>
    <t>0x000001F2</t>
    <phoneticPr fontId="10"/>
  </si>
  <si>
    <t>0x000001F4</t>
    <phoneticPr fontId="10"/>
  </si>
  <si>
    <t>0x000001F6</t>
    <phoneticPr fontId="10"/>
  </si>
  <si>
    <t>0x000001F8</t>
    <phoneticPr fontId="10"/>
  </si>
  <si>
    <t>0x000001FA</t>
    <phoneticPr fontId="10"/>
  </si>
  <si>
    <t>0x000001FC</t>
    <phoneticPr fontId="10"/>
  </si>
  <si>
    <t>0x000001FE</t>
    <phoneticPr fontId="10"/>
  </si>
  <si>
    <t>0x00000200</t>
    <phoneticPr fontId="10"/>
  </si>
  <si>
    <t>0x00000202</t>
    <phoneticPr fontId="10"/>
  </si>
  <si>
    <t>0x00000204</t>
    <phoneticPr fontId="10"/>
  </si>
  <si>
    <t>0x00000206</t>
    <phoneticPr fontId="10"/>
  </si>
  <si>
    <t>0x00000208</t>
    <phoneticPr fontId="10"/>
  </si>
  <si>
    <t>0x0000020A</t>
    <phoneticPr fontId="10"/>
  </si>
  <si>
    <t>0x0000020C</t>
    <phoneticPr fontId="10"/>
  </si>
  <si>
    <t>0x0000020E</t>
    <phoneticPr fontId="10"/>
  </si>
  <si>
    <t>0x00000210</t>
    <phoneticPr fontId="10"/>
  </si>
  <si>
    <t>0x00000212</t>
    <phoneticPr fontId="10"/>
  </si>
  <si>
    <t>0x00000214</t>
    <phoneticPr fontId="10"/>
  </si>
  <si>
    <t>0x00000216</t>
    <phoneticPr fontId="10"/>
  </si>
  <si>
    <t>0x00000218</t>
    <phoneticPr fontId="10"/>
  </si>
  <si>
    <t>0x0000021A</t>
    <phoneticPr fontId="10"/>
  </si>
  <si>
    <t>0x0000021C</t>
    <phoneticPr fontId="10"/>
  </si>
  <si>
    <t>0x0000021E</t>
    <phoneticPr fontId="10"/>
  </si>
  <si>
    <t>0x00000220</t>
    <phoneticPr fontId="10"/>
  </si>
  <si>
    <t>0x00000222</t>
    <phoneticPr fontId="10"/>
  </si>
  <si>
    <t>0x00000224</t>
    <phoneticPr fontId="10"/>
  </si>
  <si>
    <t>0x00000226</t>
    <phoneticPr fontId="10"/>
  </si>
  <si>
    <t>0x00000228</t>
    <phoneticPr fontId="10"/>
  </si>
  <si>
    <t>0x0000022A</t>
    <phoneticPr fontId="10"/>
  </si>
  <si>
    <t>0x0000022C</t>
    <phoneticPr fontId="10"/>
  </si>
  <si>
    <t>0x0000022E</t>
    <phoneticPr fontId="10"/>
  </si>
  <si>
    <t>0x00000230</t>
    <phoneticPr fontId="10"/>
  </si>
  <si>
    <t>0x00000232</t>
    <phoneticPr fontId="10"/>
  </si>
  <si>
    <t>0x00000234</t>
    <phoneticPr fontId="10"/>
  </si>
  <si>
    <t>0x00000236</t>
    <phoneticPr fontId="10"/>
  </si>
  <si>
    <t>0x00000238</t>
    <phoneticPr fontId="10"/>
  </si>
  <si>
    <t>0x0000023A</t>
    <phoneticPr fontId="10"/>
  </si>
  <si>
    <t>0x0000023C</t>
    <phoneticPr fontId="10"/>
  </si>
  <si>
    <t>0x0000023E</t>
    <phoneticPr fontId="10"/>
  </si>
  <si>
    <t>0x00000240</t>
    <phoneticPr fontId="10"/>
  </si>
  <si>
    <t>0x00000242</t>
    <phoneticPr fontId="10"/>
  </si>
  <si>
    <t>0x00000244</t>
    <phoneticPr fontId="10"/>
  </si>
  <si>
    <t>0x00000246</t>
    <phoneticPr fontId="10"/>
  </si>
  <si>
    <t>0x00000248</t>
    <phoneticPr fontId="10"/>
  </si>
  <si>
    <t>0x0000024A</t>
    <phoneticPr fontId="10"/>
  </si>
  <si>
    <t>0x0000024C</t>
    <phoneticPr fontId="10"/>
  </si>
  <si>
    <t>0x0000024E</t>
    <phoneticPr fontId="10"/>
  </si>
  <si>
    <t>0x00000250</t>
    <phoneticPr fontId="10"/>
  </si>
  <si>
    <t>0x00000252</t>
    <phoneticPr fontId="10"/>
  </si>
  <si>
    <t>0x00000254</t>
    <phoneticPr fontId="10"/>
  </si>
  <si>
    <t>0x00000256</t>
    <phoneticPr fontId="10"/>
  </si>
  <si>
    <t>0x00000258</t>
    <phoneticPr fontId="10"/>
  </si>
  <si>
    <t>0x0000025A</t>
    <phoneticPr fontId="10"/>
  </si>
  <si>
    <t>0x0000025C</t>
    <phoneticPr fontId="10"/>
  </si>
  <si>
    <t>0x0000025E</t>
    <phoneticPr fontId="10"/>
  </si>
  <si>
    <t>0x00000260</t>
    <phoneticPr fontId="10"/>
  </si>
  <si>
    <t>0x00000262</t>
    <phoneticPr fontId="10"/>
  </si>
  <si>
    <t>0x00000264</t>
    <phoneticPr fontId="10"/>
  </si>
  <si>
    <t>0x00000266</t>
    <phoneticPr fontId="10"/>
  </si>
  <si>
    <t>0x00000268</t>
    <phoneticPr fontId="10"/>
  </si>
  <si>
    <t>0x0000026A</t>
    <phoneticPr fontId="10"/>
  </si>
  <si>
    <t>0x0000026C</t>
    <phoneticPr fontId="10"/>
  </si>
  <si>
    <t>0x0000026E</t>
    <phoneticPr fontId="10"/>
  </si>
  <si>
    <t>0x00000270</t>
    <phoneticPr fontId="10"/>
  </si>
  <si>
    <t>0x00000272</t>
    <phoneticPr fontId="10"/>
  </si>
  <si>
    <t>0x00000274</t>
    <phoneticPr fontId="10"/>
  </si>
  <si>
    <t>0x00000276</t>
    <phoneticPr fontId="10"/>
  </si>
  <si>
    <t>0x00000278</t>
    <phoneticPr fontId="10"/>
  </si>
  <si>
    <t>0x0000027A</t>
    <phoneticPr fontId="10"/>
  </si>
  <si>
    <t>0x0000027C</t>
    <phoneticPr fontId="10"/>
  </si>
  <si>
    <t>0x0000027E</t>
    <phoneticPr fontId="10"/>
  </si>
  <si>
    <t>0x00000280</t>
    <phoneticPr fontId="10"/>
  </si>
  <si>
    <t>0x00000282</t>
    <phoneticPr fontId="10"/>
  </si>
  <si>
    <t>0x00000284</t>
    <phoneticPr fontId="10"/>
  </si>
  <si>
    <t>0x00000286</t>
    <phoneticPr fontId="10"/>
  </si>
  <si>
    <t>0x00000288</t>
    <phoneticPr fontId="10"/>
  </si>
  <si>
    <t>0x0000028A</t>
    <phoneticPr fontId="10"/>
  </si>
  <si>
    <t>0x0000028C</t>
    <phoneticPr fontId="10"/>
  </si>
  <si>
    <t>0x0000028E</t>
    <phoneticPr fontId="10"/>
  </si>
  <si>
    <t>0x00000290</t>
    <phoneticPr fontId="10"/>
  </si>
  <si>
    <t>0x00000292</t>
    <phoneticPr fontId="10"/>
  </si>
  <si>
    <t>0x00000294</t>
    <phoneticPr fontId="10"/>
  </si>
  <si>
    <t>0x00000296</t>
    <phoneticPr fontId="10"/>
  </si>
  <si>
    <t>0x00000298</t>
    <phoneticPr fontId="10"/>
  </si>
  <si>
    <t>0x0000029A</t>
    <phoneticPr fontId="10"/>
  </si>
  <si>
    <t>0x0000029C</t>
    <phoneticPr fontId="10"/>
  </si>
  <si>
    <t>0x0000029E</t>
    <phoneticPr fontId="10"/>
  </si>
  <si>
    <t>0x000002A0</t>
    <phoneticPr fontId="10"/>
  </si>
  <si>
    <t>0x000002A2</t>
    <phoneticPr fontId="10"/>
  </si>
  <si>
    <t>0x000002A4</t>
    <phoneticPr fontId="10"/>
  </si>
  <si>
    <t>0x000002A6</t>
    <phoneticPr fontId="10"/>
  </si>
  <si>
    <t>0x000002A8</t>
    <phoneticPr fontId="10"/>
  </si>
  <si>
    <t>0x000002AA</t>
    <phoneticPr fontId="10"/>
  </si>
  <si>
    <t>0x000002AC</t>
    <phoneticPr fontId="10"/>
  </si>
  <si>
    <t>0x000002AE</t>
    <phoneticPr fontId="10"/>
  </si>
  <si>
    <t>0x000002B0</t>
    <phoneticPr fontId="10"/>
  </si>
  <si>
    <t>0x000002B2</t>
    <phoneticPr fontId="10"/>
  </si>
  <si>
    <t>0x000002B4</t>
    <phoneticPr fontId="10"/>
  </si>
  <si>
    <t>0x000002B6</t>
    <phoneticPr fontId="10"/>
  </si>
  <si>
    <t>0x000002B8</t>
    <phoneticPr fontId="10"/>
  </si>
  <si>
    <t>0x000002BA</t>
    <phoneticPr fontId="10"/>
  </si>
  <si>
    <t>0x000002BC</t>
    <phoneticPr fontId="10"/>
  </si>
  <si>
    <t>0x000002BE</t>
    <phoneticPr fontId="10"/>
  </si>
  <si>
    <t>0x000002C0</t>
    <phoneticPr fontId="10"/>
  </si>
  <si>
    <t>0x000002C2</t>
    <phoneticPr fontId="10"/>
  </si>
  <si>
    <t>0x000002C4</t>
    <phoneticPr fontId="10"/>
  </si>
  <si>
    <t>0x000002C6</t>
    <phoneticPr fontId="10"/>
  </si>
  <si>
    <t>0x000002C8</t>
    <phoneticPr fontId="10"/>
  </si>
  <si>
    <t>0x000002CA</t>
    <phoneticPr fontId="10"/>
  </si>
  <si>
    <t>0x000002CC</t>
    <phoneticPr fontId="10"/>
  </si>
  <si>
    <t>0x000002CE</t>
    <phoneticPr fontId="10"/>
  </si>
  <si>
    <t>0x000002D0</t>
    <phoneticPr fontId="10"/>
  </si>
  <si>
    <t>0x000002D2</t>
    <phoneticPr fontId="10"/>
  </si>
  <si>
    <t>0x000002D4</t>
    <phoneticPr fontId="10"/>
  </si>
  <si>
    <t>0x000002D6</t>
    <phoneticPr fontId="10"/>
  </si>
  <si>
    <t>0x000002D8</t>
    <phoneticPr fontId="10"/>
  </si>
  <si>
    <t>0x000002DA</t>
    <phoneticPr fontId="10"/>
  </si>
  <si>
    <t>0x000002DC</t>
    <phoneticPr fontId="10"/>
  </si>
  <si>
    <t>0x000002DE</t>
    <phoneticPr fontId="10"/>
  </si>
  <si>
    <t>0x000002E0</t>
    <phoneticPr fontId="10"/>
  </si>
  <si>
    <t>0x000002E2</t>
    <phoneticPr fontId="10"/>
  </si>
  <si>
    <t>0x000002E4</t>
    <phoneticPr fontId="10"/>
  </si>
  <si>
    <t>0x000002E6</t>
    <phoneticPr fontId="10"/>
  </si>
  <si>
    <t>0x000002E8</t>
    <phoneticPr fontId="10"/>
  </si>
  <si>
    <t>0x000002EA</t>
    <phoneticPr fontId="10"/>
  </si>
  <si>
    <t>0x000002EC</t>
    <phoneticPr fontId="10"/>
  </si>
  <si>
    <t>0x000002EE</t>
    <phoneticPr fontId="10"/>
  </si>
  <si>
    <t>0x000002F0</t>
    <phoneticPr fontId="10"/>
  </si>
  <si>
    <t>0x000002F2</t>
    <phoneticPr fontId="10"/>
  </si>
  <si>
    <t>0x000002F4</t>
    <phoneticPr fontId="10"/>
  </si>
  <si>
    <t>0x000002F6</t>
    <phoneticPr fontId="10"/>
  </si>
  <si>
    <t>0x000002F8</t>
    <phoneticPr fontId="10"/>
  </si>
  <si>
    <t>0x000002FA</t>
    <phoneticPr fontId="10"/>
  </si>
  <si>
    <t>0x000002FC</t>
    <phoneticPr fontId="10"/>
  </si>
  <si>
    <t>0x000002FE</t>
    <phoneticPr fontId="10"/>
  </si>
  <si>
    <t>0x00000300</t>
    <phoneticPr fontId="10"/>
  </si>
  <si>
    <t>0x00000302</t>
    <phoneticPr fontId="10"/>
  </si>
  <si>
    <t>0x00000304</t>
    <phoneticPr fontId="10"/>
  </si>
  <si>
    <t>0x00000306</t>
    <phoneticPr fontId="10"/>
  </si>
  <si>
    <t>0x00000308</t>
    <phoneticPr fontId="10"/>
  </si>
  <si>
    <t>0x0000030A</t>
    <phoneticPr fontId="10"/>
  </si>
  <si>
    <t>0x0000030C</t>
    <phoneticPr fontId="10"/>
  </si>
  <si>
    <t>0x0000030E</t>
    <phoneticPr fontId="10"/>
  </si>
  <si>
    <t>0x00000310</t>
    <phoneticPr fontId="10"/>
  </si>
  <si>
    <t>0x00000312</t>
    <phoneticPr fontId="10"/>
  </si>
  <si>
    <t>0x00000314</t>
    <phoneticPr fontId="10"/>
  </si>
  <si>
    <t>0x00000316</t>
    <phoneticPr fontId="10"/>
  </si>
  <si>
    <t>0x00000318</t>
    <phoneticPr fontId="10"/>
  </si>
  <si>
    <t>0x0000031A</t>
    <phoneticPr fontId="10"/>
  </si>
  <si>
    <t>0x0000031C</t>
    <phoneticPr fontId="10"/>
  </si>
  <si>
    <t>0x0000031E</t>
    <phoneticPr fontId="10"/>
  </si>
  <si>
    <t>0x00000320</t>
    <phoneticPr fontId="10"/>
  </si>
  <si>
    <t>0x00000322</t>
    <phoneticPr fontId="10"/>
  </si>
  <si>
    <t>0x00000324</t>
    <phoneticPr fontId="10"/>
  </si>
  <si>
    <t>0x00000326</t>
    <phoneticPr fontId="10"/>
  </si>
  <si>
    <t>0x00000328</t>
    <phoneticPr fontId="10"/>
  </si>
  <si>
    <t>0x0000032A</t>
    <phoneticPr fontId="10"/>
  </si>
  <si>
    <t>0x0000032C</t>
    <phoneticPr fontId="10"/>
  </si>
  <si>
    <t>0x0000032E</t>
    <phoneticPr fontId="10"/>
  </si>
  <si>
    <t>0x00000330</t>
    <phoneticPr fontId="10"/>
  </si>
  <si>
    <t>0x00000332</t>
    <phoneticPr fontId="10"/>
  </si>
  <si>
    <t>0x00000334</t>
    <phoneticPr fontId="10"/>
  </si>
  <si>
    <t>0x00000336</t>
    <phoneticPr fontId="10"/>
  </si>
  <si>
    <t>0x00000338</t>
    <phoneticPr fontId="10"/>
  </si>
  <si>
    <t>0x0000033A</t>
    <phoneticPr fontId="10"/>
  </si>
  <si>
    <t>0x0000033C</t>
    <phoneticPr fontId="10"/>
  </si>
  <si>
    <t>0x0000033E</t>
    <phoneticPr fontId="10"/>
  </si>
  <si>
    <t>0x00000340</t>
    <phoneticPr fontId="10"/>
  </si>
  <si>
    <t>0x00000342</t>
    <phoneticPr fontId="10"/>
  </si>
  <si>
    <t>0x00000344</t>
    <phoneticPr fontId="10"/>
  </si>
  <si>
    <t>0x00000346</t>
    <phoneticPr fontId="10"/>
  </si>
  <si>
    <t>0x00000348</t>
    <phoneticPr fontId="10"/>
  </si>
  <si>
    <t>0x0000034A</t>
    <phoneticPr fontId="10"/>
  </si>
  <si>
    <t>0x0000034C</t>
    <phoneticPr fontId="10"/>
  </si>
  <si>
    <t>0x0000034E</t>
    <phoneticPr fontId="10"/>
  </si>
  <si>
    <t>0x00000350</t>
    <phoneticPr fontId="10"/>
  </si>
  <si>
    <t>0x00000352</t>
    <phoneticPr fontId="10"/>
  </si>
  <si>
    <t>0x00000354</t>
    <phoneticPr fontId="10"/>
  </si>
  <si>
    <t>0x00000356</t>
    <phoneticPr fontId="10"/>
  </si>
  <si>
    <t>0x00000358</t>
    <phoneticPr fontId="10"/>
  </si>
  <si>
    <t>0x0000035A</t>
    <phoneticPr fontId="10"/>
  </si>
  <si>
    <t>0x0000035C</t>
    <phoneticPr fontId="10"/>
  </si>
  <si>
    <t>0x0000035E</t>
    <phoneticPr fontId="10"/>
  </si>
  <si>
    <t>0x00000360</t>
    <phoneticPr fontId="10"/>
  </si>
  <si>
    <t>0x00000362</t>
    <phoneticPr fontId="10"/>
  </si>
  <si>
    <t>0x00000364</t>
    <phoneticPr fontId="10"/>
  </si>
  <si>
    <t>0x00000366</t>
    <phoneticPr fontId="10"/>
  </si>
  <si>
    <t>0x00000368</t>
    <phoneticPr fontId="10"/>
  </si>
  <si>
    <t>0x0000036A</t>
    <phoneticPr fontId="10"/>
  </si>
  <si>
    <t>0x0000036C</t>
    <phoneticPr fontId="10"/>
  </si>
  <si>
    <t>0x0000036E</t>
    <phoneticPr fontId="10"/>
  </si>
  <si>
    <t>0x00000370</t>
    <phoneticPr fontId="10"/>
  </si>
  <si>
    <t>0x00000372</t>
    <phoneticPr fontId="10"/>
  </si>
  <si>
    <t>0x00000374</t>
    <phoneticPr fontId="10"/>
  </si>
  <si>
    <t>0x00000376</t>
    <phoneticPr fontId="10"/>
  </si>
  <si>
    <t>0x00000378</t>
    <phoneticPr fontId="10"/>
  </si>
  <si>
    <t>0x0000037A</t>
    <phoneticPr fontId="10"/>
  </si>
  <si>
    <t>0x0000037C</t>
    <phoneticPr fontId="10"/>
  </si>
  <si>
    <t>0x0000037E</t>
    <phoneticPr fontId="10"/>
  </si>
  <si>
    <t>0x00000380</t>
    <phoneticPr fontId="10"/>
  </si>
  <si>
    <t>0x00000382</t>
    <phoneticPr fontId="10"/>
  </si>
  <si>
    <t>0x00000384</t>
    <phoneticPr fontId="10"/>
  </si>
  <si>
    <t>0x00000386</t>
    <phoneticPr fontId="10"/>
  </si>
  <si>
    <t>0x00000388</t>
    <phoneticPr fontId="10"/>
  </si>
  <si>
    <t>0x0000038A</t>
    <phoneticPr fontId="10"/>
  </si>
  <si>
    <t>0x0000038C</t>
    <phoneticPr fontId="10"/>
  </si>
  <si>
    <t>0x0000038E</t>
    <phoneticPr fontId="10"/>
  </si>
  <si>
    <t>0x00000390</t>
    <phoneticPr fontId="10"/>
  </si>
  <si>
    <t>0x00000392</t>
    <phoneticPr fontId="10"/>
  </si>
  <si>
    <t>0x00000394</t>
    <phoneticPr fontId="10"/>
  </si>
  <si>
    <t>0x00000396</t>
    <phoneticPr fontId="10"/>
  </si>
  <si>
    <t>0x00000398</t>
    <phoneticPr fontId="10"/>
  </si>
  <si>
    <t>0x0000039A</t>
    <phoneticPr fontId="10"/>
  </si>
  <si>
    <t>0x0000039C</t>
    <phoneticPr fontId="10"/>
  </si>
  <si>
    <t>0x0000039E</t>
    <phoneticPr fontId="10"/>
  </si>
  <si>
    <t>0x000003A0</t>
    <phoneticPr fontId="10"/>
  </si>
  <si>
    <t>0x000003A2</t>
    <phoneticPr fontId="10"/>
  </si>
  <si>
    <t>0x000003A4</t>
    <phoneticPr fontId="10"/>
  </si>
  <si>
    <t>0x000003A6</t>
    <phoneticPr fontId="10"/>
  </si>
  <si>
    <t>0x000003A8</t>
    <phoneticPr fontId="10"/>
  </si>
  <si>
    <t>0x000003AA</t>
    <phoneticPr fontId="10"/>
  </si>
  <si>
    <t>0x000003AC</t>
    <phoneticPr fontId="10"/>
  </si>
  <si>
    <t>0x000003AE</t>
    <phoneticPr fontId="10"/>
  </si>
  <si>
    <t>0x000003B0</t>
    <phoneticPr fontId="10"/>
  </si>
  <si>
    <t>0x000003B2</t>
    <phoneticPr fontId="10"/>
  </si>
  <si>
    <t>0x000003B4</t>
    <phoneticPr fontId="10"/>
  </si>
  <si>
    <t>0x000003B6</t>
    <phoneticPr fontId="10"/>
  </si>
  <si>
    <t>0x000003B8</t>
    <phoneticPr fontId="10"/>
  </si>
  <si>
    <t>0x000003BA</t>
    <phoneticPr fontId="10"/>
  </si>
  <si>
    <t>0x000003BC</t>
    <phoneticPr fontId="10"/>
  </si>
  <si>
    <t>0x000003BE</t>
    <phoneticPr fontId="10"/>
  </si>
  <si>
    <t>0x000003C0</t>
    <phoneticPr fontId="10"/>
  </si>
  <si>
    <t>0x000003C2</t>
    <phoneticPr fontId="10"/>
  </si>
  <si>
    <t>0x000003C4</t>
    <phoneticPr fontId="10"/>
  </si>
  <si>
    <t>0x000003C6</t>
    <phoneticPr fontId="10"/>
  </si>
  <si>
    <t>0x000003C8</t>
    <phoneticPr fontId="10"/>
  </si>
  <si>
    <t>0x000003CA</t>
    <phoneticPr fontId="10"/>
  </si>
  <si>
    <t>0x000003CC</t>
    <phoneticPr fontId="10"/>
  </si>
  <si>
    <t>0x000003CE</t>
    <phoneticPr fontId="10"/>
  </si>
  <si>
    <t>0x000003D0</t>
    <phoneticPr fontId="10"/>
  </si>
  <si>
    <t>0x000003D2</t>
    <phoneticPr fontId="10"/>
  </si>
  <si>
    <t>0x000003D4</t>
    <phoneticPr fontId="10"/>
  </si>
  <si>
    <t>0x000003D6</t>
    <phoneticPr fontId="10"/>
  </si>
  <si>
    <t>0x000003D8</t>
    <phoneticPr fontId="10"/>
  </si>
  <si>
    <t>0x000003DA</t>
    <phoneticPr fontId="10"/>
  </si>
  <si>
    <t>0x000003DC</t>
    <phoneticPr fontId="10"/>
  </si>
  <si>
    <t>0x000003DE</t>
    <phoneticPr fontId="10"/>
  </si>
  <si>
    <t>0x000003E0</t>
    <phoneticPr fontId="10"/>
  </si>
  <si>
    <t>0x000003E2</t>
    <phoneticPr fontId="10"/>
  </si>
  <si>
    <t>0x000003E4</t>
    <phoneticPr fontId="10"/>
  </si>
  <si>
    <t>0x000003E6</t>
    <phoneticPr fontId="10"/>
  </si>
  <si>
    <t>0x000003E8</t>
    <phoneticPr fontId="10"/>
  </si>
  <si>
    <t>0x000003EA</t>
    <phoneticPr fontId="10"/>
  </si>
  <si>
    <t>0x000003EC</t>
    <phoneticPr fontId="10"/>
  </si>
  <si>
    <t>0x000003EE</t>
    <phoneticPr fontId="10"/>
  </si>
  <si>
    <t>0x000003F0</t>
    <phoneticPr fontId="10"/>
  </si>
  <si>
    <t>0x000003F2</t>
    <phoneticPr fontId="10"/>
  </si>
  <si>
    <t>0x000003F4</t>
    <phoneticPr fontId="10"/>
  </si>
  <si>
    <t>0x000003F6</t>
    <phoneticPr fontId="10"/>
  </si>
  <si>
    <t>0x000003F8</t>
    <phoneticPr fontId="10"/>
  </si>
  <si>
    <t>0x000003FA</t>
    <phoneticPr fontId="10"/>
  </si>
  <si>
    <t>0x000003FC</t>
    <phoneticPr fontId="10"/>
  </si>
  <si>
    <t>0x000003FE</t>
    <phoneticPr fontId="10"/>
  </si>
  <si>
    <t>0x00000400</t>
    <phoneticPr fontId="10"/>
  </si>
  <si>
    <t>0x00000402</t>
    <phoneticPr fontId="10"/>
  </si>
  <si>
    <t>0x00000404</t>
    <phoneticPr fontId="10"/>
  </si>
  <si>
    <t>0x00000406</t>
    <phoneticPr fontId="10"/>
  </si>
  <si>
    <t>0x00000408</t>
    <phoneticPr fontId="10"/>
  </si>
  <si>
    <t>0x0000040A</t>
    <phoneticPr fontId="10"/>
  </si>
  <si>
    <t>0x0000040C</t>
    <phoneticPr fontId="10"/>
  </si>
  <si>
    <t>0x0000040E</t>
    <phoneticPr fontId="10"/>
  </si>
  <si>
    <t>0x00000410</t>
    <phoneticPr fontId="10"/>
  </si>
  <si>
    <t>0x00000412</t>
    <phoneticPr fontId="10"/>
  </si>
  <si>
    <t>0x00000414</t>
    <phoneticPr fontId="10"/>
  </si>
  <si>
    <t>0x00000416</t>
    <phoneticPr fontId="10"/>
  </si>
  <si>
    <t>0x00000418</t>
    <phoneticPr fontId="10"/>
  </si>
  <si>
    <t>0x0000041A</t>
    <phoneticPr fontId="10"/>
  </si>
  <si>
    <t>0x0000041C</t>
    <phoneticPr fontId="10"/>
  </si>
  <si>
    <t>0x0000041E</t>
    <phoneticPr fontId="10"/>
  </si>
  <si>
    <t>0x00000420</t>
    <phoneticPr fontId="10"/>
  </si>
  <si>
    <t>0x00000422</t>
    <phoneticPr fontId="10"/>
  </si>
  <si>
    <t>0x00000424</t>
    <phoneticPr fontId="10"/>
  </si>
  <si>
    <t>0x00000426</t>
    <phoneticPr fontId="10"/>
  </si>
  <si>
    <t>0x00000428</t>
    <phoneticPr fontId="10"/>
  </si>
  <si>
    <t>0x0000042A</t>
    <phoneticPr fontId="10"/>
  </si>
  <si>
    <t>0x0000042C</t>
    <phoneticPr fontId="10"/>
  </si>
  <si>
    <t>0x0000042E</t>
    <phoneticPr fontId="10"/>
  </si>
  <si>
    <t>0x00000430</t>
    <phoneticPr fontId="10"/>
  </si>
  <si>
    <t>0x00000432</t>
    <phoneticPr fontId="10"/>
  </si>
  <si>
    <t>0x00000434</t>
    <phoneticPr fontId="10"/>
  </si>
  <si>
    <t>0x00000436</t>
    <phoneticPr fontId="10"/>
  </si>
  <si>
    <t>0x00000438</t>
    <phoneticPr fontId="10"/>
  </si>
  <si>
    <t>0x0000043A</t>
    <phoneticPr fontId="10"/>
  </si>
  <si>
    <t>0x0000043C</t>
    <phoneticPr fontId="10"/>
  </si>
  <si>
    <t>0x0000043E</t>
    <phoneticPr fontId="10"/>
  </si>
  <si>
    <t>0x00000440</t>
    <phoneticPr fontId="10"/>
  </si>
  <si>
    <t>0x00000442</t>
    <phoneticPr fontId="10"/>
  </si>
  <si>
    <t>0x00000444</t>
    <phoneticPr fontId="10"/>
  </si>
  <si>
    <t>0x00000446</t>
    <phoneticPr fontId="10"/>
  </si>
  <si>
    <t>0x00000448</t>
    <phoneticPr fontId="10"/>
  </si>
  <si>
    <t>0x0000044A</t>
    <phoneticPr fontId="10"/>
  </si>
  <si>
    <t>0x0000044C</t>
    <phoneticPr fontId="10"/>
  </si>
  <si>
    <t>0x0000044E</t>
    <phoneticPr fontId="10"/>
  </si>
  <si>
    <t>0x00000450</t>
    <phoneticPr fontId="10"/>
  </si>
  <si>
    <t>0x00000452</t>
    <phoneticPr fontId="10"/>
  </si>
  <si>
    <t>0x00000454</t>
    <phoneticPr fontId="10"/>
  </si>
  <si>
    <t>0x00000456</t>
    <phoneticPr fontId="10"/>
  </si>
  <si>
    <t>0x00000458</t>
    <phoneticPr fontId="10"/>
  </si>
  <si>
    <t>0x0000045A</t>
    <phoneticPr fontId="10"/>
  </si>
  <si>
    <t>0x0000045C</t>
    <phoneticPr fontId="10"/>
  </si>
  <si>
    <t>0x0000045E</t>
    <phoneticPr fontId="10"/>
  </si>
  <si>
    <t>0x00000460</t>
    <phoneticPr fontId="10"/>
  </si>
  <si>
    <t>0x00000462</t>
    <phoneticPr fontId="10"/>
  </si>
  <si>
    <t>0x00000464</t>
    <phoneticPr fontId="10"/>
  </si>
  <si>
    <t>0x00000466</t>
    <phoneticPr fontId="10"/>
  </si>
  <si>
    <t>0x00000468</t>
    <phoneticPr fontId="10"/>
  </si>
  <si>
    <t>0x0000046A</t>
    <phoneticPr fontId="10"/>
  </si>
  <si>
    <t>0x0000046C</t>
    <phoneticPr fontId="10"/>
  </si>
  <si>
    <t>0x0000046E</t>
    <phoneticPr fontId="10"/>
  </si>
  <si>
    <t>0x00000470</t>
    <phoneticPr fontId="10"/>
  </si>
  <si>
    <t>0x00000472</t>
    <phoneticPr fontId="10"/>
  </si>
  <si>
    <t>0x00000474</t>
    <phoneticPr fontId="10"/>
  </si>
  <si>
    <t>0x00000476</t>
    <phoneticPr fontId="10"/>
  </si>
  <si>
    <t>0x00000478</t>
    <phoneticPr fontId="10"/>
  </si>
  <si>
    <t>0x0000047A</t>
    <phoneticPr fontId="10"/>
  </si>
  <si>
    <t>0x0000047C</t>
    <phoneticPr fontId="10"/>
  </si>
  <si>
    <t>0x0000047E</t>
    <phoneticPr fontId="10"/>
  </si>
  <si>
    <t>0x00000480</t>
    <phoneticPr fontId="10"/>
  </si>
  <si>
    <t>0x00000482</t>
    <phoneticPr fontId="10"/>
  </si>
  <si>
    <t>0x00000484</t>
    <phoneticPr fontId="10"/>
  </si>
  <si>
    <t>0x00000486</t>
    <phoneticPr fontId="10"/>
  </si>
  <si>
    <t>0x00000488</t>
    <phoneticPr fontId="10"/>
  </si>
  <si>
    <t>0x0000048A</t>
    <phoneticPr fontId="10"/>
  </si>
  <si>
    <t>0x0000048C</t>
    <phoneticPr fontId="10"/>
  </si>
  <si>
    <t>0x0000048E</t>
    <phoneticPr fontId="10"/>
  </si>
  <si>
    <t>0x00000490</t>
    <phoneticPr fontId="10"/>
  </si>
  <si>
    <t>0x00000492</t>
    <phoneticPr fontId="10"/>
  </si>
  <si>
    <t>0x00000494</t>
    <phoneticPr fontId="10"/>
  </si>
  <si>
    <t>0x00000496</t>
    <phoneticPr fontId="10"/>
  </si>
  <si>
    <t>0x00000498</t>
    <phoneticPr fontId="10"/>
  </si>
  <si>
    <t>0x0000049A</t>
    <phoneticPr fontId="10"/>
  </si>
  <si>
    <t>0x0000049C</t>
    <phoneticPr fontId="10"/>
  </si>
  <si>
    <t>0x0000049E</t>
    <phoneticPr fontId="10"/>
  </si>
  <si>
    <t>0x000004A0</t>
    <phoneticPr fontId="10"/>
  </si>
  <si>
    <t>0x000004A2</t>
    <phoneticPr fontId="10"/>
  </si>
  <si>
    <t>0x000004A4</t>
    <phoneticPr fontId="10"/>
  </si>
  <si>
    <t>0x000004A6</t>
    <phoneticPr fontId="10"/>
  </si>
  <si>
    <t>0x000004A8</t>
    <phoneticPr fontId="10"/>
  </si>
  <si>
    <t>0x000004AA</t>
    <phoneticPr fontId="10"/>
  </si>
  <si>
    <t>0x000004AC</t>
    <phoneticPr fontId="10"/>
  </si>
  <si>
    <t>0x000004AE</t>
    <phoneticPr fontId="10"/>
  </si>
  <si>
    <t>0x000004B0</t>
    <phoneticPr fontId="10"/>
  </si>
  <si>
    <t>0x000004B2</t>
    <phoneticPr fontId="10"/>
  </si>
  <si>
    <t>0x000004B4</t>
    <phoneticPr fontId="10"/>
  </si>
  <si>
    <t>0x000004B6</t>
    <phoneticPr fontId="10"/>
  </si>
  <si>
    <t>0x000004B8</t>
    <phoneticPr fontId="10"/>
  </si>
  <si>
    <t>0x000004BA</t>
    <phoneticPr fontId="10"/>
  </si>
  <si>
    <t>0x000004BC</t>
    <phoneticPr fontId="10"/>
  </si>
  <si>
    <t>0x000004BE</t>
    <phoneticPr fontId="10"/>
  </si>
  <si>
    <t>0x000004C0</t>
    <phoneticPr fontId="10"/>
  </si>
  <si>
    <t>0x000004C2</t>
    <phoneticPr fontId="10"/>
  </si>
  <si>
    <t>0x000004C4</t>
    <phoneticPr fontId="10"/>
  </si>
  <si>
    <t>0x000004C6</t>
    <phoneticPr fontId="10"/>
  </si>
  <si>
    <t>0x000004C8</t>
    <phoneticPr fontId="10"/>
  </si>
  <si>
    <t>0x000004CA</t>
    <phoneticPr fontId="10"/>
  </si>
  <si>
    <t>0x000004CC</t>
    <phoneticPr fontId="10"/>
  </si>
  <si>
    <t>0x000004CE</t>
    <phoneticPr fontId="10"/>
  </si>
  <si>
    <t>0x000004D0</t>
    <phoneticPr fontId="10"/>
  </si>
  <si>
    <t>0x000004D2</t>
    <phoneticPr fontId="10"/>
  </si>
  <si>
    <t>0x000004D4</t>
    <phoneticPr fontId="10"/>
  </si>
  <si>
    <t>0x000004D6</t>
    <phoneticPr fontId="10"/>
  </si>
  <si>
    <t>0x000004D8</t>
    <phoneticPr fontId="10"/>
  </si>
  <si>
    <t>0x000004DA</t>
    <phoneticPr fontId="10"/>
  </si>
  <si>
    <t>0x000004DC</t>
    <phoneticPr fontId="10"/>
  </si>
  <si>
    <t>0x000004DE</t>
    <phoneticPr fontId="10"/>
  </si>
  <si>
    <t>0x000004E0</t>
    <phoneticPr fontId="10"/>
  </si>
  <si>
    <t>0x000004E2</t>
    <phoneticPr fontId="10"/>
  </si>
  <si>
    <t>0x000004E4</t>
    <phoneticPr fontId="10"/>
  </si>
  <si>
    <t>0x000004E6</t>
    <phoneticPr fontId="10"/>
  </si>
  <si>
    <t>0x000004E8</t>
    <phoneticPr fontId="10"/>
  </si>
  <si>
    <t>0x000004EA</t>
    <phoneticPr fontId="10"/>
  </si>
  <si>
    <t>0x000004EC</t>
    <phoneticPr fontId="10"/>
  </si>
  <si>
    <t>0x000004EE</t>
    <phoneticPr fontId="10"/>
  </si>
  <si>
    <t>0x000004F0</t>
    <phoneticPr fontId="10"/>
  </si>
  <si>
    <t>0x000004F2</t>
    <phoneticPr fontId="10"/>
  </si>
  <si>
    <t>0x000004F4</t>
    <phoneticPr fontId="10"/>
  </si>
  <si>
    <t>0x000004F6</t>
    <phoneticPr fontId="10"/>
  </si>
  <si>
    <t>0x000004F8</t>
    <phoneticPr fontId="10"/>
  </si>
  <si>
    <t>0x000004FA</t>
    <phoneticPr fontId="10"/>
  </si>
  <si>
    <t>0x000004FC</t>
    <phoneticPr fontId="10"/>
  </si>
  <si>
    <t>0x000004FE</t>
    <phoneticPr fontId="10"/>
  </si>
  <si>
    <t>0x00000500</t>
    <phoneticPr fontId="10"/>
  </si>
  <si>
    <t>0x00000502</t>
    <phoneticPr fontId="10"/>
  </si>
  <si>
    <t>0x00000504</t>
    <phoneticPr fontId="10"/>
  </si>
  <si>
    <t>0x00000506</t>
    <phoneticPr fontId="10"/>
  </si>
  <si>
    <t>0x00000508</t>
    <phoneticPr fontId="10"/>
  </si>
  <si>
    <t>0x0000050A</t>
    <phoneticPr fontId="10"/>
  </si>
  <si>
    <t>0x0000050C</t>
    <phoneticPr fontId="10"/>
  </si>
  <si>
    <t>0x0000050E</t>
    <phoneticPr fontId="10"/>
  </si>
  <si>
    <t>0x00000510</t>
    <phoneticPr fontId="10"/>
  </si>
  <si>
    <t>0x00000512</t>
    <phoneticPr fontId="10"/>
  </si>
  <si>
    <t>0x00000514</t>
    <phoneticPr fontId="10"/>
  </si>
  <si>
    <t>0x00000516</t>
    <phoneticPr fontId="10"/>
  </si>
  <si>
    <t>0x00000518</t>
    <phoneticPr fontId="10"/>
  </si>
  <si>
    <t>0x0000051A</t>
    <phoneticPr fontId="10"/>
  </si>
  <si>
    <t>0x0000051C</t>
    <phoneticPr fontId="10"/>
  </si>
  <si>
    <t>0x0000051E</t>
    <phoneticPr fontId="10"/>
  </si>
  <si>
    <t>0x00000520</t>
    <phoneticPr fontId="10"/>
  </si>
  <si>
    <t>0x00000522</t>
    <phoneticPr fontId="10"/>
  </si>
  <si>
    <t>0x00000524</t>
    <phoneticPr fontId="10"/>
  </si>
  <si>
    <t>0x00000526</t>
    <phoneticPr fontId="10"/>
  </si>
  <si>
    <t>0x00000528</t>
    <phoneticPr fontId="10"/>
  </si>
  <si>
    <t>0x0000052A</t>
    <phoneticPr fontId="10"/>
  </si>
  <si>
    <t>0x0000052C</t>
    <phoneticPr fontId="10"/>
  </si>
  <si>
    <t>0x0000052E</t>
    <phoneticPr fontId="10"/>
  </si>
  <si>
    <t>0x00000530</t>
    <phoneticPr fontId="10"/>
  </si>
  <si>
    <t>0x00000532</t>
    <phoneticPr fontId="10"/>
  </si>
  <si>
    <t>0x00000534</t>
    <phoneticPr fontId="10"/>
  </si>
  <si>
    <t>0x00000536</t>
    <phoneticPr fontId="10"/>
  </si>
  <si>
    <t>0x00000538</t>
    <phoneticPr fontId="10"/>
  </si>
  <si>
    <t>0x0000053A</t>
    <phoneticPr fontId="10"/>
  </si>
  <si>
    <t>0x0000053C</t>
    <phoneticPr fontId="10"/>
  </si>
  <si>
    <t>0x0000053E</t>
    <phoneticPr fontId="10"/>
  </si>
  <si>
    <t>0x00000540</t>
    <phoneticPr fontId="10"/>
  </si>
  <si>
    <t>0x00000542</t>
    <phoneticPr fontId="10"/>
  </si>
  <si>
    <t>0x00000544</t>
    <phoneticPr fontId="10"/>
  </si>
  <si>
    <t>0x00000546</t>
    <phoneticPr fontId="10"/>
  </si>
  <si>
    <t>0x00000548</t>
    <phoneticPr fontId="10"/>
  </si>
  <si>
    <t>0x0000054A</t>
    <phoneticPr fontId="10"/>
  </si>
  <si>
    <t>0x0000054C</t>
    <phoneticPr fontId="10"/>
  </si>
  <si>
    <t>0x0000054E</t>
    <phoneticPr fontId="10"/>
  </si>
  <si>
    <t>0x00000550</t>
    <phoneticPr fontId="10"/>
  </si>
  <si>
    <t>0x00000552</t>
    <phoneticPr fontId="10"/>
  </si>
  <si>
    <t>0x00000554</t>
    <phoneticPr fontId="10"/>
  </si>
  <si>
    <t>0x00000556</t>
    <phoneticPr fontId="10"/>
  </si>
  <si>
    <t>0x00000558</t>
    <phoneticPr fontId="10"/>
  </si>
  <si>
    <t>0x0000055A</t>
    <phoneticPr fontId="10"/>
  </si>
  <si>
    <t>0x0000055C</t>
    <phoneticPr fontId="10"/>
  </si>
  <si>
    <t>0x0000055E</t>
    <phoneticPr fontId="10"/>
  </si>
  <si>
    <t>0x00000560</t>
    <phoneticPr fontId="10"/>
  </si>
  <si>
    <t>0x00000562</t>
    <phoneticPr fontId="10"/>
  </si>
  <si>
    <t>0x00000564</t>
    <phoneticPr fontId="10"/>
  </si>
  <si>
    <t>0x00000566</t>
    <phoneticPr fontId="10"/>
  </si>
  <si>
    <t>0x00000568</t>
    <phoneticPr fontId="10"/>
  </si>
  <si>
    <t>0x0000056A</t>
    <phoneticPr fontId="10"/>
  </si>
  <si>
    <t>0x0000056C</t>
    <phoneticPr fontId="10"/>
  </si>
  <si>
    <t>0x0000056E</t>
    <phoneticPr fontId="10"/>
  </si>
  <si>
    <t>0x00000570</t>
    <phoneticPr fontId="10"/>
  </si>
  <si>
    <t>0x00000572</t>
    <phoneticPr fontId="10"/>
  </si>
  <si>
    <t>0x00000574</t>
    <phoneticPr fontId="10"/>
  </si>
  <si>
    <t>0x00000576</t>
    <phoneticPr fontId="10"/>
  </si>
  <si>
    <t>0x00000578</t>
    <phoneticPr fontId="10"/>
  </si>
  <si>
    <t>0x0000057A</t>
    <phoneticPr fontId="10"/>
  </si>
  <si>
    <t>0x0000057C</t>
    <phoneticPr fontId="10"/>
  </si>
  <si>
    <t>0x0000057E</t>
    <phoneticPr fontId="10"/>
  </si>
  <si>
    <t>0x00000580</t>
    <phoneticPr fontId="10"/>
  </si>
  <si>
    <t>0x00000582</t>
    <phoneticPr fontId="10"/>
  </si>
  <si>
    <t>0x00000584</t>
    <phoneticPr fontId="10"/>
  </si>
  <si>
    <t>0x00000586</t>
    <phoneticPr fontId="10"/>
  </si>
  <si>
    <t>0x00000588</t>
    <phoneticPr fontId="10"/>
  </si>
  <si>
    <t>0x0000058A</t>
    <phoneticPr fontId="10"/>
  </si>
  <si>
    <t>0x0000058C</t>
    <phoneticPr fontId="10"/>
  </si>
  <si>
    <t>0x0000058E</t>
    <phoneticPr fontId="10"/>
  </si>
  <si>
    <t>0x00000590</t>
    <phoneticPr fontId="10"/>
  </si>
  <si>
    <t>0x00000592</t>
    <phoneticPr fontId="10"/>
  </si>
  <si>
    <t>0x00000594</t>
    <phoneticPr fontId="10"/>
  </si>
  <si>
    <t>0x00000596</t>
    <phoneticPr fontId="10"/>
  </si>
  <si>
    <t>0x00000598</t>
    <phoneticPr fontId="10"/>
  </si>
  <si>
    <t>0x0000059A</t>
    <phoneticPr fontId="10"/>
  </si>
  <si>
    <t>0x0000059C</t>
    <phoneticPr fontId="10"/>
  </si>
  <si>
    <t>0x0000059E</t>
    <phoneticPr fontId="10"/>
  </si>
  <si>
    <t>0x000005A0</t>
    <phoneticPr fontId="10"/>
  </si>
  <si>
    <t>0x000005A2</t>
    <phoneticPr fontId="10"/>
  </si>
  <si>
    <t>0x000005A4</t>
    <phoneticPr fontId="10"/>
  </si>
  <si>
    <t>0x000005A6</t>
    <phoneticPr fontId="10"/>
  </si>
  <si>
    <t>0x000005A8</t>
    <phoneticPr fontId="10"/>
  </si>
  <si>
    <t>0x000005AA</t>
    <phoneticPr fontId="10"/>
  </si>
  <si>
    <t>0x000005AC</t>
    <phoneticPr fontId="10"/>
  </si>
  <si>
    <t>0x000005AE</t>
    <phoneticPr fontId="10"/>
  </si>
  <si>
    <t>0x000005B0</t>
    <phoneticPr fontId="10"/>
  </si>
  <si>
    <t>0x000005B2</t>
    <phoneticPr fontId="10"/>
  </si>
  <si>
    <t>0x000005B4</t>
    <phoneticPr fontId="10"/>
  </si>
  <si>
    <t>0x000005B6</t>
    <phoneticPr fontId="10"/>
  </si>
  <si>
    <t>0x000005B8</t>
    <phoneticPr fontId="10"/>
  </si>
  <si>
    <t>0x000005BA</t>
    <phoneticPr fontId="10"/>
  </si>
  <si>
    <t>0x000005BC</t>
    <phoneticPr fontId="10"/>
  </si>
  <si>
    <t>0x000005BE</t>
    <phoneticPr fontId="10"/>
  </si>
  <si>
    <t>0x000005C0</t>
    <phoneticPr fontId="10"/>
  </si>
  <si>
    <t>0x000005C2</t>
    <phoneticPr fontId="10"/>
  </si>
  <si>
    <t>0x000005C4</t>
    <phoneticPr fontId="10"/>
  </si>
  <si>
    <t>0x000005C6</t>
    <phoneticPr fontId="10"/>
  </si>
  <si>
    <t>0x000005C8</t>
    <phoneticPr fontId="10"/>
  </si>
  <si>
    <t>0x000005CA</t>
    <phoneticPr fontId="10"/>
  </si>
  <si>
    <t>0x000005CC</t>
    <phoneticPr fontId="10"/>
  </si>
  <si>
    <t>0x000005CE</t>
    <phoneticPr fontId="10"/>
  </si>
  <si>
    <t>0x000005D0</t>
    <phoneticPr fontId="10"/>
  </si>
  <si>
    <t>0x000005D2</t>
    <phoneticPr fontId="10"/>
  </si>
  <si>
    <t>0x000005D4</t>
    <phoneticPr fontId="10"/>
  </si>
  <si>
    <t>0x000005D6</t>
    <phoneticPr fontId="10"/>
  </si>
  <si>
    <t>0x000005D8</t>
    <phoneticPr fontId="10"/>
  </si>
  <si>
    <t>0x000005DA</t>
    <phoneticPr fontId="10"/>
  </si>
  <si>
    <t>0x000005DC</t>
    <phoneticPr fontId="10"/>
  </si>
  <si>
    <t>0x000005DE</t>
    <phoneticPr fontId="10"/>
  </si>
  <si>
    <t>0x000005E0</t>
    <phoneticPr fontId="10"/>
  </si>
  <si>
    <t>0x000005E2</t>
    <phoneticPr fontId="10"/>
  </si>
  <si>
    <t>0x000005E4</t>
    <phoneticPr fontId="10"/>
  </si>
  <si>
    <t>0x000005E6</t>
    <phoneticPr fontId="10"/>
  </si>
  <si>
    <t>0x000005E8</t>
    <phoneticPr fontId="10"/>
  </si>
  <si>
    <t>0x000005EA</t>
    <phoneticPr fontId="10"/>
  </si>
  <si>
    <t>0x000005EC</t>
    <phoneticPr fontId="10"/>
  </si>
  <si>
    <t>0x000005EE</t>
    <phoneticPr fontId="10"/>
  </si>
  <si>
    <t>0x000005F0</t>
    <phoneticPr fontId="10"/>
  </si>
  <si>
    <t>0x000005F2</t>
    <phoneticPr fontId="10"/>
  </si>
  <si>
    <t>0x000005F4</t>
    <phoneticPr fontId="10"/>
  </si>
  <si>
    <t>0x000005F6</t>
    <phoneticPr fontId="10"/>
  </si>
  <si>
    <t>0x000005F8</t>
    <phoneticPr fontId="10"/>
  </si>
  <si>
    <t>0x000005FA</t>
    <phoneticPr fontId="10"/>
  </si>
  <si>
    <t>0x000005FC</t>
    <phoneticPr fontId="10"/>
  </si>
  <si>
    <t>0x000005FE</t>
    <phoneticPr fontId="10"/>
  </si>
  <si>
    <t>0x00000600</t>
    <phoneticPr fontId="10"/>
  </si>
  <si>
    <t>0x00000602</t>
    <phoneticPr fontId="10"/>
  </si>
  <si>
    <t>0x00000604</t>
    <phoneticPr fontId="10"/>
  </si>
  <si>
    <t>0x00000606</t>
    <phoneticPr fontId="10"/>
  </si>
  <si>
    <t>0x00000608</t>
    <phoneticPr fontId="10"/>
  </si>
  <si>
    <t>0x0000060A</t>
    <phoneticPr fontId="10"/>
  </si>
  <si>
    <t>0x0000060C</t>
    <phoneticPr fontId="10"/>
  </si>
  <si>
    <t>0x0000060E</t>
    <phoneticPr fontId="10"/>
  </si>
  <si>
    <t>0x00000610</t>
    <phoneticPr fontId="10"/>
  </si>
  <si>
    <t>0x00000612</t>
    <phoneticPr fontId="10"/>
  </si>
  <si>
    <t>0x00000614</t>
    <phoneticPr fontId="10"/>
  </si>
  <si>
    <t>0x00000616</t>
    <phoneticPr fontId="10"/>
  </si>
  <si>
    <t>0x00000618</t>
    <phoneticPr fontId="10"/>
  </si>
  <si>
    <t>0x0000061A</t>
    <phoneticPr fontId="10"/>
  </si>
  <si>
    <t>0x0000061C</t>
    <phoneticPr fontId="10"/>
  </si>
  <si>
    <t>0x0000061E</t>
    <phoneticPr fontId="10"/>
  </si>
  <si>
    <t>0x00000620</t>
    <phoneticPr fontId="10"/>
  </si>
  <si>
    <t>0x00000622</t>
    <phoneticPr fontId="10"/>
  </si>
  <si>
    <t>0x00000624</t>
    <phoneticPr fontId="10"/>
  </si>
  <si>
    <t>0x00000626</t>
    <phoneticPr fontId="10"/>
  </si>
  <si>
    <t>0x00000628</t>
    <phoneticPr fontId="10"/>
  </si>
  <si>
    <t>0x0000062A</t>
    <phoneticPr fontId="10"/>
  </si>
  <si>
    <t>0x0000062C</t>
    <phoneticPr fontId="10"/>
  </si>
  <si>
    <t>0x0000062E</t>
    <phoneticPr fontId="10"/>
  </si>
  <si>
    <t>0x00000630</t>
    <phoneticPr fontId="10"/>
  </si>
  <si>
    <t>0x00000632</t>
    <phoneticPr fontId="10"/>
  </si>
  <si>
    <t>0x00000634</t>
    <phoneticPr fontId="10"/>
  </si>
  <si>
    <t>0x00000636</t>
    <phoneticPr fontId="10"/>
  </si>
  <si>
    <t>0x00000638</t>
    <phoneticPr fontId="10"/>
  </si>
  <si>
    <t>0x0000063A</t>
    <phoneticPr fontId="10"/>
  </si>
  <si>
    <t>0x0000063C</t>
    <phoneticPr fontId="10"/>
  </si>
  <si>
    <t>0x0000063E</t>
    <phoneticPr fontId="10"/>
  </si>
  <si>
    <t>0x00000640</t>
    <phoneticPr fontId="10"/>
  </si>
  <si>
    <t>0x00000642</t>
    <phoneticPr fontId="10"/>
  </si>
  <si>
    <t>0x00000644</t>
    <phoneticPr fontId="10"/>
  </si>
  <si>
    <t>0x00000646</t>
    <phoneticPr fontId="10"/>
  </si>
  <si>
    <t>0x00000648</t>
    <phoneticPr fontId="10"/>
  </si>
  <si>
    <t>0x0000064A</t>
    <phoneticPr fontId="10"/>
  </si>
  <si>
    <t>0x0000064C</t>
    <phoneticPr fontId="10"/>
  </si>
  <si>
    <t>0x0000064E</t>
    <phoneticPr fontId="10"/>
  </si>
  <si>
    <t>0x00000650</t>
    <phoneticPr fontId="10"/>
  </si>
  <si>
    <t>0x00000652</t>
    <phoneticPr fontId="10"/>
  </si>
  <si>
    <t>0x00000654</t>
    <phoneticPr fontId="10"/>
  </si>
  <si>
    <t>0x00000656</t>
    <phoneticPr fontId="10"/>
  </si>
  <si>
    <t>0x00000658</t>
    <phoneticPr fontId="10"/>
  </si>
  <si>
    <t>0x0000065A</t>
    <phoneticPr fontId="10"/>
  </si>
  <si>
    <t>0x0000065C</t>
    <phoneticPr fontId="10"/>
  </si>
  <si>
    <t>0x0000065E</t>
    <phoneticPr fontId="10"/>
  </si>
  <si>
    <t>0x00000660</t>
    <phoneticPr fontId="10"/>
  </si>
  <si>
    <t>0x00000662</t>
    <phoneticPr fontId="10"/>
  </si>
  <si>
    <t>0x00000664</t>
    <phoneticPr fontId="10"/>
  </si>
  <si>
    <t>0x00000666</t>
    <phoneticPr fontId="10"/>
  </si>
  <si>
    <t>0x00000668</t>
    <phoneticPr fontId="10"/>
  </si>
  <si>
    <t>0x0000066A</t>
    <phoneticPr fontId="10"/>
  </si>
  <si>
    <t>0x0000066C</t>
    <phoneticPr fontId="10"/>
  </si>
  <si>
    <t>0x0000066E</t>
    <phoneticPr fontId="10"/>
  </si>
  <si>
    <t>0x00000670</t>
    <phoneticPr fontId="10"/>
  </si>
  <si>
    <t>0x00000672</t>
    <phoneticPr fontId="10"/>
  </si>
  <si>
    <t>0x00000674</t>
    <phoneticPr fontId="10"/>
  </si>
  <si>
    <t>0x00000676</t>
    <phoneticPr fontId="10"/>
  </si>
  <si>
    <t>0x00000678</t>
    <phoneticPr fontId="10"/>
  </si>
  <si>
    <t>0x0000067A</t>
    <phoneticPr fontId="10"/>
  </si>
  <si>
    <t>0x0000067C</t>
    <phoneticPr fontId="10"/>
  </si>
  <si>
    <t>0x0000067E</t>
    <phoneticPr fontId="10"/>
  </si>
  <si>
    <t>0x00000680</t>
    <phoneticPr fontId="10"/>
  </si>
  <si>
    <t>0x00000682</t>
    <phoneticPr fontId="10"/>
  </si>
  <si>
    <t>0x00000684</t>
    <phoneticPr fontId="10"/>
  </si>
  <si>
    <t>0x00000686</t>
    <phoneticPr fontId="10"/>
  </si>
  <si>
    <t>0x00000688</t>
    <phoneticPr fontId="10"/>
  </si>
  <si>
    <t>0x0000068A</t>
    <phoneticPr fontId="10"/>
  </si>
  <si>
    <t>0x0000068C</t>
    <phoneticPr fontId="10"/>
  </si>
  <si>
    <t>0x0000068E</t>
    <phoneticPr fontId="10"/>
  </si>
  <si>
    <t>0x00000690</t>
    <phoneticPr fontId="10"/>
  </si>
  <si>
    <t>0x00000692</t>
    <phoneticPr fontId="10"/>
  </si>
  <si>
    <t>0x00000694</t>
    <phoneticPr fontId="10"/>
  </si>
  <si>
    <t>0x00000696</t>
    <phoneticPr fontId="10"/>
  </si>
  <si>
    <t>0x00000698</t>
    <phoneticPr fontId="10"/>
  </si>
  <si>
    <t>0x0000069A</t>
    <phoneticPr fontId="10"/>
  </si>
  <si>
    <t>0x0000069C</t>
    <phoneticPr fontId="10"/>
  </si>
  <si>
    <t>0x0000069E</t>
    <phoneticPr fontId="10"/>
  </si>
  <si>
    <t>0x000006A0</t>
    <phoneticPr fontId="10"/>
  </si>
  <si>
    <t>0x000006A2</t>
    <phoneticPr fontId="10"/>
  </si>
  <si>
    <t>0x000006A4</t>
    <phoneticPr fontId="10"/>
  </si>
  <si>
    <t>0x000006A6</t>
    <phoneticPr fontId="10"/>
  </si>
  <si>
    <t>0x000006A8</t>
    <phoneticPr fontId="10"/>
  </si>
  <si>
    <t>0x000006AA</t>
    <phoneticPr fontId="10"/>
  </si>
  <si>
    <t>0x000006AC</t>
    <phoneticPr fontId="10"/>
  </si>
  <si>
    <t>0x000006AE</t>
    <phoneticPr fontId="10"/>
  </si>
  <si>
    <t>0x000006B0</t>
    <phoneticPr fontId="10"/>
  </si>
  <si>
    <t>0x000006B2</t>
    <phoneticPr fontId="10"/>
  </si>
  <si>
    <t>0x000006B4</t>
    <phoneticPr fontId="10"/>
  </si>
  <si>
    <t>0x000006B6</t>
    <phoneticPr fontId="10"/>
  </si>
  <si>
    <t>0x000006B8</t>
    <phoneticPr fontId="10"/>
  </si>
  <si>
    <t>0x000006BA</t>
    <phoneticPr fontId="10"/>
  </si>
  <si>
    <t>0x000006BC</t>
    <phoneticPr fontId="10"/>
  </si>
  <si>
    <t>0x000006BE</t>
    <phoneticPr fontId="10"/>
  </si>
  <si>
    <t>0x000006C0</t>
    <phoneticPr fontId="10"/>
  </si>
  <si>
    <t>0x000006C2</t>
    <phoneticPr fontId="10"/>
  </si>
  <si>
    <t>0x000006C4</t>
    <phoneticPr fontId="10"/>
  </si>
  <si>
    <t>0x000006C6</t>
    <phoneticPr fontId="10"/>
  </si>
  <si>
    <t>0x000006C8</t>
    <phoneticPr fontId="10"/>
  </si>
  <si>
    <t>0x000006CA</t>
    <phoneticPr fontId="10"/>
  </si>
  <si>
    <t>0x000006CC</t>
    <phoneticPr fontId="10"/>
  </si>
  <si>
    <t>0x000006CE</t>
    <phoneticPr fontId="10"/>
  </si>
  <si>
    <t>0x000006D0</t>
    <phoneticPr fontId="10"/>
  </si>
  <si>
    <t>0x000006D2</t>
    <phoneticPr fontId="10"/>
  </si>
  <si>
    <t>0x000006D4</t>
    <phoneticPr fontId="10"/>
  </si>
  <si>
    <t>0x000006D6</t>
    <phoneticPr fontId="10"/>
  </si>
  <si>
    <t>0x000006D8</t>
    <phoneticPr fontId="10"/>
  </si>
  <si>
    <t>0x000006DA</t>
    <phoneticPr fontId="10"/>
  </si>
  <si>
    <t>0x000006DC</t>
    <phoneticPr fontId="10"/>
  </si>
  <si>
    <t>0x000006DE</t>
    <phoneticPr fontId="10"/>
  </si>
  <si>
    <t>0x000006E0</t>
    <phoneticPr fontId="10"/>
  </si>
  <si>
    <t>0x000006E2</t>
    <phoneticPr fontId="10"/>
  </si>
  <si>
    <t>0x000006E4</t>
    <phoneticPr fontId="10"/>
  </si>
  <si>
    <t>0x000006E6</t>
    <phoneticPr fontId="10"/>
  </si>
  <si>
    <t>0x000006E8</t>
    <phoneticPr fontId="10"/>
  </si>
  <si>
    <t>0x000006EA</t>
    <phoneticPr fontId="10"/>
  </si>
  <si>
    <t>0x000006EC</t>
    <phoneticPr fontId="10"/>
  </si>
  <si>
    <t>0x000006EE</t>
    <phoneticPr fontId="10"/>
  </si>
  <si>
    <t>0x000006F0</t>
    <phoneticPr fontId="10"/>
  </si>
  <si>
    <t>0x000006F2</t>
    <phoneticPr fontId="10"/>
  </si>
  <si>
    <t>0x000006F4</t>
    <phoneticPr fontId="10"/>
  </si>
  <si>
    <t>0x000006F6</t>
    <phoneticPr fontId="10"/>
  </si>
  <si>
    <t>0x000006F8</t>
    <phoneticPr fontId="10"/>
  </si>
  <si>
    <t>0x000006FA</t>
    <phoneticPr fontId="10"/>
  </si>
  <si>
    <t>0x000006FC</t>
    <phoneticPr fontId="10"/>
  </si>
  <si>
    <t>0x000006FE</t>
    <phoneticPr fontId="10"/>
  </si>
  <si>
    <t>0x00000700</t>
    <phoneticPr fontId="10"/>
  </si>
  <si>
    <t>0x00000702</t>
    <phoneticPr fontId="10"/>
  </si>
  <si>
    <t>0x00000704</t>
    <phoneticPr fontId="10"/>
  </si>
  <si>
    <t>0x00000706</t>
    <phoneticPr fontId="10"/>
  </si>
  <si>
    <t>0x00000708</t>
    <phoneticPr fontId="10"/>
  </si>
  <si>
    <t>0x0000070A</t>
    <phoneticPr fontId="10"/>
  </si>
  <si>
    <t>0x0000070C</t>
    <phoneticPr fontId="10"/>
  </si>
  <si>
    <t>0x0000070E</t>
    <phoneticPr fontId="10"/>
  </si>
  <si>
    <t>0x00000710</t>
    <phoneticPr fontId="10"/>
  </si>
  <si>
    <t>0x00000712</t>
    <phoneticPr fontId="10"/>
  </si>
  <si>
    <t>0x00000714</t>
    <phoneticPr fontId="10"/>
  </si>
  <si>
    <t>0x00000716</t>
    <phoneticPr fontId="10"/>
  </si>
  <si>
    <t>0x00000718</t>
    <phoneticPr fontId="10"/>
  </si>
  <si>
    <t>0x0000071A</t>
    <phoneticPr fontId="10"/>
  </si>
  <si>
    <t>0x0000071C</t>
    <phoneticPr fontId="10"/>
  </si>
  <si>
    <t>0x0000071E</t>
    <phoneticPr fontId="10"/>
  </si>
  <si>
    <t>0x00000720</t>
    <phoneticPr fontId="10"/>
  </si>
  <si>
    <t>0x00000722</t>
    <phoneticPr fontId="10"/>
  </si>
  <si>
    <t>0x00000724</t>
    <phoneticPr fontId="10"/>
  </si>
  <si>
    <t>0x00000726</t>
    <phoneticPr fontId="10"/>
  </si>
  <si>
    <t>0x00000728</t>
    <phoneticPr fontId="10"/>
  </si>
  <si>
    <t>0x0000072A</t>
    <phoneticPr fontId="10"/>
  </si>
  <si>
    <t>0x0000072C</t>
    <phoneticPr fontId="10"/>
  </si>
  <si>
    <t>0x0000072E</t>
    <phoneticPr fontId="10"/>
  </si>
  <si>
    <t>0x00000730</t>
    <phoneticPr fontId="10"/>
  </si>
  <si>
    <t>0x00000732</t>
    <phoneticPr fontId="10"/>
  </si>
  <si>
    <t>0x00000734</t>
    <phoneticPr fontId="10"/>
  </si>
  <si>
    <t>0x00000736</t>
    <phoneticPr fontId="10"/>
  </si>
  <si>
    <t>0x00000738</t>
    <phoneticPr fontId="10"/>
  </si>
  <si>
    <t>0x0000073A</t>
    <phoneticPr fontId="10"/>
  </si>
  <si>
    <t>0x0000073C</t>
    <phoneticPr fontId="10"/>
  </si>
  <si>
    <t>0x0000073E</t>
    <phoneticPr fontId="10"/>
  </si>
  <si>
    <t>0x00000740</t>
    <phoneticPr fontId="10"/>
  </si>
  <si>
    <t>0x00000742</t>
    <phoneticPr fontId="10"/>
  </si>
  <si>
    <t>0x00000744</t>
    <phoneticPr fontId="10"/>
  </si>
  <si>
    <t>0x00000746</t>
    <phoneticPr fontId="10"/>
  </si>
  <si>
    <t>0x00000748</t>
    <phoneticPr fontId="10"/>
  </si>
  <si>
    <t>0x0000074A</t>
    <phoneticPr fontId="10"/>
  </si>
  <si>
    <t>0x0000074C</t>
    <phoneticPr fontId="10"/>
  </si>
  <si>
    <t>0x0000074E</t>
    <phoneticPr fontId="10"/>
  </si>
  <si>
    <t>0x00000750</t>
    <phoneticPr fontId="10"/>
  </si>
  <si>
    <t>0x00000752</t>
    <phoneticPr fontId="10"/>
  </si>
  <si>
    <t>0x00000754</t>
    <phoneticPr fontId="10"/>
  </si>
  <si>
    <t>0x00000756</t>
    <phoneticPr fontId="10"/>
  </si>
  <si>
    <t>0x00000758</t>
    <phoneticPr fontId="10"/>
  </si>
  <si>
    <t>0x0000075A</t>
    <phoneticPr fontId="10"/>
  </si>
  <si>
    <t>0x0000075C</t>
    <phoneticPr fontId="10"/>
  </si>
  <si>
    <t>0x0000075E</t>
    <phoneticPr fontId="10"/>
  </si>
  <si>
    <t>0x00000760</t>
    <phoneticPr fontId="10"/>
  </si>
  <si>
    <t>0x00000762</t>
    <phoneticPr fontId="10"/>
  </si>
  <si>
    <t>0x00000764</t>
    <phoneticPr fontId="10"/>
  </si>
  <si>
    <t>0x00000766</t>
    <phoneticPr fontId="10"/>
  </si>
  <si>
    <t>0x00000768</t>
    <phoneticPr fontId="10"/>
  </si>
  <si>
    <t>0x0000076A</t>
    <phoneticPr fontId="10"/>
  </si>
  <si>
    <t>0x0000076C</t>
    <phoneticPr fontId="10"/>
  </si>
  <si>
    <t>0x0000076E</t>
    <phoneticPr fontId="10"/>
  </si>
  <si>
    <t>0x00000770</t>
    <phoneticPr fontId="10"/>
  </si>
  <si>
    <t>0x00000772</t>
    <phoneticPr fontId="10"/>
  </si>
  <si>
    <t>0x00000774</t>
    <phoneticPr fontId="10"/>
  </si>
  <si>
    <t>0x00000776</t>
    <phoneticPr fontId="10"/>
  </si>
  <si>
    <t>0x00000778</t>
    <phoneticPr fontId="10"/>
  </si>
  <si>
    <t>0x0000077A</t>
    <phoneticPr fontId="10"/>
  </si>
  <si>
    <t>0x0000077C</t>
    <phoneticPr fontId="10"/>
  </si>
  <si>
    <t>0x0000077E</t>
    <phoneticPr fontId="10"/>
  </si>
  <si>
    <t>0x00000780</t>
    <phoneticPr fontId="10"/>
  </si>
  <si>
    <t>0x00000782</t>
    <phoneticPr fontId="10"/>
  </si>
  <si>
    <t>0x00000784</t>
    <phoneticPr fontId="10"/>
  </si>
  <si>
    <t>0x00000786</t>
    <phoneticPr fontId="10"/>
  </si>
  <si>
    <t>0x00000788</t>
    <phoneticPr fontId="10"/>
  </si>
  <si>
    <t>0x0000078A</t>
    <phoneticPr fontId="10"/>
  </si>
  <si>
    <t>0x0000078C</t>
    <phoneticPr fontId="10"/>
  </si>
  <si>
    <t>0x0000078E</t>
    <phoneticPr fontId="10"/>
  </si>
  <si>
    <t>0x00000790</t>
    <phoneticPr fontId="10"/>
  </si>
  <si>
    <t>0x00000792</t>
    <phoneticPr fontId="10"/>
  </si>
  <si>
    <t>0x00000794</t>
    <phoneticPr fontId="10"/>
  </si>
  <si>
    <t>0x00000796</t>
    <phoneticPr fontId="10"/>
  </si>
  <si>
    <t>0x00000798</t>
    <phoneticPr fontId="10"/>
  </si>
  <si>
    <t>0x0000079A</t>
    <phoneticPr fontId="10"/>
  </si>
  <si>
    <t>0x0000079C</t>
    <phoneticPr fontId="10"/>
  </si>
  <si>
    <t>0x0000079E</t>
    <phoneticPr fontId="10"/>
  </si>
  <si>
    <t>0x000007A0</t>
    <phoneticPr fontId="10"/>
  </si>
  <si>
    <t>0x000007A2</t>
    <phoneticPr fontId="10"/>
  </si>
  <si>
    <t>0x000007A4</t>
    <phoneticPr fontId="10"/>
  </si>
  <si>
    <t>0x000007A6</t>
    <phoneticPr fontId="10"/>
  </si>
  <si>
    <t>0x000007A8</t>
    <phoneticPr fontId="10"/>
  </si>
  <si>
    <t>0x000007AA</t>
    <phoneticPr fontId="10"/>
  </si>
  <si>
    <t>0x000007AC</t>
    <phoneticPr fontId="10"/>
  </si>
  <si>
    <t>0x000007AE</t>
    <phoneticPr fontId="10"/>
  </si>
  <si>
    <t>0x000007B0</t>
    <phoneticPr fontId="10"/>
  </si>
  <si>
    <t>0x000007B2</t>
    <phoneticPr fontId="10"/>
  </si>
  <si>
    <t>0x000007B4</t>
    <phoneticPr fontId="10"/>
  </si>
  <si>
    <t>0x000007B6</t>
    <phoneticPr fontId="10"/>
  </si>
  <si>
    <t>0x000007B8</t>
    <phoneticPr fontId="10"/>
  </si>
  <si>
    <t>0x000007BA</t>
    <phoneticPr fontId="10"/>
  </si>
  <si>
    <t>0x000007BC</t>
    <phoneticPr fontId="10"/>
  </si>
  <si>
    <t>0x000007BE</t>
    <phoneticPr fontId="10"/>
  </si>
  <si>
    <t>0x000007C0</t>
    <phoneticPr fontId="10"/>
  </si>
  <si>
    <t>0x000007C2</t>
    <phoneticPr fontId="10"/>
  </si>
  <si>
    <t>0x000007C4</t>
    <phoneticPr fontId="10"/>
  </si>
  <si>
    <t>0x000007C6</t>
    <phoneticPr fontId="10"/>
  </si>
  <si>
    <t>0x000007C8</t>
    <phoneticPr fontId="10"/>
  </si>
  <si>
    <t>0x000007CA</t>
    <phoneticPr fontId="10"/>
  </si>
  <si>
    <t>0x000007CC</t>
    <phoneticPr fontId="10"/>
  </si>
  <si>
    <t>0x000007CE</t>
    <phoneticPr fontId="10"/>
  </si>
  <si>
    <t>0x000007D0</t>
    <phoneticPr fontId="10"/>
  </si>
  <si>
    <t>0x000007D2</t>
    <phoneticPr fontId="10"/>
  </si>
  <si>
    <t>0x000007D4</t>
    <phoneticPr fontId="10"/>
  </si>
  <si>
    <t>0x000007D6</t>
    <phoneticPr fontId="10"/>
  </si>
  <si>
    <t>0x000007D8</t>
    <phoneticPr fontId="10"/>
  </si>
  <si>
    <t>0x000007DA</t>
    <phoneticPr fontId="10"/>
  </si>
  <si>
    <t>0x000007DC</t>
    <phoneticPr fontId="10"/>
  </si>
  <si>
    <t>0x000007DE</t>
    <phoneticPr fontId="10"/>
  </si>
  <si>
    <t>0x000007E0</t>
    <phoneticPr fontId="10"/>
  </si>
  <si>
    <t>0x000007E2</t>
    <phoneticPr fontId="10"/>
  </si>
  <si>
    <t>0x000007E4</t>
    <phoneticPr fontId="10"/>
  </si>
  <si>
    <t>0x000007E6</t>
    <phoneticPr fontId="10"/>
  </si>
  <si>
    <t>0x000007E8</t>
    <phoneticPr fontId="10"/>
  </si>
  <si>
    <t>0x000007EA</t>
    <phoneticPr fontId="10"/>
  </si>
  <si>
    <t>0x000007EC</t>
    <phoneticPr fontId="10"/>
  </si>
  <si>
    <t>0x000007EE</t>
    <phoneticPr fontId="10"/>
  </si>
  <si>
    <t>0x000007F0</t>
    <phoneticPr fontId="10"/>
  </si>
  <si>
    <t>0x000007F2</t>
    <phoneticPr fontId="10"/>
  </si>
  <si>
    <t>0x000007F4</t>
    <phoneticPr fontId="10"/>
  </si>
  <si>
    <t>0x000007F6</t>
    <phoneticPr fontId="10"/>
  </si>
  <si>
    <t>0x000007F8</t>
    <phoneticPr fontId="10"/>
  </si>
  <si>
    <t>0x000007FA</t>
    <phoneticPr fontId="10"/>
  </si>
  <si>
    <t>0x000007FC</t>
    <phoneticPr fontId="10"/>
  </si>
  <si>
    <t>0x000007FE</t>
    <phoneticPr fontId="10"/>
  </si>
  <si>
    <t>0x00000800</t>
    <phoneticPr fontId="10"/>
  </si>
  <si>
    <t>0x00000802</t>
    <phoneticPr fontId="10"/>
  </si>
  <si>
    <t>0x00000804</t>
    <phoneticPr fontId="10"/>
  </si>
  <si>
    <t>0x00000806</t>
    <phoneticPr fontId="10"/>
  </si>
  <si>
    <t>0x00000808</t>
    <phoneticPr fontId="10"/>
  </si>
  <si>
    <t>0x0000080A</t>
    <phoneticPr fontId="10"/>
  </si>
  <si>
    <t>0x0000080C</t>
    <phoneticPr fontId="10"/>
  </si>
  <si>
    <t>0x0000080E</t>
    <phoneticPr fontId="10"/>
  </si>
  <si>
    <t>0x00000810</t>
    <phoneticPr fontId="10"/>
  </si>
  <si>
    <t>0x00000812</t>
    <phoneticPr fontId="10"/>
  </si>
  <si>
    <t>0x00000814</t>
    <phoneticPr fontId="10"/>
  </si>
  <si>
    <t>0x00000816</t>
    <phoneticPr fontId="10"/>
  </si>
  <si>
    <t>0x00000818</t>
    <phoneticPr fontId="10"/>
  </si>
  <si>
    <t>0x0000081A</t>
    <phoneticPr fontId="10"/>
  </si>
  <si>
    <t>0x0000081C</t>
    <phoneticPr fontId="10"/>
  </si>
  <si>
    <t>0x0000081E</t>
    <phoneticPr fontId="10"/>
  </si>
  <si>
    <t>0x00000820</t>
    <phoneticPr fontId="10"/>
  </si>
  <si>
    <t>0x00000822</t>
    <phoneticPr fontId="10"/>
  </si>
  <si>
    <t>0x00000824</t>
    <phoneticPr fontId="10"/>
  </si>
  <si>
    <t>0x00000826</t>
    <phoneticPr fontId="10"/>
  </si>
  <si>
    <t>0x00000828</t>
    <phoneticPr fontId="10"/>
  </si>
  <si>
    <t>0x0000082A</t>
    <phoneticPr fontId="10"/>
  </si>
  <si>
    <t>0x0000082C</t>
    <phoneticPr fontId="10"/>
  </si>
  <si>
    <t>0x0000082E</t>
    <phoneticPr fontId="10"/>
  </si>
  <si>
    <t>0x00000830</t>
    <phoneticPr fontId="10"/>
  </si>
  <si>
    <t>0x00000832</t>
    <phoneticPr fontId="10"/>
  </si>
  <si>
    <t>0x00000834</t>
    <phoneticPr fontId="10"/>
  </si>
  <si>
    <t>0x00000836</t>
    <phoneticPr fontId="10"/>
  </si>
  <si>
    <t>0x00000838</t>
    <phoneticPr fontId="10"/>
  </si>
  <si>
    <t>0x0000083A</t>
    <phoneticPr fontId="10"/>
  </si>
  <si>
    <t>0x0000083C</t>
    <phoneticPr fontId="10"/>
  </si>
  <si>
    <t>0x0000083E</t>
    <phoneticPr fontId="10"/>
  </si>
  <si>
    <t>0x00000840</t>
    <phoneticPr fontId="10"/>
  </si>
  <si>
    <t>0x00000842</t>
    <phoneticPr fontId="10"/>
  </si>
  <si>
    <t>0x00000844</t>
    <phoneticPr fontId="10"/>
  </si>
  <si>
    <t>0x00000846</t>
    <phoneticPr fontId="10"/>
  </si>
  <si>
    <t>0x00000848</t>
    <phoneticPr fontId="10"/>
  </si>
  <si>
    <t>0x0000084A</t>
    <phoneticPr fontId="10"/>
  </si>
  <si>
    <t>0x0000084C</t>
    <phoneticPr fontId="10"/>
  </si>
  <si>
    <t>0x0000084E</t>
    <phoneticPr fontId="10"/>
  </si>
  <si>
    <t>0x00000850</t>
    <phoneticPr fontId="10"/>
  </si>
  <si>
    <t>0x00000852</t>
    <phoneticPr fontId="10"/>
  </si>
  <si>
    <t>0x00000854</t>
    <phoneticPr fontId="10"/>
  </si>
  <si>
    <t>0x00000856</t>
    <phoneticPr fontId="10"/>
  </si>
  <si>
    <t>0x00000858</t>
    <phoneticPr fontId="10"/>
  </si>
  <si>
    <t>0x0000085A</t>
    <phoneticPr fontId="10"/>
  </si>
  <si>
    <t>0x0000085C</t>
    <phoneticPr fontId="10"/>
  </si>
  <si>
    <t>0x0000085E</t>
    <phoneticPr fontId="10"/>
  </si>
  <si>
    <t>0x00000860</t>
    <phoneticPr fontId="10"/>
  </si>
  <si>
    <t>0x00000862</t>
    <phoneticPr fontId="10"/>
  </si>
  <si>
    <t>0x00000864</t>
    <phoneticPr fontId="10"/>
  </si>
  <si>
    <t>0x00000866</t>
    <phoneticPr fontId="10"/>
  </si>
  <si>
    <t>0x00000868</t>
    <phoneticPr fontId="10"/>
  </si>
  <si>
    <t>0x0000086A</t>
    <phoneticPr fontId="10"/>
  </si>
  <si>
    <t>0x0000086C</t>
    <phoneticPr fontId="10"/>
  </si>
  <si>
    <t>0x0000086E</t>
    <phoneticPr fontId="10"/>
  </si>
  <si>
    <t>0x00000870</t>
    <phoneticPr fontId="10"/>
  </si>
  <si>
    <t>0x00000872</t>
    <phoneticPr fontId="10"/>
  </si>
  <si>
    <t>0x00000874</t>
    <phoneticPr fontId="10"/>
  </si>
  <si>
    <t>0x00000876</t>
    <phoneticPr fontId="10"/>
  </si>
  <si>
    <t>0x00000878</t>
    <phoneticPr fontId="10"/>
  </si>
  <si>
    <t>0x0000087A</t>
    <phoneticPr fontId="10"/>
  </si>
  <si>
    <t>0x0000087C</t>
    <phoneticPr fontId="10"/>
  </si>
  <si>
    <t>0x0000087E</t>
    <phoneticPr fontId="10"/>
  </si>
  <si>
    <t>0x00000880</t>
    <phoneticPr fontId="10"/>
  </si>
  <si>
    <t>0x00000882</t>
    <phoneticPr fontId="10"/>
  </si>
  <si>
    <t>0x00000884</t>
    <phoneticPr fontId="10"/>
  </si>
  <si>
    <t>0x00000886</t>
    <phoneticPr fontId="10"/>
  </si>
  <si>
    <t>0x00000888</t>
    <phoneticPr fontId="10"/>
  </si>
  <si>
    <t>0x0000088A</t>
    <phoneticPr fontId="10"/>
  </si>
  <si>
    <t>0x0000088C</t>
    <phoneticPr fontId="10"/>
  </si>
  <si>
    <t>0x0000088E</t>
    <phoneticPr fontId="10"/>
  </si>
  <si>
    <t>0x00000890</t>
    <phoneticPr fontId="10"/>
  </si>
  <si>
    <t>0x00000892</t>
    <phoneticPr fontId="10"/>
  </si>
  <si>
    <t>0x00000894</t>
    <phoneticPr fontId="10"/>
  </si>
  <si>
    <t>0x00000896</t>
    <phoneticPr fontId="10"/>
  </si>
  <si>
    <t>0x00000898</t>
    <phoneticPr fontId="10"/>
  </si>
  <si>
    <t>0x0000089A</t>
    <phoneticPr fontId="10"/>
  </si>
  <si>
    <t>0x0000089C</t>
    <phoneticPr fontId="10"/>
  </si>
  <si>
    <t>0x0000089E</t>
    <phoneticPr fontId="10"/>
  </si>
  <si>
    <t>0x000008A0</t>
    <phoneticPr fontId="10"/>
  </si>
  <si>
    <t>0x000008A2</t>
    <phoneticPr fontId="10"/>
  </si>
  <si>
    <t>0x000008A4</t>
    <phoneticPr fontId="10"/>
  </si>
  <si>
    <t>0x000008A6</t>
    <phoneticPr fontId="10"/>
  </si>
  <si>
    <t>0x000008A8</t>
    <phoneticPr fontId="10"/>
  </si>
  <si>
    <t>0x000008AA</t>
    <phoneticPr fontId="10"/>
  </si>
  <si>
    <t>0x000008AC</t>
    <phoneticPr fontId="10"/>
  </si>
  <si>
    <t>0x000008AE</t>
    <phoneticPr fontId="10"/>
  </si>
  <si>
    <t>0x000008B0</t>
    <phoneticPr fontId="10"/>
  </si>
  <si>
    <t>0x000008B2</t>
    <phoneticPr fontId="10"/>
  </si>
  <si>
    <t>0x000008B4</t>
    <phoneticPr fontId="10"/>
  </si>
  <si>
    <t>0x000008B6</t>
    <phoneticPr fontId="10"/>
  </si>
  <si>
    <t>0x000008B8</t>
    <phoneticPr fontId="10"/>
  </si>
  <si>
    <t>0x000008BA</t>
    <phoneticPr fontId="10"/>
  </si>
  <si>
    <t>0x000008BC</t>
    <phoneticPr fontId="10"/>
  </si>
  <si>
    <t>0x000008BE</t>
    <phoneticPr fontId="10"/>
  </si>
  <si>
    <t>0x000008C0</t>
    <phoneticPr fontId="10"/>
  </si>
  <si>
    <t>0x000008C2</t>
    <phoneticPr fontId="10"/>
  </si>
  <si>
    <t>0x000008C4</t>
    <phoneticPr fontId="10"/>
  </si>
  <si>
    <t>0x000008C6</t>
    <phoneticPr fontId="10"/>
  </si>
  <si>
    <t>0x000008C8</t>
    <phoneticPr fontId="10"/>
  </si>
  <si>
    <t>0x000008CA</t>
    <phoneticPr fontId="10"/>
  </si>
  <si>
    <t>0x000008CC</t>
    <phoneticPr fontId="10"/>
  </si>
  <si>
    <t>0x000008CE</t>
    <phoneticPr fontId="10"/>
  </si>
  <si>
    <t>0x000008D0</t>
    <phoneticPr fontId="10"/>
  </si>
  <si>
    <t>0x000008D2</t>
    <phoneticPr fontId="10"/>
  </si>
  <si>
    <t>0x000008D4</t>
    <phoneticPr fontId="10"/>
  </si>
  <si>
    <t>0x000008D6</t>
    <phoneticPr fontId="10"/>
  </si>
  <si>
    <t>0x000008D8</t>
    <phoneticPr fontId="10"/>
  </si>
  <si>
    <t>0x000008DA</t>
    <phoneticPr fontId="10"/>
  </si>
  <si>
    <t>0x000008DC</t>
    <phoneticPr fontId="10"/>
  </si>
  <si>
    <t>0x000008DE</t>
    <phoneticPr fontId="10"/>
  </si>
  <si>
    <t>0x000008E0</t>
    <phoneticPr fontId="10"/>
  </si>
  <si>
    <t>0x000008E2</t>
    <phoneticPr fontId="10"/>
  </si>
  <si>
    <t>0x000008E4</t>
    <phoneticPr fontId="10"/>
  </si>
  <si>
    <t>0x000008E6</t>
    <phoneticPr fontId="10"/>
  </si>
  <si>
    <t>0x000008E8</t>
    <phoneticPr fontId="10"/>
  </si>
  <si>
    <t>0x000008EA</t>
    <phoneticPr fontId="10"/>
  </si>
  <si>
    <t>0x000008EC</t>
    <phoneticPr fontId="10"/>
  </si>
  <si>
    <t>0x000008EE</t>
    <phoneticPr fontId="10"/>
  </si>
  <si>
    <t>0x000008F0</t>
    <phoneticPr fontId="10"/>
  </si>
  <si>
    <t>0x000008F2</t>
    <phoneticPr fontId="10"/>
  </si>
  <si>
    <t>0x000008F4</t>
    <phoneticPr fontId="10"/>
  </si>
  <si>
    <t>0x000008F6</t>
    <phoneticPr fontId="10"/>
  </si>
  <si>
    <t>0x000008F8</t>
    <phoneticPr fontId="10"/>
  </si>
  <si>
    <t>0x000008FA</t>
    <phoneticPr fontId="10"/>
  </si>
  <si>
    <t>0x000008FC</t>
    <phoneticPr fontId="10"/>
  </si>
  <si>
    <t>0x000008FE</t>
    <phoneticPr fontId="10"/>
  </si>
  <si>
    <t>0x00000900</t>
    <phoneticPr fontId="10"/>
  </si>
  <si>
    <t>0x00000902</t>
    <phoneticPr fontId="10"/>
  </si>
  <si>
    <t>0x00000904</t>
    <phoneticPr fontId="10"/>
  </si>
  <si>
    <t>0x00000906</t>
    <phoneticPr fontId="10"/>
  </si>
  <si>
    <t>0x00000908</t>
    <phoneticPr fontId="10"/>
  </si>
  <si>
    <t>0x0000090A</t>
    <phoneticPr fontId="10"/>
  </si>
  <si>
    <t>0x0000090C</t>
    <phoneticPr fontId="10"/>
  </si>
  <si>
    <t>0x0000090E</t>
    <phoneticPr fontId="10"/>
  </si>
  <si>
    <t>0x00000910</t>
    <phoneticPr fontId="10"/>
  </si>
  <si>
    <t>0x00000912</t>
    <phoneticPr fontId="10"/>
  </si>
  <si>
    <t>0x00000914</t>
    <phoneticPr fontId="10"/>
  </si>
  <si>
    <t>0x00000916</t>
    <phoneticPr fontId="10"/>
  </si>
  <si>
    <t>0x00000918</t>
    <phoneticPr fontId="10"/>
  </si>
  <si>
    <t>0x0000091A</t>
    <phoneticPr fontId="10"/>
  </si>
  <si>
    <t>0x0000091C</t>
    <phoneticPr fontId="10"/>
  </si>
  <si>
    <t>0x0000091E</t>
    <phoneticPr fontId="10"/>
  </si>
  <si>
    <t>0x00000920</t>
    <phoneticPr fontId="10"/>
  </si>
  <si>
    <t>0x00000922</t>
    <phoneticPr fontId="10"/>
  </si>
  <si>
    <t>0x00000924</t>
    <phoneticPr fontId="10"/>
  </si>
  <si>
    <t>0x00000926</t>
    <phoneticPr fontId="10"/>
  </si>
  <si>
    <t>0x00000928</t>
    <phoneticPr fontId="10"/>
  </si>
  <si>
    <t>0x0000092A</t>
    <phoneticPr fontId="10"/>
  </si>
  <si>
    <t>0x0000092C</t>
    <phoneticPr fontId="10"/>
  </si>
  <si>
    <t>0x0000092E</t>
    <phoneticPr fontId="10"/>
  </si>
  <si>
    <t>0x00000930</t>
    <phoneticPr fontId="10"/>
  </si>
  <si>
    <t>0x00000932</t>
    <phoneticPr fontId="10"/>
  </si>
  <si>
    <t>0x00000934</t>
    <phoneticPr fontId="10"/>
  </si>
  <si>
    <t>0x00000936</t>
    <phoneticPr fontId="10"/>
  </si>
  <si>
    <t>0x00000938</t>
    <phoneticPr fontId="10"/>
  </si>
  <si>
    <t>0x0000093A</t>
    <phoneticPr fontId="10"/>
  </si>
  <si>
    <t>0x0000093C</t>
    <phoneticPr fontId="10"/>
  </si>
  <si>
    <t>0x0000093E</t>
    <phoneticPr fontId="10"/>
  </si>
  <si>
    <t>0x00000940</t>
    <phoneticPr fontId="10"/>
  </si>
  <si>
    <t>0x00000942</t>
    <phoneticPr fontId="10"/>
  </si>
  <si>
    <t>0x00000944</t>
    <phoneticPr fontId="10"/>
  </si>
  <si>
    <t>0x00000946</t>
    <phoneticPr fontId="10"/>
  </si>
  <si>
    <t>0x00000948</t>
    <phoneticPr fontId="10"/>
  </si>
  <si>
    <t>0x0000094A</t>
    <phoneticPr fontId="10"/>
  </si>
  <si>
    <t>0x0000094C</t>
    <phoneticPr fontId="10"/>
  </si>
  <si>
    <t>0x0000094E</t>
    <phoneticPr fontId="10"/>
  </si>
  <si>
    <t>0x00000950</t>
    <phoneticPr fontId="10"/>
  </si>
  <si>
    <t>0x00000952</t>
    <phoneticPr fontId="10"/>
  </si>
  <si>
    <t>0x00000954</t>
    <phoneticPr fontId="10"/>
  </si>
  <si>
    <t>0x00000956</t>
    <phoneticPr fontId="10"/>
  </si>
  <si>
    <t>0x00000958</t>
    <phoneticPr fontId="10"/>
  </si>
  <si>
    <t>0x0000095A</t>
    <phoneticPr fontId="10"/>
  </si>
  <si>
    <t>0x0000095C</t>
    <phoneticPr fontId="10"/>
  </si>
  <si>
    <t>0x0000095E</t>
    <phoneticPr fontId="10"/>
  </si>
  <si>
    <t>0x00000960</t>
    <phoneticPr fontId="10"/>
  </si>
  <si>
    <t>0x00000962</t>
    <phoneticPr fontId="10"/>
  </si>
  <si>
    <t>0x00000964</t>
    <phoneticPr fontId="10"/>
  </si>
  <si>
    <t>0x00000966</t>
    <phoneticPr fontId="10"/>
  </si>
  <si>
    <t>0x00000968</t>
    <phoneticPr fontId="10"/>
  </si>
  <si>
    <t>0x0000096A</t>
    <phoneticPr fontId="10"/>
  </si>
  <si>
    <t>0x0000096C</t>
    <phoneticPr fontId="10"/>
  </si>
  <si>
    <t>0x0000096E</t>
    <phoneticPr fontId="10"/>
  </si>
  <si>
    <t>0x00000970</t>
    <phoneticPr fontId="10"/>
  </si>
  <si>
    <t>0x00000972</t>
    <phoneticPr fontId="10"/>
  </si>
  <si>
    <t>0x00000974</t>
    <phoneticPr fontId="10"/>
  </si>
  <si>
    <t>0x00000976</t>
    <phoneticPr fontId="10"/>
  </si>
  <si>
    <t>0x00000978</t>
    <phoneticPr fontId="10"/>
  </si>
  <si>
    <t>0x0000097A</t>
    <phoneticPr fontId="10"/>
  </si>
  <si>
    <t>0x0000097C</t>
    <phoneticPr fontId="10"/>
  </si>
  <si>
    <t>0x0000097E</t>
    <phoneticPr fontId="10"/>
  </si>
  <si>
    <t>0x00000980</t>
    <phoneticPr fontId="10"/>
  </si>
  <si>
    <t>0x00000982</t>
    <phoneticPr fontId="10"/>
  </si>
  <si>
    <t>0x00000984</t>
    <phoneticPr fontId="10"/>
  </si>
  <si>
    <t>0x00000986</t>
    <phoneticPr fontId="10"/>
  </si>
  <si>
    <t>0x00000988</t>
    <phoneticPr fontId="10"/>
  </si>
  <si>
    <t>0x0000098A</t>
    <phoneticPr fontId="10"/>
  </si>
  <si>
    <t>0x0000098C</t>
    <phoneticPr fontId="10"/>
  </si>
  <si>
    <t>0x0000098E</t>
    <phoneticPr fontId="10"/>
  </si>
  <si>
    <t>0x00000990</t>
    <phoneticPr fontId="10"/>
  </si>
  <si>
    <t>0x00000992</t>
    <phoneticPr fontId="10"/>
  </si>
  <si>
    <t>0x00000994</t>
    <phoneticPr fontId="10"/>
  </si>
  <si>
    <t>0x00000996</t>
    <phoneticPr fontId="10"/>
  </si>
  <si>
    <t>0x00000998</t>
    <phoneticPr fontId="10"/>
  </si>
  <si>
    <t>0x0000099A</t>
    <phoneticPr fontId="10"/>
  </si>
  <si>
    <t>0x0000099C</t>
    <phoneticPr fontId="10"/>
  </si>
  <si>
    <t>0x0000099E</t>
    <phoneticPr fontId="10"/>
  </si>
  <si>
    <t>0x000009A0</t>
    <phoneticPr fontId="10"/>
  </si>
  <si>
    <t>0x000009A2</t>
    <phoneticPr fontId="10"/>
  </si>
  <si>
    <t>0x000009A4</t>
    <phoneticPr fontId="10"/>
  </si>
  <si>
    <t>0x000009A6</t>
    <phoneticPr fontId="10"/>
  </si>
  <si>
    <t>0x000009A8</t>
    <phoneticPr fontId="10"/>
  </si>
  <si>
    <t>0x000009AA</t>
    <phoneticPr fontId="10"/>
  </si>
  <si>
    <t>0x000009AC</t>
    <phoneticPr fontId="10"/>
  </si>
  <si>
    <t>0x000009AE</t>
    <phoneticPr fontId="10"/>
  </si>
  <si>
    <t>0x000009B0</t>
    <phoneticPr fontId="10"/>
  </si>
  <si>
    <t>0x000009B2</t>
    <phoneticPr fontId="10"/>
  </si>
  <si>
    <t>0x000009B4</t>
    <phoneticPr fontId="10"/>
  </si>
  <si>
    <t>0x000009B6</t>
    <phoneticPr fontId="10"/>
  </si>
  <si>
    <t>0x000009B8</t>
    <phoneticPr fontId="10"/>
  </si>
  <si>
    <t>0x000009BA</t>
    <phoneticPr fontId="10"/>
  </si>
  <si>
    <t>0x000009BC</t>
    <phoneticPr fontId="10"/>
  </si>
  <si>
    <t>0x000009BE</t>
    <phoneticPr fontId="10"/>
  </si>
  <si>
    <t>0x000009C0</t>
    <phoneticPr fontId="10"/>
  </si>
  <si>
    <t>0x000009C2</t>
    <phoneticPr fontId="10"/>
  </si>
  <si>
    <t>0x000009C4</t>
    <phoneticPr fontId="10"/>
  </si>
  <si>
    <t>0x000009C6</t>
    <phoneticPr fontId="10"/>
  </si>
  <si>
    <t>0x000009C8</t>
    <phoneticPr fontId="10"/>
  </si>
  <si>
    <t>0x000009CA</t>
    <phoneticPr fontId="10"/>
  </si>
  <si>
    <t>0x000009CC</t>
    <phoneticPr fontId="10"/>
  </si>
  <si>
    <t>0x000009CE</t>
    <phoneticPr fontId="10"/>
  </si>
  <si>
    <t>0x000009D0</t>
    <phoneticPr fontId="10"/>
  </si>
  <si>
    <t>0x000009D2</t>
    <phoneticPr fontId="10"/>
  </si>
  <si>
    <t>0x000009D4</t>
    <phoneticPr fontId="10"/>
  </si>
  <si>
    <t>0x000009D6</t>
    <phoneticPr fontId="10"/>
  </si>
  <si>
    <t>0x000009D8</t>
    <phoneticPr fontId="10"/>
  </si>
  <si>
    <t>0x000009DA</t>
    <phoneticPr fontId="10"/>
  </si>
  <si>
    <t>0x000009DC</t>
    <phoneticPr fontId="10"/>
  </si>
  <si>
    <t>0x000009DE</t>
    <phoneticPr fontId="10"/>
  </si>
  <si>
    <t>0x000009E0</t>
    <phoneticPr fontId="10"/>
  </si>
  <si>
    <t>0x000009E2</t>
    <phoneticPr fontId="10"/>
  </si>
  <si>
    <t>0x000009E4</t>
    <phoneticPr fontId="10"/>
  </si>
  <si>
    <t>0x000009E6</t>
    <phoneticPr fontId="10"/>
  </si>
  <si>
    <t>0x000009E8</t>
    <phoneticPr fontId="10"/>
  </si>
  <si>
    <t>0x000009EA</t>
    <phoneticPr fontId="10"/>
  </si>
  <si>
    <t>0x000009EC</t>
    <phoneticPr fontId="10"/>
  </si>
  <si>
    <t>0x000009EE</t>
    <phoneticPr fontId="10"/>
  </si>
  <si>
    <t>0x000009F0</t>
    <phoneticPr fontId="10"/>
  </si>
  <si>
    <t>0x000009F2</t>
    <phoneticPr fontId="10"/>
  </si>
  <si>
    <t>0x000009F4</t>
    <phoneticPr fontId="10"/>
  </si>
  <si>
    <t>0x000009F6</t>
    <phoneticPr fontId="10"/>
  </si>
  <si>
    <t>0x000009F8</t>
    <phoneticPr fontId="10"/>
  </si>
  <si>
    <t>0x000009FA</t>
    <phoneticPr fontId="10"/>
  </si>
  <si>
    <t>0x000009FC</t>
    <phoneticPr fontId="10"/>
  </si>
  <si>
    <t>0x000009FE</t>
    <phoneticPr fontId="10"/>
  </si>
  <si>
    <t>0x00000A00</t>
    <phoneticPr fontId="10"/>
  </si>
  <si>
    <t>0x00000A02</t>
    <phoneticPr fontId="10"/>
  </si>
  <si>
    <t>0x00000A04</t>
    <phoneticPr fontId="10"/>
  </si>
  <si>
    <t>0x00000A06</t>
    <phoneticPr fontId="10"/>
  </si>
  <si>
    <t>0x00000A08</t>
    <phoneticPr fontId="10"/>
  </si>
  <si>
    <t>0x00000A0A</t>
    <phoneticPr fontId="10"/>
  </si>
  <si>
    <t>0x00000A0C</t>
    <phoneticPr fontId="10"/>
  </si>
  <si>
    <t>0x00000A0E</t>
    <phoneticPr fontId="10"/>
  </si>
  <si>
    <t>0x00000A10</t>
    <phoneticPr fontId="10"/>
  </si>
  <si>
    <t>0x00000A12</t>
    <phoneticPr fontId="10"/>
  </si>
  <si>
    <t>0x00000A14</t>
    <phoneticPr fontId="10"/>
  </si>
  <si>
    <t>0x00000A16</t>
    <phoneticPr fontId="10"/>
  </si>
  <si>
    <t>0x00000A18</t>
    <phoneticPr fontId="10"/>
  </si>
  <si>
    <t>0x00000A1A</t>
    <phoneticPr fontId="10"/>
  </si>
  <si>
    <t>0x00000A1C</t>
    <phoneticPr fontId="10"/>
  </si>
  <si>
    <t>0x00000A1E</t>
    <phoneticPr fontId="10"/>
  </si>
  <si>
    <t>0x00000A20</t>
    <phoneticPr fontId="10"/>
  </si>
  <si>
    <t>0x00000A22</t>
    <phoneticPr fontId="10"/>
  </si>
  <si>
    <t>0x00000A24</t>
    <phoneticPr fontId="10"/>
  </si>
  <si>
    <t>0x00000A26</t>
    <phoneticPr fontId="10"/>
  </si>
  <si>
    <t>0x00000A28</t>
    <phoneticPr fontId="10"/>
  </si>
  <si>
    <t>0x00000A2A</t>
    <phoneticPr fontId="10"/>
  </si>
  <si>
    <t>0x00000A2C</t>
    <phoneticPr fontId="10"/>
  </si>
  <si>
    <t>0x00000A2E</t>
    <phoneticPr fontId="10"/>
  </si>
  <si>
    <t>0x00000A30</t>
    <phoneticPr fontId="10"/>
  </si>
  <si>
    <t>0x00000A32</t>
    <phoneticPr fontId="10"/>
  </si>
  <si>
    <t>0x00000A34</t>
    <phoneticPr fontId="10"/>
  </si>
  <si>
    <t>0x00000A36</t>
    <phoneticPr fontId="10"/>
  </si>
  <si>
    <t>0x00000A38</t>
    <phoneticPr fontId="10"/>
  </si>
  <si>
    <t>0x00000A3A</t>
    <phoneticPr fontId="10"/>
  </si>
  <si>
    <t>0x00000A3C</t>
    <phoneticPr fontId="10"/>
  </si>
  <si>
    <t>0x00000A3E</t>
    <phoneticPr fontId="10"/>
  </si>
  <si>
    <t>0x00000A40</t>
    <phoneticPr fontId="10"/>
  </si>
  <si>
    <t>0x00000A42</t>
    <phoneticPr fontId="10"/>
  </si>
  <si>
    <t>0x00000A44</t>
    <phoneticPr fontId="10"/>
  </si>
  <si>
    <t>0x00000A46</t>
    <phoneticPr fontId="10"/>
  </si>
  <si>
    <t>0x00000A48</t>
    <phoneticPr fontId="10"/>
  </si>
  <si>
    <t>0x00000A4A</t>
    <phoneticPr fontId="10"/>
  </si>
  <si>
    <t>0x00000A4C</t>
    <phoneticPr fontId="10"/>
  </si>
  <si>
    <t>0x00000A4E</t>
    <phoneticPr fontId="10"/>
  </si>
  <si>
    <t>0x00000A50</t>
    <phoneticPr fontId="10"/>
  </si>
  <si>
    <t>0x00000A52</t>
    <phoneticPr fontId="10"/>
  </si>
  <si>
    <t>0x00000A54</t>
    <phoneticPr fontId="10"/>
  </si>
  <si>
    <t>0x00000A56</t>
    <phoneticPr fontId="10"/>
  </si>
  <si>
    <t>0x00000A58</t>
    <phoneticPr fontId="10"/>
  </si>
  <si>
    <t>0x00000A5A</t>
    <phoneticPr fontId="10"/>
  </si>
  <si>
    <t>0x00000A5C</t>
    <phoneticPr fontId="10"/>
  </si>
  <si>
    <t>0x00000A5E</t>
    <phoneticPr fontId="10"/>
  </si>
  <si>
    <t>0x00000A60</t>
    <phoneticPr fontId="10"/>
  </si>
  <si>
    <t>0x00000A62</t>
    <phoneticPr fontId="10"/>
  </si>
  <si>
    <t>0x00000A64</t>
    <phoneticPr fontId="10"/>
  </si>
  <si>
    <t>0x00000A66</t>
    <phoneticPr fontId="10"/>
  </si>
  <si>
    <t>0x00000A68</t>
    <phoneticPr fontId="10"/>
  </si>
  <si>
    <t>0x00000A6A</t>
    <phoneticPr fontId="10"/>
  </si>
  <si>
    <t>0x00000A6C</t>
    <phoneticPr fontId="10"/>
  </si>
  <si>
    <t>0x00000A6E</t>
    <phoneticPr fontId="10"/>
  </si>
  <si>
    <t>0x00000A70</t>
    <phoneticPr fontId="10"/>
  </si>
  <si>
    <t>0x00000A72</t>
    <phoneticPr fontId="10"/>
  </si>
  <si>
    <t>0x00000A74</t>
    <phoneticPr fontId="10"/>
  </si>
  <si>
    <t>0x00000A76</t>
    <phoneticPr fontId="10"/>
  </si>
  <si>
    <t>0x00000A78</t>
    <phoneticPr fontId="10"/>
  </si>
  <si>
    <t>0x00000A7A</t>
    <phoneticPr fontId="10"/>
  </si>
  <si>
    <t>0x00000A7C</t>
    <phoneticPr fontId="10"/>
  </si>
  <si>
    <t>0x00000A7E</t>
    <phoneticPr fontId="10"/>
  </si>
  <si>
    <t>0x00000A80</t>
    <phoneticPr fontId="10"/>
  </si>
  <si>
    <t>0x00000A82</t>
    <phoneticPr fontId="10"/>
  </si>
  <si>
    <t>0x00000A84</t>
    <phoneticPr fontId="10"/>
  </si>
  <si>
    <t>0x00000A86</t>
    <phoneticPr fontId="10"/>
  </si>
  <si>
    <t>0x00000A88</t>
    <phoneticPr fontId="10"/>
  </si>
  <si>
    <t>0x00000A8A</t>
    <phoneticPr fontId="10"/>
  </si>
  <si>
    <t>0x00000A8C</t>
    <phoneticPr fontId="10"/>
  </si>
  <si>
    <t>0x00000A8E</t>
    <phoneticPr fontId="10"/>
  </si>
  <si>
    <t>0x00000A90</t>
    <phoneticPr fontId="10"/>
  </si>
  <si>
    <t>0x00000A92</t>
    <phoneticPr fontId="10"/>
  </si>
  <si>
    <t>0x00000A94</t>
    <phoneticPr fontId="10"/>
  </si>
  <si>
    <t>0x00000A96</t>
    <phoneticPr fontId="10"/>
  </si>
  <si>
    <t>0x00000A98</t>
    <phoneticPr fontId="10"/>
  </si>
  <si>
    <t>0x00000A9A</t>
    <phoneticPr fontId="10"/>
  </si>
  <si>
    <t>0x00000A9C</t>
    <phoneticPr fontId="10"/>
  </si>
  <si>
    <t>0x00000A9E</t>
    <phoneticPr fontId="10"/>
  </si>
  <si>
    <t>0x00000AA0</t>
    <phoneticPr fontId="10"/>
  </si>
  <si>
    <t>0x00000AA2</t>
    <phoneticPr fontId="10"/>
  </si>
  <si>
    <t>0x00000AA4</t>
    <phoneticPr fontId="10"/>
  </si>
  <si>
    <t>0x00000AA6</t>
    <phoneticPr fontId="10"/>
  </si>
  <si>
    <t>0x00000AA8</t>
    <phoneticPr fontId="10"/>
  </si>
  <si>
    <t>0x00000AAA</t>
    <phoneticPr fontId="10"/>
  </si>
  <si>
    <t>0x00000AAC</t>
    <phoneticPr fontId="10"/>
  </si>
  <si>
    <t>0x00000AAE</t>
    <phoneticPr fontId="10"/>
  </si>
  <si>
    <t>0x00000AB0</t>
    <phoneticPr fontId="10"/>
  </si>
  <si>
    <t>0x00000AB2</t>
    <phoneticPr fontId="10"/>
  </si>
  <si>
    <t>0x00000AB4</t>
    <phoneticPr fontId="10"/>
  </si>
  <si>
    <t>0x00000AB6</t>
    <phoneticPr fontId="10"/>
  </si>
  <si>
    <t>0x00000AB8</t>
    <phoneticPr fontId="10"/>
  </si>
  <si>
    <t>0x00000ABA</t>
    <phoneticPr fontId="10"/>
  </si>
  <si>
    <t>0x00000ABC</t>
    <phoneticPr fontId="10"/>
  </si>
  <si>
    <t>0x00000ABE</t>
    <phoneticPr fontId="10"/>
  </si>
  <si>
    <t>0x00000AC0</t>
    <phoneticPr fontId="10"/>
  </si>
  <si>
    <t>0x00000AC2</t>
    <phoneticPr fontId="10"/>
  </si>
  <si>
    <t>0x00000AC4</t>
    <phoneticPr fontId="10"/>
  </si>
  <si>
    <t>0x00000AC6</t>
    <phoneticPr fontId="10"/>
  </si>
  <si>
    <t>0x00000AC8</t>
    <phoneticPr fontId="10"/>
  </si>
  <si>
    <t>0x00000ACA</t>
    <phoneticPr fontId="10"/>
  </si>
  <si>
    <t>0x00000ACC</t>
    <phoneticPr fontId="10"/>
  </si>
  <si>
    <t>0x00000ACE</t>
    <phoneticPr fontId="10"/>
  </si>
  <si>
    <t>0x00000AD0</t>
    <phoneticPr fontId="10"/>
  </si>
  <si>
    <t>0x00000AD2</t>
    <phoneticPr fontId="10"/>
  </si>
  <si>
    <t>0x00000AD4</t>
    <phoneticPr fontId="10"/>
  </si>
  <si>
    <t>0x00000AD6</t>
    <phoneticPr fontId="10"/>
  </si>
  <si>
    <t>0x00000AD8</t>
    <phoneticPr fontId="10"/>
  </si>
  <si>
    <t>0x00000ADA</t>
    <phoneticPr fontId="10"/>
  </si>
  <si>
    <t>0x00000ADC</t>
    <phoneticPr fontId="10"/>
  </si>
  <si>
    <t>0x00000ADE</t>
    <phoneticPr fontId="10"/>
  </si>
  <si>
    <t>0x00000AE0</t>
    <phoneticPr fontId="10"/>
  </si>
  <si>
    <t>0x00000AE2</t>
    <phoneticPr fontId="10"/>
  </si>
  <si>
    <t>0x00000AE4</t>
    <phoneticPr fontId="10"/>
  </si>
  <si>
    <t>0x00000AE6</t>
    <phoneticPr fontId="10"/>
  </si>
  <si>
    <t>0x00000AE8</t>
    <phoneticPr fontId="10"/>
  </si>
  <si>
    <t>0x00000AEA</t>
    <phoneticPr fontId="10"/>
  </si>
  <si>
    <t>0x00000AEC</t>
    <phoneticPr fontId="10"/>
  </si>
  <si>
    <t>0x00000AEE</t>
    <phoneticPr fontId="10"/>
  </si>
  <si>
    <t>0x00000AF0</t>
    <phoneticPr fontId="10"/>
  </si>
  <si>
    <t>0x00000AF2</t>
    <phoneticPr fontId="10"/>
  </si>
  <si>
    <t>0x00000AF4</t>
    <phoneticPr fontId="10"/>
  </si>
  <si>
    <t>0x00000AF6</t>
    <phoneticPr fontId="10"/>
  </si>
  <si>
    <t>0x00000AF8</t>
    <phoneticPr fontId="10"/>
  </si>
  <si>
    <t>0x00000AFA</t>
    <phoneticPr fontId="10"/>
  </si>
  <si>
    <t>0x00000AFC</t>
    <phoneticPr fontId="10"/>
  </si>
  <si>
    <t>0x00000AFE</t>
    <phoneticPr fontId="10"/>
  </si>
  <si>
    <t>0x00000B00</t>
    <phoneticPr fontId="10"/>
  </si>
  <si>
    <t>0x00000B02</t>
    <phoneticPr fontId="10"/>
  </si>
  <si>
    <t>0x00000B04</t>
    <phoneticPr fontId="10"/>
  </si>
  <si>
    <t>0x00000B06</t>
    <phoneticPr fontId="10"/>
  </si>
  <si>
    <t>0x00000B08</t>
    <phoneticPr fontId="10"/>
  </si>
  <si>
    <t>0x00000B0A</t>
    <phoneticPr fontId="10"/>
  </si>
  <si>
    <t>0x00000B0C</t>
    <phoneticPr fontId="10"/>
  </si>
  <si>
    <t>0x00000B0E</t>
    <phoneticPr fontId="10"/>
  </si>
  <si>
    <t>0x00000B10</t>
    <phoneticPr fontId="10"/>
  </si>
  <si>
    <t>0x00000B12</t>
    <phoneticPr fontId="10"/>
  </si>
  <si>
    <t>0x00000B14</t>
    <phoneticPr fontId="10"/>
  </si>
  <si>
    <t>0x00000B16</t>
    <phoneticPr fontId="10"/>
  </si>
  <si>
    <t>0x00000B18</t>
    <phoneticPr fontId="10"/>
  </si>
  <si>
    <t>0x00000B1A</t>
    <phoneticPr fontId="10"/>
  </si>
  <si>
    <t>0x00000B1C</t>
    <phoneticPr fontId="10"/>
  </si>
  <si>
    <t>0x00000B1E</t>
    <phoneticPr fontId="10"/>
  </si>
  <si>
    <t>0x00000B20</t>
    <phoneticPr fontId="10"/>
  </si>
  <si>
    <t>0x00000B22</t>
    <phoneticPr fontId="10"/>
  </si>
  <si>
    <t>0x00000B24</t>
    <phoneticPr fontId="10"/>
  </si>
  <si>
    <t>0x00000B26</t>
    <phoneticPr fontId="10"/>
  </si>
  <si>
    <t>0x00000B28</t>
    <phoneticPr fontId="10"/>
  </si>
  <si>
    <t>0x00000B2A</t>
    <phoneticPr fontId="10"/>
  </si>
  <si>
    <t>0x00000B2C</t>
    <phoneticPr fontId="10"/>
  </si>
  <si>
    <t>0x00000B2E</t>
    <phoneticPr fontId="10"/>
  </si>
  <si>
    <t>0x00000B30</t>
    <phoneticPr fontId="10"/>
  </si>
  <si>
    <t>0x00000B32</t>
    <phoneticPr fontId="10"/>
  </si>
  <si>
    <t>0x00000B34</t>
    <phoneticPr fontId="10"/>
  </si>
  <si>
    <t>0x00000B36</t>
    <phoneticPr fontId="10"/>
  </si>
  <si>
    <t>0x00000B38</t>
    <phoneticPr fontId="10"/>
  </si>
  <si>
    <t>0x00000B3A</t>
    <phoneticPr fontId="10"/>
  </si>
  <si>
    <t>0x00000B3C</t>
    <phoneticPr fontId="10"/>
  </si>
  <si>
    <t>0x00000B3E</t>
    <phoneticPr fontId="10"/>
  </si>
  <si>
    <t>0x00000B40</t>
    <phoneticPr fontId="10"/>
  </si>
  <si>
    <t>0x00000B42</t>
    <phoneticPr fontId="10"/>
  </si>
  <si>
    <t>0x00000B44</t>
    <phoneticPr fontId="10"/>
  </si>
  <si>
    <t>0x00000B46</t>
    <phoneticPr fontId="10"/>
  </si>
  <si>
    <t>0x00000B48</t>
    <phoneticPr fontId="10"/>
  </si>
  <si>
    <t>0x00000B4A</t>
    <phoneticPr fontId="10"/>
  </si>
  <si>
    <t>0x00000B4C</t>
    <phoneticPr fontId="10"/>
  </si>
  <si>
    <t>0x00000B4E</t>
    <phoneticPr fontId="10"/>
  </si>
  <si>
    <t>0x00000B50</t>
    <phoneticPr fontId="10"/>
  </si>
  <si>
    <t>0x00000B52</t>
    <phoneticPr fontId="10"/>
  </si>
  <si>
    <t>0x00000B54</t>
    <phoneticPr fontId="10"/>
  </si>
  <si>
    <t>0x00000B56</t>
    <phoneticPr fontId="10"/>
  </si>
  <si>
    <t>0x00000B58</t>
    <phoneticPr fontId="10"/>
  </si>
  <si>
    <t>0x00000B5A</t>
    <phoneticPr fontId="10"/>
  </si>
  <si>
    <t>0x00000B5C</t>
    <phoneticPr fontId="10"/>
  </si>
  <si>
    <t>0x00000B5E</t>
    <phoneticPr fontId="10"/>
  </si>
  <si>
    <t>0x00000B60</t>
    <phoneticPr fontId="10"/>
  </si>
  <si>
    <t>0x00000B62</t>
    <phoneticPr fontId="10"/>
  </si>
  <si>
    <t>0x00000B64</t>
    <phoneticPr fontId="10"/>
  </si>
  <si>
    <t>0x00000B66</t>
    <phoneticPr fontId="10"/>
  </si>
  <si>
    <t>0x00000B68</t>
    <phoneticPr fontId="10"/>
  </si>
  <si>
    <t>0x00000B6A</t>
    <phoneticPr fontId="10"/>
  </si>
  <si>
    <t>0x00000B6C</t>
    <phoneticPr fontId="10"/>
  </si>
  <si>
    <t>0x00000B6E</t>
    <phoneticPr fontId="10"/>
  </si>
  <si>
    <t>0x00000B70</t>
    <phoneticPr fontId="10"/>
  </si>
  <si>
    <t>0x00000B72</t>
    <phoneticPr fontId="10"/>
  </si>
  <si>
    <t>0x00000B74</t>
    <phoneticPr fontId="10"/>
  </si>
  <si>
    <t>0x00000B76</t>
    <phoneticPr fontId="10"/>
  </si>
  <si>
    <t>0x00000B78</t>
    <phoneticPr fontId="10"/>
  </si>
  <si>
    <t>0x00000B7A</t>
    <phoneticPr fontId="10"/>
  </si>
  <si>
    <t>0x00000B7C</t>
    <phoneticPr fontId="10"/>
  </si>
  <si>
    <t>0x00000B7E</t>
    <phoneticPr fontId="10"/>
  </si>
  <si>
    <t>0x00000B80</t>
    <phoneticPr fontId="10"/>
  </si>
  <si>
    <t>0x00000B82</t>
    <phoneticPr fontId="10"/>
  </si>
  <si>
    <t>0x00000B84</t>
    <phoneticPr fontId="10"/>
  </si>
  <si>
    <t>0x00000B86</t>
    <phoneticPr fontId="10"/>
  </si>
  <si>
    <t>0x00000B88</t>
    <phoneticPr fontId="10"/>
  </si>
  <si>
    <t>0x00000B8A</t>
    <phoneticPr fontId="10"/>
  </si>
  <si>
    <t>0x00000B8C</t>
    <phoneticPr fontId="10"/>
  </si>
  <si>
    <t>0x00000B8E</t>
    <phoneticPr fontId="10"/>
  </si>
  <si>
    <t>0x00000B90</t>
    <phoneticPr fontId="10"/>
  </si>
  <si>
    <t>0x00000B92</t>
    <phoneticPr fontId="10"/>
  </si>
  <si>
    <t>0x00000B94</t>
    <phoneticPr fontId="10"/>
  </si>
  <si>
    <t>0x00000B96</t>
    <phoneticPr fontId="10"/>
  </si>
  <si>
    <t>0x00000B98</t>
    <phoneticPr fontId="10"/>
  </si>
  <si>
    <t>0x00000B9A</t>
    <phoneticPr fontId="10"/>
  </si>
  <si>
    <t>0x00000B9C</t>
    <phoneticPr fontId="10"/>
  </si>
  <si>
    <t>0x00000B9E</t>
    <phoneticPr fontId="10"/>
  </si>
  <si>
    <t>0x00000BA0</t>
    <phoneticPr fontId="10"/>
  </si>
  <si>
    <t>0x00000BA2</t>
    <phoneticPr fontId="10"/>
  </si>
  <si>
    <t>0x00000BA4</t>
    <phoneticPr fontId="10"/>
  </si>
  <si>
    <t>0x00000BA6</t>
    <phoneticPr fontId="10"/>
  </si>
  <si>
    <t>0x00000BA8</t>
    <phoneticPr fontId="10"/>
  </si>
  <si>
    <t>0x00000BAA</t>
    <phoneticPr fontId="10"/>
  </si>
  <si>
    <t>0x00000BAC</t>
    <phoneticPr fontId="10"/>
  </si>
  <si>
    <t>0x00000BAE</t>
    <phoneticPr fontId="10"/>
  </si>
  <si>
    <t>0x00000BB0</t>
    <phoneticPr fontId="10"/>
  </si>
  <si>
    <t>0x00000BB2</t>
    <phoneticPr fontId="10"/>
  </si>
  <si>
    <t>0x00000BB4</t>
    <phoneticPr fontId="10"/>
  </si>
  <si>
    <t>0x00000BB6</t>
    <phoneticPr fontId="10"/>
  </si>
  <si>
    <t>0x00000BB8</t>
    <phoneticPr fontId="10"/>
  </si>
  <si>
    <t>0x00000BBA</t>
    <phoneticPr fontId="10"/>
  </si>
  <si>
    <t>0x00000BBC</t>
    <phoneticPr fontId="10"/>
  </si>
  <si>
    <t>0x00000BBE</t>
    <phoneticPr fontId="10"/>
  </si>
  <si>
    <t>0x00000BC0</t>
    <phoneticPr fontId="10"/>
  </si>
  <si>
    <t>0x00000BC2</t>
    <phoneticPr fontId="10"/>
  </si>
  <si>
    <t>0x00000BC4</t>
    <phoneticPr fontId="10"/>
  </si>
  <si>
    <t>0x00000BC6</t>
    <phoneticPr fontId="10"/>
  </si>
  <si>
    <t>0x00000BC8</t>
    <phoneticPr fontId="10"/>
  </si>
  <si>
    <t>0x00000BCA</t>
    <phoneticPr fontId="10"/>
  </si>
  <si>
    <t>0x00000BCC</t>
    <phoneticPr fontId="10"/>
  </si>
  <si>
    <t>0x00000BCE</t>
    <phoneticPr fontId="10"/>
  </si>
  <si>
    <t>0x00000BD0</t>
    <phoneticPr fontId="10"/>
  </si>
  <si>
    <t>0x00000BD2</t>
    <phoneticPr fontId="10"/>
  </si>
  <si>
    <t>0x00000BD4</t>
    <phoneticPr fontId="10"/>
  </si>
  <si>
    <t>0x00000BD6</t>
    <phoneticPr fontId="10"/>
  </si>
  <si>
    <t>0x00000BD8</t>
    <phoneticPr fontId="10"/>
  </si>
  <si>
    <t>0x00000BDA</t>
    <phoneticPr fontId="10"/>
  </si>
  <si>
    <t>0x00000BDC</t>
    <phoneticPr fontId="10"/>
  </si>
  <si>
    <t>0x00000BDE</t>
    <phoneticPr fontId="10"/>
  </si>
  <si>
    <t>0x00000BE0</t>
    <phoneticPr fontId="10"/>
  </si>
  <si>
    <t>0x00000BE2</t>
    <phoneticPr fontId="10"/>
  </si>
  <si>
    <t>0x00000BE4</t>
    <phoneticPr fontId="10"/>
  </si>
  <si>
    <t>0x00000BE6</t>
    <phoneticPr fontId="10"/>
  </si>
  <si>
    <t>0x00000BE8</t>
    <phoneticPr fontId="10"/>
  </si>
  <si>
    <t>0x00000BEA</t>
    <phoneticPr fontId="10"/>
  </si>
  <si>
    <t>0x00000BEC</t>
    <phoneticPr fontId="10"/>
  </si>
  <si>
    <t>0x00000BEE</t>
    <phoneticPr fontId="10"/>
  </si>
  <si>
    <t>0x00000BF0</t>
    <phoneticPr fontId="10"/>
  </si>
  <si>
    <t>0x00000BF2</t>
    <phoneticPr fontId="10"/>
  </si>
  <si>
    <t>0x00000BF4</t>
    <phoneticPr fontId="10"/>
  </si>
  <si>
    <t>0x00000BF6</t>
    <phoneticPr fontId="10"/>
  </si>
  <si>
    <t>0x00000BF8</t>
    <phoneticPr fontId="10"/>
  </si>
  <si>
    <t>0x00000BFA</t>
    <phoneticPr fontId="10"/>
  </si>
  <si>
    <t>0x00000BFC</t>
    <phoneticPr fontId="10"/>
  </si>
  <si>
    <t>0x00000BFE</t>
    <phoneticPr fontId="10"/>
  </si>
  <si>
    <t>0x00000C00</t>
    <phoneticPr fontId="10"/>
  </si>
  <si>
    <t>0x00000C02</t>
    <phoneticPr fontId="10"/>
  </si>
  <si>
    <t>0x00000C04</t>
    <phoneticPr fontId="10"/>
  </si>
  <si>
    <t>0x00000C06</t>
    <phoneticPr fontId="10"/>
  </si>
  <si>
    <t>0x00000C08</t>
    <phoneticPr fontId="10"/>
  </si>
  <si>
    <t>0x00000C0A</t>
    <phoneticPr fontId="10"/>
  </si>
  <si>
    <t>0x00000C0C</t>
    <phoneticPr fontId="10"/>
  </si>
  <si>
    <t>0x00000C0E</t>
    <phoneticPr fontId="10"/>
  </si>
  <si>
    <t>0x00000C10</t>
    <phoneticPr fontId="10"/>
  </si>
  <si>
    <t>0x00000C12</t>
    <phoneticPr fontId="10"/>
  </si>
  <si>
    <t>0x00000C14</t>
    <phoneticPr fontId="10"/>
  </si>
  <si>
    <t>0x00000C16</t>
    <phoneticPr fontId="10"/>
  </si>
  <si>
    <t>0x00000C18</t>
    <phoneticPr fontId="10"/>
  </si>
  <si>
    <t>0x00000C1A</t>
    <phoneticPr fontId="10"/>
  </si>
  <si>
    <t>0x00000C1C</t>
    <phoneticPr fontId="10"/>
  </si>
  <si>
    <t>0x00000C1E</t>
    <phoneticPr fontId="10"/>
  </si>
  <si>
    <t>0x00000C20</t>
    <phoneticPr fontId="10"/>
  </si>
  <si>
    <t>0x00000C22</t>
    <phoneticPr fontId="10"/>
  </si>
  <si>
    <t>0x00000C24</t>
    <phoneticPr fontId="10"/>
  </si>
  <si>
    <t>0x00000C26</t>
    <phoneticPr fontId="10"/>
  </si>
  <si>
    <t>0x00000C28</t>
    <phoneticPr fontId="10"/>
  </si>
  <si>
    <t>0x00000C2A</t>
    <phoneticPr fontId="10"/>
  </si>
  <si>
    <t>0x00000C2C</t>
    <phoneticPr fontId="10"/>
  </si>
  <si>
    <t>0x00000C2E</t>
    <phoneticPr fontId="10"/>
  </si>
  <si>
    <t>0x00000C30</t>
    <phoneticPr fontId="10"/>
  </si>
  <si>
    <t>0x00000C32</t>
    <phoneticPr fontId="10"/>
  </si>
  <si>
    <t>0x00000C34</t>
    <phoneticPr fontId="10"/>
  </si>
  <si>
    <t>0x00000C36</t>
    <phoneticPr fontId="10"/>
  </si>
  <si>
    <t>0x00000C38</t>
    <phoneticPr fontId="10"/>
  </si>
  <si>
    <t>0x00000C3A</t>
    <phoneticPr fontId="10"/>
  </si>
  <si>
    <t>0x00000C3C</t>
    <phoneticPr fontId="10"/>
  </si>
  <si>
    <t>0x00000C3E</t>
    <phoneticPr fontId="10"/>
  </si>
  <si>
    <t>0x00000C40</t>
    <phoneticPr fontId="10"/>
  </si>
  <si>
    <t>0x00000C42</t>
    <phoneticPr fontId="10"/>
  </si>
  <si>
    <t>0x00000C44</t>
    <phoneticPr fontId="10"/>
  </si>
  <si>
    <t>0x00000C46</t>
    <phoneticPr fontId="10"/>
  </si>
  <si>
    <t>0x00000C48</t>
    <phoneticPr fontId="10"/>
  </si>
  <si>
    <t>0x00000C4A</t>
    <phoneticPr fontId="10"/>
  </si>
  <si>
    <t>0x00000C4C</t>
    <phoneticPr fontId="10"/>
  </si>
  <si>
    <t>0x00000C4E</t>
    <phoneticPr fontId="10"/>
  </si>
  <si>
    <t>0x00000C50</t>
    <phoneticPr fontId="10"/>
  </si>
  <si>
    <t>0x00000C52</t>
    <phoneticPr fontId="10"/>
  </si>
  <si>
    <t>0x00000C54</t>
    <phoneticPr fontId="10"/>
  </si>
  <si>
    <t>0x00000C56</t>
    <phoneticPr fontId="10"/>
  </si>
  <si>
    <t>0x00000C58</t>
    <phoneticPr fontId="10"/>
  </si>
  <si>
    <t>0x00000C5A</t>
    <phoneticPr fontId="10"/>
  </si>
  <si>
    <t>0x00000C5C</t>
    <phoneticPr fontId="10"/>
  </si>
  <si>
    <t>0x00000C5E</t>
    <phoneticPr fontId="10"/>
  </si>
  <si>
    <t>0x00000C60</t>
    <phoneticPr fontId="10"/>
  </si>
  <si>
    <t>0x00000C62</t>
    <phoneticPr fontId="10"/>
  </si>
  <si>
    <t>0x00000C64</t>
    <phoneticPr fontId="10"/>
  </si>
  <si>
    <t>0x00000C66</t>
    <phoneticPr fontId="10"/>
  </si>
  <si>
    <t>0x00000C68</t>
    <phoneticPr fontId="10"/>
  </si>
  <si>
    <t>0x00000C6A</t>
    <phoneticPr fontId="10"/>
  </si>
  <si>
    <t>0x00000C6C</t>
    <phoneticPr fontId="10"/>
  </si>
  <si>
    <t>0x00000C6E</t>
    <phoneticPr fontId="10"/>
  </si>
  <si>
    <t>0x00000C70</t>
    <phoneticPr fontId="10"/>
  </si>
  <si>
    <t>0x00000C72</t>
    <phoneticPr fontId="10"/>
  </si>
  <si>
    <t>0x00000C74</t>
    <phoneticPr fontId="10"/>
  </si>
  <si>
    <t>0x00000C76</t>
    <phoneticPr fontId="10"/>
  </si>
  <si>
    <t>0x00000C78</t>
    <phoneticPr fontId="10"/>
  </si>
  <si>
    <t>0x00000C7A</t>
    <phoneticPr fontId="10"/>
  </si>
  <si>
    <t>0x00000C7C</t>
    <phoneticPr fontId="10"/>
  </si>
  <si>
    <t>0x00000C7E</t>
    <phoneticPr fontId="10"/>
  </si>
  <si>
    <t>0x00000C80</t>
    <phoneticPr fontId="10"/>
  </si>
  <si>
    <t>0x00000C82</t>
    <phoneticPr fontId="10"/>
  </si>
  <si>
    <t>0x00000C84</t>
    <phoneticPr fontId="10"/>
  </si>
  <si>
    <t>0x00000C86</t>
    <phoneticPr fontId="10"/>
  </si>
  <si>
    <t>0x00000C88</t>
    <phoneticPr fontId="10"/>
  </si>
  <si>
    <t>0x00000C8A</t>
    <phoneticPr fontId="10"/>
  </si>
  <si>
    <t>0x00000C8C</t>
    <phoneticPr fontId="10"/>
  </si>
  <si>
    <t>0x00000C8E</t>
    <phoneticPr fontId="10"/>
  </si>
  <si>
    <t>0x00000C90</t>
    <phoneticPr fontId="10"/>
  </si>
  <si>
    <t>0x00000C92</t>
    <phoneticPr fontId="10"/>
  </si>
  <si>
    <t>0x00000C94</t>
    <phoneticPr fontId="10"/>
  </si>
  <si>
    <t>0x00000C96</t>
    <phoneticPr fontId="10"/>
  </si>
  <si>
    <t>0x00000C98</t>
    <phoneticPr fontId="10"/>
  </si>
  <si>
    <t>0x00000C9A</t>
    <phoneticPr fontId="10"/>
  </si>
  <si>
    <t>0x00000C9C</t>
    <phoneticPr fontId="10"/>
  </si>
  <si>
    <t>0x00000C9E</t>
    <phoneticPr fontId="10"/>
  </si>
  <si>
    <t>0x00000CA0</t>
    <phoneticPr fontId="10"/>
  </si>
  <si>
    <t>0x00000CA2</t>
    <phoneticPr fontId="10"/>
  </si>
  <si>
    <t>0x00000CA4</t>
    <phoneticPr fontId="10"/>
  </si>
  <si>
    <t>0x00000CA6</t>
    <phoneticPr fontId="10"/>
  </si>
  <si>
    <t>0x00000CA8</t>
    <phoneticPr fontId="10"/>
  </si>
  <si>
    <t>0x00000CAA</t>
    <phoneticPr fontId="10"/>
  </si>
  <si>
    <t>0x00000CAC</t>
    <phoneticPr fontId="10"/>
  </si>
  <si>
    <t>0x00000CAE</t>
    <phoneticPr fontId="10"/>
  </si>
  <si>
    <t>0x00000CB0</t>
    <phoneticPr fontId="10"/>
  </si>
  <si>
    <t>0x00000CB2</t>
    <phoneticPr fontId="10"/>
  </si>
  <si>
    <t>0x00000CB4</t>
    <phoneticPr fontId="10"/>
  </si>
  <si>
    <t>0x00000CB6</t>
    <phoneticPr fontId="10"/>
  </si>
  <si>
    <t>0x00000CB8</t>
    <phoneticPr fontId="10"/>
  </si>
  <si>
    <t>0x00000CBA</t>
    <phoneticPr fontId="10"/>
  </si>
  <si>
    <t>0x00000CBC</t>
    <phoneticPr fontId="10"/>
  </si>
  <si>
    <t>0x00000CBE</t>
    <phoneticPr fontId="10"/>
  </si>
  <si>
    <t>0x00000CC0</t>
    <phoneticPr fontId="10"/>
  </si>
  <si>
    <t>0x00000CC2</t>
    <phoneticPr fontId="10"/>
  </si>
  <si>
    <t>0x00000CC4</t>
    <phoneticPr fontId="10"/>
  </si>
  <si>
    <t>0x00000CC6</t>
    <phoneticPr fontId="10"/>
  </si>
  <si>
    <t>0x00000CC8</t>
    <phoneticPr fontId="10"/>
  </si>
  <si>
    <t>0x00000CCA</t>
    <phoneticPr fontId="10"/>
  </si>
  <si>
    <t>0x00000CCC</t>
    <phoneticPr fontId="10"/>
  </si>
  <si>
    <t>0x00000CCE</t>
    <phoneticPr fontId="10"/>
  </si>
  <si>
    <t>0x00000CD0</t>
    <phoneticPr fontId="10"/>
  </si>
  <si>
    <t>0x00000CD2</t>
    <phoneticPr fontId="10"/>
  </si>
  <si>
    <t>0x00000CD4</t>
    <phoneticPr fontId="10"/>
  </si>
  <si>
    <t>0x00000CD6</t>
    <phoneticPr fontId="10"/>
  </si>
  <si>
    <t>0x00000CD8</t>
    <phoneticPr fontId="10"/>
  </si>
  <si>
    <t>0x00000CDA</t>
    <phoneticPr fontId="10"/>
  </si>
  <si>
    <t>0x00000CDC</t>
    <phoneticPr fontId="10"/>
  </si>
  <si>
    <t>0x00000CDE</t>
    <phoneticPr fontId="10"/>
  </si>
  <si>
    <t>0x00000CE0</t>
    <phoneticPr fontId="10"/>
  </si>
  <si>
    <t>0x00000CE2</t>
    <phoneticPr fontId="10"/>
  </si>
  <si>
    <t>0x00000CE4</t>
    <phoneticPr fontId="10"/>
  </si>
  <si>
    <t>0x00000CE6</t>
    <phoneticPr fontId="10"/>
  </si>
  <si>
    <t>0x00000CE8</t>
    <phoneticPr fontId="10"/>
  </si>
  <si>
    <t>0x00000CEA</t>
    <phoneticPr fontId="10"/>
  </si>
  <si>
    <t>0x00000CEC</t>
    <phoneticPr fontId="10"/>
  </si>
  <si>
    <t>0x00000CEE</t>
    <phoneticPr fontId="10"/>
  </si>
  <si>
    <t>0x00000CF0</t>
    <phoneticPr fontId="10"/>
  </si>
  <si>
    <t>0x00000CF2</t>
    <phoneticPr fontId="10"/>
  </si>
  <si>
    <t>0x00000CF4</t>
    <phoneticPr fontId="10"/>
  </si>
  <si>
    <t>0x00000CF6</t>
    <phoneticPr fontId="10"/>
  </si>
  <si>
    <t>0x00000CF8</t>
    <phoneticPr fontId="10"/>
  </si>
  <si>
    <t>0x00000CFA</t>
    <phoneticPr fontId="10"/>
  </si>
  <si>
    <t>0x00000CFC</t>
    <phoneticPr fontId="10"/>
  </si>
  <si>
    <t>0x00000CFE</t>
    <phoneticPr fontId="10"/>
  </si>
  <si>
    <t>0x00000D00</t>
    <phoneticPr fontId="10"/>
  </si>
  <si>
    <t>0x00000D02</t>
    <phoneticPr fontId="10"/>
  </si>
  <si>
    <t>0x00000D04</t>
    <phoneticPr fontId="10"/>
  </si>
  <si>
    <t>0x00000D06</t>
    <phoneticPr fontId="10"/>
  </si>
  <si>
    <t>0x00000D08</t>
    <phoneticPr fontId="10"/>
  </si>
  <si>
    <t>0x00000D0A</t>
    <phoneticPr fontId="10"/>
  </si>
  <si>
    <t>0x00000D0C</t>
    <phoneticPr fontId="10"/>
  </si>
  <si>
    <t>0x00000D0E</t>
    <phoneticPr fontId="10"/>
  </si>
  <si>
    <t>0x00000D10</t>
    <phoneticPr fontId="10"/>
  </si>
  <si>
    <t>0x00000D12</t>
    <phoneticPr fontId="10"/>
  </si>
  <si>
    <t>0x00000D14</t>
    <phoneticPr fontId="10"/>
  </si>
  <si>
    <t>0x00000D16</t>
    <phoneticPr fontId="10"/>
  </si>
  <si>
    <t>0x00000D18</t>
    <phoneticPr fontId="10"/>
  </si>
  <si>
    <t>0x00000D1A</t>
    <phoneticPr fontId="10"/>
  </si>
  <si>
    <t>0x00000D1C</t>
    <phoneticPr fontId="10"/>
  </si>
  <si>
    <t>0x00000D1E</t>
    <phoneticPr fontId="10"/>
  </si>
  <si>
    <t>0x00000D20</t>
    <phoneticPr fontId="10"/>
  </si>
  <si>
    <t>0x00000D22</t>
    <phoneticPr fontId="10"/>
  </si>
  <si>
    <t>0x00000D24</t>
    <phoneticPr fontId="10"/>
  </si>
  <si>
    <t>0x00000D26</t>
    <phoneticPr fontId="10"/>
  </si>
  <si>
    <t>0x00000D28</t>
    <phoneticPr fontId="10"/>
  </si>
  <si>
    <t>0x00000D2A</t>
    <phoneticPr fontId="10"/>
  </si>
  <si>
    <t>0x00000D2C</t>
    <phoneticPr fontId="10"/>
  </si>
  <si>
    <t>0x00000D2E</t>
    <phoneticPr fontId="10"/>
  </si>
  <si>
    <t>0x00000D30</t>
    <phoneticPr fontId="10"/>
  </si>
  <si>
    <t>0x00000D32</t>
    <phoneticPr fontId="10"/>
  </si>
  <si>
    <t>0x00000D34</t>
    <phoneticPr fontId="10"/>
  </si>
  <si>
    <t>0x00000D36</t>
    <phoneticPr fontId="10"/>
  </si>
  <si>
    <t>0x00000D38</t>
    <phoneticPr fontId="10"/>
  </si>
  <si>
    <t>0x00000D3A</t>
    <phoneticPr fontId="10"/>
  </si>
  <si>
    <t>0x00000D3C</t>
    <phoneticPr fontId="10"/>
  </si>
  <si>
    <t>0x00000D3E</t>
    <phoneticPr fontId="10"/>
  </si>
  <si>
    <t>0x00000D40</t>
    <phoneticPr fontId="10"/>
  </si>
  <si>
    <t>0x00000D42</t>
    <phoneticPr fontId="10"/>
  </si>
  <si>
    <t>0x00000D44</t>
    <phoneticPr fontId="10"/>
  </si>
  <si>
    <t>0x00000D46</t>
    <phoneticPr fontId="10"/>
  </si>
  <si>
    <t>0x00000D48</t>
    <phoneticPr fontId="10"/>
  </si>
  <si>
    <t>0x00000D4A</t>
    <phoneticPr fontId="10"/>
  </si>
  <si>
    <t>0x00000D4C</t>
    <phoneticPr fontId="10"/>
  </si>
  <si>
    <t>0x00000D4E</t>
    <phoneticPr fontId="10"/>
  </si>
  <si>
    <t>0x00000D50</t>
    <phoneticPr fontId="10"/>
  </si>
  <si>
    <t>0x00000D52</t>
    <phoneticPr fontId="10"/>
  </si>
  <si>
    <t>0x00000D54</t>
    <phoneticPr fontId="10"/>
  </si>
  <si>
    <t>0x00000D56</t>
    <phoneticPr fontId="10"/>
  </si>
  <si>
    <t>0x00000D58</t>
    <phoneticPr fontId="10"/>
  </si>
  <si>
    <t>0x00000D5A</t>
    <phoneticPr fontId="10"/>
  </si>
  <si>
    <t>0x00000D5C</t>
    <phoneticPr fontId="10"/>
  </si>
  <si>
    <t>0x00000D5E</t>
    <phoneticPr fontId="10"/>
  </si>
  <si>
    <t>0x00000D60</t>
    <phoneticPr fontId="10"/>
  </si>
  <si>
    <t>0x00000D62</t>
    <phoneticPr fontId="10"/>
  </si>
  <si>
    <t>0x00000D64</t>
    <phoneticPr fontId="10"/>
  </si>
  <si>
    <t>0x00000D66</t>
    <phoneticPr fontId="10"/>
  </si>
  <si>
    <t>0x00000D68</t>
    <phoneticPr fontId="10"/>
  </si>
  <si>
    <t>0x00000D6A</t>
    <phoneticPr fontId="10"/>
  </si>
  <si>
    <t>0x00000D6C</t>
    <phoneticPr fontId="10"/>
  </si>
  <si>
    <t>0x00000D6E</t>
    <phoneticPr fontId="10"/>
  </si>
  <si>
    <t>0x00000D70</t>
    <phoneticPr fontId="10"/>
  </si>
  <si>
    <t>0x00000D72</t>
    <phoneticPr fontId="10"/>
  </si>
  <si>
    <t>0x00000D74</t>
    <phoneticPr fontId="10"/>
  </si>
  <si>
    <t>0x00000D76</t>
    <phoneticPr fontId="10"/>
  </si>
  <si>
    <t>0x00000D78</t>
    <phoneticPr fontId="10"/>
  </si>
  <si>
    <t>0x00000D7A</t>
    <phoneticPr fontId="10"/>
  </si>
  <si>
    <t>0x00000D7C</t>
    <phoneticPr fontId="10"/>
  </si>
  <si>
    <t>0x00000D7E</t>
    <phoneticPr fontId="10"/>
  </si>
  <si>
    <t>0x00000D80</t>
    <phoneticPr fontId="10"/>
  </si>
  <si>
    <t>0x00000D82</t>
    <phoneticPr fontId="10"/>
  </si>
  <si>
    <t>0x00000D84</t>
    <phoneticPr fontId="10"/>
  </si>
  <si>
    <t>0x00000D86</t>
    <phoneticPr fontId="10"/>
  </si>
  <si>
    <t>0x00000D88</t>
    <phoneticPr fontId="10"/>
  </si>
  <si>
    <t>0x00000D8A</t>
    <phoneticPr fontId="10"/>
  </si>
  <si>
    <t>0x00000D8C</t>
    <phoneticPr fontId="10"/>
  </si>
  <si>
    <t>0x00000D8E</t>
    <phoneticPr fontId="10"/>
  </si>
  <si>
    <t>0x00000D90</t>
    <phoneticPr fontId="10"/>
  </si>
  <si>
    <t>0x00000D92</t>
    <phoneticPr fontId="10"/>
  </si>
  <si>
    <t>0x00000D94</t>
    <phoneticPr fontId="10"/>
  </si>
  <si>
    <t>0x00000D96</t>
    <phoneticPr fontId="10"/>
  </si>
  <si>
    <t>0x00000D98</t>
    <phoneticPr fontId="10"/>
  </si>
  <si>
    <t>0x00000D9A</t>
    <phoneticPr fontId="10"/>
  </si>
  <si>
    <t>0x00000D9C</t>
    <phoneticPr fontId="10"/>
  </si>
  <si>
    <t>0x00000D9E</t>
    <phoneticPr fontId="10"/>
  </si>
  <si>
    <t>0x00000DA0</t>
    <phoneticPr fontId="10"/>
  </si>
  <si>
    <t>0x00000DA2</t>
    <phoneticPr fontId="10"/>
  </si>
  <si>
    <t>0x00000DA4</t>
    <phoneticPr fontId="10"/>
  </si>
  <si>
    <t>0x00000DA6</t>
    <phoneticPr fontId="10"/>
  </si>
  <si>
    <t>0x00000DA8</t>
    <phoneticPr fontId="10"/>
  </si>
  <si>
    <t>0x00000DAA</t>
    <phoneticPr fontId="10"/>
  </si>
  <si>
    <t>0x00000DAC</t>
    <phoneticPr fontId="10"/>
  </si>
  <si>
    <t>0x00000DAE</t>
    <phoneticPr fontId="10"/>
  </si>
  <si>
    <t>0x00000DB0</t>
    <phoneticPr fontId="10"/>
  </si>
  <si>
    <t>0x00000DB2</t>
    <phoneticPr fontId="10"/>
  </si>
  <si>
    <t>0x00000DB4</t>
    <phoneticPr fontId="10"/>
  </si>
  <si>
    <t>0x00000DB6</t>
    <phoneticPr fontId="10"/>
  </si>
  <si>
    <t>0x00000DB8</t>
    <phoneticPr fontId="10"/>
  </si>
  <si>
    <t>0x00000DBA</t>
    <phoneticPr fontId="10"/>
  </si>
  <si>
    <t>0x00000DBC</t>
    <phoneticPr fontId="10"/>
  </si>
  <si>
    <t>0x00000DBE</t>
    <phoneticPr fontId="10"/>
  </si>
  <si>
    <t>0x00000DC0</t>
    <phoneticPr fontId="10"/>
  </si>
  <si>
    <t>0x00000DC2</t>
    <phoneticPr fontId="10"/>
  </si>
  <si>
    <t>0x00000DC4</t>
    <phoneticPr fontId="10"/>
  </si>
  <si>
    <t>0x00000DC6</t>
    <phoneticPr fontId="10"/>
  </si>
  <si>
    <t>0x00000DC8</t>
    <phoneticPr fontId="10"/>
  </si>
  <si>
    <t>0x00000DCA</t>
    <phoneticPr fontId="10"/>
  </si>
  <si>
    <t>0x00000DCC</t>
    <phoneticPr fontId="10"/>
  </si>
  <si>
    <t>0x00000DCE</t>
    <phoneticPr fontId="10"/>
  </si>
  <si>
    <t>0x00000DD0</t>
    <phoneticPr fontId="10"/>
  </si>
  <si>
    <t>0x00000DD2</t>
    <phoneticPr fontId="10"/>
  </si>
  <si>
    <t>0x00000DD4</t>
    <phoneticPr fontId="10"/>
  </si>
  <si>
    <t>0x00000DD6</t>
    <phoneticPr fontId="10"/>
  </si>
  <si>
    <t>0x00000DD8</t>
    <phoneticPr fontId="10"/>
  </si>
  <si>
    <t>0x00000DDA</t>
    <phoneticPr fontId="10"/>
  </si>
  <si>
    <t>0x00000DDC</t>
    <phoneticPr fontId="10"/>
  </si>
  <si>
    <t>0x00000DDE</t>
    <phoneticPr fontId="10"/>
  </si>
  <si>
    <t>0x00000DE0</t>
    <phoneticPr fontId="10"/>
  </si>
  <si>
    <t>0x00000DE2</t>
    <phoneticPr fontId="10"/>
  </si>
  <si>
    <t>0x00000DE4</t>
    <phoneticPr fontId="10"/>
  </si>
  <si>
    <t>0x00000DE6</t>
    <phoneticPr fontId="10"/>
  </si>
  <si>
    <t>0x00000DE8</t>
    <phoneticPr fontId="10"/>
  </si>
  <si>
    <t>0x00000DEA</t>
    <phoneticPr fontId="10"/>
  </si>
  <si>
    <t>0x00000DEC</t>
    <phoneticPr fontId="10"/>
  </si>
  <si>
    <t>0x00000DEE</t>
    <phoneticPr fontId="10"/>
  </si>
  <si>
    <t>0x00000DF0</t>
    <phoneticPr fontId="10"/>
  </si>
  <si>
    <t>0x00000DF2</t>
    <phoneticPr fontId="10"/>
  </si>
  <si>
    <t>0x00000DF4</t>
    <phoneticPr fontId="10"/>
  </si>
  <si>
    <t>0x00000DF6</t>
    <phoneticPr fontId="10"/>
  </si>
  <si>
    <t>0x00000DF8</t>
    <phoneticPr fontId="10"/>
  </si>
  <si>
    <t>0x00000DFA</t>
    <phoneticPr fontId="10"/>
  </si>
  <si>
    <t>0x00000DFC</t>
    <phoneticPr fontId="10"/>
  </si>
  <si>
    <t>0x00000DFE</t>
    <phoneticPr fontId="10"/>
  </si>
  <si>
    <t>0x00000E00</t>
    <phoneticPr fontId="10"/>
  </si>
  <si>
    <t>0x00000E02</t>
    <phoneticPr fontId="10"/>
  </si>
  <si>
    <t>0x00000E04</t>
    <phoneticPr fontId="10"/>
  </si>
  <si>
    <t>0x00000E06</t>
    <phoneticPr fontId="10"/>
  </si>
  <si>
    <t>0x00000E08</t>
    <phoneticPr fontId="10"/>
  </si>
  <si>
    <t>0x00000E0A</t>
    <phoneticPr fontId="10"/>
  </si>
  <si>
    <t>0x00000E0C</t>
    <phoneticPr fontId="10"/>
  </si>
  <si>
    <t>0x00000E0E</t>
    <phoneticPr fontId="10"/>
  </si>
  <si>
    <t>0x00000E10</t>
    <phoneticPr fontId="10"/>
  </si>
  <si>
    <t>0x00000E12</t>
    <phoneticPr fontId="10"/>
  </si>
  <si>
    <t>0x00000E14</t>
    <phoneticPr fontId="10"/>
  </si>
  <si>
    <t>0x00000E16</t>
    <phoneticPr fontId="10"/>
  </si>
  <si>
    <t>0x00000E18</t>
    <phoneticPr fontId="10"/>
  </si>
  <si>
    <t>0x00000E1A</t>
    <phoneticPr fontId="10"/>
  </si>
  <si>
    <t>0x00000E1C</t>
    <phoneticPr fontId="10"/>
  </si>
  <si>
    <t>0x00000E1E</t>
    <phoneticPr fontId="10"/>
  </si>
  <si>
    <t>0x00000E20</t>
    <phoneticPr fontId="10"/>
  </si>
  <si>
    <t>0x00000E22</t>
    <phoneticPr fontId="10"/>
  </si>
  <si>
    <t>0x00000E24</t>
    <phoneticPr fontId="10"/>
  </si>
  <si>
    <t>0x00000E26</t>
    <phoneticPr fontId="10"/>
  </si>
  <si>
    <t>0x00000E28</t>
    <phoneticPr fontId="10"/>
  </si>
  <si>
    <t>0x00000E2A</t>
    <phoneticPr fontId="10"/>
  </si>
  <si>
    <t>0x00000E2C</t>
    <phoneticPr fontId="10"/>
  </si>
  <si>
    <t>0x00000E2E</t>
    <phoneticPr fontId="10"/>
  </si>
  <si>
    <t>0x00000E30</t>
    <phoneticPr fontId="10"/>
  </si>
  <si>
    <t>0x00000E32</t>
    <phoneticPr fontId="10"/>
  </si>
  <si>
    <t>0x00000E34</t>
    <phoneticPr fontId="10"/>
  </si>
  <si>
    <t>0x00000E36</t>
    <phoneticPr fontId="10"/>
  </si>
  <si>
    <t>0x00000E38</t>
    <phoneticPr fontId="10"/>
  </si>
  <si>
    <t>0x00000E3A</t>
    <phoneticPr fontId="10"/>
  </si>
  <si>
    <t>0x00000E3C</t>
    <phoneticPr fontId="10"/>
  </si>
  <si>
    <t>0x00000E3E</t>
    <phoneticPr fontId="10"/>
  </si>
  <si>
    <t>0x00000E40</t>
    <phoneticPr fontId="10"/>
  </si>
  <si>
    <t>0x00000E42</t>
    <phoneticPr fontId="10"/>
  </si>
  <si>
    <t>0x00000E44</t>
    <phoneticPr fontId="10"/>
  </si>
  <si>
    <t>0x00000E46</t>
    <phoneticPr fontId="10"/>
  </si>
  <si>
    <t>0x00000E48</t>
    <phoneticPr fontId="10"/>
  </si>
  <si>
    <t>0x00000E4A</t>
    <phoneticPr fontId="10"/>
  </si>
  <si>
    <t>0x00000E4C</t>
    <phoneticPr fontId="10"/>
  </si>
  <si>
    <t>0x00000E4E</t>
    <phoneticPr fontId="10"/>
  </si>
  <si>
    <t>0x00000E50</t>
    <phoneticPr fontId="10"/>
  </si>
  <si>
    <t>0x00000E52</t>
    <phoneticPr fontId="10"/>
  </si>
  <si>
    <t>0x00000E54</t>
    <phoneticPr fontId="10"/>
  </si>
  <si>
    <t>0x00000E56</t>
    <phoneticPr fontId="10"/>
  </si>
  <si>
    <t>0x00000E58</t>
    <phoneticPr fontId="10"/>
  </si>
  <si>
    <t>0x00000E5A</t>
    <phoneticPr fontId="10"/>
  </si>
  <si>
    <t>0x00000E5C</t>
    <phoneticPr fontId="10"/>
  </si>
  <si>
    <t>0x00000E5E</t>
    <phoneticPr fontId="10"/>
  </si>
  <si>
    <t>0x00000E60</t>
    <phoneticPr fontId="10"/>
  </si>
  <si>
    <t>0x00000E62</t>
    <phoneticPr fontId="10"/>
  </si>
  <si>
    <t>0x00000E64</t>
    <phoneticPr fontId="10"/>
  </si>
  <si>
    <t>0x00000E66</t>
    <phoneticPr fontId="10"/>
  </si>
  <si>
    <t>0x00000E68</t>
    <phoneticPr fontId="10"/>
  </si>
  <si>
    <t>0x00000E6A</t>
    <phoneticPr fontId="10"/>
  </si>
  <si>
    <t>0x00000E6C</t>
    <phoneticPr fontId="10"/>
  </si>
  <si>
    <t>0x00000E6E</t>
    <phoneticPr fontId="10"/>
  </si>
  <si>
    <t>0x00000E70</t>
    <phoneticPr fontId="10"/>
  </si>
  <si>
    <t>0x00000E72</t>
    <phoneticPr fontId="10"/>
  </si>
  <si>
    <t>0x00000E74</t>
    <phoneticPr fontId="10"/>
  </si>
  <si>
    <t>0x00000E76</t>
    <phoneticPr fontId="10"/>
  </si>
  <si>
    <t>0x00000E78</t>
    <phoneticPr fontId="10"/>
  </si>
  <si>
    <t>0x00000E7A</t>
    <phoneticPr fontId="10"/>
  </si>
  <si>
    <t>0x00000E7C</t>
    <phoneticPr fontId="10"/>
  </si>
  <si>
    <t>0x00000E7E</t>
    <phoneticPr fontId="10"/>
  </si>
  <si>
    <t>0x00000E80</t>
    <phoneticPr fontId="10"/>
  </si>
  <si>
    <t>0x00000E82</t>
    <phoneticPr fontId="10"/>
  </si>
  <si>
    <t>0x00000E84</t>
    <phoneticPr fontId="10"/>
  </si>
  <si>
    <t>0x00000E86</t>
    <phoneticPr fontId="10"/>
  </si>
  <si>
    <t>0x00000E88</t>
    <phoneticPr fontId="10"/>
  </si>
  <si>
    <t>0x00000E8A</t>
    <phoneticPr fontId="10"/>
  </si>
  <si>
    <t>0x00000E8C</t>
    <phoneticPr fontId="10"/>
  </si>
  <si>
    <t>0x00000E8E</t>
    <phoneticPr fontId="10"/>
  </si>
  <si>
    <t>0x00000E90</t>
    <phoneticPr fontId="10"/>
  </si>
  <si>
    <t>0x00000E92</t>
    <phoneticPr fontId="10"/>
  </si>
  <si>
    <t>0x00000E94</t>
    <phoneticPr fontId="10"/>
  </si>
  <si>
    <t>0x00000E96</t>
    <phoneticPr fontId="10"/>
  </si>
  <si>
    <t>0x00000E98</t>
    <phoneticPr fontId="10"/>
  </si>
  <si>
    <t>0x00000E9A</t>
    <phoneticPr fontId="10"/>
  </si>
  <si>
    <t>0x00000E9C</t>
    <phoneticPr fontId="10"/>
  </si>
  <si>
    <t>0x00000E9E</t>
    <phoneticPr fontId="10"/>
  </si>
  <si>
    <t>0x00000EA0</t>
    <phoneticPr fontId="10"/>
  </si>
  <si>
    <t>0x00000EA2</t>
    <phoneticPr fontId="10"/>
  </si>
  <si>
    <t>0x00000EA4</t>
    <phoneticPr fontId="10"/>
  </si>
  <si>
    <t>0x00000EA6</t>
    <phoneticPr fontId="10"/>
  </si>
  <si>
    <t>0x00000EA8</t>
    <phoneticPr fontId="10"/>
  </si>
  <si>
    <t>0x00000EAA</t>
    <phoneticPr fontId="10"/>
  </si>
  <si>
    <t>0x00000EAC</t>
    <phoneticPr fontId="10"/>
  </si>
  <si>
    <t>0x00000EAE</t>
    <phoneticPr fontId="10"/>
  </si>
  <si>
    <t>0x00000EB0</t>
    <phoneticPr fontId="10"/>
  </si>
  <si>
    <t>0x00000EB2</t>
    <phoneticPr fontId="10"/>
  </si>
  <si>
    <t>0x00000EB4</t>
    <phoneticPr fontId="10"/>
  </si>
  <si>
    <t>0x00000EB6</t>
    <phoneticPr fontId="10"/>
  </si>
  <si>
    <t>0x00000EB8</t>
    <phoneticPr fontId="10"/>
  </si>
  <si>
    <t>0x00000EBA</t>
    <phoneticPr fontId="10"/>
  </si>
  <si>
    <t>0x00000EBC</t>
    <phoneticPr fontId="10"/>
  </si>
  <si>
    <t>0x00000EBE</t>
    <phoneticPr fontId="10"/>
  </si>
  <si>
    <t>0x00000EC0</t>
    <phoneticPr fontId="10"/>
  </si>
  <si>
    <t>0x00000EC2</t>
    <phoneticPr fontId="10"/>
  </si>
  <si>
    <t>0x00000EC4</t>
    <phoneticPr fontId="10"/>
  </si>
  <si>
    <t>0x00000EC6</t>
    <phoneticPr fontId="10"/>
  </si>
  <si>
    <t>0x00000EC8</t>
    <phoneticPr fontId="10"/>
  </si>
  <si>
    <t>0x00000ECA</t>
    <phoneticPr fontId="10"/>
  </si>
  <si>
    <t>0x00000ECC</t>
    <phoneticPr fontId="10"/>
  </si>
  <si>
    <t>0x00000ECE</t>
    <phoneticPr fontId="10"/>
  </si>
  <si>
    <t>0x00000ED0</t>
    <phoneticPr fontId="10"/>
  </si>
  <si>
    <t>0x00000ED2</t>
    <phoneticPr fontId="10"/>
  </si>
  <si>
    <t>0x00000ED4</t>
    <phoneticPr fontId="10"/>
  </si>
  <si>
    <t>0x00000ED6</t>
    <phoneticPr fontId="10"/>
  </si>
  <si>
    <t>0x00000ED8</t>
    <phoneticPr fontId="10"/>
  </si>
  <si>
    <t>0x00000EDA</t>
    <phoneticPr fontId="10"/>
  </si>
  <si>
    <t>0x00000EDC</t>
    <phoneticPr fontId="10"/>
  </si>
  <si>
    <t>0x00000EDE</t>
    <phoneticPr fontId="10"/>
  </si>
  <si>
    <t>0x00000EE0</t>
    <phoneticPr fontId="10"/>
  </si>
  <si>
    <t>0x00000EE2</t>
    <phoneticPr fontId="10"/>
  </si>
  <si>
    <t>0x00000EE4</t>
    <phoneticPr fontId="10"/>
  </si>
  <si>
    <t>0x00000EE6</t>
    <phoneticPr fontId="10"/>
  </si>
  <si>
    <t>0x00000EE8</t>
    <phoneticPr fontId="10"/>
  </si>
  <si>
    <t>0x00000EEA</t>
    <phoneticPr fontId="10"/>
  </si>
  <si>
    <t>0x00000EEC</t>
    <phoneticPr fontId="10"/>
  </si>
  <si>
    <t>0x00000EEE</t>
    <phoneticPr fontId="10"/>
  </si>
  <si>
    <t>0x00000EF0</t>
    <phoneticPr fontId="10"/>
  </si>
  <si>
    <t>0x00000EF2</t>
    <phoneticPr fontId="10"/>
  </si>
  <si>
    <t>0x00000EF4</t>
    <phoneticPr fontId="10"/>
  </si>
  <si>
    <t>0x00000EF6</t>
    <phoneticPr fontId="10"/>
  </si>
  <si>
    <t>0x00000EF8</t>
    <phoneticPr fontId="10"/>
  </si>
  <si>
    <t>0x00000EFA</t>
    <phoneticPr fontId="10"/>
  </si>
  <si>
    <t>0x00000EFC</t>
    <phoneticPr fontId="10"/>
  </si>
  <si>
    <t>0x00000EFE</t>
    <phoneticPr fontId="10"/>
  </si>
  <si>
    <t>0x00000F00</t>
    <phoneticPr fontId="10"/>
  </si>
  <si>
    <t>0x00000F02</t>
    <phoneticPr fontId="10"/>
  </si>
  <si>
    <t>0x00000F04</t>
    <phoneticPr fontId="10"/>
  </si>
  <si>
    <t>0x00000F06</t>
    <phoneticPr fontId="10"/>
  </si>
  <si>
    <t>0x00000F08</t>
    <phoneticPr fontId="10"/>
  </si>
  <si>
    <t>0x00000F0A</t>
    <phoneticPr fontId="10"/>
  </si>
  <si>
    <t>0x00000F0C</t>
    <phoneticPr fontId="10"/>
  </si>
  <si>
    <t>0x00000F0E</t>
    <phoneticPr fontId="10"/>
  </si>
  <si>
    <t>0x00000F10</t>
    <phoneticPr fontId="10"/>
  </si>
  <si>
    <t>0x00000F12</t>
    <phoneticPr fontId="10"/>
  </si>
  <si>
    <t>0x00000F14</t>
    <phoneticPr fontId="10"/>
  </si>
  <si>
    <t>0x00000F16</t>
    <phoneticPr fontId="10"/>
  </si>
  <si>
    <t>0x00000F18</t>
    <phoneticPr fontId="10"/>
  </si>
  <si>
    <t>0x00000F1A</t>
    <phoneticPr fontId="10"/>
  </si>
  <si>
    <t>0x00000F1C</t>
    <phoneticPr fontId="10"/>
  </si>
  <si>
    <t>0x00000F1E</t>
    <phoneticPr fontId="10"/>
  </si>
  <si>
    <t>0x00000F20</t>
    <phoneticPr fontId="10"/>
  </si>
  <si>
    <t>0x00000F22</t>
    <phoneticPr fontId="10"/>
  </si>
  <si>
    <t>0x00000F24</t>
    <phoneticPr fontId="10"/>
  </si>
  <si>
    <t>0x00000F26</t>
    <phoneticPr fontId="10"/>
  </si>
  <si>
    <t>0x00000F28</t>
    <phoneticPr fontId="10"/>
  </si>
  <si>
    <t>0x00000F2A</t>
    <phoneticPr fontId="10"/>
  </si>
  <si>
    <t>0x00000F2C</t>
    <phoneticPr fontId="10"/>
  </si>
  <si>
    <t>0x00000F2E</t>
    <phoneticPr fontId="10"/>
  </si>
  <si>
    <t>0x00000F30</t>
    <phoneticPr fontId="10"/>
  </si>
  <si>
    <t>0x00000F32</t>
    <phoneticPr fontId="10"/>
  </si>
  <si>
    <t>0x00000F34</t>
    <phoneticPr fontId="10"/>
  </si>
  <si>
    <t>0x00000F36</t>
    <phoneticPr fontId="10"/>
  </si>
  <si>
    <t>0x00000F38</t>
    <phoneticPr fontId="10"/>
  </si>
  <si>
    <t>0x00000F3A</t>
    <phoneticPr fontId="10"/>
  </si>
  <si>
    <t>0x00000F3C</t>
    <phoneticPr fontId="10"/>
  </si>
  <si>
    <t>0x00000F3E</t>
    <phoneticPr fontId="10"/>
  </si>
  <si>
    <t>0x00000F40</t>
    <phoneticPr fontId="10"/>
  </si>
  <si>
    <t>0x00000F42</t>
    <phoneticPr fontId="10"/>
  </si>
  <si>
    <t>0x00000F44</t>
    <phoneticPr fontId="10"/>
  </si>
  <si>
    <t>0x00000F46</t>
    <phoneticPr fontId="10"/>
  </si>
  <si>
    <t>0x00000F48</t>
    <phoneticPr fontId="10"/>
  </si>
  <si>
    <t>0x00000F4A</t>
    <phoneticPr fontId="10"/>
  </si>
  <si>
    <t>0x00000F4C</t>
    <phoneticPr fontId="10"/>
  </si>
  <si>
    <t>0x00000F4E</t>
    <phoneticPr fontId="10"/>
  </si>
  <si>
    <t>0x00000F50</t>
    <phoneticPr fontId="10"/>
  </si>
  <si>
    <t>0x00000F52</t>
    <phoneticPr fontId="10"/>
  </si>
  <si>
    <t>0x00000F54</t>
    <phoneticPr fontId="10"/>
  </si>
  <si>
    <t>0x00000F56</t>
    <phoneticPr fontId="10"/>
  </si>
  <si>
    <t>0x00000F58</t>
    <phoneticPr fontId="10"/>
  </si>
  <si>
    <t>0x00000F5A</t>
    <phoneticPr fontId="10"/>
  </si>
  <si>
    <t>0x00000F5C</t>
    <phoneticPr fontId="10"/>
  </si>
  <si>
    <t>0x00000F5E</t>
    <phoneticPr fontId="10"/>
  </si>
  <si>
    <t>0x00000F60</t>
    <phoneticPr fontId="10"/>
  </si>
  <si>
    <t>0x00000F62</t>
    <phoneticPr fontId="10"/>
  </si>
  <si>
    <t>0x00000F64</t>
    <phoneticPr fontId="10"/>
  </si>
  <si>
    <t>0x00000F66</t>
    <phoneticPr fontId="10"/>
  </si>
  <si>
    <t>0x00000F68</t>
    <phoneticPr fontId="10"/>
  </si>
  <si>
    <t>0x00000F6A</t>
    <phoneticPr fontId="10"/>
  </si>
  <si>
    <t>0x00000F6C</t>
    <phoneticPr fontId="10"/>
  </si>
  <si>
    <t>0x00000F6E</t>
    <phoneticPr fontId="10"/>
  </si>
  <si>
    <t>0x00000F70</t>
    <phoneticPr fontId="10"/>
  </si>
  <si>
    <t>0x00000F72</t>
    <phoneticPr fontId="10"/>
  </si>
  <si>
    <t>0x00000F74</t>
    <phoneticPr fontId="10"/>
  </si>
  <si>
    <t>0x00000F76</t>
    <phoneticPr fontId="10"/>
  </si>
  <si>
    <t>0x00000F78</t>
    <phoneticPr fontId="10"/>
  </si>
  <si>
    <t>0x00000F7A</t>
    <phoneticPr fontId="10"/>
  </si>
  <si>
    <t>0x00000F7C</t>
    <phoneticPr fontId="10"/>
  </si>
  <si>
    <t>0x00000F7E</t>
    <phoneticPr fontId="10"/>
  </si>
  <si>
    <t>0x00000F80</t>
    <phoneticPr fontId="10"/>
  </si>
  <si>
    <t>0x00000F82</t>
    <phoneticPr fontId="10"/>
  </si>
  <si>
    <t>0x00000F84</t>
    <phoneticPr fontId="10"/>
  </si>
  <si>
    <t>0x00000F86</t>
    <phoneticPr fontId="10"/>
  </si>
  <si>
    <t>0x00000F88</t>
    <phoneticPr fontId="10"/>
  </si>
  <si>
    <t>0x00000F8A</t>
    <phoneticPr fontId="10"/>
  </si>
  <si>
    <t>0x00000F8C</t>
    <phoneticPr fontId="10"/>
  </si>
  <si>
    <t>0x00000F8E</t>
    <phoneticPr fontId="10"/>
  </si>
  <si>
    <t>0x00000F90</t>
    <phoneticPr fontId="10"/>
  </si>
  <si>
    <t>0x00000F92</t>
    <phoneticPr fontId="10"/>
  </si>
  <si>
    <t>0x00000F94</t>
    <phoneticPr fontId="10"/>
  </si>
  <si>
    <t>0x00000F96</t>
    <phoneticPr fontId="10"/>
  </si>
  <si>
    <t>0x00000F98</t>
    <phoneticPr fontId="10"/>
  </si>
  <si>
    <t>0x00000F9A</t>
    <phoneticPr fontId="10"/>
  </si>
  <si>
    <t>0x00000F9C</t>
    <phoneticPr fontId="10"/>
  </si>
  <si>
    <t>0x00000F9E</t>
    <phoneticPr fontId="10"/>
  </si>
  <si>
    <t>0x00000FA0</t>
    <phoneticPr fontId="10"/>
  </si>
  <si>
    <t>0x00000FA2</t>
    <phoneticPr fontId="10"/>
  </si>
  <si>
    <t>0x00000FA4</t>
    <phoneticPr fontId="10"/>
  </si>
  <si>
    <t>0x00000FA6</t>
    <phoneticPr fontId="10"/>
  </si>
  <si>
    <t>0x00000FA8</t>
    <phoneticPr fontId="10"/>
  </si>
  <si>
    <t>0x00000FAA</t>
    <phoneticPr fontId="10"/>
  </si>
  <si>
    <t>0x00000FAC</t>
    <phoneticPr fontId="10"/>
  </si>
  <si>
    <t>0x00000FAE</t>
    <phoneticPr fontId="10"/>
  </si>
  <si>
    <t>0x00000FB0</t>
    <phoneticPr fontId="10"/>
  </si>
  <si>
    <t>0x00000FB2</t>
    <phoneticPr fontId="10"/>
  </si>
  <si>
    <t>0x00000FB4</t>
    <phoneticPr fontId="10"/>
  </si>
  <si>
    <t>0x00000FB6</t>
    <phoneticPr fontId="10"/>
  </si>
  <si>
    <t>0x00000FB8</t>
    <phoneticPr fontId="10"/>
  </si>
  <si>
    <t>0x00000FBA</t>
    <phoneticPr fontId="10"/>
  </si>
  <si>
    <t>0x00000FBC</t>
    <phoneticPr fontId="10"/>
  </si>
  <si>
    <t>0x00000FBE</t>
    <phoneticPr fontId="10"/>
  </si>
  <si>
    <t>0x00000FC0</t>
    <phoneticPr fontId="10"/>
  </si>
  <si>
    <t>0x00000FC2</t>
    <phoneticPr fontId="10"/>
  </si>
  <si>
    <t>0x00000FC4</t>
    <phoneticPr fontId="10"/>
  </si>
  <si>
    <t>0x00000FC6</t>
    <phoneticPr fontId="10"/>
  </si>
  <si>
    <t>0x00000FC8</t>
    <phoneticPr fontId="10"/>
  </si>
  <si>
    <t>0x00000FCA</t>
    <phoneticPr fontId="10"/>
  </si>
  <si>
    <t>0x00000FCC</t>
    <phoneticPr fontId="10"/>
  </si>
  <si>
    <t>0x00000FCE</t>
    <phoneticPr fontId="10"/>
  </si>
  <si>
    <t>0x00000FD0</t>
    <phoneticPr fontId="10"/>
  </si>
  <si>
    <t>0x00000FD2</t>
    <phoneticPr fontId="10"/>
  </si>
  <si>
    <t>0x00000FD4</t>
    <phoneticPr fontId="10"/>
  </si>
  <si>
    <t>0x00000FD6</t>
    <phoneticPr fontId="10"/>
  </si>
  <si>
    <t>0x00000FD8</t>
    <phoneticPr fontId="10"/>
  </si>
  <si>
    <t>0x00000FDA</t>
    <phoneticPr fontId="10"/>
  </si>
  <si>
    <t>0x00000FDC</t>
    <phoneticPr fontId="10"/>
  </si>
  <si>
    <t>0x00000FDE</t>
    <phoneticPr fontId="10"/>
  </si>
  <si>
    <t>0x00000FE0</t>
    <phoneticPr fontId="10"/>
  </si>
  <si>
    <t>0x00000FE2</t>
    <phoneticPr fontId="10"/>
  </si>
  <si>
    <t>0x00000FE4</t>
    <phoneticPr fontId="10"/>
  </si>
  <si>
    <t>0x00000FE6</t>
    <phoneticPr fontId="10"/>
  </si>
  <si>
    <t>0x00000FE8</t>
    <phoneticPr fontId="10"/>
  </si>
  <si>
    <t>0x00000FEA</t>
    <phoneticPr fontId="10"/>
  </si>
  <si>
    <t>0x00000FEC</t>
    <phoneticPr fontId="10"/>
  </si>
  <si>
    <t>0x00000FEE</t>
    <phoneticPr fontId="10"/>
  </si>
  <si>
    <t>0x00000FF0</t>
    <phoneticPr fontId="10"/>
  </si>
  <si>
    <t>0x00000FF2</t>
    <phoneticPr fontId="10"/>
  </si>
  <si>
    <t>0x00000FF4</t>
    <phoneticPr fontId="10"/>
  </si>
  <si>
    <t>0x00000FF6</t>
    <phoneticPr fontId="10"/>
  </si>
  <si>
    <t>0x00000FF8</t>
    <phoneticPr fontId="10"/>
  </si>
  <si>
    <t>0x00000FFA</t>
    <phoneticPr fontId="10"/>
  </si>
  <si>
    <t>0x00000FFC</t>
    <phoneticPr fontId="10"/>
  </si>
  <si>
    <t>0x00000FFE</t>
    <phoneticPr fontId="10"/>
  </si>
  <si>
    <t>0x00001000</t>
    <phoneticPr fontId="10"/>
  </si>
  <si>
    <t>0x00001002</t>
    <phoneticPr fontId="10"/>
  </si>
  <si>
    <t>0x00001004</t>
    <phoneticPr fontId="10"/>
  </si>
  <si>
    <t>0x00001006</t>
    <phoneticPr fontId="10"/>
  </si>
  <si>
    <t>0x00001008</t>
    <phoneticPr fontId="10"/>
  </si>
  <si>
    <t>0x0000100A</t>
    <phoneticPr fontId="10"/>
  </si>
  <si>
    <t>0x0000100C</t>
    <phoneticPr fontId="10"/>
  </si>
  <si>
    <t>0x0000100E</t>
    <phoneticPr fontId="10"/>
  </si>
  <si>
    <t>0x00001010</t>
    <phoneticPr fontId="10"/>
  </si>
  <si>
    <t>0x00001012</t>
    <phoneticPr fontId="10"/>
  </si>
  <si>
    <t>0x00001014</t>
    <phoneticPr fontId="10"/>
  </si>
  <si>
    <t>0x00001016</t>
    <phoneticPr fontId="10"/>
  </si>
  <si>
    <t>0x00001018</t>
    <phoneticPr fontId="10"/>
  </si>
  <si>
    <t>0x0000101A</t>
    <phoneticPr fontId="10"/>
  </si>
  <si>
    <t>0x0000101C</t>
    <phoneticPr fontId="10"/>
  </si>
  <si>
    <t>0x0000101E</t>
    <phoneticPr fontId="10"/>
  </si>
  <si>
    <t>0x00001020</t>
    <phoneticPr fontId="10"/>
  </si>
  <si>
    <t>0x00001022</t>
    <phoneticPr fontId="10"/>
  </si>
  <si>
    <t>0x00001024</t>
    <phoneticPr fontId="10"/>
  </si>
  <si>
    <t>0x00001026</t>
    <phoneticPr fontId="10"/>
  </si>
  <si>
    <t>0x00001028</t>
    <phoneticPr fontId="10"/>
  </si>
  <si>
    <t>0x0000102A</t>
    <phoneticPr fontId="10"/>
  </si>
  <si>
    <t>0x0000102C</t>
    <phoneticPr fontId="10"/>
  </si>
  <si>
    <t>0x0000102E</t>
    <phoneticPr fontId="10"/>
  </si>
  <si>
    <t>0x00001030</t>
    <phoneticPr fontId="10"/>
  </si>
  <si>
    <t>0x00001032</t>
    <phoneticPr fontId="10"/>
  </si>
  <si>
    <t>0x00001034</t>
    <phoneticPr fontId="10"/>
  </si>
  <si>
    <t>0x00001036</t>
    <phoneticPr fontId="10"/>
  </si>
  <si>
    <t>0x00001038</t>
    <phoneticPr fontId="10"/>
  </si>
  <si>
    <t>0x0000103A</t>
    <phoneticPr fontId="10"/>
  </si>
  <si>
    <t>0x0000103C</t>
    <phoneticPr fontId="10"/>
  </si>
  <si>
    <t>0x0000103E</t>
    <phoneticPr fontId="10"/>
  </si>
  <si>
    <t>0x00001040</t>
    <phoneticPr fontId="10"/>
  </si>
  <si>
    <t>0x00001042</t>
    <phoneticPr fontId="10"/>
  </si>
  <si>
    <t>0x00001044</t>
    <phoneticPr fontId="10"/>
  </si>
  <si>
    <t>0x00001046</t>
    <phoneticPr fontId="10"/>
  </si>
  <si>
    <t>0x00001048</t>
    <phoneticPr fontId="10"/>
  </si>
  <si>
    <t>0x0000104A</t>
    <phoneticPr fontId="10"/>
  </si>
  <si>
    <t>0x0000104C</t>
    <phoneticPr fontId="10"/>
  </si>
  <si>
    <t>0x0000104E</t>
    <phoneticPr fontId="10"/>
  </si>
  <si>
    <t>0x00001050</t>
    <phoneticPr fontId="10"/>
  </si>
  <si>
    <t>0x00001052</t>
    <phoneticPr fontId="10"/>
  </si>
  <si>
    <t>0x00001054</t>
    <phoneticPr fontId="10"/>
  </si>
  <si>
    <t>0x00001056</t>
    <phoneticPr fontId="10"/>
  </si>
  <si>
    <t>0x00001058</t>
    <phoneticPr fontId="10"/>
  </si>
  <si>
    <t>0x0000105A</t>
    <phoneticPr fontId="10"/>
  </si>
  <si>
    <t>0x0000105C</t>
    <phoneticPr fontId="10"/>
  </si>
  <si>
    <t>0x0000105E</t>
    <phoneticPr fontId="10"/>
  </si>
  <si>
    <t>0x00001060</t>
    <phoneticPr fontId="10"/>
  </si>
  <si>
    <t>0x00001062</t>
    <phoneticPr fontId="10"/>
  </si>
  <si>
    <t>0x00001064</t>
    <phoneticPr fontId="10"/>
  </si>
  <si>
    <t>0x00001066</t>
    <phoneticPr fontId="10"/>
  </si>
  <si>
    <t>0x00001068</t>
    <phoneticPr fontId="10"/>
  </si>
  <si>
    <t>0x0000106A</t>
    <phoneticPr fontId="10"/>
  </si>
  <si>
    <t>0x0000106C</t>
    <phoneticPr fontId="10"/>
  </si>
  <si>
    <t>0x0000106E</t>
    <phoneticPr fontId="10"/>
  </si>
  <si>
    <t>0x00001070</t>
    <phoneticPr fontId="10"/>
  </si>
  <si>
    <t>0x00001072</t>
    <phoneticPr fontId="10"/>
  </si>
  <si>
    <t>0x00001074</t>
    <phoneticPr fontId="10"/>
  </si>
  <si>
    <t>0x00001076</t>
    <phoneticPr fontId="10"/>
  </si>
  <si>
    <t>0x00001078</t>
    <phoneticPr fontId="10"/>
  </si>
  <si>
    <t>0x0000107A</t>
    <phoneticPr fontId="10"/>
  </si>
  <si>
    <t>0x0000107C</t>
    <phoneticPr fontId="10"/>
  </si>
  <si>
    <t>0x0000107E</t>
    <phoneticPr fontId="10"/>
  </si>
  <si>
    <t>0x00001080</t>
    <phoneticPr fontId="10"/>
  </si>
  <si>
    <t>0x00001082</t>
    <phoneticPr fontId="10"/>
  </si>
  <si>
    <t>0x00001084</t>
    <phoneticPr fontId="10"/>
  </si>
  <si>
    <t>0x00001086</t>
    <phoneticPr fontId="10"/>
  </si>
  <si>
    <t>0x00001088</t>
    <phoneticPr fontId="10"/>
  </si>
  <si>
    <t>0x0000108A</t>
    <phoneticPr fontId="10"/>
  </si>
  <si>
    <t>0x0000108C</t>
    <phoneticPr fontId="10"/>
  </si>
  <si>
    <t>0x0000108E</t>
    <phoneticPr fontId="10"/>
  </si>
  <si>
    <t>0x00001090</t>
    <phoneticPr fontId="10"/>
  </si>
  <si>
    <t>0x00001092</t>
    <phoneticPr fontId="10"/>
  </si>
  <si>
    <t>0x00001094</t>
    <phoneticPr fontId="10"/>
  </si>
  <si>
    <t>0x00001096</t>
    <phoneticPr fontId="10"/>
  </si>
  <si>
    <t>0x00001098</t>
    <phoneticPr fontId="10"/>
  </si>
  <si>
    <t>0x0000109A</t>
    <phoneticPr fontId="10"/>
  </si>
  <si>
    <t>0x0000109C</t>
    <phoneticPr fontId="10"/>
  </si>
  <si>
    <t>0x0000109E</t>
    <phoneticPr fontId="10"/>
  </si>
  <si>
    <t>0x000010A0</t>
    <phoneticPr fontId="10"/>
  </si>
  <si>
    <t>0x000010A2</t>
    <phoneticPr fontId="10"/>
  </si>
  <si>
    <t>0x000010A4</t>
    <phoneticPr fontId="10"/>
  </si>
  <si>
    <t>0x000010A6</t>
    <phoneticPr fontId="10"/>
  </si>
  <si>
    <t>0x000010A8</t>
    <phoneticPr fontId="10"/>
  </si>
  <si>
    <t>0x000010AA</t>
    <phoneticPr fontId="10"/>
  </si>
  <si>
    <t>0x000010AC</t>
    <phoneticPr fontId="10"/>
  </si>
  <si>
    <t>0x000010AE</t>
    <phoneticPr fontId="10"/>
  </si>
  <si>
    <t>0x000010B0</t>
    <phoneticPr fontId="10"/>
  </si>
  <si>
    <t>0x000010B2</t>
    <phoneticPr fontId="10"/>
  </si>
  <si>
    <t>0x000010B4</t>
    <phoneticPr fontId="10"/>
  </si>
  <si>
    <t>0x000010B6</t>
    <phoneticPr fontId="10"/>
  </si>
  <si>
    <t>0x000010B8</t>
    <phoneticPr fontId="10"/>
  </si>
  <si>
    <t>0x000010BA</t>
    <phoneticPr fontId="10"/>
  </si>
  <si>
    <t>0x000010BC</t>
    <phoneticPr fontId="10"/>
  </si>
  <si>
    <t>0x000010BE</t>
    <phoneticPr fontId="10"/>
  </si>
  <si>
    <t>0x000010C0</t>
    <phoneticPr fontId="10"/>
  </si>
  <si>
    <t>0x000010C2</t>
    <phoneticPr fontId="10"/>
  </si>
  <si>
    <t>0x000010C4</t>
    <phoneticPr fontId="10"/>
  </si>
  <si>
    <t>0x000010C6</t>
    <phoneticPr fontId="10"/>
  </si>
  <si>
    <t>0x000010C8</t>
    <phoneticPr fontId="10"/>
  </si>
  <si>
    <t>0x000010CA</t>
    <phoneticPr fontId="10"/>
  </si>
  <si>
    <t>0x000010CC</t>
    <phoneticPr fontId="10"/>
  </si>
  <si>
    <t>0x000010CE</t>
    <phoneticPr fontId="10"/>
  </si>
  <si>
    <t>0x000010D0</t>
    <phoneticPr fontId="10"/>
  </si>
  <si>
    <t>0x000010D2</t>
    <phoneticPr fontId="10"/>
  </si>
  <si>
    <t>0x000010D4</t>
    <phoneticPr fontId="10"/>
  </si>
  <si>
    <t>0x000010D6</t>
    <phoneticPr fontId="10"/>
  </si>
  <si>
    <t>0x000010D8</t>
    <phoneticPr fontId="10"/>
  </si>
  <si>
    <t>0x000010DA</t>
    <phoneticPr fontId="10"/>
  </si>
  <si>
    <t>0x000010DC</t>
    <phoneticPr fontId="10"/>
  </si>
  <si>
    <t>0x000010DE</t>
    <phoneticPr fontId="10"/>
  </si>
  <si>
    <t>0x000010E0</t>
    <phoneticPr fontId="10"/>
  </si>
  <si>
    <t>0x000010E2</t>
    <phoneticPr fontId="10"/>
  </si>
  <si>
    <t>0x000010E4</t>
    <phoneticPr fontId="10"/>
  </si>
  <si>
    <t>0x000010E6</t>
    <phoneticPr fontId="10"/>
  </si>
  <si>
    <t>0x000010E8</t>
    <phoneticPr fontId="10"/>
  </si>
  <si>
    <t>0x000010EA</t>
    <phoneticPr fontId="10"/>
  </si>
  <si>
    <t>0x000010EC</t>
    <phoneticPr fontId="10"/>
  </si>
  <si>
    <t>0x000010EE</t>
    <phoneticPr fontId="10"/>
  </si>
  <si>
    <t>0x000010F0</t>
    <phoneticPr fontId="10"/>
  </si>
  <si>
    <t>0x000010F2</t>
    <phoneticPr fontId="10"/>
  </si>
  <si>
    <t>0x000010F4</t>
    <phoneticPr fontId="10"/>
  </si>
  <si>
    <t>0x000010F6</t>
    <phoneticPr fontId="10"/>
  </si>
  <si>
    <t>0x000010F8</t>
    <phoneticPr fontId="10"/>
  </si>
  <si>
    <t>0x000010FA</t>
    <phoneticPr fontId="10"/>
  </si>
  <si>
    <t>0x000010FC</t>
    <phoneticPr fontId="10"/>
  </si>
  <si>
    <t>0x000010FE</t>
    <phoneticPr fontId="10"/>
  </si>
  <si>
    <t>0x00001100</t>
    <phoneticPr fontId="10"/>
  </si>
  <si>
    <t>0x00001102</t>
    <phoneticPr fontId="10"/>
  </si>
  <si>
    <t>0x00001104</t>
    <phoneticPr fontId="10"/>
  </si>
  <si>
    <t>0x00001106</t>
    <phoneticPr fontId="10"/>
  </si>
  <si>
    <t>0x00001108</t>
    <phoneticPr fontId="10"/>
  </si>
  <si>
    <t>0x0000110A</t>
    <phoneticPr fontId="10"/>
  </si>
  <si>
    <t>0x0000110C</t>
    <phoneticPr fontId="10"/>
  </si>
  <si>
    <t>0x0000110E</t>
    <phoneticPr fontId="10"/>
  </si>
  <si>
    <t>0x00001110</t>
    <phoneticPr fontId="10"/>
  </si>
  <si>
    <t>0x00001112</t>
    <phoneticPr fontId="10"/>
  </si>
  <si>
    <t>0x00001114</t>
    <phoneticPr fontId="10"/>
  </si>
  <si>
    <t>0x00001116</t>
    <phoneticPr fontId="10"/>
  </si>
  <si>
    <t>0x00001118</t>
    <phoneticPr fontId="10"/>
  </si>
  <si>
    <t>0x0000111A</t>
    <phoneticPr fontId="10"/>
  </si>
  <si>
    <t>0x0000111C</t>
    <phoneticPr fontId="10"/>
  </si>
  <si>
    <t>0x0000111E</t>
    <phoneticPr fontId="10"/>
  </si>
  <si>
    <t>0x00001120</t>
    <phoneticPr fontId="10"/>
  </si>
  <si>
    <t>0x00001122</t>
    <phoneticPr fontId="10"/>
  </si>
  <si>
    <t>0x00001124</t>
    <phoneticPr fontId="10"/>
  </si>
  <si>
    <t>0x00001126</t>
    <phoneticPr fontId="10"/>
  </si>
  <si>
    <t>0x00001128</t>
    <phoneticPr fontId="10"/>
  </si>
  <si>
    <t>0x0000112A</t>
    <phoneticPr fontId="10"/>
  </si>
  <si>
    <t>0x0000112C</t>
    <phoneticPr fontId="10"/>
  </si>
  <si>
    <t>0x0000112E</t>
    <phoneticPr fontId="10"/>
  </si>
  <si>
    <t>0x00001130</t>
    <phoneticPr fontId="10"/>
  </si>
  <si>
    <t>0x00001132</t>
    <phoneticPr fontId="10"/>
  </si>
  <si>
    <t>0x00001134</t>
    <phoneticPr fontId="10"/>
  </si>
  <si>
    <t>0x00001136</t>
    <phoneticPr fontId="10"/>
  </si>
  <si>
    <t>0x00001138</t>
    <phoneticPr fontId="10"/>
  </si>
  <si>
    <t>0x0000113A</t>
    <phoneticPr fontId="10"/>
  </si>
  <si>
    <t>0x0000113C</t>
    <phoneticPr fontId="10"/>
  </si>
  <si>
    <t>0x0000113E</t>
    <phoneticPr fontId="10"/>
  </si>
  <si>
    <t>0x00001140</t>
    <phoneticPr fontId="10"/>
  </si>
  <si>
    <t>0x00001142</t>
    <phoneticPr fontId="10"/>
  </si>
  <si>
    <t>0x00001144</t>
    <phoneticPr fontId="10"/>
  </si>
  <si>
    <t>0x00001146</t>
    <phoneticPr fontId="10"/>
  </si>
  <si>
    <t>0x00001148</t>
    <phoneticPr fontId="10"/>
  </si>
  <si>
    <t>0x0000114A</t>
    <phoneticPr fontId="10"/>
  </si>
  <si>
    <t>0x0000114C</t>
    <phoneticPr fontId="10"/>
  </si>
  <si>
    <t>0x0000114E</t>
    <phoneticPr fontId="10"/>
  </si>
  <si>
    <t>0x00001150</t>
    <phoneticPr fontId="10"/>
  </si>
  <si>
    <t>0x00001152</t>
    <phoneticPr fontId="10"/>
  </si>
  <si>
    <t>0x00001154</t>
    <phoneticPr fontId="10"/>
  </si>
  <si>
    <t>0x00001156</t>
    <phoneticPr fontId="10"/>
  </si>
  <si>
    <t>0x00001158</t>
    <phoneticPr fontId="10"/>
  </si>
  <si>
    <t>0x0000115A</t>
    <phoneticPr fontId="10"/>
  </si>
  <si>
    <t>0x0000115C</t>
    <phoneticPr fontId="10"/>
  </si>
  <si>
    <t>0x0000115E</t>
    <phoneticPr fontId="10"/>
  </si>
  <si>
    <t>0x00001160</t>
    <phoneticPr fontId="10"/>
  </si>
  <si>
    <t>0x00001162</t>
    <phoneticPr fontId="10"/>
  </si>
  <si>
    <t>0x00001164</t>
    <phoneticPr fontId="10"/>
  </si>
  <si>
    <t>0x00001166</t>
    <phoneticPr fontId="10"/>
  </si>
  <si>
    <t>0x00001168</t>
    <phoneticPr fontId="10"/>
  </si>
  <si>
    <t>0x0000116A</t>
    <phoneticPr fontId="10"/>
  </si>
  <si>
    <t>0x0000116C</t>
    <phoneticPr fontId="10"/>
  </si>
  <si>
    <t>0x0000116E</t>
    <phoneticPr fontId="10"/>
  </si>
  <si>
    <t>0x00001170</t>
    <phoneticPr fontId="10"/>
  </si>
  <si>
    <t>0x00001172</t>
    <phoneticPr fontId="10"/>
  </si>
  <si>
    <t>0x00001174</t>
    <phoneticPr fontId="10"/>
  </si>
  <si>
    <t>0x00001176</t>
    <phoneticPr fontId="10"/>
  </si>
  <si>
    <t>0x00001178</t>
    <phoneticPr fontId="10"/>
  </si>
  <si>
    <t>0x0000117A</t>
    <phoneticPr fontId="10"/>
  </si>
  <si>
    <t>0x0000117C</t>
    <phoneticPr fontId="10"/>
  </si>
  <si>
    <t>0x0000117E</t>
    <phoneticPr fontId="10"/>
  </si>
  <si>
    <t>0x00001180</t>
    <phoneticPr fontId="10"/>
  </si>
  <si>
    <t>0x00001182</t>
    <phoneticPr fontId="10"/>
  </si>
  <si>
    <t>0x00001184</t>
    <phoneticPr fontId="10"/>
  </si>
  <si>
    <t>0x00001186</t>
    <phoneticPr fontId="10"/>
  </si>
  <si>
    <t>0x00001188</t>
    <phoneticPr fontId="10"/>
  </si>
  <si>
    <t>0x0000118A</t>
    <phoneticPr fontId="10"/>
  </si>
  <si>
    <t>0x0000118C</t>
    <phoneticPr fontId="10"/>
  </si>
  <si>
    <t>0x0000118E</t>
    <phoneticPr fontId="10"/>
  </si>
  <si>
    <t>0x00001190</t>
    <phoneticPr fontId="10"/>
  </si>
  <si>
    <t>0x00001192</t>
    <phoneticPr fontId="10"/>
  </si>
  <si>
    <t>0x00001194</t>
    <phoneticPr fontId="10"/>
  </si>
  <si>
    <t>0x00001196</t>
    <phoneticPr fontId="10"/>
  </si>
  <si>
    <t>0x00001198</t>
    <phoneticPr fontId="10"/>
  </si>
  <si>
    <t>0x0000119A</t>
    <phoneticPr fontId="10"/>
  </si>
  <si>
    <t>0x0000119C</t>
    <phoneticPr fontId="10"/>
  </si>
  <si>
    <t>0x0000119E</t>
    <phoneticPr fontId="10"/>
  </si>
  <si>
    <t>0x000011A0</t>
    <phoneticPr fontId="10"/>
  </si>
  <si>
    <t>0x000011A2</t>
    <phoneticPr fontId="10"/>
  </si>
  <si>
    <t>0x000011A4</t>
    <phoneticPr fontId="10"/>
  </si>
  <si>
    <t>0x000011A6</t>
    <phoneticPr fontId="10"/>
  </si>
  <si>
    <t>0x000011A8</t>
    <phoneticPr fontId="10"/>
  </si>
  <si>
    <t>0x000011AA</t>
    <phoneticPr fontId="10"/>
  </si>
  <si>
    <t>0x000011AC</t>
    <phoneticPr fontId="10"/>
  </si>
  <si>
    <t>0x000011AE</t>
    <phoneticPr fontId="10"/>
  </si>
  <si>
    <t>0x000011B0</t>
    <phoneticPr fontId="10"/>
  </si>
  <si>
    <t>0x000011B2</t>
    <phoneticPr fontId="10"/>
  </si>
  <si>
    <t>0x000011B4</t>
    <phoneticPr fontId="10"/>
  </si>
  <si>
    <t>0x000011B6</t>
    <phoneticPr fontId="10"/>
  </si>
  <si>
    <t>0x000011B8</t>
    <phoneticPr fontId="10"/>
  </si>
  <si>
    <t>0x000011BA</t>
    <phoneticPr fontId="10"/>
  </si>
  <si>
    <t>0x000011BC</t>
    <phoneticPr fontId="10"/>
  </si>
  <si>
    <t>0x000011BE</t>
    <phoneticPr fontId="10"/>
  </si>
  <si>
    <t>0x000011C0</t>
    <phoneticPr fontId="10"/>
  </si>
  <si>
    <t>0x000011C2</t>
    <phoneticPr fontId="10"/>
  </si>
  <si>
    <t>0x000011C4</t>
    <phoneticPr fontId="10"/>
  </si>
  <si>
    <t>0x000011C6</t>
    <phoneticPr fontId="10"/>
  </si>
  <si>
    <t>0x000011C8</t>
    <phoneticPr fontId="10"/>
  </si>
  <si>
    <t>0x000011CA</t>
    <phoneticPr fontId="10"/>
  </si>
  <si>
    <t>0x000011CC</t>
    <phoneticPr fontId="10"/>
  </si>
  <si>
    <t>0x000011CE</t>
    <phoneticPr fontId="10"/>
  </si>
  <si>
    <t>0x000011D0</t>
    <phoneticPr fontId="10"/>
  </si>
  <si>
    <t>0x000011D2</t>
    <phoneticPr fontId="10"/>
  </si>
  <si>
    <t>0x000011D4</t>
    <phoneticPr fontId="10"/>
  </si>
  <si>
    <t>0x000011D6</t>
    <phoneticPr fontId="10"/>
  </si>
  <si>
    <t>0x000011D8</t>
    <phoneticPr fontId="10"/>
  </si>
  <si>
    <t>0x000011DA</t>
    <phoneticPr fontId="10"/>
  </si>
  <si>
    <t>0x000011DC</t>
    <phoneticPr fontId="10"/>
  </si>
  <si>
    <t>0x000011DE</t>
    <phoneticPr fontId="10"/>
  </si>
  <si>
    <t>0x000011E0</t>
    <phoneticPr fontId="10"/>
  </si>
  <si>
    <t>0x000011E2</t>
    <phoneticPr fontId="10"/>
  </si>
  <si>
    <t>0x000011E4</t>
    <phoneticPr fontId="10"/>
  </si>
  <si>
    <t>0x000011E6</t>
    <phoneticPr fontId="10"/>
  </si>
  <si>
    <t>0x000011E8</t>
    <phoneticPr fontId="10"/>
  </si>
  <si>
    <t>0x000011EA</t>
    <phoneticPr fontId="10"/>
  </si>
  <si>
    <t>0x000011EC</t>
    <phoneticPr fontId="10"/>
  </si>
  <si>
    <t>0x000011EE</t>
    <phoneticPr fontId="10"/>
  </si>
  <si>
    <t>0x000011F0</t>
    <phoneticPr fontId="10"/>
  </si>
  <si>
    <t>0x000011F2</t>
    <phoneticPr fontId="10"/>
  </si>
  <si>
    <t>0x000011F4</t>
    <phoneticPr fontId="10"/>
  </si>
  <si>
    <t>0x000011F6</t>
    <phoneticPr fontId="10"/>
  </si>
  <si>
    <t>0x000011F8</t>
    <phoneticPr fontId="10"/>
  </si>
  <si>
    <t>0x000011FA</t>
    <phoneticPr fontId="10"/>
  </si>
  <si>
    <t>0x000011FC</t>
    <phoneticPr fontId="10"/>
  </si>
  <si>
    <t>0x000011FE</t>
    <phoneticPr fontId="10"/>
  </si>
  <si>
    <t>0x00001200</t>
    <phoneticPr fontId="10"/>
  </si>
  <si>
    <t>0x00001202</t>
    <phoneticPr fontId="10"/>
  </si>
  <si>
    <t>0x00001204</t>
    <phoneticPr fontId="10"/>
  </si>
  <si>
    <t>0x00001206</t>
    <phoneticPr fontId="10"/>
  </si>
  <si>
    <t>0x00001208</t>
    <phoneticPr fontId="10"/>
  </si>
  <si>
    <t>0x0000120A</t>
    <phoneticPr fontId="10"/>
  </si>
  <si>
    <t>0x0000120C</t>
    <phoneticPr fontId="10"/>
  </si>
  <si>
    <t>0x0000120E</t>
    <phoneticPr fontId="10"/>
  </si>
  <si>
    <t>0x00001210</t>
    <phoneticPr fontId="10"/>
  </si>
  <si>
    <t>0x00001212</t>
    <phoneticPr fontId="10"/>
  </si>
  <si>
    <t>0x00001214</t>
    <phoneticPr fontId="10"/>
  </si>
  <si>
    <t>0x00001216</t>
    <phoneticPr fontId="10"/>
  </si>
  <si>
    <t>0x00001218</t>
    <phoneticPr fontId="10"/>
  </si>
  <si>
    <t>0x0000121A</t>
    <phoneticPr fontId="10"/>
  </si>
  <si>
    <t>0x0000121C</t>
    <phoneticPr fontId="10"/>
  </si>
  <si>
    <t>0x0000121E</t>
    <phoneticPr fontId="10"/>
  </si>
  <si>
    <t>0x00001220</t>
    <phoneticPr fontId="10"/>
  </si>
  <si>
    <t>0x00001222</t>
    <phoneticPr fontId="10"/>
  </si>
  <si>
    <t>0x00001224</t>
    <phoneticPr fontId="10"/>
  </si>
  <si>
    <t>0x00001226</t>
    <phoneticPr fontId="10"/>
  </si>
  <si>
    <t>0x00001228</t>
    <phoneticPr fontId="10"/>
  </si>
  <si>
    <t>0x0000122A</t>
    <phoneticPr fontId="10"/>
  </si>
  <si>
    <t>0x0000122C</t>
    <phoneticPr fontId="10"/>
  </si>
  <si>
    <t>0x0000122E</t>
    <phoneticPr fontId="10"/>
  </si>
  <si>
    <t>0x00001230</t>
    <phoneticPr fontId="10"/>
  </si>
  <si>
    <t>0x00001232</t>
    <phoneticPr fontId="10"/>
  </si>
  <si>
    <t>0x00001234</t>
    <phoneticPr fontId="10"/>
  </si>
  <si>
    <t>0x00001236</t>
    <phoneticPr fontId="10"/>
  </si>
  <si>
    <t>0x00001238</t>
    <phoneticPr fontId="10"/>
  </si>
  <si>
    <t>0x0000123A</t>
    <phoneticPr fontId="10"/>
  </si>
  <si>
    <t>0x0000123C</t>
    <phoneticPr fontId="10"/>
  </si>
  <si>
    <t>0x0000123E</t>
    <phoneticPr fontId="10"/>
  </si>
  <si>
    <t>0x00001240</t>
    <phoneticPr fontId="10"/>
  </si>
  <si>
    <t>0x00001242</t>
    <phoneticPr fontId="10"/>
  </si>
  <si>
    <t>0x00001244</t>
    <phoneticPr fontId="10"/>
  </si>
  <si>
    <t>0x00001246</t>
    <phoneticPr fontId="10"/>
  </si>
  <si>
    <t>0x00001248</t>
    <phoneticPr fontId="10"/>
  </si>
  <si>
    <t>0x0000124A</t>
    <phoneticPr fontId="10"/>
  </si>
  <si>
    <t>0x0000124C</t>
    <phoneticPr fontId="10"/>
  </si>
  <si>
    <t>0x0000124E</t>
    <phoneticPr fontId="10"/>
  </si>
  <si>
    <t>0x00001250</t>
    <phoneticPr fontId="10"/>
  </si>
  <si>
    <t>0x00001252</t>
    <phoneticPr fontId="10"/>
  </si>
  <si>
    <t>0x00001254</t>
    <phoneticPr fontId="10"/>
  </si>
  <si>
    <t>0x00001256</t>
    <phoneticPr fontId="10"/>
  </si>
  <si>
    <t>0x00001258</t>
    <phoneticPr fontId="10"/>
  </si>
  <si>
    <t>0x0000125A</t>
    <phoneticPr fontId="10"/>
  </si>
  <si>
    <t>0x0000125C</t>
    <phoneticPr fontId="10"/>
  </si>
  <si>
    <t>0x0000125E</t>
    <phoneticPr fontId="10"/>
  </si>
  <si>
    <t>0x00001260</t>
    <phoneticPr fontId="10"/>
  </si>
  <si>
    <t>0x00001262</t>
    <phoneticPr fontId="10"/>
  </si>
  <si>
    <t>0x00001264</t>
    <phoneticPr fontId="10"/>
  </si>
  <si>
    <t>0x00001266</t>
    <phoneticPr fontId="10"/>
  </si>
  <si>
    <t>0x00001268</t>
    <phoneticPr fontId="10"/>
  </si>
  <si>
    <t>0x0000126A</t>
    <phoneticPr fontId="10"/>
  </si>
  <si>
    <t>0x0000126C</t>
    <phoneticPr fontId="10"/>
  </si>
  <si>
    <t>0x0000126E</t>
    <phoneticPr fontId="10"/>
  </si>
  <si>
    <t>0x00001270</t>
    <phoneticPr fontId="10"/>
  </si>
  <si>
    <t>0x00001272</t>
    <phoneticPr fontId="10"/>
  </si>
  <si>
    <t>0x00001274</t>
    <phoneticPr fontId="10"/>
  </si>
  <si>
    <t>0x00001276</t>
    <phoneticPr fontId="10"/>
  </si>
  <si>
    <t>0x00001278</t>
    <phoneticPr fontId="10"/>
  </si>
  <si>
    <t>0x0000127A</t>
    <phoneticPr fontId="10"/>
  </si>
  <si>
    <t>0x0000127C</t>
    <phoneticPr fontId="10"/>
  </si>
  <si>
    <t>0x0000127E</t>
    <phoneticPr fontId="10"/>
  </si>
  <si>
    <t>0x00001280</t>
    <phoneticPr fontId="10"/>
  </si>
  <si>
    <t>0x00001282</t>
    <phoneticPr fontId="10"/>
  </si>
  <si>
    <t>0x00001284</t>
    <phoneticPr fontId="10"/>
  </si>
  <si>
    <t>0x00001286</t>
    <phoneticPr fontId="10"/>
  </si>
  <si>
    <t>0x00001288</t>
    <phoneticPr fontId="10"/>
  </si>
  <si>
    <t>0x0000128A</t>
    <phoneticPr fontId="10"/>
  </si>
  <si>
    <t>0x0000128C</t>
    <phoneticPr fontId="10"/>
  </si>
  <si>
    <t>0x0000128E</t>
    <phoneticPr fontId="10"/>
  </si>
  <si>
    <t>0x00001290</t>
    <phoneticPr fontId="10"/>
  </si>
  <si>
    <t>0x00001292</t>
    <phoneticPr fontId="10"/>
  </si>
  <si>
    <t>0x00001294</t>
    <phoneticPr fontId="10"/>
  </si>
  <si>
    <t>0x00001296</t>
    <phoneticPr fontId="10"/>
  </si>
  <si>
    <t>0x00001298</t>
    <phoneticPr fontId="10"/>
  </si>
  <si>
    <t>0x0000129A</t>
    <phoneticPr fontId="10"/>
  </si>
  <si>
    <t>0x0000129C</t>
    <phoneticPr fontId="10"/>
  </si>
  <si>
    <t>0x0000129E</t>
    <phoneticPr fontId="10"/>
  </si>
  <si>
    <t>0x000012A0</t>
    <phoneticPr fontId="10"/>
  </si>
  <si>
    <t>0x000012A2</t>
    <phoneticPr fontId="10"/>
  </si>
  <si>
    <t>0x000012A4</t>
    <phoneticPr fontId="10"/>
  </si>
  <si>
    <t>0x000012A6</t>
    <phoneticPr fontId="10"/>
  </si>
  <si>
    <t>0x000012A8</t>
    <phoneticPr fontId="10"/>
  </si>
  <si>
    <t>0x000012AA</t>
    <phoneticPr fontId="10"/>
  </si>
  <si>
    <t>0x000012AC</t>
    <phoneticPr fontId="10"/>
  </si>
  <si>
    <t>0x000012AE</t>
    <phoneticPr fontId="10"/>
  </si>
  <si>
    <t>0x000012B0</t>
    <phoneticPr fontId="10"/>
  </si>
  <si>
    <t>0x000012B2</t>
    <phoneticPr fontId="10"/>
  </si>
  <si>
    <t>0x000012B4</t>
    <phoneticPr fontId="10"/>
  </si>
  <si>
    <t>0x000012B6</t>
    <phoneticPr fontId="10"/>
  </si>
  <si>
    <t>0x000012B8</t>
    <phoneticPr fontId="10"/>
  </si>
  <si>
    <t>0x000012BA</t>
    <phoneticPr fontId="10"/>
  </si>
  <si>
    <t>0x000012BC</t>
    <phoneticPr fontId="10"/>
  </si>
  <si>
    <t>0x000012BE</t>
    <phoneticPr fontId="10"/>
  </si>
  <si>
    <t>0x000012C0</t>
    <phoneticPr fontId="10"/>
  </si>
  <si>
    <t>0x000012C2</t>
    <phoneticPr fontId="10"/>
  </si>
  <si>
    <t>0x000012C4</t>
    <phoneticPr fontId="10"/>
  </si>
  <si>
    <t>0x000012C6</t>
    <phoneticPr fontId="10"/>
  </si>
  <si>
    <t>0x000012C8</t>
    <phoneticPr fontId="10"/>
  </si>
  <si>
    <t>0x000012CA</t>
    <phoneticPr fontId="10"/>
  </si>
  <si>
    <t>0x000012CC</t>
    <phoneticPr fontId="10"/>
  </si>
  <si>
    <t>0x000012CE</t>
    <phoneticPr fontId="10"/>
  </si>
  <si>
    <t>0x000012D0</t>
    <phoneticPr fontId="10"/>
  </si>
  <si>
    <t>0x000012D2</t>
    <phoneticPr fontId="10"/>
  </si>
  <si>
    <t>0x000012D4</t>
    <phoneticPr fontId="10"/>
  </si>
  <si>
    <t>0x000012D6</t>
    <phoneticPr fontId="10"/>
  </si>
  <si>
    <t>0x000012D8</t>
    <phoneticPr fontId="10"/>
  </si>
  <si>
    <t>0x000012DA</t>
    <phoneticPr fontId="10"/>
  </si>
  <si>
    <t>0x000012DC</t>
    <phoneticPr fontId="10"/>
  </si>
  <si>
    <t>0x000012DE</t>
    <phoneticPr fontId="10"/>
  </si>
  <si>
    <t>0x000012E0</t>
    <phoneticPr fontId="10"/>
  </si>
  <si>
    <t>0x000012E2</t>
    <phoneticPr fontId="10"/>
  </si>
  <si>
    <t>0x000012E4</t>
    <phoneticPr fontId="10"/>
  </si>
  <si>
    <t>0x000012E6</t>
    <phoneticPr fontId="10"/>
  </si>
  <si>
    <t>0x000012E8</t>
    <phoneticPr fontId="10"/>
  </si>
  <si>
    <t>0x000012EA</t>
    <phoneticPr fontId="10"/>
  </si>
  <si>
    <t>0x000012EC</t>
    <phoneticPr fontId="10"/>
  </si>
  <si>
    <t>0x000012EE</t>
    <phoneticPr fontId="10"/>
  </si>
  <si>
    <t>0x000012F0</t>
    <phoneticPr fontId="10"/>
  </si>
  <si>
    <t>0x000012F2</t>
    <phoneticPr fontId="10"/>
  </si>
  <si>
    <t>0x000012F4</t>
    <phoneticPr fontId="10"/>
  </si>
  <si>
    <t>0x000012F6</t>
    <phoneticPr fontId="10"/>
  </si>
  <si>
    <t>0x000012F8</t>
    <phoneticPr fontId="10"/>
  </si>
  <si>
    <t>0x000012FA</t>
    <phoneticPr fontId="10"/>
  </si>
  <si>
    <t>0x000012FC</t>
    <phoneticPr fontId="10"/>
  </si>
  <si>
    <t>0x000012FE</t>
    <phoneticPr fontId="10"/>
  </si>
  <si>
    <t>0x00001300</t>
    <phoneticPr fontId="10"/>
  </si>
  <si>
    <t>0x00001302</t>
    <phoneticPr fontId="10"/>
  </si>
  <si>
    <t>0x00001304</t>
    <phoneticPr fontId="10"/>
  </si>
  <si>
    <t>0x00001306</t>
    <phoneticPr fontId="10"/>
  </si>
  <si>
    <t>0x00001308</t>
    <phoneticPr fontId="10"/>
  </si>
  <si>
    <t>0x0000130A</t>
    <phoneticPr fontId="10"/>
  </si>
  <si>
    <t>0x0000130C</t>
    <phoneticPr fontId="10"/>
  </si>
  <si>
    <t>0x0000130E</t>
    <phoneticPr fontId="10"/>
  </si>
  <si>
    <t>0x00001310</t>
    <phoneticPr fontId="10"/>
  </si>
  <si>
    <t>0x00001312</t>
    <phoneticPr fontId="10"/>
  </si>
  <si>
    <t>0x00001314</t>
    <phoneticPr fontId="10"/>
  </si>
  <si>
    <t>0x00001316</t>
    <phoneticPr fontId="10"/>
  </si>
  <si>
    <t>0x00001318</t>
    <phoneticPr fontId="10"/>
  </si>
  <si>
    <t>0x0000131A</t>
    <phoneticPr fontId="10"/>
  </si>
  <si>
    <t>0x0000131C</t>
    <phoneticPr fontId="10"/>
  </si>
  <si>
    <t>0x0000131E</t>
    <phoneticPr fontId="10"/>
  </si>
  <si>
    <t>0x00001320</t>
    <phoneticPr fontId="10"/>
  </si>
  <si>
    <t>0x00001322</t>
    <phoneticPr fontId="10"/>
  </si>
  <si>
    <t>0x00001324</t>
    <phoneticPr fontId="10"/>
  </si>
  <si>
    <t>0x00001326</t>
    <phoneticPr fontId="10"/>
  </si>
  <si>
    <t>0x00001328</t>
    <phoneticPr fontId="10"/>
  </si>
  <si>
    <t>0x0000132A</t>
    <phoneticPr fontId="10"/>
  </si>
  <si>
    <t>0x0000132C</t>
    <phoneticPr fontId="10"/>
  </si>
  <si>
    <t>0x0000132E</t>
    <phoneticPr fontId="10"/>
  </si>
  <si>
    <t>0x00001330</t>
    <phoneticPr fontId="10"/>
  </si>
  <si>
    <t>0x00001332</t>
    <phoneticPr fontId="10"/>
  </si>
  <si>
    <t>0x00001334</t>
    <phoneticPr fontId="10"/>
  </si>
  <si>
    <t>0x00001336</t>
    <phoneticPr fontId="10"/>
  </si>
  <si>
    <t>0x00001338</t>
    <phoneticPr fontId="10"/>
  </si>
  <si>
    <t>0x0000133A</t>
    <phoneticPr fontId="10"/>
  </si>
  <si>
    <t>0x0000133C</t>
    <phoneticPr fontId="10"/>
  </si>
  <si>
    <t>0x0000133E</t>
    <phoneticPr fontId="10"/>
  </si>
  <si>
    <t>0x00001340</t>
    <phoneticPr fontId="10"/>
  </si>
  <si>
    <t>0x00001342</t>
    <phoneticPr fontId="10"/>
  </si>
  <si>
    <t>0x00001344</t>
    <phoneticPr fontId="10"/>
  </si>
  <si>
    <t>0x00001346</t>
    <phoneticPr fontId="10"/>
  </si>
  <si>
    <t>0x00001348</t>
    <phoneticPr fontId="10"/>
  </si>
  <si>
    <t>0x0000134A</t>
    <phoneticPr fontId="10"/>
  </si>
  <si>
    <t>0x0000134C</t>
    <phoneticPr fontId="10"/>
  </si>
  <si>
    <t>0x0000134E</t>
    <phoneticPr fontId="10"/>
  </si>
  <si>
    <t>0x00001350</t>
    <phoneticPr fontId="10"/>
  </si>
  <si>
    <t>0x00001352</t>
    <phoneticPr fontId="10"/>
  </si>
  <si>
    <t>0x00001354</t>
    <phoneticPr fontId="10"/>
  </si>
  <si>
    <t>0x00001356</t>
    <phoneticPr fontId="10"/>
  </si>
  <si>
    <t>0x00001358</t>
    <phoneticPr fontId="10"/>
  </si>
  <si>
    <t>0x0000135A</t>
    <phoneticPr fontId="10"/>
  </si>
  <si>
    <t>0x0000135C</t>
    <phoneticPr fontId="10"/>
  </si>
  <si>
    <t>0x0000135E</t>
    <phoneticPr fontId="10"/>
  </si>
  <si>
    <t>0x00001360</t>
    <phoneticPr fontId="10"/>
  </si>
  <si>
    <t>0x00001362</t>
    <phoneticPr fontId="10"/>
  </si>
  <si>
    <t>0x00001364</t>
    <phoneticPr fontId="10"/>
  </si>
  <si>
    <t>0x00001366</t>
    <phoneticPr fontId="10"/>
  </si>
  <si>
    <t>0x00001368</t>
    <phoneticPr fontId="10"/>
  </si>
  <si>
    <t>0x0000136A</t>
    <phoneticPr fontId="10"/>
  </si>
  <si>
    <t>0x0000136C</t>
    <phoneticPr fontId="10"/>
  </si>
  <si>
    <t>0x0000136E</t>
    <phoneticPr fontId="10"/>
  </si>
  <si>
    <t>0x00001370</t>
    <phoneticPr fontId="10"/>
  </si>
  <si>
    <t>0x00001372</t>
    <phoneticPr fontId="10"/>
  </si>
  <si>
    <t>0x00001374</t>
    <phoneticPr fontId="10"/>
  </si>
  <si>
    <t>0x00001376</t>
    <phoneticPr fontId="10"/>
  </si>
  <si>
    <t>0x00001378</t>
    <phoneticPr fontId="10"/>
  </si>
  <si>
    <t>0x0000137A</t>
    <phoneticPr fontId="10"/>
  </si>
  <si>
    <t>0x0000137C</t>
    <phoneticPr fontId="10"/>
  </si>
  <si>
    <t>0x0000137E</t>
    <phoneticPr fontId="10"/>
  </si>
  <si>
    <t>0x00001380</t>
    <phoneticPr fontId="10"/>
  </si>
  <si>
    <t>0x00001382</t>
    <phoneticPr fontId="10"/>
  </si>
  <si>
    <t>0x00001384</t>
    <phoneticPr fontId="10"/>
  </si>
  <si>
    <t>0x00001386</t>
    <phoneticPr fontId="10"/>
  </si>
  <si>
    <t>0x00001388</t>
    <phoneticPr fontId="10"/>
  </si>
  <si>
    <t>0x0000138A</t>
    <phoneticPr fontId="10"/>
  </si>
  <si>
    <t>0x0000138C</t>
    <phoneticPr fontId="10"/>
  </si>
  <si>
    <t>0x0000138E</t>
    <phoneticPr fontId="10"/>
  </si>
  <si>
    <t>0x00001390</t>
    <phoneticPr fontId="10"/>
  </si>
  <si>
    <t>0x00001392</t>
    <phoneticPr fontId="10"/>
  </si>
  <si>
    <t>0x00001394</t>
    <phoneticPr fontId="10"/>
  </si>
  <si>
    <t>0x00001396</t>
    <phoneticPr fontId="10"/>
  </si>
  <si>
    <t>0x00001398</t>
    <phoneticPr fontId="10"/>
  </si>
  <si>
    <t>0x0000139A</t>
    <phoneticPr fontId="10"/>
  </si>
  <si>
    <t>0x0000139C</t>
    <phoneticPr fontId="10"/>
  </si>
  <si>
    <t>0x0000139E</t>
    <phoneticPr fontId="10"/>
  </si>
  <si>
    <t>0x000013A0</t>
    <phoneticPr fontId="10"/>
  </si>
  <si>
    <t>0x000013A2</t>
    <phoneticPr fontId="10"/>
  </si>
  <si>
    <t>0x000013A4</t>
    <phoneticPr fontId="10"/>
  </si>
  <si>
    <t>0x000013A6</t>
    <phoneticPr fontId="10"/>
  </si>
  <si>
    <t>0x000013A8</t>
    <phoneticPr fontId="10"/>
  </si>
  <si>
    <t>0x000013AA</t>
    <phoneticPr fontId="10"/>
  </si>
  <si>
    <t>0x000013AC</t>
    <phoneticPr fontId="10"/>
  </si>
  <si>
    <t>0x000013AE</t>
    <phoneticPr fontId="10"/>
  </si>
  <si>
    <t>0x000013B0</t>
    <phoneticPr fontId="10"/>
  </si>
  <si>
    <t>0x000013B2</t>
    <phoneticPr fontId="10"/>
  </si>
  <si>
    <t>0x000013B4</t>
    <phoneticPr fontId="10"/>
  </si>
  <si>
    <t>0x000013B6</t>
    <phoneticPr fontId="10"/>
  </si>
  <si>
    <t>0x000013B8</t>
    <phoneticPr fontId="10"/>
  </si>
  <si>
    <t>0x000013BA</t>
    <phoneticPr fontId="10"/>
  </si>
  <si>
    <t>0x000013BC</t>
    <phoneticPr fontId="10"/>
  </si>
  <si>
    <t>0x000013BE</t>
    <phoneticPr fontId="10"/>
  </si>
  <si>
    <t>0x000013C0</t>
    <phoneticPr fontId="10"/>
  </si>
  <si>
    <t>0x000013C2</t>
    <phoneticPr fontId="10"/>
  </si>
  <si>
    <t>0x000013C4</t>
    <phoneticPr fontId="10"/>
  </si>
  <si>
    <t>0x000013C6</t>
    <phoneticPr fontId="10"/>
  </si>
  <si>
    <t>0x000013C8</t>
    <phoneticPr fontId="10"/>
  </si>
  <si>
    <t>0x000013CA</t>
    <phoneticPr fontId="10"/>
  </si>
  <si>
    <t>0x000013CC</t>
    <phoneticPr fontId="10"/>
  </si>
  <si>
    <t>0x000013CE</t>
    <phoneticPr fontId="10"/>
  </si>
  <si>
    <t>0x000013D0</t>
    <phoneticPr fontId="10"/>
  </si>
  <si>
    <t>0x000013D2</t>
    <phoneticPr fontId="10"/>
  </si>
  <si>
    <t>0x000013D4</t>
    <phoneticPr fontId="10"/>
  </si>
  <si>
    <t>0x000013D6</t>
    <phoneticPr fontId="10"/>
  </si>
  <si>
    <t>0x000013D8</t>
    <phoneticPr fontId="10"/>
  </si>
  <si>
    <t>0x000013DA</t>
    <phoneticPr fontId="10"/>
  </si>
  <si>
    <t>0x000013DC</t>
    <phoneticPr fontId="10"/>
  </si>
  <si>
    <t>0x000013DE</t>
    <phoneticPr fontId="10"/>
  </si>
  <si>
    <t>0x000013E0</t>
    <phoneticPr fontId="10"/>
  </si>
  <si>
    <t>0x000013E2</t>
    <phoneticPr fontId="10"/>
  </si>
  <si>
    <t>0x000013E4</t>
    <phoneticPr fontId="10"/>
  </si>
  <si>
    <t>0x000013E6</t>
    <phoneticPr fontId="10"/>
  </si>
  <si>
    <t>0x000013E8</t>
    <phoneticPr fontId="10"/>
  </si>
  <si>
    <t>0x000013EA</t>
    <phoneticPr fontId="10"/>
  </si>
  <si>
    <t>0x000013EC</t>
    <phoneticPr fontId="10"/>
  </si>
  <si>
    <t>0x000013EE</t>
    <phoneticPr fontId="10"/>
  </si>
  <si>
    <t>0x000013F0</t>
    <phoneticPr fontId="10"/>
  </si>
  <si>
    <t>0x000013F2</t>
    <phoneticPr fontId="10"/>
  </si>
  <si>
    <t>0x000013F4</t>
    <phoneticPr fontId="10"/>
  </si>
  <si>
    <t>0x000013F6</t>
    <phoneticPr fontId="10"/>
  </si>
  <si>
    <t>0x000013F8</t>
    <phoneticPr fontId="10"/>
  </si>
  <si>
    <t>0x000013FA</t>
    <phoneticPr fontId="10"/>
  </si>
  <si>
    <t>0x000013FC</t>
    <phoneticPr fontId="10"/>
  </si>
  <si>
    <t>0x000013FE</t>
    <phoneticPr fontId="10"/>
  </si>
  <si>
    <t>0x00001400</t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</si>
</sst>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1"/>
      <name val="ＭＳ Ｐゴシック"/>
      <family val="3"/>
      <charset val="128"/>
    </font>
    <font>
      <sz val="11"/>
      <color theme="1"/>
      <name val="新細明體"/>
      <family val="2"/>
      <charset val="128"/>
      <scheme val="minor"/>
    </font>
    <font>
      <sz val="11"/>
      <color theme="1"/>
      <name val="新細明體"/>
      <family val="2"/>
      <charset val="128"/>
      <scheme val="minor"/>
    </font>
    <font>
      <sz val="11"/>
      <color theme="1"/>
      <name val="新細明體"/>
      <family val="2"/>
      <charset val="128"/>
      <scheme val="minor"/>
    </font>
    <font>
      <sz val="11"/>
      <color theme="1"/>
      <name val="新細明體"/>
      <family val="2"/>
      <charset val="128"/>
      <scheme val="minor"/>
    </font>
    <font>
      <sz val="11"/>
      <color theme="1"/>
      <name val="新細明體"/>
      <family val="2"/>
      <charset val="128"/>
      <scheme val="minor"/>
    </font>
    <font>
      <sz val="11"/>
      <color theme="1"/>
      <name val="新細明體"/>
      <family val="2"/>
      <charset val="128"/>
      <scheme val="minor"/>
    </font>
    <font>
      <sz val="11"/>
      <color theme="1"/>
      <name val="新細明體"/>
      <family val="2"/>
      <charset val="128"/>
      <scheme val="minor"/>
    </font>
    <font>
      <sz val="11"/>
      <color theme="1"/>
      <name val="新細明體"/>
      <family val="2"/>
      <charset val="128"/>
      <scheme val="minor"/>
    </font>
    <font>
      <sz val="11"/>
      <color theme="1"/>
      <name val="新細明體"/>
      <family val="2"/>
      <charset val="128"/>
      <scheme val="minor"/>
    </font>
    <font>
      <sz val="6"/>
      <name val="ＭＳ Ｐゴシック"/>
      <family val="3"/>
      <charset val="128"/>
    </font>
    <font>
      <sz val="6"/>
      <name val="ＭＳ 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0"/>
      <name val="Tahoma"/>
      <family val="2"/>
    </font>
    <font>
      <sz val="11"/>
      <name val="Tahoma"/>
      <family val="2"/>
    </font>
    <font>
      <sz val="10"/>
      <name val="Tahoma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11"/>
      <color rgb="FFFF0000"/>
      <name val="Tahoma"/>
      <family val="2"/>
    </font>
    <font>
      <b/>
      <sz val="9"/>
      <name val="MS Gothic"/>
      <family val="3"/>
    </font>
    <font>
      <sz val="9"/>
      <name val="MS Gothic"/>
      <family val="3"/>
    </font>
    <font>
      <sz val="9"/>
      <color indexed="10"/>
      <name val="MS Gothic"/>
      <family val="3"/>
    </font>
    <font>
      <b/>
      <sz val="9"/>
      <color indexed="10"/>
      <name val="MS Gothic"/>
      <family val="3"/>
    </font>
    <font>
      <sz val="9"/>
      <color rgb="FFFFFF00"/>
      <name val="MS Gothic"/>
      <family val="3"/>
    </font>
    <font>
      <sz val="9"/>
      <color rgb="FFFF0000"/>
      <name val="MS Gothic"/>
      <family val="3"/>
    </font>
  </fonts>
  <fills count="3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70">
    <xf numFmtId="0" fontId="0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9" borderId="34" applyNumberFormat="0" applyAlignment="0" applyProtection="0">
      <alignment vertical="center"/>
    </xf>
    <xf numFmtId="0" fontId="23" fillId="29" borderId="34" applyNumberFormat="0" applyAlignment="0" applyProtection="0">
      <alignment vertical="center"/>
    </xf>
    <xf numFmtId="0" fontId="23" fillId="29" borderId="34" applyNumberFormat="0" applyAlignment="0" applyProtection="0">
      <alignment vertical="center"/>
    </xf>
    <xf numFmtId="0" fontId="23" fillId="29" borderId="34" applyNumberFormat="0" applyAlignment="0" applyProtection="0">
      <alignment vertical="center"/>
    </xf>
    <xf numFmtId="0" fontId="23" fillId="29" borderId="34" applyNumberFormat="0" applyAlignment="0" applyProtection="0">
      <alignment vertical="center"/>
    </xf>
    <xf numFmtId="0" fontId="23" fillId="29" borderId="34" applyNumberFormat="0" applyAlignment="0" applyProtection="0">
      <alignment vertical="center"/>
    </xf>
    <xf numFmtId="0" fontId="23" fillId="29" borderId="34" applyNumberFormat="0" applyAlignment="0" applyProtection="0">
      <alignment vertical="center"/>
    </xf>
    <xf numFmtId="0" fontId="23" fillId="29" borderId="34" applyNumberFormat="0" applyAlignment="0" applyProtection="0">
      <alignment vertical="center"/>
    </xf>
    <xf numFmtId="0" fontId="23" fillId="29" borderId="34" applyNumberFormat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15" fillId="31" borderId="35" applyNumberFormat="0" applyFont="0" applyAlignment="0" applyProtection="0">
      <alignment vertical="center"/>
    </xf>
    <xf numFmtId="0" fontId="15" fillId="31" borderId="35" applyNumberFormat="0" applyFont="0" applyAlignment="0" applyProtection="0">
      <alignment vertical="center"/>
    </xf>
    <xf numFmtId="0" fontId="15" fillId="31" borderId="35" applyNumberFormat="0" applyFont="0" applyAlignment="0" applyProtection="0">
      <alignment vertical="center"/>
    </xf>
    <xf numFmtId="0" fontId="15" fillId="31" borderId="35" applyNumberFormat="0" applyFont="0" applyAlignment="0" applyProtection="0">
      <alignment vertical="center"/>
    </xf>
    <xf numFmtId="0" fontId="15" fillId="31" borderId="35" applyNumberFormat="0" applyFont="0" applyAlignment="0" applyProtection="0">
      <alignment vertical="center"/>
    </xf>
    <xf numFmtId="0" fontId="15" fillId="31" borderId="35" applyNumberFormat="0" applyFont="0" applyAlignment="0" applyProtection="0">
      <alignment vertical="center"/>
    </xf>
    <xf numFmtId="0" fontId="15" fillId="31" borderId="35" applyNumberFormat="0" applyFont="0" applyAlignment="0" applyProtection="0">
      <alignment vertical="center"/>
    </xf>
    <xf numFmtId="0" fontId="15" fillId="31" borderId="35" applyNumberFormat="0" applyFont="0" applyAlignment="0" applyProtection="0">
      <alignment vertical="center"/>
    </xf>
    <xf numFmtId="0" fontId="15" fillId="31" borderId="35" applyNumberFormat="0" applyFont="0" applyAlignment="0" applyProtection="0">
      <alignment vertical="center"/>
    </xf>
    <xf numFmtId="0" fontId="15" fillId="31" borderId="35" applyNumberFormat="0" applyFont="0" applyAlignment="0" applyProtection="0">
      <alignment vertical="center"/>
    </xf>
    <xf numFmtId="0" fontId="15" fillId="31" borderId="35" applyNumberFormat="0" applyFont="0" applyAlignment="0" applyProtection="0">
      <alignment vertical="center"/>
    </xf>
    <xf numFmtId="0" fontId="15" fillId="31" borderId="35" applyNumberFormat="0" applyFont="0" applyAlignment="0" applyProtection="0">
      <alignment vertical="center"/>
    </xf>
    <xf numFmtId="0" fontId="15" fillId="31" borderId="35" applyNumberFormat="0" applyFont="0" applyAlignment="0" applyProtection="0">
      <alignment vertical="center"/>
    </xf>
    <xf numFmtId="0" fontId="15" fillId="31" borderId="35" applyNumberFormat="0" applyFont="0" applyAlignment="0" applyProtection="0">
      <alignment vertical="center"/>
    </xf>
    <xf numFmtId="0" fontId="15" fillId="31" borderId="35" applyNumberFormat="0" applyFont="0" applyAlignment="0" applyProtection="0">
      <alignment vertical="center"/>
    </xf>
    <xf numFmtId="0" fontId="15" fillId="31" borderId="35" applyNumberFormat="0" applyFont="0" applyAlignment="0" applyProtection="0">
      <alignment vertical="center"/>
    </xf>
    <xf numFmtId="0" fontId="15" fillId="31" borderId="35" applyNumberFormat="0" applyFont="0" applyAlignment="0" applyProtection="0">
      <alignment vertical="center"/>
    </xf>
    <xf numFmtId="0" fontId="15" fillId="31" borderId="35" applyNumberFormat="0" applyFont="0" applyAlignment="0" applyProtection="0">
      <alignment vertical="center"/>
    </xf>
    <xf numFmtId="0" fontId="15" fillId="31" borderId="35" applyNumberFormat="0" applyFont="0" applyAlignment="0" applyProtection="0">
      <alignment vertical="center"/>
    </xf>
    <xf numFmtId="0" fontId="15" fillId="31" borderId="35" applyNumberFormat="0" applyFont="0" applyAlignment="0" applyProtection="0">
      <alignment vertical="center"/>
    </xf>
    <xf numFmtId="0" fontId="15" fillId="31" borderId="35" applyNumberFormat="0" applyFont="0" applyAlignment="0" applyProtection="0">
      <alignment vertical="center"/>
    </xf>
    <xf numFmtId="0" fontId="15" fillId="31" borderId="35" applyNumberFormat="0" applyFont="0" applyAlignment="0" applyProtection="0">
      <alignment vertical="center"/>
    </xf>
    <xf numFmtId="0" fontId="15" fillId="31" borderId="35" applyNumberFormat="0" applyFont="0" applyAlignment="0" applyProtection="0">
      <alignment vertical="center"/>
    </xf>
    <xf numFmtId="0" fontId="15" fillId="31" borderId="35" applyNumberFormat="0" applyFont="0" applyAlignment="0" applyProtection="0">
      <alignment vertical="center"/>
    </xf>
    <xf numFmtId="0" fontId="15" fillId="31" borderId="35" applyNumberFormat="0" applyFont="0" applyAlignment="0" applyProtection="0">
      <alignment vertical="center"/>
    </xf>
    <xf numFmtId="0" fontId="15" fillId="31" borderId="35" applyNumberFormat="0" applyFont="0" applyAlignment="0" applyProtection="0">
      <alignment vertical="center"/>
    </xf>
    <xf numFmtId="0" fontId="15" fillId="31" borderId="35" applyNumberFormat="0" applyFont="0" applyAlignment="0" applyProtection="0">
      <alignment vertical="center"/>
    </xf>
    <xf numFmtId="0" fontId="25" fillId="0" borderId="36" applyNumberFormat="0" applyFill="0" applyAlignment="0" applyProtection="0">
      <alignment vertical="center"/>
    </xf>
    <xf numFmtId="0" fontId="25" fillId="0" borderId="36" applyNumberFormat="0" applyFill="0" applyAlignment="0" applyProtection="0">
      <alignment vertical="center"/>
    </xf>
    <xf numFmtId="0" fontId="25" fillId="0" borderId="36" applyNumberFormat="0" applyFill="0" applyAlignment="0" applyProtection="0">
      <alignment vertical="center"/>
    </xf>
    <xf numFmtId="0" fontId="25" fillId="0" borderId="36" applyNumberFormat="0" applyFill="0" applyAlignment="0" applyProtection="0">
      <alignment vertical="center"/>
    </xf>
    <xf numFmtId="0" fontId="25" fillId="0" borderId="36" applyNumberFormat="0" applyFill="0" applyAlignment="0" applyProtection="0">
      <alignment vertical="center"/>
    </xf>
    <xf numFmtId="0" fontId="25" fillId="0" borderId="36" applyNumberFormat="0" applyFill="0" applyAlignment="0" applyProtection="0">
      <alignment vertical="center"/>
    </xf>
    <xf numFmtId="0" fontId="25" fillId="0" borderId="36" applyNumberFormat="0" applyFill="0" applyAlignment="0" applyProtection="0">
      <alignment vertical="center"/>
    </xf>
    <xf numFmtId="0" fontId="25" fillId="0" borderId="36" applyNumberFormat="0" applyFill="0" applyAlignment="0" applyProtection="0">
      <alignment vertical="center"/>
    </xf>
    <xf numFmtId="0" fontId="25" fillId="0" borderId="36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32" borderId="37" applyNumberFormat="0" applyAlignment="0" applyProtection="0">
      <alignment vertical="center"/>
    </xf>
    <xf numFmtId="0" fontId="27" fillId="32" borderId="37" applyNumberFormat="0" applyAlignment="0" applyProtection="0">
      <alignment vertical="center"/>
    </xf>
    <xf numFmtId="0" fontId="27" fillId="32" borderId="37" applyNumberFormat="0" applyAlignment="0" applyProtection="0">
      <alignment vertical="center"/>
    </xf>
    <xf numFmtId="0" fontId="27" fillId="32" borderId="37" applyNumberFormat="0" applyAlignment="0" applyProtection="0">
      <alignment vertical="center"/>
    </xf>
    <xf numFmtId="0" fontId="27" fillId="32" borderId="37" applyNumberFormat="0" applyAlignment="0" applyProtection="0">
      <alignment vertical="center"/>
    </xf>
    <xf numFmtId="0" fontId="27" fillId="32" borderId="37" applyNumberFormat="0" applyAlignment="0" applyProtection="0">
      <alignment vertical="center"/>
    </xf>
    <xf numFmtId="0" fontId="27" fillId="32" borderId="37" applyNumberFormat="0" applyAlignment="0" applyProtection="0">
      <alignment vertical="center"/>
    </xf>
    <xf numFmtId="0" fontId="27" fillId="32" borderId="37" applyNumberFormat="0" applyAlignment="0" applyProtection="0">
      <alignment vertical="center"/>
    </xf>
    <xf numFmtId="0" fontId="27" fillId="32" borderId="37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0" fontId="29" fillId="0" borderId="38" applyNumberFormat="0" applyFill="0" applyAlignment="0" applyProtection="0">
      <alignment vertical="center"/>
    </xf>
    <xf numFmtId="0" fontId="29" fillId="0" borderId="38" applyNumberFormat="0" applyFill="0" applyAlignment="0" applyProtection="0">
      <alignment vertical="center"/>
    </xf>
    <xf numFmtId="0" fontId="29" fillId="0" borderId="38" applyNumberFormat="0" applyFill="0" applyAlignment="0" applyProtection="0">
      <alignment vertical="center"/>
    </xf>
    <xf numFmtId="0" fontId="29" fillId="0" borderId="38" applyNumberFormat="0" applyFill="0" applyAlignment="0" applyProtection="0">
      <alignment vertical="center"/>
    </xf>
    <xf numFmtId="0" fontId="29" fillId="0" borderId="38" applyNumberFormat="0" applyFill="0" applyAlignment="0" applyProtection="0">
      <alignment vertical="center"/>
    </xf>
    <xf numFmtId="0" fontId="29" fillId="0" borderId="38" applyNumberFormat="0" applyFill="0" applyAlignment="0" applyProtection="0">
      <alignment vertical="center"/>
    </xf>
    <xf numFmtId="0" fontId="29" fillId="0" borderId="38" applyNumberFormat="0" applyFill="0" applyAlignment="0" applyProtection="0">
      <alignment vertical="center"/>
    </xf>
    <xf numFmtId="0" fontId="29" fillId="0" borderId="38" applyNumberFormat="0" applyFill="0" applyAlignment="0" applyProtection="0">
      <alignment vertical="center"/>
    </xf>
    <xf numFmtId="0" fontId="29" fillId="0" borderId="38" applyNumberFormat="0" applyFill="0" applyAlignment="0" applyProtection="0">
      <alignment vertical="center"/>
    </xf>
    <xf numFmtId="0" fontId="30" fillId="0" borderId="39" applyNumberFormat="0" applyFill="0" applyAlignment="0" applyProtection="0">
      <alignment vertical="center"/>
    </xf>
    <xf numFmtId="0" fontId="30" fillId="0" borderId="39" applyNumberFormat="0" applyFill="0" applyAlignment="0" applyProtection="0">
      <alignment vertical="center"/>
    </xf>
    <xf numFmtId="0" fontId="30" fillId="0" borderId="39" applyNumberFormat="0" applyFill="0" applyAlignment="0" applyProtection="0">
      <alignment vertical="center"/>
    </xf>
    <xf numFmtId="0" fontId="30" fillId="0" borderId="39" applyNumberFormat="0" applyFill="0" applyAlignment="0" applyProtection="0">
      <alignment vertical="center"/>
    </xf>
    <xf numFmtId="0" fontId="30" fillId="0" borderId="39" applyNumberFormat="0" applyFill="0" applyAlignment="0" applyProtection="0">
      <alignment vertical="center"/>
    </xf>
    <xf numFmtId="0" fontId="30" fillId="0" borderId="39" applyNumberFormat="0" applyFill="0" applyAlignment="0" applyProtection="0">
      <alignment vertical="center"/>
    </xf>
    <xf numFmtId="0" fontId="30" fillId="0" borderId="39" applyNumberFormat="0" applyFill="0" applyAlignment="0" applyProtection="0">
      <alignment vertical="center"/>
    </xf>
    <xf numFmtId="0" fontId="30" fillId="0" borderId="39" applyNumberFormat="0" applyFill="0" applyAlignment="0" applyProtection="0">
      <alignment vertical="center"/>
    </xf>
    <xf numFmtId="0" fontId="30" fillId="0" borderId="39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41" applyNumberFormat="0" applyFill="0" applyAlignment="0" applyProtection="0">
      <alignment vertical="center"/>
    </xf>
    <xf numFmtId="0" fontId="32" fillId="0" borderId="41" applyNumberFormat="0" applyFill="0" applyAlignment="0" applyProtection="0">
      <alignment vertical="center"/>
    </xf>
    <xf numFmtId="0" fontId="32" fillId="0" borderId="41" applyNumberFormat="0" applyFill="0" applyAlignment="0" applyProtection="0">
      <alignment vertical="center"/>
    </xf>
    <xf numFmtId="0" fontId="32" fillId="0" borderId="41" applyNumberFormat="0" applyFill="0" applyAlignment="0" applyProtection="0">
      <alignment vertical="center"/>
    </xf>
    <xf numFmtId="0" fontId="32" fillId="0" borderId="41" applyNumberFormat="0" applyFill="0" applyAlignment="0" applyProtection="0">
      <alignment vertical="center"/>
    </xf>
    <xf numFmtId="0" fontId="32" fillId="0" borderId="41" applyNumberFormat="0" applyFill="0" applyAlignment="0" applyProtection="0">
      <alignment vertical="center"/>
    </xf>
    <xf numFmtId="0" fontId="32" fillId="0" borderId="41" applyNumberFormat="0" applyFill="0" applyAlignment="0" applyProtection="0">
      <alignment vertical="center"/>
    </xf>
    <xf numFmtId="0" fontId="32" fillId="0" borderId="41" applyNumberFormat="0" applyFill="0" applyAlignment="0" applyProtection="0">
      <alignment vertical="center"/>
    </xf>
    <xf numFmtId="0" fontId="32" fillId="0" borderId="41" applyNumberFormat="0" applyFill="0" applyAlignment="0" applyProtection="0">
      <alignment vertical="center"/>
    </xf>
    <xf numFmtId="0" fontId="33" fillId="32" borderId="42" applyNumberFormat="0" applyAlignment="0" applyProtection="0">
      <alignment vertical="center"/>
    </xf>
    <xf numFmtId="0" fontId="33" fillId="32" borderId="42" applyNumberFormat="0" applyAlignment="0" applyProtection="0">
      <alignment vertical="center"/>
    </xf>
    <xf numFmtId="0" fontId="33" fillId="32" borderId="42" applyNumberFormat="0" applyAlignment="0" applyProtection="0">
      <alignment vertical="center"/>
    </xf>
    <xf numFmtId="0" fontId="33" fillId="32" borderId="42" applyNumberFormat="0" applyAlignment="0" applyProtection="0">
      <alignment vertical="center"/>
    </xf>
    <xf numFmtId="0" fontId="33" fillId="32" borderId="42" applyNumberFormat="0" applyAlignment="0" applyProtection="0">
      <alignment vertical="center"/>
    </xf>
    <xf numFmtId="0" fontId="33" fillId="32" borderId="42" applyNumberFormat="0" applyAlignment="0" applyProtection="0">
      <alignment vertical="center"/>
    </xf>
    <xf numFmtId="0" fontId="33" fillId="32" borderId="42" applyNumberFormat="0" applyAlignment="0" applyProtection="0">
      <alignment vertical="center"/>
    </xf>
    <xf numFmtId="0" fontId="33" fillId="32" borderId="42" applyNumberFormat="0" applyAlignment="0" applyProtection="0">
      <alignment vertical="center"/>
    </xf>
    <xf numFmtId="0" fontId="33" fillId="32" borderId="42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6" borderId="37" applyNumberFormat="0" applyAlignment="0" applyProtection="0">
      <alignment vertical="center"/>
    </xf>
    <xf numFmtId="0" fontId="35" fillId="16" borderId="37" applyNumberFormat="0" applyAlignment="0" applyProtection="0">
      <alignment vertical="center"/>
    </xf>
    <xf numFmtId="0" fontId="35" fillId="16" borderId="37" applyNumberFormat="0" applyAlignment="0" applyProtection="0">
      <alignment vertical="center"/>
    </xf>
    <xf numFmtId="0" fontId="35" fillId="16" borderId="37" applyNumberFormat="0" applyAlignment="0" applyProtection="0">
      <alignment vertical="center"/>
    </xf>
    <xf numFmtId="0" fontId="35" fillId="16" borderId="37" applyNumberFormat="0" applyAlignment="0" applyProtection="0">
      <alignment vertical="center"/>
    </xf>
    <xf numFmtId="0" fontId="35" fillId="16" borderId="37" applyNumberFormat="0" applyAlignment="0" applyProtection="0">
      <alignment vertical="center"/>
    </xf>
    <xf numFmtId="0" fontId="35" fillId="16" borderId="37" applyNumberFormat="0" applyAlignment="0" applyProtection="0">
      <alignment vertical="center"/>
    </xf>
    <xf numFmtId="0" fontId="35" fillId="16" borderId="37" applyNumberFormat="0" applyAlignment="0" applyProtection="0">
      <alignment vertical="center"/>
    </xf>
    <xf numFmtId="0" fontId="35" fillId="16" borderId="37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/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</cellStyleXfs>
  <cellXfs count="173">
    <xf numFmtId="0" fontId="0" fillId="0" borderId="0" xfId="0"/>
    <xf numFmtId="0" fontId="0" fillId="0" borderId="0" xfId="0" applyProtection="1"/>
    <xf numFmtId="0" fontId="0" fillId="0" borderId="0" xfId="0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0" fillId="0" borderId="0" xfId="0" applyAlignment="1" applyProtection="1">
      <alignment horizontal="left"/>
    </xf>
    <xf numFmtId="0" fontId="16" fillId="0" borderId="0" xfId="0" applyFont="1" applyProtection="1"/>
    <xf numFmtId="0" fontId="18" fillId="0" borderId="0" xfId="0" applyFont="1" applyFill="1" applyBorder="1" applyAlignment="1" applyProtection="1">
      <alignment horizontal="left" vertical="center"/>
      <protection locked="0"/>
    </xf>
    <xf numFmtId="0" fontId="0" fillId="0" borderId="1" xfId="0" applyBorder="1"/>
    <xf numFmtId="0" fontId="19" fillId="0" borderId="0" xfId="0" applyFont="1" applyFill="1" applyAlignment="1" applyProtection="1">
      <alignment vertical="top"/>
      <protection locked="0"/>
    </xf>
    <xf numFmtId="0" fontId="19" fillId="0" borderId="0" xfId="0" applyFont="1" applyFill="1" applyAlignment="1" applyProtection="1">
      <alignment horizontal="center" vertical="top"/>
      <protection locked="0"/>
    </xf>
    <xf numFmtId="0" fontId="19" fillId="0" borderId="0" xfId="0" applyFont="1" applyFill="1" applyAlignment="1" applyProtection="1">
      <alignment horizontal="left" vertical="top"/>
      <protection locked="0"/>
    </xf>
    <xf numFmtId="0" fontId="19" fillId="0" borderId="0" xfId="0" applyFont="1" applyFill="1" applyAlignment="1" applyProtection="1">
      <alignment vertical="center"/>
      <protection locked="0"/>
    </xf>
    <xf numFmtId="0" fontId="19" fillId="0" borderId="0" xfId="0" applyFont="1" applyFill="1" applyBorder="1" applyAlignment="1" applyProtection="1">
      <alignment horizontal="left" vertical="top"/>
      <protection locked="0"/>
    </xf>
    <xf numFmtId="0" fontId="19" fillId="0" borderId="0" xfId="0" applyFont="1" applyFill="1" applyBorder="1" applyAlignment="1" applyProtection="1">
      <alignment horizontal="center" vertical="center"/>
      <protection locked="0"/>
    </xf>
    <xf numFmtId="0" fontId="19" fillId="0" borderId="0" xfId="0" applyFont="1" applyFill="1" applyBorder="1" applyAlignment="1" applyProtection="1">
      <alignment vertical="top"/>
      <protection locked="0"/>
    </xf>
    <xf numFmtId="0" fontId="19" fillId="0" borderId="2" xfId="0" applyFont="1" applyFill="1" applyBorder="1" applyAlignment="1" applyProtection="1">
      <alignment horizontal="left" vertical="center"/>
      <protection locked="0"/>
    </xf>
    <xf numFmtId="0" fontId="19" fillId="0" borderId="2" xfId="0" applyFont="1" applyFill="1" applyBorder="1" applyAlignment="1" applyProtection="1">
      <alignment horizontal="left" vertical="top"/>
      <protection locked="0"/>
    </xf>
    <xf numFmtId="0" fontId="19" fillId="0" borderId="2" xfId="0" applyFont="1" applyFill="1" applyBorder="1" applyAlignment="1" applyProtection="1">
      <alignment horizontal="center" vertical="center"/>
      <protection locked="0"/>
    </xf>
    <xf numFmtId="0" fontId="19" fillId="0" borderId="2" xfId="0" applyFont="1" applyFill="1" applyBorder="1" applyAlignment="1" applyProtection="1">
      <alignment vertical="top"/>
      <protection locked="0"/>
    </xf>
    <xf numFmtId="0" fontId="19" fillId="0" borderId="0" xfId="0" applyFont="1" applyFill="1" applyAlignment="1" applyProtection="1">
      <alignment horizontal="right" vertical="top"/>
      <protection locked="0"/>
    </xf>
    <xf numFmtId="0" fontId="19" fillId="0" borderId="25" xfId="0" applyFont="1" applyFill="1" applyBorder="1" applyAlignment="1" applyProtection="1">
      <alignment horizontal="center" vertical="top"/>
      <protection locked="0"/>
    </xf>
    <xf numFmtId="0" fontId="19" fillId="0" borderId="14" xfId="0" applyFont="1" applyFill="1" applyBorder="1" applyAlignment="1" applyProtection="1">
      <alignment vertical="top"/>
      <protection locked="0"/>
    </xf>
    <xf numFmtId="0" fontId="19" fillId="0" borderId="17" xfId="0" applyFont="1" applyFill="1" applyBorder="1" applyAlignment="1" applyProtection="1">
      <alignment vertical="top" wrapText="1"/>
      <protection locked="0"/>
    </xf>
    <xf numFmtId="0" fontId="19" fillId="0" borderId="25" xfId="0" applyFont="1" applyFill="1" applyBorder="1" applyAlignment="1" applyProtection="1">
      <alignment horizontal="left" vertical="top"/>
      <protection locked="0"/>
    </xf>
    <xf numFmtId="0" fontId="19" fillId="0" borderId="25" xfId="0" applyFont="1" applyFill="1" applyBorder="1" applyAlignment="1" applyProtection="1">
      <alignment vertical="top"/>
      <protection locked="0"/>
    </xf>
    <xf numFmtId="0" fontId="19" fillId="0" borderId="1" xfId="0" applyFont="1" applyFill="1" applyBorder="1" applyAlignment="1" applyProtection="1">
      <alignment horizontal="center" vertical="top"/>
      <protection locked="0"/>
    </xf>
    <xf numFmtId="0" fontId="19" fillId="0" borderId="1" xfId="0" applyFont="1" applyFill="1" applyBorder="1" applyAlignment="1" applyProtection="1">
      <alignment horizontal="center"/>
      <protection locked="0"/>
    </xf>
    <xf numFmtId="0" fontId="19" fillId="0" borderId="11" xfId="0" applyFont="1" applyFill="1" applyBorder="1" applyAlignment="1" applyProtection="1">
      <alignment horizontal="center" vertical="top"/>
      <protection locked="0"/>
    </xf>
    <xf numFmtId="0" fontId="19" fillId="0" borderId="15" xfId="0" applyFont="1" applyFill="1" applyBorder="1" applyAlignment="1" applyProtection="1">
      <alignment vertical="top"/>
      <protection locked="0"/>
    </xf>
    <xf numFmtId="0" fontId="19" fillId="0" borderId="16" xfId="0" applyFont="1" applyFill="1" applyBorder="1" applyAlignment="1" applyProtection="1">
      <alignment vertical="top"/>
      <protection locked="0"/>
    </xf>
    <xf numFmtId="0" fontId="19" fillId="0" borderId="11" xfId="0" applyFont="1" applyFill="1" applyBorder="1" applyAlignment="1" applyProtection="1">
      <alignment horizontal="left" vertical="top"/>
      <protection locked="0"/>
    </xf>
    <xf numFmtId="0" fontId="19" fillId="0" borderId="11" xfId="0" applyFont="1" applyFill="1" applyBorder="1" applyAlignment="1" applyProtection="1">
      <alignment vertical="top"/>
      <protection locked="0"/>
    </xf>
    <xf numFmtId="0" fontId="19" fillId="0" borderId="3" xfId="0" applyFont="1" applyFill="1" applyBorder="1" applyAlignment="1" applyProtection="1">
      <alignment horizontal="center" vertical="top"/>
      <protection locked="0"/>
    </xf>
    <xf numFmtId="0" fontId="19" fillId="0" borderId="17" xfId="0" applyFont="1" applyFill="1" applyBorder="1" applyAlignment="1" applyProtection="1">
      <alignment vertical="top"/>
      <protection locked="0"/>
    </xf>
    <xf numFmtId="0" fontId="19" fillId="0" borderId="1" xfId="0" applyFont="1" applyFill="1" applyBorder="1" applyAlignment="1" applyProtection="1">
      <alignment horizontal="left" vertical="top" wrapText="1"/>
      <protection locked="0"/>
    </xf>
    <xf numFmtId="0" fontId="19" fillId="0" borderId="3" xfId="0" applyFont="1" applyFill="1" applyBorder="1" applyAlignment="1" applyProtection="1">
      <alignment horizontal="left" vertical="center"/>
      <protection locked="0"/>
    </xf>
    <xf numFmtId="58" fontId="19" fillId="0" borderId="1" xfId="0" applyNumberFormat="1" applyFont="1" applyFill="1" applyBorder="1" applyAlignment="1" applyProtection="1">
      <alignment horizontal="center" vertical="top"/>
      <protection locked="0"/>
    </xf>
    <xf numFmtId="0" fontId="19" fillId="0" borderId="1" xfId="0" applyFont="1" applyFill="1" applyBorder="1" applyProtection="1">
      <protection locked="0"/>
    </xf>
    <xf numFmtId="0" fontId="19" fillId="0" borderId="0" xfId="0" applyFont="1" applyFill="1" applyProtection="1">
      <protection locked="0"/>
    </xf>
    <xf numFmtId="0" fontId="19" fillId="0" borderId="18" xfId="0" applyFont="1" applyFill="1" applyBorder="1" applyAlignment="1" applyProtection="1">
      <alignment vertical="top"/>
      <protection locked="0"/>
    </xf>
    <xf numFmtId="0" fontId="19" fillId="0" borderId="19" xfId="0" applyFont="1" applyFill="1" applyBorder="1" applyAlignment="1" applyProtection="1">
      <alignment vertical="top"/>
      <protection locked="0"/>
    </xf>
    <xf numFmtId="0" fontId="19" fillId="0" borderId="1" xfId="0" applyFont="1" applyFill="1" applyBorder="1" applyAlignment="1" applyProtection="1">
      <alignment horizontal="left" vertical="center"/>
      <protection locked="0"/>
    </xf>
    <xf numFmtId="0" fontId="19" fillId="0" borderId="1" xfId="0" applyFont="1" applyFill="1" applyBorder="1" applyAlignment="1" applyProtection="1">
      <alignment horizontal="left" vertical="top"/>
      <protection locked="0"/>
    </xf>
    <xf numFmtId="0" fontId="19" fillId="0" borderId="0" xfId="0" applyFont="1" applyFill="1" applyAlignment="1" applyProtection="1">
      <alignment horizontal="left"/>
      <protection locked="0"/>
    </xf>
    <xf numFmtId="0" fontId="19" fillId="0" borderId="1" xfId="0" applyFont="1" applyFill="1" applyBorder="1" applyAlignment="1" applyProtection="1">
      <alignment horizontal="center"/>
    </xf>
    <xf numFmtId="0" fontId="19" fillId="0" borderId="0" xfId="0" applyFont="1" applyProtection="1">
      <protection locked="0"/>
    </xf>
    <xf numFmtId="0" fontId="19" fillId="0" borderId="0" xfId="0" applyFont="1" applyAlignment="1" applyProtection="1">
      <alignment horizontal="right"/>
      <protection locked="0"/>
    </xf>
    <xf numFmtId="0" fontId="19" fillId="0" borderId="0" xfId="0" applyFont="1" applyFill="1" applyAlignment="1" applyProtection="1">
      <alignment horizontal="right"/>
      <protection locked="0"/>
    </xf>
    <xf numFmtId="0" fontId="19" fillId="0" borderId="0" xfId="0" applyFont="1" applyAlignment="1" applyProtection="1">
      <alignment horizontal="center"/>
      <protection locked="0"/>
    </xf>
    <xf numFmtId="0" fontId="19" fillId="0" borderId="0" xfId="0" applyFont="1" applyAlignment="1" applyProtection="1">
      <alignment horizontal="left"/>
      <protection locked="0"/>
    </xf>
    <xf numFmtId="0" fontId="19" fillId="0" borderId="6" xfId="0" applyFont="1" applyBorder="1" applyProtection="1">
      <protection locked="0"/>
    </xf>
    <xf numFmtId="0" fontId="18" fillId="0" borderId="7" xfId="0" applyFont="1" applyBorder="1" applyProtection="1">
      <protection locked="0"/>
    </xf>
    <xf numFmtId="0" fontId="19" fillId="0" borderId="8" xfId="0" applyFont="1" applyBorder="1" applyProtection="1">
      <protection locked="0"/>
    </xf>
    <xf numFmtId="0" fontId="19" fillId="0" borderId="9" xfId="0" applyFont="1" applyBorder="1" applyProtection="1">
      <protection locked="0"/>
    </xf>
    <xf numFmtId="0" fontId="19" fillId="0" borderId="12" xfId="0" applyFont="1" applyBorder="1" applyProtection="1">
      <protection locked="0"/>
    </xf>
    <xf numFmtId="0" fontId="19" fillId="0" borderId="13" xfId="0" applyFont="1" applyBorder="1" applyProtection="1">
      <protection locked="0"/>
    </xf>
    <xf numFmtId="0" fontId="17" fillId="0" borderId="0" xfId="0" applyFont="1" applyProtection="1">
      <protection locked="0"/>
    </xf>
    <xf numFmtId="0" fontId="19" fillId="2" borderId="20" xfId="0" applyFont="1" applyFill="1" applyBorder="1" applyProtection="1">
      <protection locked="0"/>
    </xf>
    <xf numFmtId="0" fontId="19" fillId="2" borderId="21" xfId="0" applyFont="1" applyFill="1" applyBorder="1" applyProtection="1">
      <protection locked="0"/>
    </xf>
    <xf numFmtId="0" fontId="19" fillId="2" borderId="21" xfId="0" applyFont="1" applyFill="1" applyBorder="1" applyAlignment="1" applyProtection="1">
      <alignment horizontal="center"/>
      <protection locked="0"/>
    </xf>
    <xf numFmtId="0" fontId="17" fillId="0" borderId="0" xfId="0" applyFont="1" applyBorder="1" applyProtection="1">
      <protection locked="0"/>
    </xf>
    <xf numFmtId="0" fontId="19" fillId="0" borderId="0" xfId="0" applyFont="1" applyFill="1" applyAlignment="1" applyProtection="1">
      <alignment horizontal="center"/>
      <protection locked="0"/>
    </xf>
    <xf numFmtId="0" fontId="18" fillId="0" borderId="0" xfId="0" applyFont="1" applyBorder="1" applyAlignment="1" applyProtection="1">
      <alignment vertical="top"/>
      <protection locked="0"/>
    </xf>
    <xf numFmtId="0" fontId="19" fillId="2" borderId="0" xfId="0" applyFont="1" applyFill="1" applyBorder="1" applyProtection="1">
      <protection locked="0"/>
    </xf>
    <xf numFmtId="0" fontId="19" fillId="2" borderId="22" xfId="0" applyFont="1" applyFill="1" applyBorder="1" applyProtection="1">
      <protection locked="0"/>
    </xf>
    <xf numFmtId="0" fontId="14" fillId="0" borderId="0" xfId="0" applyFont="1" applyFill="1" applyProtection="1">
      <protection locked="0"/>
    </xf>
    <xf numFmtId="0" fontId="19" fillId="0" borderId="0" xfId="0" applyFont="1" applyAlignment="1" applyProtection="1">
      <alignment horizontal="center"/>
    </xf>
    <xf numFmtId="0" fontId="19" fillId="0" borderId="0" xfId="0" applyFont="1" applyProtection="1"/>
    <xf numFmtId="0" fontId="0" fillId="0" borderId="1" xfId="0" applyBorder="1" applyAlignment="1">
      <alignment horizontal="left" vertical="center"/>
    </xf>
    <xf numFmtId="0" fontId="19" fillId="0" borderId="0" xfId="0" applyFont="1" applyFill="1" applyBorder="1" applyAlignment="1" applyProtection="1">
      <alignment horizontal="left" vertical="center"/>
      <protection locked="0"/>
    </xf>
    <xf numFmtId="0" fontId="19" fillId="0" borderId="0" xfId="0" applyFont="1" applyProtection="1">
      <protection locked="0"/>
    </xf>
    <xf numFmtId="14" fontId="0" fillId="0" borderId="1" xfId="0" applyNumberFormat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19" fillId="0" borderId="1" xfId="0" applyFont="1" applyFill="1" applyBorder="1" applyAlignment="1" applyProtection="1">
      <alignment horizontal="center" vertical="top"/>
      <protection locked="0"/>
    </xf>
    <xf numFmtId="0" fontId="19" fillId="0" borderId="0" xfId="0" applyFont="1" applyFill="1" applyProtection="1">
      <protection locked="0"/>
    </xf>
    <xf numFmtId="0" fontId="19" fillId="0" borderId="1" xfId="0" applyFont="1" applyFill="1" applyBorder="1" applyAlignment="1" applyProtection="1">
      <alignment vertical="top"/>
      <protection locked="0"/>
    </xf>
    <xf numFmtId="0" fontId="38" fillId="0" borderId="0" xfId="0" applyFont="1" applyAlignment="1" applyProtection="1">
      <alignment horizontal="left"/>
      <protection locked="0"/>
    </xf>
    <xf numFmtId="0" fontId="39" fillId="0" borderId="0" xfId="0" applyFont="1" applyAlignment="1" applyProtection="1">
      <alignment horizontal="center"/>
      <protection locked="0"/>
    </xf>
    <xf numFmtId="0" fontId="39" fillId="0" borderId="0" xfId="0" applyFont="1" applyBorder="1" applyProtection="1">
      <protection locked="0"/>
    </xf>
    <xf numFmtId="0" fontId="39" fillId="0" borderId="0" xfId="0" applyFont="1" applyProtection="1">
      <protection locked="0"/>
    </xf>
    <xf numFmtId="0" fontId="40" fillId="0" borderId="0" xfId="0" applyFont="1" applyAlignment="1" applyProtection="1">
      <alignment horizontal="left"/>
      <protection locked="0"/>
    </xf>
    <xf numFmtId="0" fontId="39" fillId="0" borderId="5" xfId="0" applyFont="1" applyBorder="1" applyProtection="1">
      <protection locked="0"/>
    </xf>
    <xf numFmtId="0" fontId="39" fillId="0" borderId="0" xfId="0" applyFont="1" applyAlignment="1" applyProtection="1">
      <alignment horizontal="left" vertical="center"/>
      <protection locked="0"/>
    </xf>
    <xf numFmtId="0" fontId="39" fillId="0" borderId="0" xfId="0" applyFont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horizontal="center" vertical="center"/>
      <protection locked="0"/>
    </xf>
    <xf numFmtId="0" fontId="39" fillId="0" borderId="1" xfId="0" applyFont="1" applyBorder="1" applyAlignment="1" applyProtection="1">
      <alignment horizontal="center" vertical="center"/>
      <protection locked="0"/>
    </xf>
    <xf numFmtId="0" fontId="41" fillId="0" borderId="5" xfId="0" applyFont="1" applyBorder="1" applyProtection="1">
      <protection locked="0"/>
    </xf>
    <xf numFmtId="0" fontId="38" fillId="0" borderId="5" xfId="0" applyFont="1" applyBorder="1" applyAlignment="1" applyProtection="1">
      <alignment horizontal="left"/>
    </xf>
    <xf numFmtId="0" fontId="39" fillId="0" borderId="5" xfId="0" applyFont="1" applyBorder="1" applyAlignment="1" applyProtection="1">
      <alignment horizontal="left" vertical="center"/>
    </xf>
    <xf numFmtId="0" fontId="39" fillId="0" borderId="24" xfId="0" applyFont="1" applyBorder="1" applyAlignment="1" applyProtection="1">
      <alignment horizontal="center" vertical="center"/>
      <protection locked="0"/>
    </xf>
    <xf numFmtId="0" fontId="39" fillId="0" borderId="5" xfId="0" applyFont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center" vertical="center"/>
    </xf>
    <xf numFmtId="0" fontId="39" fillId="0" borderId="5" xfId="0" applyFont="1" applyBorder="1" applyAlignment="1" applyProtection="1">
      <alignment horizontal="right" vertical="center"/>
    </xf>
    <xf numFmtId="0" fontId="39" fillId="33" borderId="10" xfId="0" applyFont="1" applyFill="1" applyBorder="1" applyAlignment="1" applyProtection="1">
      <alignment horizontal="center" vertical="center"/>
      <protection locked="0"/>
    </xf>
    <xf numFmtId="0" fontId="39" fillId="10" borderId="8" xfId="0" applyFont="1" applyFill="1" applyBorder="1" applyAlignment="1" applyProtection="1">
      <alignment horizontal="center" vertical="center"/>
      <protection locked="0"/>
    </xf>
    <xf numFmtId="0" fontId="39" fillId="9" borderId="8" xfId="0" applyFont="1" applyFill="1" applyBorder="1" applyAlignment="1" applyProtection="1">
      <alignment horizontal="center" vertical="center"/>
      <protection locked="0"/>
    </xf>
    <xf numFmtId="0" fontId="39" fillId="0" borderId="8" xfId="0" applyFont="1" applyFill="1" applyBorder="1" applyAlignment="1" applyProtection="1">
      <alignment horizontal="center" vertical="center"/>
      <protection locked="0"/>
    </xf>
    <xf numFmtId="0" fontId="39" fillId="5" borderId="8" xfId="0" applyFont="1" applyFill="1" applyBorder="1" applyAlignment="1" applyProtection="1">
      <alignment horizontal="center" vertical="center"/>
      <protection locked="0"/>
    </xf>
    <xf numFmtId="0" fontId="39" fillId="3" borderId="8" xfId="0" applyFont="1" applyFill="1" applyBorder="1" applyAlignment="1" applyProtection="1">
      <alignment horizontal="center" vertical="center"/>
      <protection locked="0"/>
    </xf>
    <xf numFmtId="0" fontId="39" fillId="6" borderId="10" xfId="0" applyFont="1" applyFill="1" applyBorder="1" applyAlignment="1" applyProtection="1">
      <alignment horizontal="center" vertical="center"/>
      <protection locked="0"/>
    </xf>
    <xf numFmtId="0" fontId="39" fillId="7" borderId="8" xfId="0" applyFont="1" applyFill="1" applyBorder="1" applyAlignment="1" applyProtection="1">
      <alignment horizontal="center" vertical="center"/>
      <protection locked="0"/>
    </xf>
    <xf numFmtId="0" fontId="39" fillId="4" borderId="8" xfId="0" applyFont="1" applyFill="1" applyBorder="1" applyAlignment="1" applyProtection="1">
      <alignment horizontal="center" vertical="center"/>
      <protection locked="0"/>
    </xf>
    <xf numFmtId="0" fontId="39" fillId="0" borderId="31" xfId="0" applyFont="1" applyFill="1" applyBorder="1" applyAlignment="1" applyProtection="1">
      <alignment horizontal="center" vertical="center"/>
      <protection locked="0"/>
    </xf>
    <xf numFmtId="0" fontId="39" fillId="0" borderId="8" xfId="0" applyFont="1" applyBorder="1" applyAlignment="1" applyProtection="1">
      <alignment horizontal="center" vertical="center"/>
      <protection locked="0"/>
    </xf>
    <xf numFmtId="0" fontId="42" fillId="8" borderId="23" xfId="0" applyFont="1" applyFill="1" applyBorder="1" applyAlignment="1" applyProtection="1">
      <alignment horizontal="center" vertical="center"/>
      <protection locked="0"/>
    </xf>
    <xf numFmtId="0" fontId="43" fillId="0" borderId="0" xfId="0" applyFont="1" applyProtection="1">
      <protection locked="0"/>
    </xf>
    <xf numFmtId="0" fontId="39" fillId="0" borderId="5" xfId="0" applyFont="1" applyBorder="1" applyAlignment="1" applyProtection="1">
      <alignment horizontal="right" vertical="center"/>
      <protection locked="0"/>
    </xf>
    <xf numFmtId="0" fontId="43" fillId="0" borderId="1" xfId="0" applyFont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locked="0"/>
    </xf>
    <xf numFmtId="0" fontId="39" fillId="0" borderId="43" xfId="0" applyFont="1" applyBorder="1" applyAlignment="1" applyProtection="1">
      <alignment horizontal="center" vertical="center"/>
      <protection locked="0"/>
    </xf>
    <xf numFmtId="0" fontId="39" fillId="0" borderId="0" xfId="0" applyFont="1" applyBorder="1" applyAlignment="1" applyProtection="1">
      <alignment horizontal="center" vertical="center"/>
      <protection locked="0"/>
    </xf>
    <xf numFmtId="0" fontId="39" fillId="0" borderId="0" xfId="0" applyFont="1" applyBorder="1" applyAlignment="1" applyProtection="1">
      <alignment horizontal="left" vertical="center"/>
      <protection locked="0"/>
    </xf>
    <xf numFmtId="0" fontId="39" fillId="0" borderId="0" xfId="0" applyFont="1" applyBorder="1" applyAlignment="1" applyProtection="1">
      <alignment horizontal="left" vertical="center"/>
    </xf>
    <xf numFmtId="0" fontId="39" fillId="0" borderId="0" xfId="0" applyFont="1" applyBorder="1" applyAlignment="1" applyProtection="1">
      <alignment horizontal="center" vertical="center"/>
    </xf>
    <xf numFmtId="0" fontId="38" fillId="0" borderId="0" xfId="0" applyFont="1" applyBorder="1" applyAlignment="1" applyProtection="1">
      <alignment horizontal="center" vertical="center"/>
      <protection locked="0"/>
    </xf>
    <xf numFmtId="0" fontId="39" fillId="0" borderId="0" xfId="0" applyFont="1" applyBorder="1" applyAlignment="1" applyProtection="1">
      <alignment horizontal="right" vertical="center"/>
    </xf>
    <xf numFmtId="0" fontId="39" fillId="0" borderId="0" xfId="0" applyFont="1" applyBorder="1" applyAlignment="1" applyProtection="1">
      <alignment horizontal="right" vertical="center"/>
      <protection locked="0"/>
    </xf>
    <xf numFmtId="0" fontId="39" fillId="0" borderId="0" xfId="0" applyFont="1" applyBorder="1" applyAlignment="1" applyProtection="1">
      <alignment horizontal="left"/>
      <protection locked="0"/>
    </xf>
    <xf numFmtId="0" fontId="39" fillId="0" borderId="0" xfId="0" applyFont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</xf>
    <xf numFmtId="0" fontId="41" fillId="34" borderId="0" xfId="0" applyFont="1" applyFill="1" applyBorder="1" applyAlignment="1" applyProtection="1">
      <alignment horizontal="center" vertical="center"/>
      <protection locked="0"/>
    </xf>
    <xf numFmtId="0" fontId="41" fillId="8" borderId="1" xfId="0" applyFont="1" applyFill="1" applyBorder="1" applyAlignment="1" applyProtection="1">
      <alignment horizontal="center" vertical="center"/>
      <protection locked="0"/>
    </xf>
    <xf numFmtId="0" fontId="41" fillId="4" borderId="1" xfId="0" applyFont="1" applyFill="1" applyBorder="1" applyAlignment="1" applyProtection="1">
      <alignment horizontal="center" vertical="center"/>
      <protection locked="0"/>
    </xf>
    <xf numFmtId="0" fontId="41" fillId="7" borderId="1" xfId="0" applyFont="1" applyFill="1" applyBorder="1" applyAlignment="1" applyProtection="1">
      <alignment horizontal="center" vertical="center"/>
      <protection locked="0"/>
    </xf>
    <xf numFmtId="0" fontId="41" fillId="6" borderId="1" xfId="0" applyFont="1" applyFill="1" applyBorder="1" applyAlignment="1" applyProtection="1">
      <alignment horizontal="center" vertical="center"/>
      <protection locked="0"/>
    </xf>
    <xf numFmtId="0" fontId="41" fillId="3" borderId="1" xfId="0" applyFont="1" applyFill="1" applyBorder="1" applyAlignment="1" applyProtection="1">
      <alignment horizontal="center" vertical="center"/>
      <protection locked="0"/>
    </xf>
    <xf numFmtId="0" fontId="41" fillId="5" borderId="1" xfId="0" applyFont="1" applyFill="1" applyBorder="1" applyAlignment="1" applyProtection="1">
      <alignment horizontal="center" vertical="center"/>
      <protection locked="0"/>
    </xf>
    <xf numFmtId="0" fontId="41" fillId="9" borderId="1" xfId="0" applyFont="1" applyFill="1" applyBorder="1" applyAlignment="1" applyProtection="1">
      <alignment horizontal="center" vertical="center"/>
      <protection locked="0"/>
    </xf>
    <xf numFmtId="0" fontId="41" fillId="10" borderId="1" xfId="0" applyFont="1" applyFill="1" applyBorder="1" applyAlignment="1" applyProtection="1">
      <alignment horizontal="center" vertical="center"/>
      <protection locked="0"/>
    </xf>
    <xf numFmtId="0" fontId="38" fillId="34" borderId="0" xfId="0" applyFont="1" applyFill="1" applyBorder="1" applyAlignment="1" applyProtection="1">
      <alignment horizontal="center" vertical="center"/>
      <protection locked="0"/>
    </xf>
    <xf numFmtId="0" fontId="39" fillId="34" borderId="0" xfId="0" applyFont="1" applyFill="1" applyBorder="1" applyAlignment="1" applyProtection="1">
      <alignment horizontal="center" vertical="center"/>
      <protection locked="0"/>
    </xf>
    <xf numFmtId="0" fontId="43" fillId="34" borderId="0" xfId="0" applyFont="1" applyFill="1" applyBorder="1" applyAlignment="1" applyProtection="1">
      <alignment horizontal="center" vertical="center"/>
      <protection locked="0"/>
    </xf>
    <xf numFmtId="0" fontId="39" fillId="34" borderId="0" xfId="0" applyFont="1" applyFill="1" applyBorder="1" applyAlignment="1" applyProtection="1">
      <alignment horizontal="center"/>
      <protection locked="0"/>
    </xf>
    <xf numFmtId="0" fontId="19" fillId="0" borderId="0" xfId="0" applyFont="1" applyFill="1" applyBorder="1" applyAlignment="1" applyProtection="1">
      <alignment horizontal="center" vertical="top"/>
      <protection locked="0"/>
    </xf>
    <xf numFmtId="0" fontId="19" fillId="0" borderId="0" xfId="0" applyFont="1" applyFill="1" applyBorder="1" applyAlignment="1" applyProtection="1">
      <alignment horizontal="left" vertical="top" wrapText="1"/>
      <protection locked="0"/>
    </xf>
    <xf numFmtId="0" fontId="19" fillId="0" borderId="0" xfId="0" applyFont="1" applyFill="1" applyBorder="1" applyAlignment="1" applyProtection="1">
      <alignment horizontal="center"/>
    </xf>
    <xf numFmtId="58" fontId="19" fillId="0" borderId="0" xfId="0" applyNumberFormat="1" applyFont="1" applyFill="1" applyBorder="1" applyAlignment="1" applyProtection="1">
      <alignment horizontal="center" vertical="top"/>
      <protection locked="0"/>
    </xf>
    <xf numFmtId="0" fontId="19" fillId="0" borderId="0" xfId="0" applyFont="1" applyFill="1" applyBorder="1" applyProtection="1">
      <protection locked="0"/>
    </xf>
    <xf numFmtId="0" fontId="19" fillId="0" borderId="25" xfId="0" applyFont="1" applyFill="1" applyBorder="1" applyAlignment="1" applyProtection="1">
      <alignment horizontal="left" vertical="top" wrapText="1"/>
      <protection locked="0"/>
    </xf>
    <xf numFmtId="0" fontId="19" fillId="0" borderId="44" xfId="0" applyFont="1" applyFill="1" applyBorder="1" applyAlignment="1" applyProtection="1">
      <alignment horizontal="left" vertical="center"/>
      <protection locked="0"/>
    </xf>
    <xf numFmtId="0" fontId="19" fillId="0" borderId="25" xfId="0" applyFont="1" applyFill="1" applyBorder="1" applyAlignment="1" applyProtection="1">
      <alignment horizontal="left" vertical="center"/>
      <protection locked="0"/>
    </xf>
    <xf numFmtId="0" fontId="19" fillId="0" borderId="25" xfId="0" applyFont="1" applyFill="1" applyBorder="1" applyAlignment="1" applyProtection="1">
      <alignment horizontal="center"/>
    </xf>
    <xf numFmtId="58" fontId="19" fillId="0" borderId="25" xfId="0" applyNumberFormat="1" applyFont="1" applyFill="1" applyBorder="1" applyAlignment="1" applyProtection="1">
      <alignment horizontal="center" vertical="top"/>
      <protection locked="0"/>
    </xf>
    <xf numFmtId="0" fontId="19" fillId="0" borderId="25" xfId="0" applyFont="1" applyFill="1" applyBorder="1" applyProtection="1">
      <protection locked="0"/>
    </xf>
    <xf numFmtId="0" fontId="19" fillId="0" borderId="3" xfId="0" applyFont="1" applyBorder="1" applyProtection="1">
      <protection locked="0"/>
    </xf>
    <xf numFmtId="0" fontId="19" fillId="0" borderId="4" xfId="0" applyFont="1" applyBorder="1" applyAlignment="1" applyProtection="1">
      <alignment vertical="top"/>
      <protection locked="0"/>
    </xf>
    <xf numFmtId="0" fontId="19" fillId="0" borderId="4" xfId="0" applyFont="1" applyBorder="1" applyAlignment="1" applyProtection="1">
      <alignment horizontal="left" vertical="top" wrapText="1"/>
      <protection locked="0"/>
    </xf>
    <xf numFmtId="0" fontId="19" fillId="0" borderId="1" xfId="0" applyFont="1" applyBorder="1" applyAlignment="1" applyProtection="1">
      <alignment vertical="top"/>
      <protection locked="0"/>
    </xf>
    <xf numFmtId="0" fontId="19" fillId="0" borderId="1" xfId="0" applyFont="1" applyBorder="1" applyAlignment="1" applyProtection="1">
      <alignment horizontal="left" vertical="top"/>
      <protection locked="0"/>
    </xf>
    <xf numFmtId="0" fontId="39" fillId="0" borderId="26" xfId="0" applyFont="1" applyBorder="1" applyAlignment="1" applyProtection="1">
      <alignment horizontal="center" vertical="center"/>
      <protection locked="0"/>
    </xf>
    <xf numFmtId="0" fontId="39" fillId="0" borderId="27" xfId="0" applyFont="1" applyBorder="1" applyAlignment="1" applyProtection="1">
      <alignment horizontal="center" vertical="center"/>
      <protection locked="0"/>
    </xf>
    <xf numFmtId="0" fontId="39" fillId="33" borderId="29" xfId="0" applyFont="1" applyFill="1" applyBorder="1" applyAlignment="1" applyProtection="1">
      <alignment horizontal="left" vertical="center"/>
      <protection locked="0"/>
    </xf>
    <xf numFmtId="0" fontId="39" fillId="33" borderId="30" xfId="0" applyFont="1" applyFill="1" applyBorder="1" applyAlignment="1" applyProtection="1">
      <alignment horizontal="left" vertical="center"/>
      <protection locked="0"/>
    </xf>
    <xf numFmtId="0" fontId="39" fillId="10" borderId="3" xfId="0" applyFont="1" applyFill="1" applyBorder="1" applyAlignment="1" applyProtection="1">
      <alignment horizontal="left" vertical="center"/>
      <protection locked="0"/>
    </xf>
    <xf numFmtId="0" fontId="39" fillId="10" borderId="28" xfId="0" applyFont="1" applyFill="1" applyBorder="1" applyAlignment="1" applyProtection="1">
      <alignment horizontal="left" vertical="center"/>
      <protection locked="0"/>
    </xf>
    <xf numFmtId="0" fontId="39" fillId="9" borderId="3" xfId="0" applyFont="1" applyFill="1" applyBorder="1" applyAlignment="1" applyProtection="1">
      <alignment horizontal="left" vertical="center"/>
      <protection locked="0"/>
    </xf>
    <xf numFmtId="0" fontId="39" fillId="9" borderId="28" xfId="0" applyFont="1" applyFill="1" applyBorder="1" applyAlignment="1" applyProtection="1">
      <alignment horizontal="left" vertical="center"/>
      <protection locked="0"/>
    </xf>
    <xf numFmtId="0" fontId="39" fillId="0" borderId="3" xfId="0" applyFont="1" applyFill="1" applyBorder="1" applyAlignment="1" applyProtection="1">
      <alignment horizontal="left" vertical="center"/>
      <protection locked="0"/>
    </xf>
    <xf numFmtId="0" fontId="39" fillId="0" borderId="28" xfId="0" applyFont="1" applyFill="1" applyBorder="1" applyAlignment="1" applyProtection="1">
      <alignment horizontal="left" vertical="center"/>
      <protection locked="0"/>
    </xf>
    <xf numFmtId="0" fontId="39" fillId="5" borderId="3" xfId="0" applyFont="1" applyFill="1" applyBorder="1" applyAlignment="1" applyProtection="1">
      <alignment horizontal="left" vertical="center"/>
      <protection locked="0"/>
    </xf>
    <xf numFmtId="0" fontId="39" fillId="5" borderId="28" xfId="0" applyFont="1" applyFill="1" applyBorder="1" applyAlignment="1" applyProtection="1">
      <alignment horizontal="left" vertical="center"/>
      <protection locked="0"/>
    </xf>
    <xf numFmtId="0" fontId="39" fillId="3" borderId="3" xfId="0" applyFont="1" applyFill="1" applyBorder="1" applyAlignment="1" applyProtection="1">
      <alignment horizontal="left" vertical="center"/>
      <protection locked="0"/>
    </xf>
    <xf numFmtId="0" fontId="39" fillId="3" borderId="28" xfId="0" applyFont="1" applyFill="1" applyBorder="1" applyAlignment="1" applyProtection="1">
      <alignment horizontal="left" vertical="center"/>
      <protection locked="0"/>
    </xf>
    <xf numFmtId="0" fontId="39" fillId="6" borderId="3" xfId="0" applyFont="1" applyFill="1" applyBorder="1" applyAlignment="1" applyProtection="1">
      <alignment horizontal="left" vertical="center"/>
      <protection locked="0"/>
    </xf>
    <xf numFmtId="0" fontId="39" fillId="6" borderId="28" xfId="0" applyFont="1" applyFill="1" applyBorder="1" applyAlignment="1" applyProtection="1">
      <alignment horizontal="left" vertical="center"/>
      <protection locked="0"/>
    </xf>
    <xf numFmtId="0" fontId="39" fillId="0" borderId="3" xfId="0" applyFont="1" applyBorder="1" applyAlignment="1" applyProtection="1">
      <alignment horizontal="left" vertical="center"/>
      <protection locked="0"/>
    </xf>
    <xf numFmtId="0" fontId="39" fillId="0" borderId="28" xfId="0" applyFont="1" applyBorder="1" applyAlignment="1" applyProtection="1">
      <alignment horizontal="left" vertical="center"/>
      <protection locked="0"/>
    </xf>
    <xf numFmtId="0" fontId="42" fillId="8" borderId="32" xfId="0" applyFont="1" applyFill="1" applyBorder="1" applyAlignment="1" applyProtection="1">
      <alignment horizontal="left" vertical="center"/>
      <protection locked="0"/>
    </xf>
    <xf numFmtId="0" fontId="42" fillId="8" borderId="33" xfId="0" applyFont="1" applyFill="1" applyBorder="1" applyAlignment="1" applyProtection="1">
      <alignment horizontal="left" vertical="center"/>
      <protection locked="0"/>
    </xf>
    <xf numFmtId="0" fontId="39" fillId="7" borderId="3" xfId="0" applyFont="1" applyFill="1" applyBorder="1" applyAlignment="1" applyProtection="1">
      <alignment horizontal="left" vertical="center"/>
      <protection locked="0"/>
    </xf>
    <xf numFmtId="0" fontId="39" fillId="7" borderId="28" xfId="0" applyFont="1" applyFill="1" applyBorder="1" applyAlignment="1" applyProtection="1">
      <alignment horizontal="left" vertical="center"/>
      <protection locked="0"/>
    </xf>
    <xf numFmtId="0" fontId="39" fillId="4" borderId="3" xfId="0" applyFont="1" applyFill="1" applyBorder="1" applyAlignment="1" applyProtection="1">
      <alignment horizontal="left" vertical="center"/>
      <protection locked="0"/>
    </xf>
    <xf numFmtId="0" fontId="39" fillId="4" borderId="28" xfId="0" applyFont="1" applyFill="1" applyBorder="1" applyAlignment="1" applyProtection="1">
      <alignment horizontal="left" vertical="center"/>
      <protection locked="0"/>
    </xf>
  </cellXfs>
  <cellStyles count="570">
    <cellStyle name="20% - アクセント 1 10" xfId="7" xr:uid="{00000000-0005-0000-0000-000000000000}"/>
    <cellStyle name="20% - アクセント 1 2" xfId="8" xr:uid="{00000000-0005-0000-0000-000001000000}"/>
    <cellStyle name="20% - アクセント 1 3" xfId="9" xr:uid="{00000000-0005-0000-0000-000002000000}"/>
    <cellStyle name="20% - アクセント 1 4" xfId="10" xr:uid="{00000000-0005-0000-0000-000003000000}"/>
    <cellStyle name="20% - アクセント 1 5" xfId="11" xr:uid="{00000000-0005-0000-0000-000004000000}"/>
    <cellStyle name="20% - アクセント 1 6" xfId="12" xr:uid="{00000000-0005-0000-0000-000005000000}"/>
    <cellStyle name="20% - アクセント 1 7" xfId="13" xr:uid="{00000000-0005-0000-0000-000006000000}"/>
    <cellStyle name="20% - アクセント 1 8" xfId="14" xr:uid="{00000000-0005-0000-0000-000007000000}"/>
    <cellStyle name="20% - アクセント 1 9" xfId="15" xr:uid="{00000000-0005-0000-0000-000008000000}"/>
    <cellStyle name="20% - アクセント 2 10" xfId="16" xr:uid="{00000000-0005-0000-0000-000009000000}"/>
    <cellStyle name="20% - アクセント 2 2" xfId="17" xr:uid="{00000000-0005-0000-0000-00000A000000}"/>
    <cellStyle name="20% - アクセント 2 3" xfId="18" xr:uid="{00000000-0005-0000-0000-00000B000000}"/>
    <cellStyle name="20% - アクセント 2 4" xfId="19" xr:uid="{00000000-0005-0000-0000-00000C000000}"/>
    <cellStyle name="20% - アクセント 2 5" xfId="20" xr:uid="{00000000-0005-0000-0000-00000D000000}"/>
    <cellStyle name="20% - アクセント 2 6" xfId="21" xr:uid="{00000000-0005-0000-0000-00000E000000}"/>
    <cellStyle name="20% - アクセント 2 7" xfId="22" xr:uid="{00000000-0005-0000-0000-00000F000000}"/>
    <cellStyle name="20% - アクセント 2 8" xfId="23" xr:uid="{00000000-0005-0000-0000-000010000000}"/>
    <cellStyle name="20% - アクセント 2 9" xfId="24" xr:uid="{00000000-0005-0000-0000-000011000000}"/>
    <cellStyle name="20% - アクセント 3 10" xfId="25" xr:uid="{00000000-0005-0000-0000-000012000000}"/>
    <cellStyle name="20% - アクセント 3 2" xfId="26" xr:uid="{00000000-0005-0000-0000-000013000000}"/>
    <cellStyle name="20% - アクセント 3 3" xfId="27" xr:uid="{00000000-0005-0000-0000-000014000000}"/>
    <cellStyle name="20% - アクセント 3 4" xfId="28" xr:uid="{00000000-0005-0000-0000-000015000000}"/>
    <cellStyle name="20% - アクセント 3 5" xfId="29" xr:uid="{00000000-0005-0000-0000-000016000000}"/>
    <cellStyle name="20% - アクセント 3 6" xfId="30" xr:uid="{00000000-0005-0000-0000-000017000000}"/>
    <cellStyle name="20% - アクセント 3 7" xfId="31" xr:uid="{00000000-0005-0000-0000-000018000000}"/>
    <cellStyle name="20% - アクセント 3 8" xfId="32" xr:uid="{00000000-0005-0000-0000-000019000000}"/>
    <cellStyle name="20% - アクセント 3 9" xfId="33" xr:uid="{00000000-0005-0000-0000-00001A000000}"/>
    <cellStyle name="20% - アクセント 4 10" xfId="34" xr:uid="{00000000-0005-0000-0000-00001B000000}"/>
    <cellStyle name="20% - アクセント 4 2" xfId="35" xr:uid="{00000000-0005-0000-0000-00001C000000}"/>
    <cellStyle name="20% - アクセント 4 3" xfId="36" xr:uid="{00000000-0005-0000-0000-00001D000000}"/>
    <cellStyle name="20% - アクセント 4 4" xfId="37" xr:uid="{00000000-0005-0000-0000-00001E000000}"/>
    <cellStyle name="20% - アクセント 4 5" xfId="38" xr:uid="{00000000-0005-0000-0000-00001F000000}"/>
    <cellStyle name="20% - アクセント 4 6" xfId="39" xr:uid="{00000000-0005-0000-0000-000020000000}"/>
    <cellStyle name="20% - アクセント 4 7" xfId="40" xr:uid="{00000000-0005-0000-0000-000021000000}"/>
    <cellStyle name="20% - アクセント 4 8" xfId="41" xr:uid="{00000000-0005-0000-0000-000022000000}"/>
    <cellStyle name="20% - アクセント 4 9" xfId="42" xr:uid="{00000000-0005-0000-0000-000023000000}"/>
    <cellStyle name="20% - アクセント 5 10" xfId="43" xr:uid="{00000000-0005-0000-0000-000024000000}"/>
    <cellStyle name="20% - アクセント 5 2" xfId="44" xr:uid="{00000000-0005-0000-0000-000025000000}"/>
    <cellStyle name="20% - アクセント 5 3" xfId="45" xr:uid="{00000000-0005-0000-0000-000026000000}"/>
    <cellStyle name="20% - アクセント 5 4" xfId="46" xr:uid="{00000000-0005-0000-0000-000027000000}"/>
    <cellStyle name="20% - アクセント 5 5" xfId="47" xr:uid="{00000000-0005-0000-0000-000028000000}"/>
    <cellStyle name="20% - アクセント 5 6" xfId="48" xr:uid="{00000000-0005-0000-0000-000029000000}"/>
    <cellStyle name="20% - アクセント 5 7" xfId="49" xr:uid="{00000000-0005-0000-0000-00002A000000}"/>
    <cellStyle name="20% - アクセント 5 8" xfId="50" xr:uid="{00000000-0005-0000-0000-00002B000000}"/>
    <cellStyle name="20% - アクセント 5 9" xfId="51" xr:uid="{00000000-0005-0000-0000-00002C000000}"/>
    <cellStyle name="20% - アクセント 6 10" xfId="52" xr:uid="{00000000-0005-0000-0000-00002D000000}"/>
    <cellStyle name="20% - アクセント 6 2" xfId="53" xr:uid="{00000000-0005-0000-0000-00002E000000}"/>
    <cellStyle name="20% - アクセント 6 3" xfId="54" xr:uid="{00000000-0005-0000-0000-00002F000000}"/>
    <cellStyle name="20% - アクセント 6 4" xfId="55" xr:uid="{00000000-0005-0000-0000-000030000000}"/>
    <cellStyle name="20% - アクセント 6 5" xfId="56" xr:uid="{00000000-0005-0000-0000-000031000000}"/>
    <cellStyle name="20% - アクセント 6 6" xfId="57" xr:uid="{00000000-0005-0000-0000-000032000000}"/>
    <cellStyle name="20% - アクセント 6 7" xfId="58" xr:uid="{00000000-0005-0000-0000-000033000000}"/>
    <cellStyle name="20% - アクセント 6 8" xfId="59" xr:uid="{00000000-0005-0000-0000-000034000000}"/>
    <cellStyle name="20% - アクセント 6 9" xfId="60" xr:uid="{00000000-0005-0000-0000-000035000000}"/>
    <cellStyle name="40% - アクセント 1 10" xfId="61" xr:uid="{00000000-0005-0000-0000-000036000000}"/>
    <cellStyle name="40% - アクセント 1 2" xfId="62" xr:uid="{00000000-0005-0000-0000-000037000000}"/>
    <cellStyle name="40% - アクセント 1 3" xfId="63" xr:uid="{00000000-0005-0000-0000-000038000000}"/>
    <cellStyle name="40% - アクセント 1 4" xfId="64" xr:uid="{00000000-0005-0000-0000-000039000000}"/>
    <cellStyle name="40% - アクセント 1 5" xfId="65" xr:uid="{00000000-0005-0000-0000-00003A000000}"/>
    <cellStyle name="40% - アクセント 1 6" xfId="66" xr:uid="{00000000-0005-0000-0000-00003B000000}"/>
    <cellStyle name="40% - アクセント 1 7" xfId="67" xr:uid="{00000000-0005-0000-0000-00003C000000}"/>
    <cellStyle name="40% - アクセント 1 8" xfId="68" xr:uid="{00000000-0005-0000-0000-00003D000000}"/>
    <cellStyle name="40% - アクセント 1 9" xfId="69" xr:uid="{00000000-0005-0000-0000-00003E000000}"/>
    <cellStyle name="40% - アクセント 2 10" xfId="70" xr:uid="{00000000-0005-0000-0000-00003F000000}"/>
    <cellStyle name="40% - アクセント 2 2" xfId="71" xr:uid="{00000000-0005-0000-0000-000040000000}"/>
    <cellStyle name="40% - アクセント 2 3" xfId="72" xr:uid="{00000000-0005-0000-0000-000041000000}"/>
    <cellStyle name="40% - アクセント 2 4" xfId="73" xr:uid="{00000000-0005-0000-0000-000042000000}"/>
    <cellStyle name="40% - アクセント 2 5" xfId="74" xr:uid="{00000000-0005-0000-0000-000043000000}"/>
    <cellStyle name="40% - アクセント 2 6" xfId="75" xr:uid="{00000000-0005-0000-0000-000044000000}"/>
    <cellStyle name="40% - アクセント 2 7" xfId="76" xr:uid="{00000000-0005-0000-0000-000045000000}"/>
    <cellStyle name="40% - アクセント 2 8" xfId="77" xr:uid="{00000000-0005-0000-0000-000046000000}"/>
    <cellStyle name="40% - アクセント 2 9" xfId="78" xr:uid="{00000000-0005-0000-0000-000047000000}"/>
    <cellStyle name="40% - アクセント 3 10" xfId="79" xr:uid="{00000000-0005-0000-0000-000048000000}"/>
    <cellStyle name="40% - アクセント 3 2" xfId="80" xr:uid="{00000000-0005-0000-0000-000049000000}"/>
    <cellStyle name="40% - アクセント 3 3" xfId="81" xr:uid="{00000000-0005-0000-0000-00004A000000}"/>
    <cellStyle name="40% - アクセント 3 4" xfId="82" xr:uid="{00000000-0005-0000-0000-00004B000000}"/>
    <cellStyle name="40% - アクセント 3 5" xfId="83" xr:uid="{00000000-0005-0000-0000-00004C000000}"/>
    <cellStyle name="40% - アクセント 3 6" xfId="84" xr:uid="{00000000-0005-0000-0000-00004D000000}"/>
    <cellStyle name="40% - アクセント 3 7" xfId="85" xr:uid="{00000000-0005-0000-0000-00004E000000}"/>
    <cellStyle name="40% - アクセント 3 8" xfId="86" xr:uid="{00000000-0005-0000-0000-00004F000000}"/>
    <cellStyle name="40% - アクセント 3 9" xfId="87" xr:uid="{00000000-0005-0000-0000-000050000000}"/>
    <cellStyle name="40% - アクセント 4 10" xfId="88" xr:uid="{00000000-0005-0000-0000-000051000000}"/>
    <cellStyle name="40% - アクセント 4 2" xfId="89" xr:uid="{00000000-0005-0000-0000-000052000000}"/>
    <cellStyle name="40% - アクセント 4 3" xfId="90" xr:uid="{00000000-0005-0000-0000-000053000000}"/>
    <cellStyle name="40% - アクセント 4 4" xfId="91" xr:uid="{00000000-0005-0000-0000-000054000000}"/>
    <cellStyle name="40% - アクセント 4 5" xfId="92" xr:uid="{00000000-0005-0000-0000-000055000000}"/>
    <cellStyle name="40% - アクセント 4 6" xfId="93" xr:uid="{00000000-0005-0000-0000-000056000000}"/>
    <cellStyle name="40% - アクセント 4 7" xfId="94" xr:uid="{00000000-0005-0000-0000-000057000000}"/>
    <cellStyle name="40% - アクセント 4 8" xfId="95" xr:uid="{00000000-0005-0000-0000-000058000000}"/>
    <cellStyle name="40% - アクセント 4 9" xfId="96" xr:uid="{00000000-0005-0000-0000-000059000000}"/>
    <cellStyle name="40% - アクセント 5 10" xfId="97" xr:uid="{00000000-0005-0000-0000-00005A000000}"/>
    <cellStyle name="40% - アクセント 5 2" xfId="98" xr:uid="{00000000-0005-0000-0000-00005B000000}"/>
    <cellStyle name="40% - アクセント 5 3" xfId="99" xr:uid="{00000000-0005-0000-0000-00005C000000}"/>
    <cellStyle name="40% - アクセント 5 4" xfId="100" xr:uid="{00000000-0005-0000-0000-00005D000000}"/>
    <cellStyle name="40% - アクセント 5 5" xfId="101" xr:uid="{00000000-0005-0000-0000-00005E000000}"/>
    <cellStyle name="40% - アクセント 5 6" xfId="102" xr:uid="{00000000-0005-0000-0000-00005F000000}"/>
    <cellStyle name="40% - アクセント 5 7" xfId="103" xr:uid="{00000000-0005-0000-0000-000060000000}"/>
    <cellStyle name="40% - アクセント 5 8" xfId="104" xr:uid="{00000000-0005-0000-0000-000061000000}"/>
    <cellStyle name="40% - アクセント 5 9" xfId="105" xr:uid="{00000000-0005-0000-0000-000062000000}"/>
    <cellStyle name="40% - アクセント 6 10" xfId="106" xr:uid="{00000000-0005-0000-0000-000063000000}"/>
    <cellStyle name="40% - アクセント 6 2" xfId="107" xr:uid="{00000000-0005-0000-0000-000064000000}"/>
    <cellStyle name="40% - アクセント 6 3" xfId="108" xr:uid="{00000000-0005-0000-0000-000065000000}"/>
    <cellStyle name="40% - アクセント 6 4" xfId="109" xr:uid="{00000000-0005-0000-0000-000066000000}"/>
    <cellStyle name="40% - アクセント 6 5" xfId="110" xr:uid="{00000000-0005-0000-0000-000067000000}"/>
    <cellStyle name="40% - アクセント 6 6" xfId="111" xr:uid="{00000000-0005-0000-0000-000068000000}"/>
    <cellStyle name="40% - アクセント 6 7" xfId="112" xr:uid="{00000000-0005-0000-0000-000069000000}"/>
    <cellStyle name="40% - アクセント 6 8" xfId="113" xr:uid="{00000000-0005-0000-0000-00006A000000}"/>
    <cellStyle name="40% - アクセント 6 9" xfId="114" xr:uid="{00000000-0005-0000-0000-00006B000000}"/>
    <cellStyle name="60% - アクセント 1 10" xfId="115" xr:uid="{00000000-0005-0000-0000-00006C000000}"/>
    <cellStyle name="60% - アクセント 1 2" xfId="116" xr:uid="{00000000-0005-0000-0000-00006D000000}"/>
    <cellStyle name="60% - アクセント 1 3" xfId="117" xr:uid="{00000000-0005-0000-0000-00006E000000}"/>
    <cellStyle name="60% - アクセント 1 4" xfId="118" xr:uid="{00000000-0005-0000-0000-00006F000000}"/>
    <cellStyle name="60% - アクセント 1 5" xfId="119" xr:uid="{00000000-0005-0000-0000-000070000000}"/>
    <cellStyle name="60% - アクセント 1 6" xfId="120" xr:uid="{00000000-0005-0000-0000-000071000000}"/>
    <cellStyle name="60% - アクセント 1 7" xfId="121" xr:uid="{00000000-0005-0000-0000-000072000000}"/>
    <cellStyle name="60% - アクセント 1 8" xfId="122" xr:uid="{00000000-0005-0000-0000-000073000000}"/>
    <cellStyle name="60% - アクセント 1 9" xfId="123" xr:uid="{00000000-0005-0000-0000-000074000000}"/>
    <cellStyle name="60% - アクセント 2 10" xfId="124" xr:uid="{00000000-0005-0000-0000-000075000000}"/>
    <cellStyle name="60% - アクセント 2 2" xfId="125" xr:uid="{00000000-0005-0000-0000-000076000000}"/>
    <cellStyle name="60% - アクセント 2 3" xfId="126" xr:uid="{00000000-0005-0000-0000-000077000000}"/>
    <cellStyle name="60% - アクセント 2 4" xfId="127" xr:uid="{00000000-0005-0000-0000-000078000000}"/>
    <cellStyle name="60% - アクセント 2 5" xfId="128" xr:uid="{00000000-0005-0000-0000-000079000000}"/>
    <cellStyle name="60% - アクセント 2 6" xfId="129" xr:uid="{00000000-0005-0000-0000-00007A000000}"/>
    <cellStyle name="60% - アクセント 2 7" xfId="130" xr:uid="{00000000-0005-0000-0000-00007B000000}"/>
    <cellStyle name="60% - アクセント 2 8" xfId="131" xr:uid="{00000000-0005-0000-0000-00007C000000}"/>
    <cellStyle name="60% - アクセント 2 9" xfId="132" xr:uid="{00000000-0005-0000-0000-00007D000000}"/>
    <cellStyle name="60% - アクセント 3 10" xfId="133" xr:uid="{00000000-0005-0000-0000-00007E000000}"/>
    <cellStyle name="60% - アクセント 3 2" xfId="134" xr:uid="{00000000-0005-0000-0000-00007F000000}"/>
    <cellStyle name="60% - アクセント 3 3" xfId="135" xr:uid="{00000000-0005-0000-0000-000080000000}"/>
    <cellStyle name="60% - アクセント 3 4" xfId="136" xr:uid="{00000000-0005-0000-0000-000081000000}"/>
    <cellStyle name="60% - アクセント 3 5" xfId="137" xr:uid="{00000000-0005-0000-0000-000082000000}"/>
    <cellStyle name="60% - アクセント 3 6" xfId="138" xr:uid="{00000000-0005-0000-0000-000083000000}"/>
    <cellStyle name="60% - アクセント 3 7" xfId="139" xr:uid="{00000000-0005-0000-0000-000084000000}"/>
    <cellStyle name="60% - アクセント 3 8" xfId="140" xr:uid="{00000000-0005-0000-0000-000085000000}"/>
    <cellStyle name="60% - アクセント 3 9" xfId="141" xr:uid="{00000000-0005-0000-0000-000086000000}"/>
    <cellStyle name="60% - アクセント 4 10" xfId="142" xr:uid="{00000000-0005-0000-0000-000087000000}"/>
    <cellStyle name="60% - アクセント 4 2" xfId="143" xr:uid="{00000000-0005-0000-0000-000088000000}"/>
    <cellStyle name="60% - アクセント 4 3" xfId="144" xr:uid="{00000000-0005-0000-0000-000089000000}"/>
    <cellStyle name="60% - アクセント 4 4" xfId="145" xr:uid="{00000000-0005-0000-0000-00008A000000}"/>
    <cellStyle name="60% - アクセント 4 5" xfId="146" xr:uid="{00000000-0005-0000-0000-00008B000000}"/>
    <cellStyle name="60% - アクセント 4 6" xfId="147" xr:uid="{00000000-0005-0000-0000-00008C000000}"/>
    <cellStyle name="60% - アクセント 4 7" xfId="148" xr:uid="{00000000-0005-0000-0000-00008D000000}"/>
    <cellStyle name="60% - アクセント 4 8" xfId="149" xr:uid="{00000000-0005-0000-0000-00008E000000}"/>
    <cellStyle name="60% - アクセント 4 9" xfId="150" xr:uid="{00000000-0005-0000-0000-00008F000000}"/>
    <cellStyle name="60% - アクセント 5 10" xfId="151" xr:uid="{00000000-0005-0000-0000-000090000000}"/>
    <cellStyle name="60% - アクセント 5 2" xfId="152" xr:uid="{00000000-0005-0000-0000-000091000000}"/>
    <cellStyle name="60% - アクセント 5 3" xfId="153" xr:uid="{00000000-0005-0000-0000-000092000000}"/>
    <cellStyle name="60% - アクセント 5 4" xfId="154" xr:uid="{00000000-0005-0000-0000-000093000000}"/>
    <cellStyle name="60% - アクセント 5 5" xfId="155" xr:uid="{00000000-0005-0000-0000-000094000000}"/>
    <cellStyle name="60% - アクセント 5 6" xfId="156" xr:uid="{00000000-0005-0000-0000-000095000000}"/>
    <cellStyle name="60% - アクセント 5 7" xfId="157" xr:uid="{00000000-0005-0000-0000-000096000000}"/>
    <cellStyle name="60% - アクセント 5 8" xfId="158" xr:uid="{00000000-0005-0000-0000-000097000000}"/>
    <cellStyle name="60% - アクセント 5 9" xfId="159" xr:uid="{00000000-0005-0000-0000-000098000000}"/>
    <cellStyle name="60% - アクセント 6 10" xfId="160" xr:uid="{00000000-0005-0000-0000-000099000000}"/>
    <cellStyle name="60% - アクセント 6 2" xfId="161" xr:uid="{00000000-0005-0000-0000-00009A000000}"/>
    <cellStyle name="60% - アクセント 6 3" xfId="162" xr:uid="{00000000-0005-0000-0000-00009B000000}"/>
    <cellStyle name="60% - アクセント 6 4" xfId="163" xr:uid="{00000000-0005-0000-0000-00009C000000}"/>
    <cellStyle name="60% - アクセント 6 5" xfId="164" xr:uid="{00000000-0005-0000-0000-00009D000000}"/>
    <cellStyle name="60% - アクセント 6 6" xfId="165" xr:uid="{00000000-0005-0000-0000-00009E000000}"/>
    <cellStyle name="60% - アクセント 6 7" xfId="166" xr:uid="{00000000-0005-0000-0000-00009F000000}"/>
    <cellStyle name="60% - アクセント 6 8" xfId="167" xr:uid="{00000000-0005-0000-0000-0000A0000000}"/>
    <cellStyle name="60% - アクセント 6 9" xfId="168" xr:uid="{00000000-0005-0000-0000-0000A1000000}"/>
    <cellStyle name="アクセント 1 10" xfId="169" xr:uid="{00000000-0005-0000-0000-0000A2000000}"/>
    <cellStyle name="アクセント 1 2" xfId="170" xr:uid="{00000000-0005-0000-0000-0000A3000000}"/>
    <cellStyle name="アクセント 1 3" xfId="171" xr:uid="{00000000-0005-0000-0000-0000A4000000}"/>
    <cellStyle name="アクセント 1 4" xfId="172" xr:uid="{00000000-0005-0000-0000-0000A5000000}"/>
    <cellStyle name="アクセント 1 5" xfId="173" xr:uid="{00000000-0005-0000-0000-0000A6000000}"/>
    <cellStyle name="アクセント 1 6" xfId="174" xr:uid="{00000000-0005-0000-0000-0000A7000000}"/>
    <cellStyle name="アクセント 1 7" xfId="175" xr:uid="{00000000-0005-0000-0000-0000A8000000}"/>
    <cellStyle name="アクセント 1 8" xfId="176" xr:uid="{00000000-0005-0000-0000-0000A9000000}"/>
    <cellStyle name="アクセント 1 9" xfId="177" xr:uid="{00000000-0005-0000-0000-0000AA000000}"/>
    <cellStyle name="アクセント 2 10" xfId="178" xr:uid="{00000000-0005-0000-0000-0000AB000000}"/>
    <cellStyle name="アクセント 2 2" xfId="179" xr:uid="{00000000-0005-0000-0000-0000AC000000}"/>
    <cellStyle name="アクセント 2 3" xfId="180" xr:uid="{00000000-0005-0000-0000-0000AD000000}"/>
    <cellStyle name="アクセント 2 4" xfId="181" xr:uid="{00000000-0005-0000-0000-0000AE000000}"/>
    <cellStyle name="アクセント 2 5" xfId="182" xr:uid="{00000000-0005-0000-0000-0000AF000000}"/>
    <cellStyle name="アクセント 2 6" xfId="183" xr:uid="{00000000-0005-0000-0000-0000B0000000}"/>
    <cellStyle name="アクセント 2 7" xfId="184" xr:uid="{00000000-0005-0000-0000-0000B1000000}"/>
    <cellStyle name="アクセント 2 8" xfId="185" xr:uid="{00000000-0005-0000-0000-0000B2000000}"/>
    <cellStyle name="アクセント 2 9" xfId="186" xr:uid="{00000000-0005-0000-0000-0000B3000000}"/>
    <cellStyle name="アクセント 3 10" xfId="187" xr:uid="{00000000-0005-0000-0000-0000B4000000}"/>
    <cellStyle name="アクセント 3 2" xfId="188" xr:uid="{00000000-0005-0000-0000-0000B5000000}"/>
    <cellStyle name="アクセント 3 3" xfId="189" xr:uid="{00000000-0005-0000-0000-0000B6000000}"/>
    <cellStyle name="アクセント 3 4" xfId="190" xr:uid="{00000000-0005-0000-0000-0000B7000000}"/>
    <cellStyle name="アクセント 3 5" xfId="191" xr:uid="{00000000-0005-0000-0000-0000B8000000}"/>
    <cellStyle name="アクセント 3 6" xfId="192" xr:uid="{00000000-0005-0000-0000-0000B9000000}"/>
    <cellStyle name="アクセント 3 7" xfId="193" xr:uid="{00000000-0005-0000-0000-0000BA000000}"/>
    <cellStyle name="アクセント 3 8" xfId="194" xr:uid="{00000000-0005-0000-0000-0000BB000000}"/>
    <cellStyle name="アクセント 3 9" xfId="195" xr:uid="{00000000-0005-0000-0000-0000BC000000}"/>
    <cellStyle name="アクセント 4 10" xfId="196" xr:uid="{00000000-0005-0000-0000-0000BD000000}"/>
    <cellStyle name="アクセント 4 2" xfId="197" xr:uid="{00000000-0005-0000-0000-0000BE000000}"/>
    <cellStyle name="アクセント 4 3" xfId="198" xr:uid="{00000000-0005-0000-0000-0000BF000000}"/>
    <cellStyle name="アクセント 4 4" xfId="199" xr:uid="{00000000-0005-0000-0000-0000C0000000}"/>
    <cellStyle name="アクセント 4 5" xfId="200" xr:uid="{00000000-0005-0000-0000-0000C1000000}"/>
    <cellStyle name="アクセント 4 6" xfId="201" xr:uid="{00000000-0005-0000-0000-0000C2000000}"/>
    <cellStyle name="アクセント 4 7" xfId="202" xr:uid="{00000000-0005-0000-0000-0000C3000000}"/>
    <cellStyle name="アクセント 4 8" xfId="203" xr:uid="{00000000-0005-0000-0000-0000C4000000}"/>
    <cellStyle name="アクセント 4 9" xfId="204" xr:uid="{00000000-0005-0000-0000-0000C5000000}"/>
    <cellStyle name="アクセント 5 10" xfId="205" xr:uid="{00000000-0005-0000-0000-0000C6000000}"/>
    <cellStyle name="アクセント 5 2" xfId="206" xr:uid="{00000000-0005-0000-0000-0000C7000000}"/>
    <cellStyle name="アクセント 5 3" xfId="207" xr:uid="{00000000-0005-0000-0000-0000C8000000}"/>
    <cellStyle name="アクセント 5 4" xfId="208" xr:uid="{00000000-0005-0000-0000-0000C9000000}"/>
    <cellStyle name="アクセント 5 5" xfId="209" xr:uid="{00000000-0005-0000-0000-0000CA000000}"/>
    <cellStyle name="アクセント 5 6" xfId="210" xr:uid="{00000000-0005-0000-0000-0000CB000000}"/>
    <cellStyle name="アクセント 5 7" xfId="211" xr:uid="{00000000-0005-0000-0000-0000CC000000}"/>
    <cellStyle name="アクセント 5 8" xfId="212" xr:uid="{00000000-0005-0000-0000-0000CD000000}"/>
    <cellStyle name="アクセント 5 9" xfId="213" xr:uid="{00000000-0005-0000-0000-0000CE000000}"/>
    <cellStyle name="アクセント 6 10" xfId="214" xr:uid="{00000000-0005-0000-0000-0000CF000000}"/>
    <cellStyle name="アクセント 6 2" xfId="215" xr:uid="{00000000-0005-0000-0000-0000D0000000}"/>
    <cellStyle name="アクセント 6 3" xfId="216" xr:uid="{00000000-0005-0000-0000-0000D1000000}"/>
    <cellStyle name="アクセント 6 4" xfId="217" xr:uid="{00000000-0005-0000-0000-0000D2000000}"/>
    <cellStyle name="アクセント 6 5" xfId="218" xr:uid="{00000000-0005-0000-0000-0000D3000000}"/>
    <cellStyle name="アクセント 6 6" xfId="219" xr:uid="{00000000-0005-0000-0000-0000D4000000}"/>
    <cellStyle name="アクセント 6 7" xfId="220" xr:uid="{00000000-0005-0000-0000-0000D5000000}"/>
    <cellStyle name="アクセント 6 8" xfId="221" xr:uid="{00000000-0005-0000-0000-0000D6000000}"/>
    <cellStyle name="アクセント 6 9" xfId="222" xr:uid="{00000000-0005-0000-0000-0000D7000000}"/>
    <cellStyle name="タイトル 10" xfId="223" xr:uid="{00000000-0005-0000-0000-0000D8000000}"/>
    <cellStyle name="タイトル 2" xfId="224" xr:uid="{00000000-0005-0000-0000-0000D9000000}"/>
    <cellStyle name="タイトル 3" xfId="225" xr:uid="{00000000-0005-0000-0000-0000DA000000}"/>
    <cellStyle name="タイトル 4" xfId="226" xr:uid="{00000000-0005-0000-0000-0000DB000000}"/>
    <cellStyle name="タイトル 5" xfId="227" xr:uid="{00000000-0005-0000-0000-0000DC000000}"/>
    <cellStyle name="タイトル 6" xfId="228" xr:uid="{00000000-0005-0000-0000-0000DD000000}"/>
    <cellStyle name="タイトル 7" xfId="229" xr:uid="{00000000-0005-0000-0000-0000DE000000}"/>
    <cellStyle name="タイトル 8" xfId="230" xr:uid="{00000000-0005-0000-0000-0000DF000000}"/>
    <cellStyle name="タイトル 9" xfId="231" xr:uid="{00000000-0005-0000-0000-0000E0000000}"/>
    <cellStyle name="チェック セル 10" xfId="232" xr:uid="{00000000-0005-0000-0000-0000E1000000}"/>
    <cellStyle name="チェック セル 2" xfId="233" xr:uid="{00000000-0005-0000-0000-0000E2000000}"/>
    <cellStyle name="チェック セル 3" xfId="234" xr:uid="{00000000-0005-0000-0000-0000E3000000}"/>
    <cellStyle name="チェック セル 4" xfId="235" xr:uid="{00000000-0005-0000-0000-0000E4000000}"/>
    <cellStyle name="チェック セル 5" xfId="236" xr:uid="{00000000-0005-0000-0000-0000E5000000}"/>
    <cellStyle name="チェック セル 6" xfId="237" xr:uid="{00000000-0005-0000-0000-0000E6000000}"/>
    <cellStyle name="チェック セル 7" xfId="238" xr:uid="{00000000-0005-0000-0000-0000E7000000}"/>
    <cellStyle name="チェック セル 8" xfId="239" xr:uid="{00000000-0005-0000-0000-0000E8000000}"/>
    <cellStyle name="チェック セル 9" xfId="240" xr:uid="{00000000-0005-0000-0000-0000E9000000}"/>
    <cellStyle name="どちらでもない 10" xfId="241" xr:uid="{00000000-0005-0000-0000-0000EA000000}"/>
    <cellStyle name="どちらでもない 2" xfId="242" xr:uid="{00000000-0005-0000-0000-0000EB000000}"/>
    <cellStyle name="どちらでもない 3" xfId="243" xr:uid="{00000000-0005-0000-0000-0000EC000000}"/>
    <cellStyle name="どちらでもない 4" xfId="244" xr:uid="{00000000-0005-0000-0000-0000ED000000}"/>
    <cellStyle name="どちらでもない 5" xfId="245" xr:uid="{00000000-0005-0000-0000-0000EE000000}"/>
    <cellStyle name="どちらでもない 6" xfId="246" xr:uid="{00000000-0005-0000-0000-0000EF000000}"/>
    <cellStyle name="どちらでもない 7" xfId="247" xr:uid="{00000000-0005-0000-0000-0000F0000000}"/>
    <cellStyle name="どちらでもない 8" xfId="248" xr:uid="{00000000-0005-0000-0000-0000F1000000}"/>
    <cellStyle name="どちらでもない 9" xfId="249" xr:uid="{00000000-0005-0000-0000-0000F2000000}"/>
    <cellStyle name="メモ 10" xfId="250" xr:uid="{00000000-0005-0000-0000-0000F3000000}"/>
    <cellStyle name="メモ 10 2" xfId="251" xr:uid="{00000000-0005-0000-0000-0000F4000000}"/>
    <cellStyle name="メモ 10 3" xfId="252" xr:uid="{00000000-0005-0000-0000-0000F5000000}"/>
    <cellStyle name="メモ 2" xfId="253" xr:uid="{00000000-0005-0000-0000-0000F6000000}"/>
    <cellStyle name="メモ 2 2" xfId="254" xr:uid="{00000000-0005-0000-0000-0000F7000000}"/>
    <cellStyle name="メモ 2 3" xfId="255" xr:uid="{00000000-0005-0000-0000-0000F8000000}"/>
    <cellStyle name="メモ 3" xfId="256" xr:uid="{00000000-0005-0000-0000-0000F9000000}"/>
    <cellStyle name="メモ 3 2" xfId="257" xr:uid="{00000000-0005-0000-0000-0000FA000000}"/>
    <cellStyle name="メモ 3 3" xfId="258" xr:uid="{00000000-0005-0000-0000-0000FB000000}"/>
    <cellStyle name="メモ 4" xfId="259" xr:uid="{00000000-0005-0000-0000-0000FC000000}"/>
    <cellStyle name="メモ 4 2" xfId="260" xr:uid="{00000000-0005-0000-0000-0000FD000000}"/>
    <cellStyle name="メモ 4 3" xfId="261" xr:uid="{00000000-0005-0000-0000-0000FE000000}"/>
    <cellStyle name="メモ 5" xfId="262" xr:uid="{00000000-0005-0000-0000-0000FF000000}"/>
    <cellStyle name="メモ 5 2" xfId="263" xr:uid="{00000000-0005-0000-0000-000000010000}"/>
    <cellStyle name="メモ 5 3" xfId="264" xr:uid="{00000000-0005-0000-0000-000001010000}"/>
    <cellStyle name="メモ 6" xfId="265" xr:uid="{00000000-0005-0000-0000-000002010000}"/>
    <cellStyle name="メモ 6 2" xfId="266" xr:uid="{00000000-0005-0000-0000-000003010000}"/>
    <cellStyle name="メモ 6 3" xfId="267" xr:uid="{00000000-0005-0000-0000-000004010000}"/>
    <cellStyle name="メモ 7" xfId="268" xr:uid="{00000000-0005-0000-0000-000005010000}"/>
    <cellStyle name="メモ 7 2" xfId="269" xr:uid="{00000000-0005-0000-0000-000006010000}"/>
    <cellStyle name="メモ 7 3" xfId="270" xr:uid="{00000000-0005-0000-0000-000007010000}"/>
    <cellStyle name="メモ 8" xfId="271" xr:uid="{00000000-0005-0000-0000-000008010000}"/>
    <cellStyle name="メモ 8 2" xfId="272" xr:uid="{00000000-0005-0000-0000-000009010000}"/>
    <cellStyle name="メモ 8 3" xfId="273" xr:uid="{00000000-0005-0000-0000-00000A010000}"/>
    <cellStyle name="メモ 9" xfId="274" xr:uid="{00000000-0005-0000-0000-00000B010000}"/>
    <cellStyle name="メモ 9 2" xfId="275" xr:uid="{00000000-0005-0000-0000-00000C010000}"/>
    <cellStyle name="メモ 9 3" xfId="276" xr:uid="{00000000-0005-0000-0000-00000D010000}"/>
    <cellStyle name="リンク セル 10" xfId="277" xr:uid="{00000000-0005-0000-0000-00000E010000}"/>
    <cellStyle name="リンク セル 2" xfId="278" xr:uid="{00000000-0005-0000-0000-00000F010000}"/>
    <cellStyle name="リンク セル 3" xfId="279" xr:uid="{00000000-0005-0000-0000-000010010000}"/>
    <cellStyle name="リンク セル 4" xfId="280" xr:uid="{00000000-0005-0000-0000-000011010000}"/>
    <cellStyle name="リンク セル 5" xfId="281" xr:uid="{00000000-0005-0000-0000-000012010000}"/>
    <cellStyle name="リンク セル 6" xfId="282" xr:uid="{00000000-0005-0000-0000-000013010000}"/>
    <cellStyle name="リンク セル 7" xfId="283" xr:uid="{00000000-0005-0000-0000-000014010000}"/>
    <cellStyle name="リンク セル 8" xfId="284" xr:uid="{00000000-0005-0000-0000-000015010000}"/>
    <cellStyle name="リンク セル 9" xfId="285" xr:uid="{00000000-0005-0000-0000-000016010000}"/>
    <cellStyle name="一般" xfId="0" builtinId="0"/>
    <cellStyle name="入力 10" xfId="406" xr:uid="{00000000-0005-0000-0000-00008F010000}"/>
    <cellStyle name="入力 2" xfId="407" xr:uid="{00000000-0005-0000-0000-000090010000}"/>
    <cellStyle name="入力 3" xfId="408" xr:uid="{00000000-0005-0000-0000-000091010000}"/>
    <cellStyle name="入力 4" xfId="409" xr:uid="{00000000-0005-0000-0000-000092010000}"/>
    <cellStyle name="入力 5" xfId="410" xr:uid="{00000000-0005-0000-0000-000093010000}"/>
    <cellStyle name="入力 6" xfId="411" xr:uid="{00000000-0005-0000-0000-000094010000}"/>
    <cellStyle name="入力 7" xfId="412" xr:uid="{00000000-0005-0000-0000-000095010000}"/>
    <cellStyle name="入力 8" xfId="413" xr:uid="{00000000-0005-0000-0000-000096010000}"/>
    <cellStyle name="入力 9" xfId="414" xr:uid="{00000000-0005-0000-0000-000097010000}"/>
    <cellStyle name="出力 10" xfId="388" xr:uid="{00000000-0005-0000-0000-00007D010000}"/>
    <cellStyle name="出力 2" xfId="389" xr:uid="{00000000-0005-0000-0000-00007E010000}"/>
    <cellStyle name="出力 3" xfId="390" xr:uid="{00000000-0005-0000-0000-00007F010000}"/>
    <cellStyle name="出力 4" xfId="391" xr:uid="{00000000-0005-0000-0000-000080010000}"/>
    <cellStyle name="出力 5" xfId="392" xr:uid="{00000000-0005-0000-0000-000081010000}"/>
    <cellStyle name="出力 6" xfId="393" xr:uid="{00000000-0005-0000-0000-000082010000}"/>
    <cellStyle name="出力 7" xfId="394" xr:uid="{00000000-0005-0000-0000-000083010000}"/>
    <cellStyle name="出力 8" xfId="395" xr:uid="{00000000-0005-0000-0000-000084010000}"/>
    <cellStyle name="出力 9" xfId="396" xr:uid="{00000000-0005-0000-0000-000085010000}"/>
    <cellStyle name="良い 10" xfId="466" xr:uid="{00000000-0005-0000-0000-000031020000}"/>
    <cellStyle name="良い 2" xfId="467" xr:uid="{00000000-0005-0000-0000-000032020000}"/>
    <cellStyle name="良い 3" xfId="468" xr:uid="{00000000-0005-0000-0000-000033020000}"/>
    <cellStyle name="良い 4" xfId="469" xr:uid="{00000000-0005-0000-0000-000034020000}"/>
    <cellStyle name="良い 5" xfId="470" xr:uid="{00000000-0005-0000-0000-000035020000}"/>
    <cellStyle name="良い 6" xfId="471" xr:uid="{00000000-0005-0000-0000-000036020000}"/>
    <cellStyle name="良い 7" xfId="472" xr:uid="{00000000-0005-0000-0000-000037020000}"/>
    <cellStyle name="良い 8" xfId="473" xr:uid="{00000000-0005-0000-0000-000038020000}"/>
    <cellStyle name="良い 9" xfId="474" xr:uid="{00000000-0005-0000-0000-000039020000}"/>
    <cellStyle name="見出し 1 10" xfId="343" xr:uid="{00000000-0005-0000-0000-000050010000}"/>
    <cellStyle name="見出し 1 2" xfId="344" xr:uid="{00000000-0005-0000-0000-000051010000}"/>
    <cellStyle name="見出し 1 3" xfId="345" xr:uid="{00000000-0005-0000-0000-000052010000}"/>
    <cellStyle name="見出し 1 4" xfId="346" xr:uid="{00000000-0005-0000-0000-000053010000}"/>
    <cellStyle name="見出し 1 5" xfId="347" xr:uid="{00000000-0005-0000-0000-000054010000}"/>
    <cellStyle name="見出し 1 6" xfId="348" xr:uid="{00000000-0005-0000-0000-000055010000}"/>
    <cellStyle name="見出し 1 7" xfId="349" xr:uid="{00000000-0005-0000-0000-000056010000}"/>
    <cellStyle name="見出し 1 8" xfId="350" xr:uid="{00000000-0005-0000-0000-000057010000}"/>
    <cellStyle name="見出し 1 9" xfId="351" xr:uid="{00000000-0005-0000-0000-000058010000}"/>
    <cellStyle name="見出し 2 10" xfId="352" xr:uid="{00000000-0005-0000-0000-000059010000}"/>
    <cellStyle name="見出し 2 2" xfId="353" xr:uid="{00000000-0005-0000-0000-00005A010000}"/>
    <cellStyle name="見出し 2 3" xfId="354" xr:uid="{00000000-0005-0000-0000-00005B010000}"/>
    <cellStyle name="見出し 2 4" xfId="355" xr:uid="{00000000-0005-0000-0000-00005C010000}"/>
    <cellStyle name="見出し 2 5" xfId="356" xr:uid="{00000000-0005-0000-0000-00005D010000}"/>
    <cellStyle name="見出し 2 6" xfId="357" xr:uid="{00000000-0005-0000-0000-00005E010000}"/>
    <cellStyle name="見出し 2 7" xfId="358" xr:uid="{00000000-0005-0000-0000-00005F010000}"/>
    <cellStyle name="見出し 2 8" xfId="359" xr:uid="{00000000-0005-0000-0000-000060010000}"/>
    <cellStyle name="見出し 2 9" xfId="360" xr:uid="{00000000-0005-0000-0000-000061010000}"/>
    <cellStyle name="見出し 3 10" xfId="361" xr:uid="{00000000-0005-0000-0000-000062010000}"/>
    <cellStyle name="見出し 3 2" xfId="362" xr:uid="{00000000-0005-0000-0000-000063010000}"/>
    <cellStyle name="見出し 3 3" xfId="363" xr:uid="{00000000-0005-0000-0000-000064010000}"/>
    <cellStyle name="見出し 3 4" xfId="364" xr:uid="{00000000-0005-0000-0000-000065010000}"/>
    <cellStyle name="見出し 3 5" xfId="365" xr:uid="{00000000-0005-0000-0000-000066010000}"/>
    <cellStyle name="見出し 3 6" xfId="366" xr:uid="{00000000-0005-0000-0000-000067010000}"/>
    <cellStyle name="見出し 3 7" xfId="367" xr:uid="{00000000-0005-0000-0000-000068010000}"/>
    <cellStyle name="見出し 3 8" xfId="368" xr:uid="{00000000-0005-0000-0000-000069010000}"/>
    <cellStyle name="見出し 3 9" xfId="369" xr:uid="{00000000-0005-0000-0000-00006A010000}"/>
    <cellStyle name="見出し 4 10" xfId="370" xr:uid="{00000000-0005-0000-0000-00006B010000}"/>
    <cellStyle name="見出し 4 2" xfId="371" xr:uid="{00000000-0005-0000-0000-00006C010000}"/>
    <cellStyle name="見出し 4 3" xfId="372" xr:uid="{00000000-0005-0000-0000-00006D010000}"/>
    <cellStyle name="見出し 4 4" xfId="373" xr:uid="{00000000-0005-0000-0000-00006E010000}"/>
    <cellStyle name="見出し 4 5" xfId="374" xr:uid="{00000000-0005-0000-0000-00006F010000}"/>
    <cellStyle name="見出し 4 6" xfId="375" xr:uid="{00000000-0005-0000-0000-000070010000}"/>
    <cellStyle name="見出し 4 7" xfId="376" xr:uid="{00000000-0005-0000-0000-000071010000}"/>
    <cellStyle name="見出し 4 8" xfId="377" xr:uid="{00000000-0005-0000-0000-000072010000}"/>
    <cellStyle name="見出し 4 9" xfId="378" xr:uid="{00000000-0005-0000-0000-000073010000}"/>
    <cellStyle name="計算 10" xfId="295" xr:uid="{00000000-0005-0000-0000-000020010000}"/>
    <cellStyle name="計算 2" xfId="296" xr:uid="{00000000-0005-0000-0000-000021010000}"/>
    <cellStyle name="計算 3" xfId="297" xr:uid="{00000000-0005-0000-0000-000022010000}"/>
    <cellStyle name="計算 4" xfId="298" xr:uid="{00000000-0005-0000-0000-000023010000}"/>
    <cellStyle name="計算 5" xfId="299" xr:uid="{00000000-0005-0000-0000-000024010000}"/>
    <cellStyle name="計算 6" xfId="300" xr:uid="{00000000-0005-0000-0000-000025010000}"/>
    <cellStyle name="計算 7" xfId="301" xr:uid="{00000000-0005-0000-0000-000026010000}"/>
    <cellStyle name="計算 8" xfId="302" xr:uid="{00000000-0005-0000-0000-000027010000}"/>
    <cellStyle name="計算 9" xfId="303" xr:uid="{00000000-0005-0000-0000-000028010000}"/>
    <cellStyle name="桁区切り 2" xfId="313" xr:uid="{00000000-0005-0000-0000-000032010000}"/>
    <cellStyle name="桁区切り 2 10" xfId="314" xr:uid="{00000000-0005-0000-0000-000033010000}"/>
    <cellStyle name="桁区切り 2 10 2" xfId="315" xr:uid="{00000000-0005-0000-0000-000034010000}"/>
    <cellStyle name="桁区切り 2 10 3" xfId="316" xr:uid="{00000000-0005-0000-0000-000035010000}"/>
    <cellStyle name="桁区切り 2 11" xfId="317" xr:uid="{00000000-0005-0000-0000-000036010000}"/>
    <cellStyle name="桁区切り 2 12" xfId="318" xr:uid="{00000000-0005-0000-0000-000037010000}"/>
    <cellStyle name="桁区切り 2 2" xfId="319" xr:uid="{00000000-0005-0000-0000-000038010000}"/>
    <cellStyle name="桁区切り 2 2 2" xfId="320" xr:uid="{00000000-0005-0000-0000-000039010000}"/>
    <cellStyle name="桁区切り 2 2 3" xfId="321" xr:uid="{00000000-0005-0000-0000-00003A010000}"/>
    <cellStyle name="桁区切り 2 3" xfId="322" xr:uid="{00000000-0005-0000-0000-00003B010000}"/>
    <cellStyle name="桁区切り 2 3 2" xfId="323" xr:uid="{00000000-0005-0000-0000-00003C010000}"/>
    <cellStyle name="桁区切り 2 3 3" xfId="324" xr:uid="{00000000-0005-0000-0000-00003D010000}"/>
    <cellStyle name="桁区切り 2 4" xfId="325" xr:uid="{00000000-0005-0000-0000-00003E010000}"/>
    <cellStyle name="桁区切り 2 4 2" xfId="326" xr:uid="{00000000-0005-0000-0000-00003F010000}"/>
    <cellStyle name="桁区切り 2 4 3" xfId="327" xr:uid="{00000000-0005-0000-0000-000040010000}"/>
    <cellStyle name="桁区切り 2 5" xfId="328" xr:uid="{00000000-0005-0000-0000-000041010000}"/>
    <cellStyle name="桁区切り 2 5 2" xfId="329" xr:uid="{00000000-0005-0000-0000-000042010000}"/>
    <cellStyle name="桁区切り 2 5 3" xfId="330" xr:uid="{00000000-0005-0000-0000-000043010000}"/>
    <cellStyle name="桁区切り 2 6" xfId="331" xr:uid="{00000000-0005-0000-0000-000044010000}"/>
    <cellStyle name="桁区切り 2 6 2" xfId="332" xr:uid="{00000000-0005-0000-0000-000045010000}"/>
    <cellStyle name="桁区切り 2 6 3" xfId="333" xr:uid="{00000000-0005-0000-0000-000046010000}"/>
    <cellStyle name="桁区切り 2 7" xfId="334" xr:uid="{00000000-0005-0000-0000-000047010000}"/>
    <cellStyle name="桁区切り 2 7 2" xfId="335" xr:uid="{00000000-0005-0000-0000-000048010000}"/>
    <cellStyle name="桁区切り 2 7 3" xfId="336" xr:uid="{00000000-0005-0000-0000-000049010000}"/>
    <cellStyle name="桁区切り 2 8" xfId="337" xr:uid="{00000000-0005-0000-0000-00004A010000}"/>
    <cellStyle name="桁区切り 2 8 2" xfId="338" xr:uid="{00000000-0005-0000-0000-00004B010000}"/>
    <cellStyle name="桁区切り 2 8 3" xfId="339" xr:uid="{00000000-0005-0000-0000-00004C010000}"/>
    <cellStyle name="桁区切り 2 9" xfId="340" xr:uid="{00000000-0005-0000-0000-00004D010000}"/>
    <cellStyle name="桁区切り 2 9 2" xfId="341" xr:uid="{00000000-0005-0000-0000-00004E010000}"/>
    <cellStyle name="桁区切り 2 9 3" xfId="342" xr:uid="{00000000-0005-0000-0000-00004F010000}"/>
    <cellStyle name="悪い 10" xfId="286" xr:uid="{00000000-0005-0000-0000-000017010000}"/>
    <cellStyle name="悪い 2" xfId="287" xr:uid="{00000000-0005-0000-0000-000018010000}"/>
    <cellStyle name="悪い 3" xfId="288" xr:uid="{00000000-0005-0000-0000-000019010000}"/>
    <cellStyle name="悪い 4" xfId="289" xr:uid="{00000000-0005-0000-0000-00001A010000}"/>
    <cellStyle name="悪い 5" xfId="290" xr:uid="{00000000-0005-0000-0000-00001B010000}"/>
    <cellStyle name="悪い 6" xfId="291" xr:uid="{00000000-0005-0000-0000-00001C010000}"/>
    <cellStyle name="悪い 7" xfId="292" xr:uid="{00000000-0005-0000-0000-00001D010000}"/>
    <cellStyle name="悪い 8" xfId="293" xr:uid="{00000000-0005-0000-0000-00001E010000}"/>
    <cellStyle name="悪い 9" xfId="294" xr:uid="{00000000-0005-0000-0000-00001F010000}"/>
    <cellStyle name="集計 10" xfId="379" xr:uid="{00000000-0005-0000-0000-000074010000}"/>
    <cellStyle name="集計 2" xfId="380" xr:uid="{00000000-0005-0000-0000-000075010000}"/>
    <cellStyle name="集計 3" xfId="381" xr:uid="{00000000-0005-0000-0000-000076010000}"/>
    <cellStyle name="集計 4" xfId="382" xr:uid="{00000000-0005-0000-0000-000077010000}"/>
    <cellStyle name="集計 5" xfId="383" xr:uid="{00000000-0005-0000-0000-000078010000}"/>
    <cellStyle name="集計 6" xfId="384" xr:uid="{00000000-0005-0000-0000-000079010000}"/>
    <cellStyle name="集計 7" xfId="385" xr:uid="{00000000-0005-0000-0000-00007A010000}"/>
    <cellStyle name="集計 8" xfId="386" xr:uid="{00000000-0005-0000-0000-00007B010000}"/>
    <cellStyle name="集計 9" xfId="387" xr:uid="{00000000-0005-0000-0000-00007C010000}"/>
    <cellStyle name="説明文 10" xfId="397" xr:uid="{00000000-0005-0000-0000-000086010000}"/>
    <cellStyle name="説明文 2" xfId="398" xr:uid="{00000000-0005-0000-0000-000087010000}"/>
    <cellStyle name="説明文 3" xfId="399" xr:uid="{00000000-0005-0000-0000-000088010000}"/>
    <cellStyle name="説明文 4" xfId="400" xr:uid="{00000000-0005-0000-0000-000089010000}"/>
    <cellStyle name="説明文 5" xfId="401" xr:uid="{00000000-0005-0000-0000-00008A010000}"/>
    <cellStyle name="説明文 6" xfId="402" xr:uid="{00000000-0005-0000-0000-00008B010000}"/>
    <cellStyle name="説明文 7" xfId="403" xr:uid="{00000000-0005-0000-0000-00008C010000}"/>
    <cellStyle name="説明文 8" xfId="404" xr:uid="{00000000-0005-0000-0000-00008D010000}"/>
    <cellStyle name="説明文 9" xfId="405" xr:uid="{00000000-0005-0000-0000-00008E010000}"/>
    <cellStyle name="標準 10" xfId="482" xr:uid="{00000000-0005-0000-0000-000099010000}"/>
    <cellStyle name="標準 11" xfId="483" xr:uid="{00000000-0005-0000-0000-00009A010000}"/>
    <cellStyle name="標準 12" xfId="484" xr:uid="{00000000-0005-0000-0000-00009B010000}"/>
    <cellStyle name="標準 13" xfId="485" xr:uid="{00000000-0005-0000-0000-00009C010000}"/>
    <cellStyle name="標準 14" xfId="486" xr:uid="{00000000-0005-0000-0000-00009D010000}"/>
    <cellStyle name="標準 15" xfId="487" xr:uid="{00000000-0005-0000-0000-00009E010000}"/>
    <cellStyle name="標準 16" xfId="488" xr:uid="{00000000-0005-0000-0000-00009F010000}"/>
    <cellStyle name="標準 17" xfId="489" xr:uid="{00000000-0005-0000-0000-0000A0010000}"/>
    <cellStyle name="標準 18" xfId="490" xr:uid="{00000000-0005-0000-0000-0000A1010000}"/>
    <cellStyle name="標準 18 2" xfId="509" xr:uid="{00000000-0005-0000-0000-0000A2010000}"/>
    <cellStyle name="標準 18 2 2" xfId="539" xr:uid="{00000000-0005-0000-0000-0000A3010000}"/>
    <cellStyle name="標準 18 2 3" xfId="568" xr:uid="{00000000-0005-0000-0000-0000A4010000}"/>
    <cellStyle name="標準 18 3" xfId="521" xr:uid="{00000000-0005-0000-0000-0000A5010000}"/>
    <cellStyle name="標準 18 4" xfId="550" xr:uid="{00000000-0005-0000-0000-0000A6010000}"/>
    <cellStyle name="標準 2" xfId="1" xr:uid="{00000000-0005-0000-0000-0000A7010000}"/>
    <cellStyle name="標準 2 14" xfId="569" xr:uid="{00000000-0005-0000-0000-0000A8010000}"/>
    <cellStyle name="標準 2 2" xfId="415" xr:uid="{00000000-0005-0000-0000-0000A9010000}"/>
    <cellStyle name="標準 2 2 2" xfId="416" xr:uid="{00000000-0005-0000-0000-0000AA010000}"/>
    <cellStyle name="標準 2 2 3" xfId="417" xr:uid="{00000000-0005-0000-0000-0000AB010000}"/>
    <cellStyle name="標準 2 3" xfId="418" xr:uid="{00000000-0005-0000-0000-0000AC010000}"/>
    <cellStyle name="標準 2 3 2" xfId="419" xr:uid="{00000000-0005-0000-0000-0000AD010000}"/>
    <cellStyle name="標準 2 3 3" xfId="420" xr:uid="{00000000-0005-0000-0000-0000AE010000}"/>
    <cellStyle name="標準 2 4" xfId="421" xr:uid="{00000000-0005-0000-0000-0000AF010000}"/>
    <cellStyle name="標準 2 4 2" xfId="422" xr:uid="{00000000-0005-0000-0000-0000B0010000}"/>
    <cellStyle name="標準 2 4 3" xfId="423" xr:uid="{00000000-0005-0000-0000-0000B1010000}"/>
    <cellStyle name="標準 2 5" xfId="424" xr:uid="{00000000-0005-0000-0000-0000B2010000}"/>
    <cellStyle name="標準 2 6" xfId="425" xr:uid="{00000000-0005-0000-0000-0000B3010000}"/>
    <cellStyle name="標準 3" xfId="2" xr:uid="{00000000-0005-0000-0000-0000B4010000}"/>
    <cellStyle name="標準 3 2" xfId="426" xr:uid="{00000000-0005-0000-0000-0000B5010000}"/>
    <cellStyle name="標準 3 3" xfId="427" xr:uid="{00000000-0005-0000-0000-0000B6010000}"/>
    <cellStyle name="標準 4" xfId="3" xr:uid="{00000000-0005-0000-0000-0000B7010000}"/>
    <cellStyle name="標準 4 2" xfId="428" xr:uid="{00000000-0005-0000-0000-0000B8010000}"/>
    <cellStyle name="標準 4 3" xfId="429" xr:uid="{00000000-0005-0000-0000-0000B9010000}"/>
    <cellStyle name="標準 5" xfId="6" xr:uid="{00000000-0005-0000-0000-0000BA010000}"/>
    <cellStyle name="標準 5 10" xfId="430" xr:uid="{00000000-0005-0000-0000-0000BB010000}"/>
    <cellStyle name="標準 5 10 2" xfId="431" xr:uid="{00000000-0005-0000-0000-0000BC010000}"/>
    <cellStyle name="標準 5 10 3" xfId="432" xr:uid="{00000000-0005-0000-0000-0000BD010000}"/>
    <cellStyle name="標準 5 11" xfId="433" xr:uid="{00000000-0005-0000-0000-0000BE010000}"/>
    <cellStyle name="標準 5 11 2" xfId="476" xr:uid="{00000000-0005-0000-0000-0000BF010000}"/>
    <cellStyle name="標準 5 11 2 2" xfId="492" xr:uid="{00000000-0005-0000-0000-0000C0010000}"/>
    <cellStyle name="標準 5 11 2 2 2" xfId="506" xr:uid="{00000000-0005-0000-0000-0000C1010000}"/>
    <cellStyle name="標準 5 11 2 2 2 2" xfId="536" xr:uid="{00000000-0005-0000-0000-0000C2010000}"/>
    <cellStyle name="標準 5 11 2 2 2 3" xfId="565" xr:uid="{00000000-0005-0000-0000-0000C3010000}"/>
    <cellStyle name="標準 5 11 2 2 3" xfId="523" xr:uid="{00000000-0005-0000-0000-0000C4010000}"/>
    <cellStyle name="標準 5 11 2 2 4" xfId="552" xr:uid="{00000000-0005-0000-0000-0000C5010000}"/>
    <cellStyle name="標準 5 11 2 3" xfId="500" xr:uid="{00000000-0005-0000-0000-0000C6010000}"/>
    <cellStyle name="標準 5 11 2 3 2" xfId="530" xr:uid="{00000000-0005-0000-0000-0000C7010000}"/>
    <cellStyle name="標準 5 11 2 3 3" xfId="559" xr:uid="{00000000-0005-0000-0000-0000C8010000}"/>
    <cellStyle name="標準 5 11 2 4" xfId="515" xr:uid="{00000000-0005-0000-0000-0000C9010000}"/>
    <cellStyle name="標準 5 11 2 5" xfId="544" xr:uid="{00000000-0005-0000-0000-0000CA010000}"/>
    <cellStyle name="標準 5 11 3" xfId="479" xr:uid="{00000000-0005-0000-0000-0000CB010000}"/>
    <cellStyle name="標準 5 11 3 2" xfId="503" xr:uid="{00000000-0005-0000-0000-0000CC010000}"/>
    <cellStyle name="標準 5 11 3 2 2" xfId="533" xr:uid="{00000000-0005-0000-0000-0000CD010000}"/>
    <cellStyle name="標準 5 11 3 2 3" xfId="562" xr:uid="{00000000-0005-0000-0000-0000CE010000}"/>
    <cellStyle name="標準 5 11 3 3" xfId="518" xr:uid="{00000000-0005-0000-0000-0000CF010000}"/>
    <cellStyle name="標準 5 11 3 4" xfId="547" xr:uid="{00000000-0005-0000-0000-0000D0010000}"/>
    <cellStyle name="標準 5 11 4" xfId="497" xr:uid="{00000000-0005-0000-0000-0000D1010000}"/>
    <cellStyle name="標準 5 11 4 2" xfId="527" xr:uid="{00000000-0005-0000-0000-0000D2010000}"/>
    <cellStyle name="標準 5 11 4 3" xfId="556" xr:uid="{00000000-0005-0000-0000-0000D3010000}"/>
    <cellStyle name="標準 5 11 5" xfId="512" xr:uid="{00000000-0005-0000-0000-0000D4010000}"/>
    <cellStyle name="標準 5 11 6" xfId="541" xr:uid="{00000000-0005-0000-0000-0000D5010000}"/>
    <cellStyle name="標準 5 12" xfId="434" xr:uid="{00000000-0005-0000-0000-0000D6010000}"/>
    <cellStyle name="標準 5 12 2" xfId="477" xr:uid="{00000000-0005-0000-0000-0000D7010000}"/>
    <cellStyle name="標準 5 12 2 2" xfId="493" xr:uid="{00000000-0005-0000-0000-0000D8010000}"/>
    <cellStyle name="標準 5 12 2 2 2" xfId="507" xr:uid="{00000000-0005-0000-0000-0000D9010000}"/>
    <cellStyle name="標準 5 12 2 2 2 2" xfId="537" xr:uid="{00000000-0005-0000-0000-0000DA010000}"/>
    <cellStyle name="標準 5 12 2 2 2 3" xfId="566" xr:uid="{00000000-0005-0000-0000-0000DB010000}"/>
    <cellStyle name="標準 5 12 2 2 3" xfId="524" xr:uid="{00000000-0005-0000-0000-0000DC010000}"/>
    <cellStyle name="標準 5 12 2 2 4" xfId="553" xr:uid="{00000000-0005-0000-0000-0000DD010000}"/>
    <cellStyle name="標準 5 12 2 3" xfId="501" xr:uid="{00000000-0005-0000-0000-0000DE010000}"/>
    <cellStyle name="標準 5 12 2 3 2" xfId="531" xr:uid="{00000000-0005-0000-0000-0000DF010000}"/>
    <cellStyle name="標準 5 12 2 3 3" xfId="560" xr:uid="{00000000-0005-0000-0000-0000E0010000}"/>
    <cellStyle name="標準 5 12 2 4" xfId="516" xr:uid="{00000000-0005-0000-0000-0000E1010000}"/>
    <cellStyle name="標準 5 12 2 5" xfId="545" xr:uid="{00000000-0005-0000-0000-0000E2010000}"/>
    <cellStyle name="標準 5 12 3" xfId="480" xr:uid="{00000000-0005-0000-0000-0000E3010000}"/>
    <cellStyle name="標準 5 12 3 2" xfId="504" xr:uid="{00000000-0005-0000-0000-0000E4010000}"/>
    <cellStyle name="標準 5 12 3 2 2" xfId="534" xr:uid="{00000000-0005-0000-0000-0000E5010000}"/>
    <cellStyle name="標準 5 12 3 2 3" xfId="563" xr:uid="{00000000-0005-0000-0000-0000E6010000}"/>
    <cellStyle name="標準 5 12 3 3" xfId="519" xr:uid="{00000000-0005-0000-0000-0000E7010000}"/>
    <cellStyle name="標準 5 12 3 4" xfId="548" xr:uid="{00000000-0005-0000-0000-0000E8010000}"/>
    <cellStyle name="標準 5 12 4" xfId="498" xr:uid="{00000000-0005-0000-0000-0000E9010000}"/>
    <cellStyle name="標準 5 12 4 2" xfId="528" xr:uid="{00000000-0005-0000-0000-0000EA010000}"/>
    <cellStyle name="標準 5 12 4 3" xfId="557" xr:uid="{00000000-0005-0000-0000-0000EB010000}"/>
    <cellStyle name="標準 5 12 5" xfId="513" xr:uid="{00000000-0005-0000-0000-0000EC010000}"/>
    <cellStyle name="標準 5 12 6" xfId="542" xr:uid="{00000000-0005-0000-0000-0000ED010000}"/>
    <cellStyle name="標準 5 13" xfId="475" xr:uid="{00000000-0005-0000-0000-0000EE010000}"/>
    <cellStyle name="標準 5 13 2" xfId="494" xr:uid="{00000000-0005-0000-0000-0000EF010000}"/>
    <cellStyle name="標準 5 13 2 2" xfId="505" xr:uid="{00000000-0005-0000-0000-0000F0010000}"/>
    <cellStyle name="標準 5 13 2 2 2" xfId="535" xr:uid="{00000000-0005-0000-0000-0000F1010000}"/>
    <cellStyle name="標準 5 13 2 2 3" xfId="564" xr:uid="{00000000-0005-0000-0000-0000F2010000}"/>
    <cellStyle name="標準 5 13 2 3" xfId="525" xr:uid="{00000000-0005-0000-0000-0000F3010000}"/>
    <cellStyle name="標準 5 13 2 4" xfId="554" xr:uid="{00000000-0005-0000-0000-0000F4010000}"/>
    <cellStyle name="標準 5 13 3" xfId="499" xr:uid="{00000000-0005-0000-0000-0000F5010000}"/>
    <cellStyle name="標準 5 13 3 2" xfId="529" xr:uid="{00000000-0005-0000-0000-0000F6010000}"/>
    <cellStyle name="標準 5 13 3 3" xfId="558" xr:uid="{00000000-0005-0000-0000-0000F7010000}"/>
    <cellStyle name="標準 5 13 4" xfId="514" xr:uid="{00000000-0005-0000-0000-0000F8010000}"/>
    <cellStyle name="標準 5 13 5" xfId="543" xr:uid="{00000000-0005-0000-0000-0000F9010000}"/>
    <cellStyle name="標準 5 14" xfId="478" xr:uid="{00000000-0005-0000-0000-0000FA010000}"/>
    <cellStyle name="標準 5 14 2" xfId="502" xr:uid="{00000000-0005-0000-0000-0000FB010000}"/>
    <cellStyle name="標準 5 14 2 2" xfId="532" xr:uid="{00000000-0005-0000-0000-0000FC010000}"/>
    <cellStyle name="標準 5 14 2 3" xfId="561" xr:uid="{00000000-0005-0000-0000-0000FD010000}"/>
    <cellStyle name="標準 5 14 3" xfId="517" xr:uid="{00000000-0005-0000-0000-0000FE010000}"/>
    <cellStyle name="標準 5 14 4" xfId="546" xr:uid="{00000000-0005-0000-0000-0000FF010000}"/>
    <cellStyle name="標準 5 15" xfId="495" xr:uid="{00000000-0005-0000-0000-000000020000}"/>
    <cellStyle name="標準 5 16" xfId="496" xr:uid="{00000000-0005-0000-0000-000001020000}"/>
    <cellStyle name="標準 5 16 2" xfId="526" xr:uid="{00000000-0005-0000-0000-000002020000}"/>
    <cellStyle name="標準 5 16 3" xfId="555" xr:uid="{00000000-0005-0000-0000-000003020000}"/>
    <cellStyle name="標準 5 17" xfId="511" xr:uid="{00000000-0005-0000-0000-000004020000}"/>
    <cellStyle name="標準 5 18" xfId="540" xr:uid="{00000000-0005-0000-0000-000005020000}"/>
    <cellStyle name="標準 5 2" xfId="435" xr:uid="{00000000-0005-0000-0000-000006020000}"/>
    <cellStyle name="標準 5 2 2" xfId="436" xr:uid="{00000000-0005-0000-0000-000007020000}"/>
    <cellStyle name="標準 5 2 3" xfId="437" xr:uid="{00000000-0005-0000-0000-000008020000}"/>
    <cellStyle name="標準 5 3" xfId="438" xr:uid="{00000000-0005-0000-0000-000009020000}"/>
    <cellStyle name="標準 5 3 2" xfId="439" xr:uid="{00000000-0005-0000-0000-00000A020000}"/>
    <cellStyle name="標準 5 3 3" xfId="440" xr:uid="{00000000-0005-0000-0000-00000B020000}"/>
    <cellStyle name="標準 5 4" xfId="441" xr:uid="{00000000-0005-0000-0000-00000C020000}"/>
    <cellStyle name="標準 5 4 2" xfId="442" xr:uid="{00000000-0005-0000-0000-00000D020000}"/>
    <cellStyle name="標準 5 4 3" xfId="443" xr:uid="{00000000-0005-0000-0000-00000E020000}"/>
    <cellStyle name="標準 5 5" xfId="444" xr:uid="{00000000-0005-0000-0000-00000F020000}"/>
    <cellStyle name="標準 5 5 2" xfId="445" xr:uid="{00000000-0005-0000-0000-000010020000}"/>
    <cellStyle name="標準 5 5 3" xfId="446" xr:uid="{00000000-0005-0000-0000-000011020000}"/>
    <cellStyle name="標準 5 6" xfId="447" xr:uid="{00000000-0005-0000-0000-000012020000}"/>
    <cellStyle name="標準 5 6 2" xfId="448" xr:uid="{00000000-0005-0000-0000-000013020000}"/>
    <cellStyle name="標準 5 6 3" xfId="449" xr:uid="{00000000-0005-0000-0000-000014020000}"/>
    <cellStyle name="標準 5 7" xfId="450" xr:uid="{00000000-0005-0000-0000-000015020000}"/>
    <cellStyle name="標準 5 7 2" xfId="451" xr:uid="{00000000-0005-0000-0000-000016020000}"/>
    <cellStyle name="標準 5 7 3" xfId="452" xr:uid="{00000000-0005-0000-0000-000017020000}"/>
    <cellStyle name="標準 5 8" xfId="453" xr:uid="{00000000-0005-0000-0000-000018020000}"/>
    <cellStyle name="標準 5 8 2" xfId="454" xr:uid="{00000000-0005-0000-0000-000019020000}"/>
    <cellStyle name="標準 5 8 3" xfId="455" xr:uid="{00000000-0005-0000-0000-00001A020000}"/>
    <cellStyle name="標準 5 9" xfId="456" xr:uid="{00000000-0005-0000-0000-00001B020000}"/>
    <cellStyle name="標準 5 9 2" xfId="457" xr:uid="{00000000-0005-0000-0000-00001C020000}"/>
    <cellStyle name="標準 5 9 3" xfId="458" xr:uid="{00000000-0005-0000-0000-00001D020000}"/>
    <cellStyle name="標準 6" xfId="4" xr:uid="{00000000-0005-0000-0000-00001E020000}"/>
    <cellStyle name="標準 6 2" xfId="459" xr:uid="{00000000-0005-0000-0000-00001F020000}"/>
    <cellStyle name="標準 6 3" xfId="460" xr:uid="{00000000-0005-0000-0000-000020020000}"/>
    <cellStyle name="標準 7" xfId="5" xr:uid="{00000000-0005-0000-0000-000021020000}"/>
    <cellStyle name="標準 7 2" xfId="461" xr:uid="{00000000-0005-0000-0000-000022020000}"/>
    <cellStyle name="標準 7 3" xfId="462" xr:uid="{00000000-0005-0000-0000-000023020000}"/>
    <cellStyle name="標準 8" xfId="463" xr:uid="{00000000-0005-0000-0000-000024020000}"/>
    <cellStyle name="標準 8 2" xfId="464" xr:uid="{00000000-0005-0000-0000-000025020000}"/>
    <cellStyle name="標準 8 3" xfId="465" xr:uid="{00000000-0005-0000-0000-000026020000}"/>
    <cellStyle name="標準 9" xfId="481" xr:uid="{00000000-0005-0000-0000-000027020000}"/>
    <cellStyle name="標準 9 2" xfId="491" xr:uid="{00000000-0005-0000-0000-000028020000}"/>
    <cellStyle name="標準 9 2 2" xfId="510" xr:uid="{00000000-0005-0000-0000-000029020000}"/>
    <cellStyle name="標準 9 2 3" xfId="522" xr:uid="{00000000-0005-0000-0000-00002A020000}"/>
    <cellStyle name="標準 9 2 4" xfId="551" xr:uid="{00000000-0005-0000-0000-00002B020000}"/>
    <cellStyle name="標準 9 3" xfId="508" xr:uid="{00000000-0005-0000-0000-00002C020000}"/>
    <cellStyle name="標準 9 3 2" xfId="538" xr:uid="{00000000-0005-0000-0000-00002D020000}"/>
    <cellStyle name="標準 9 3 3" xfId="567" xr:uid="{00000000-0005-0000-0000-00002E020000}"/>
    <cellStyle name="標準 9 4" xfId="520" xr:uid="{00000000-0005-0000-0000-00002F020000}"/>
    <cellStyle name="標準 9 5" xfId="549" xr:uid="{00000000-0005-0000-0000-000030020000}"/>
    <cellStyle name="警告文 10" xfId="304" xr:uid="{00000000-0005-0000-0000-000029010000}"/>
    <cellStyle name="警告文 2" xfId="305" xr:uid="{00000000-0005-0000-0000-00002A010000}"/>
    <cellStyle name="警告文 3" xfId="306" xr:uid="{00000000-0005-0000-0000-00002B010000}"/>
    <cellStyle name="警告文 4" xfId="307" xr:uid="{00000000-0005-0000-0000-00002C010000}"/>
    <cellStyle name="警告文 5" xfId="308" xr:uid="{00000000-0005-0000-0000-00002D010000}"/>
    <cellStyle name="警告文 6" xfId="309" xr:uid="{00000000-0005-0000-0000-00002E010000}"/>
    <cellStyle name="警告文 7" xfId="310" xr:uid="{00000000-0005-0000-0000-00002F010000}"/>
    <cellStyle name="警告文 8" xfId="311" xr:uid="{00000000-0005-0000-0000-000030010000}"/>
    <cellStyle name="警告文 9" xfId="312" xr:uid="{00000000-0005-0000-0000-000031010000}"/>
  </cellStyles>
  <dxfs count="247"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indexed="42"/>
        </patternFill>
      </fill>
    </dxf>
    <dxf>
      <fill>
        <patternFill>
          <bgColor indexed="51"/>
        </patternFill>
      </fill>
    </dxf>
    <dxf>
      <fill>
        <patternFill>
          <bgColor indexed="43"/>
        </patternFill>
      </fill>
    </dxf>
    <dxf>
      <fill>
        <patternFill>
          <bgColor indexed="41"/>
        </patternFill>
      </fill>
    </dxf>
    <dxf>
      <fill>
        <patternFill>
          <bgColor indexed="51"/>
        </patternFill>
      </fill>
    </dxf>
    <dxf>
      <font>
        <condense val="0"/>
        <extend val="0"/>
        <color auto="1"/>
      </font>
      <fill>
        <patternFill>
          <bgColor indexed="43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0" defaultTableStyle="TableStyleMedium9" defaultPivotStyle="PivotStyleLight16"/>
  <colors>
    <mruColors>
      <color rgb="FF17B977"/>
      <color rgb="FF53B31D"/>
      <color rgb="FF0000FF"/>
      <color rgb="FF16703F"/>
      <color rgb="FF7B93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2438400</xdr:colOff>
          <xdr:row>1</xdr:row>
          <xdr:rowOff>0</xdr:rowOff>
        </xdr:from>
        <xdr:to>
          <xdr:col>2</xdr:col>
          <xdr:colOff>1371600</xdr:colOff>
          <xdr:row>3</xdr:row>
          <xdr:rowOff>9525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zh-TW" altLang="en-US" sz="1100" b="1" i="0" u="none" strike="noStrike" baseline="0">
                  <a:solidFill>
                    <a:srgbClr val="FF0000"/>
                  </a:solidFill>
                  <a:latin typeface="Tahoma"/>
                  <a:cs typeface="Tahoma"/>
                </a:rPr>
                <a:t>Individual Create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prj_m12mo\final_platform\Module\Excel_Bin\MemMa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story of this file"/>
      <sheetName val="Macro history"/>
      <sheetName val="Macro version"/>
      <sheetName val="WORK"/>
      <sheetName val="Whole chart(BIN)"/>
    </sheetNames>
    <definedNames>
      <definedName name="ROM_HEAD_MAKE"/>
    </defined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BV115"/>
  <sheetViews>
    <sheetView zoomScale="85" zoomScaleNormal="85" workbookViewId="0">
      <selection activeCell="A7" sqref="A7:XFD37"/>
    </sheetView>
  </sheetViews>
  <sheetFormatPr defaultRowHeight="13.5"/>
  <cols>
    <col min="2" max="2" width="11.625" bestFit="1" customWidth="1"/>
    <col min="3" max="3" width="13" customWidth="1"/>
    <col min="4" max="4" width="73.75" bestFit="1" customWidth="1"/>
  </cols>
  <sheetData>
    <row r="2" spans="2:4">
      <c r="B2" t="s">
        <v>314</v>
      </c>
    </row>
    <row r="5" spans="2:4">
      <c r="B5" s="7" t="s">
        <v>315</v>
      </c>
      <c r="C5" s="7"/>
      <c r="D5" s="7"/>
    </row>
    <row r="6" spans="2:4">
      <c r="B6" s="7" t="s">
        <v>316</v>
      </c>
      <c r="C6" s="7" t="s">
        <v>317</v>
      </c>
      <c r="D6" s="7" t="s">
        <v>318</v>
      </c>
    </row>
    <row r="7" spans="2:4">
      <c r="B7" s="71"/>
      <c r="C7" s="68"/>
      <c r="D7" s="68"/>
    </row>
    <row r="8" spans="2:4">
      <c r="C8" s="72"/>
    </row>
    <row r="115" spans="74:74">
      <c r="BV115" t="s">
        <v>335</v>
      </c>
    </row>
  </sheetData>
  <phoneticPr fontId="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/>
  </sheetPr>
  <dimension ref="A1:N3991"/>
  <sheetViews>
    <sheetView zoomScale="85" zoomScaleNormal="85" workbookViewId="0">
      <selection activeCell="G2582" sqref="G2582"/>
    </sheetView>
  </sheetViews>
  <sheetFormatPr defaultColWidth="9" defaultRowHeight="12.75" outlineLevelRow="1"/>
  <cols>
    <col min="1" max="1" width="2" style="38" customWidth="1"/>
    <col min="2" max="2" width="7.125" style="38" customWidth="1"/>
    <col min="3" max="3" width="36" style="38" customWidth="1"/>
    <col min="4" max="4" width="5.75" style="38" customWidth="1"/>
    <col min="5" max="5" width="11.625" style="43" customWidth="1"/>
    <col min="6" max="6" width="12.5" style="38" customWidth="1"/>
    <col min="7" max="7" width="29" style="38" customWidth="1"/>
    <col min="8" max="8" width="27.75" style="38" customWidth="1"/>
    <col min="9" max="9" width="10" style="38" customWidth="1"/>
    <col min="10" max="10" width="15.5" style="38" customWidth="1"/>
    <col min="11" max="11" width="58.75" style="38" customWidth="1"/>
    <col min="12" max="12" width="6.375" style="38" customWidth="1"/>
    <col min="13" max="16384" width="9" style="38"/>
  </cols>
  <sheetData>
    <row r="1" spans="1:14" s="8" customFormat="1">
      <c r="B1" s="9"/>
      <c r="C1" s="8" t="s">
        <v>334</v>
      </c>
      <c r="E1" s="10"/>
      <c r="F1" s="11"/>
      <c r="G1" s="69"/>
      <c r="H1" s="12"/>
      <c r="I1" s="13"/>
      <c r="J1" s="69"/>
      <c r="K1" s="14"/>
    </row>
    <row r="2" spans="1:14" s="8" customFormat="1" ht="14.25">
      <c r="B2" s="9"/>
      <c r="E2" s="10"/>
      <c r="F2" s="11"/>
      <c r="G2" s="69"/>
      <c r="H2" s="12"/>
      <c r="I2" s="13"/>
      <c r="J2" s="6"/>
      <c r="K2" s="14"/>
      <c r="L2" s="69"/>
      <c r="M2" s="69"/>
    </row>
    <row r="3" spans="1:14" s="8" customFormat="1" ht="14.25">
      <c r="B3" s="9"/>
      <c r="E3" s="10"/>
      <c r="F3" s="11"/>
      <c r="G3" s="69"/>
      <c r="H3" s="12"/>
      <c r="I3" s="13"/>
      <c r="J3" s="6"/>
      <c r="K3" s="14"/>
      <c r="L3" s="69"/>
      <c r="M3" s="69"/>
    </row>
    <row r="4" spans="1:14" s="8" customFormat="1">
      <c r="B4" s="9"/>
      <c r="E4" s="10"/>
      <c r="F4" s="11"/>
      <c r="G4" s="15"/>
      <c r="H4" s="16"/>
      <c r="I4" s="17"/>
      <c r="J4" s="15"/>
      <c r="K4" s="18"/>
      <c r="L4" s="19"/>
      <c r="M4" s="19"/>
    </row>
    <row r="5" spans="1:14" s="8" customFormat="1" ht="12" customHeight="1">
      <c r="B5" s="20" t="s">
        <v>299</v>
      </c>
      <c r="C5" s="21" t="s">
        <v>300</v>
      </c>
      <c r="D5" s="22" t="s">
        <v>295</v>
      </c>
      <c r="E5" s="23" t="s">
        <v>76</v>
      </c>
      <c r="F5" s="24" t="s">
        <v>301</v>
      </c>
      <c r="G5" s="25" t="s">
        <v>282</v>
      </c>
      <c r="H5" s="26"/>
      <c r="I5" s="25" t="s">
        <v>283</v>
      </c>
      <c r="J5" s="42" t="s">
        <v>329</v>
      </c>
      <c r="K5" s="75" t="s">
        <v>321</v>
      </c>
      <c r="L5" s="14"/>
      <c r="M5" s="14"/>
    </row>
    <row r="6" spans="1:14" s="8" customFormat="1">
      <c r="B6" s="27"/>
      <c r="C6" s="28"/>
      <c r="D6" s="29"/>
      <c r="E6" s="30"/>
      <c r="F6" s="31"/>
      <c r="G6" s="32" t="s">
        <v>322</v>
      </c>
      <c r="H6" s="32" t="s">
        <v>330</v>
      </c>
      <c r="I6" s="27" t="s">
        <v>284</v>
      </c>
      <c r="J6" s="42"/>
      <c r="K6" s="75"/>
      <c r="L6" s="14">
        <v>0</v>
      </c>
      <c r="M6" s="14"/>
    </row>
    <row r="7" spans="1:14" ht="12" customHeight="1" collapsed="1">
      <c r="A7" s="8"/>
      <c r="B7" s="25">
        <v>1</v>
      </c>
      <c r="C7" s="21" t="s">
        <v>266</v>
      </c>
      <c r="D7" s="33"/>
      <c r="E7" s="34" t="s">
        <v>323</v>
      </c>
      <c r="F7" s="75" t="s">
        <v>372</v>
      </c>
      <c r="G7" s="35" t="s">
        <v>79</v>
      </c>
      <c r="H7" s="41" t="s">
        <v>80</v>
      </c>
      <c r="I7" s="44" t="str">
        <f>"0x"&amp;AE_w_WORK!D6</f>
        <v>0x0000</v>
      </c>
      <c r="J7" s="36">
        <v>40473</v>
      </c>
      <c r="K7" s="37" t="s">
        <v>324</v>
      </c>
      <c r="L7" s="38">
        <f>L6+2</f>
        <v>2</v>
      </c>
    </row>
    <row r="8" spans="1:14" ht="12" hidden="1" customHeight="1" outlineLevel="1">
      <c r="A8" s="8"/>
      <c r="B8" s="25">
        <v>2</v>
      </c>
      <c r="C8" s="39"/>
      <c r="D8" s="40"/>
      <c r="E8" s="34" t="s">
        <v>323</v>
      </c>
      <c r="F8" s="75" t="s">
        <v>373</v>
      </c>
      <c r="G8" s="35" t="s">
        <v>77</v>
      </c>
      <c r="H8" s="41" t="s">
        <v>78</v>
      </c>
      <c r="I8" s="44" t="str">
        <f>"0x"&amp;AE_w_WORK!D7</f>
        <v>0x0000</v>
      </c>
      <c r="J8" s="36">
        <v>40473</v>
      </c>
      <c r="K8" s="37"/>
      <c r="L8" s="74">
        <f t="shared" ref="L8:L71" si="0">L7+2</f>
        <v>4</v>
      </c>
      <c r="N8" s="74"/>
    </row>
    <row r="9" spans="1:14" ht="12" hidden="1" customHeight="1" outlineLevel="1">
      <c r="A9" s="8"/>
      <c r="B9" s="73">
        <v>3</v>
      </c>
      <c r="C9" s="39"/>
      <c r="D9" s="40"/>
      <c r="E9" s="34" t="s">
        <v>323</v>
      </c>
      <c r="F9" s="75" t="s">
        <v>374</v>
      </c>
      <c r="G9" s="35" t="s">
        <v>22</v>
      </c>
      <c r="H9" s="41" t="s">
        <v>23</v>
      </c>
      <c r="I9" s="44" t="str">
        <f>"0x"&amp;AE_w_WORK!D8</f>
        <v>0x0000</v>
      </c>
      <c r="J9" s="36">
        <v>40473</v>
      </c>
      <c r="K9" s="37"/>
      <c r="L9" s="74">
        <f t="shared" si="0"/>
        <v>6</v>
      </c>
      <c r="M9" s="74"/>
      <c r="N9" s="74"/>
    </row>
    <row r="10" spans="1:14" ht="12" hidden="1" customHeight="1" outlineLevel="1">
      <c r="A10" s="8"/>
      <c r="B10" s="73">
        <v>4</v>
      </c>
      <c r="C10" s="39"/>
      <c r="D10" s="40"/>
      <c r="E10" s="34" t="s">
        <v>323</v>
      </c>
      <c r="F10" s="75" t="s">
        <v>375</v>
      </c>
      <c r="G10" s="35" t="s">
        <v>24</v>
      </c>
      <c r="H10" s="41" t="s">
        <v>25</v>
      </c>
      <c r="I10" s="44" t="str">
        <f>"0x"&amp;AE_w_WORK!D9</f>
        <v>0x0000</v>
      </c>
      <c r="J10" s="36">
        <v>40473</v>
      </c>
      <c r="K10" s="37"/>
      <c r="L10" s="74">
        <f t="shared" si="0"/>
        <v>8</v>
      </c>
      <c r="M10" s="74"/>
      <c r="N10" s="74"/>
    </row>
    <row r="11" spans="1:14" ht="12" hidden="1" customHeight="1" outlineLevel="1">
      <c r="A11" s="8"/>
      <c r="B11" s="73">
        <v>5</v>
      </c>
      <c r="C11" s="39"/>
      <c r="D11" s="40"/>
      <c r="E11" s="34" t="s">
        <v>323</v>
      </c>
      <c r="F11" s="75" t="s">
        <v>376</v>
      </c>
      <c r="G11" s="35" t="s">
        <v>26</v>
      </c>
      <c r="H11" s="41" t="s">
        <v>27</v>
      </c>
      <c r="I11" s="44" t="str">
        <f>"0x"&amp;AE_w_WORK!D10</f>
        <v>0x0000</v>
      </c>
      <c r="J11" s="36">
        <v>40473</v>
      </c>
      <c r="K11" s="37"/>
      <c r="L11" s="74">
        <f t="shared" si="0"/>
        <v>10</v>
      </c>
      <c r="M11" s="74"/>
      <c r="N11" s="74"/>
    </row>
    <row r="12" spans="1:14" ht="12" hidden="1" customHeight="1" outlineLevel="1">
      <c r="A12" s="8"/>
      <c r="B12" s="73">
        <v>6</v>
      </c>
      <c r="C12" s="39"/>
      <c r="D12" s="40"/>
      <c r="E12" s="34" t="s">
        <v>323</v>
      </c>
      <c r="F12" s="75" t="s">
        <v>377</v>
      </c>
      <c r="G12" s="35" t="s">
        <v>28</v>
      </c>
      <c r="H12" s="41" t="s">
        <v>29</v>
      </c>
      <c r="I12" s="44" t="str">
        <f>"0x"&amp;AE_w_WORK!D11</f>
        <v>0x0000</v>
      </c>
      <c r="J12" s="36">
        <v>40473</v>
      </c>
      <c r="K12" s="37"/>
      <c r="L12" s="74">
        <f t="shared" si="0"/>
        <v>12</v>
      </c>
      <c r="M12" s="74"/>
      <c r="N12" s="74"/>
    </row>
    <row r="13" spans="1:14" ht="12" hidden="1" customHeight="1" outlineLevel="1">
      <c r="A13" s="8"/>
      <c r="B13" s="73">
        <v>7</v>
      </c>
      <c r="C13" s="39"/>
      <c r="D13" s="40"/>
      <c r="E13" s="34" t="s">
        <v>323</v>
      </c>
      <c r="F13" s="75" t="s">
        <v>378</v>
      </c>
      <c r="G13" s="35" t="s">
        <v>30</v>
      </c>
      <c r="H13" s="41" t="s">
        <v>31</v>
      </c>
      <c r="I13" s="44" t="str">
        <f>"0x"&amp;AE_w_WORK!D12</f>
        <v>0x0000</v>
      </c>
      <c r="J13" s="36">
        <v>40473</v>
      </c>
      <c r="K13" s="37"/>
      <c r="L13" s="74">
        <f t="shared" si="0"/>
        <v>14</v>
      </c>
      <c r="M13" s="74"/>
      <c r="N13" s="74"/>
    </row>
    <row r="14" spans="1:14" ht="12" hidden="1" customHeight="1" outlineLevel="1">
      <c r="A14" s="8"/>
      <c r="B14" s="73">
        <v>8</v>
      </c>
      <c r="C14" s="39"/>
      <c r="D14" s="40"/>
      <c r="E14" s="34" t="s">
        <v>323</v>
      </c>
      <c r="F14" s="75" t="s">
        <v>379</v>
      </c>
      <c r="G14" s="35" t="s">
        <v>32</v>
      </c>
      <c r="H14" s="41" t="s">
        <v>33</v>
      </c>
      <c r="I14" s="44" t="str">
        <f>"0x"&amp;AE_w_WORK!D13</f>
        <v>0x0000</v>
      </c>
      <c r="J14" s="36">
        <v>40473</v>
      </c>
      <c r="K14" s="37"/>
      <c r="L14" s="74">
        <f t="shared" si="0"/>
        <v>16</v>
      </c>
      <c r="M14" s="74"/>
      <c r="N14" s="74"/>
    </row>
    <row r="15" spans="1:14" ht="12" hidden="1" customHeight="1" outlineLevel="1">
      <c r="A15" s="8"/>
      <c r="B15" s="73">
        <v>9</v>
      </c>
      <c r="C15" s="39"/>
      <c r="D15" s="40"/>
      <c r="E15" s="34" t="s">
        <v>323</v>
      </c>
      <c r="F15" s="75" t="s">
        <v>380</v>
      </c>
      <c r="G15" s="35" t="s">
        <v>34</v>
      </c>
      <c r="H15" s="41" t="s">
        <v>35</v>
      </c>
      <c r="I15" s="44" t="str">
        <f>"0x"&amp;AE_w_WORK!D14</f>
        <v>0x0000</v>
      </c>
      <c r="J15" s="36">
        <v>40473</v>
      </c>
      <c r="K15" s="37"/>
      <c r="L15" s="74">
        <f t="shared" si="0"/>
        <v>18</v>
      </c>
      <c r="M15" s="74"/>
      <c r="N15" s="74"/>
    </row>
    <row r="16" spans="1:14" ht="12" hidden="1" customHeight="1" outlineLevel="1">
      <c r="A16" s="8"/>
      <c r="B16" s="73">
        <v>10</v>
      </c>
      <c r="C16" s="39"/>
      <c r="D16" s="40"/>
      <c r="E16" s="34" t="s">
        <v>323</v>
      </c>
      <c r="F16" s="75" t="s">
        <v>381</v>
      </c>
      <c r="G16" s="35" t="s">
        <v>36</v>
      </c>
      <c r="H16" s="41" t="s">
        <v>37</v>
      </c>
      <c r="I16" s="44" t="str">
        <f>"0x"&amp;AE_w_WORK!D15</f>
        <v>0x0000</v>
      </c>
      <c r="J16" s="36">
        <v>40473</v>
      </c>
      <c r="K16" s="37"/>
      <c r="L16" s="74">
        <f t="shared" si="0"/>
        <v>20</v>
      </c>
      <c r="M16" s="74"/>
      <c r="N16" s="74"/>
    </row>
    <row r="17" spans="1:14" ht="12" hidden="1" customHeight="1" outlineLevel="1">
      <c r="A17" s="8"/>
      <c r="B17" s="73">
        <v>11</v>
      </c>
      <c r="C17" s="39"/>
      <c r="D17" s="40"/>
      <c r="E17" s="34" t="s">
        <v>323</v>
      </c>
      <c r="F17" s="75" t="s">
        <v>382</v>
      </c>
      <c r="G17" s="35" t="s">
        <v>38</v>
      </c>
      <c r="H17" s="41" t="s">
        <v>39</v>
      </c>
      <c r="I17" s="44" t="str">
        <f>"0x"&amp;AE_w_WORK!D16</f>
        <v>0x0000</v>
      </c>
      <c r="J17" s="36">
        <v>40473</v>
      </c>
      <c r="K17" s="37"/>
      <c r="L17" s="74">
        <f t="shared" si="0"/>
        <v>22</v>
      </c>
      <c r="M17" s="74"/>
      <c r="N17" s="74"/>
    </row>
    <row r="18" spans="1:14" ht="12" hidden="1" customHeight="1" outlineLevel="1">
      <c r="A18" s="8"/>
      <c r="B18" s="73">
        <v>12</v>
      </c>
      <c r="C18" s="39"/>
      <c r="D18" s="40"/>
      <c r="E18" s="34" t="s">
        <v>323</v>
      </c>
      <c r="F18" s="75" t="s">
        <v>383</v>
      </c>
      <c r="G18" s="35" t="s">
        <v>40</v>
      </c>
      <c r="H18" s="41" t="s">
        <v>41</v>
      </c>
      <c r="I18" s="44" t="str">
        <f>"0x"&amp;AE_w_WORK!D17</f>
        <v>0x1111</v>
      </c>
      <c r="J18" s="36">
        <v>40473</v>
      </c>
      <c r="K18" s="37"/>
      <c r="L18" s="74">
        <f t="shared" si="0"/>
        <v>24</v>
      </c>
      <c r="M18" s="74"/>
      <c r="N18" s="74"/>
    </row>
    <row r="19" spans="1:14" ht="12" hidden="1" customHeight="1" outlineLevel="1">
      <c r="A19" s="8"/>
      <c r="B19" s="73">
        <v>13</v>
      </c>
      <c r="C19" s="39"/>
      <c r="D19" s="40"/>
      <c r="E19" s="34" t="s">
        <v>323</v>
      </c>
      <c r="F19" s="75" t="s">
        <v>384</v>
      </c>
      <c r="G19" s="35" t="s">
        <v>42</v>
      </c>
      <c r="H19" s="41" t="s">
        <v>43</v>
      </c>
      <c r="I19" s="44" t="str">
        <f>"0x"&amp;AE_w_WORK!D18</f>
        <v>0x1111</v>
      </c>
      <c r="J19" s="36">
        <v>40473</v>
      </c>
      <c r="K19" s="37"/>
      <c r="L19" s="74">
        <f t="shared" si="0"/>
        <v>26</v>
      </c>
      <c r="M19" s="74"/>
      <c r="N19" s="74"/>
    </row>
    <row r="20" spans="1:14" ht="12" hidden="1" customHeight="1" outlineLevel="1">
      <c r="A20" s="8"/>
      <c r="B20" s="73">
        <v>14</v>
      </c>
      <c r="C20" s="39"/>
      <c r="D20" s="40"/>
      <c r="E20" s="34" t="s">
        <v>323</v>
      </c>
      <c r="F20" s="75" t="s">
        <v>385</v>
      </c>
      <c r="G20" s="35" t="s">
        <v>44</v>
      </c>
      <c r="H20" s="41" t="s">
        <v>45</v>
      </c>
      <c r="I20" s="44" t="str">
        <f>"0x"&amp;AE_w_WORK!D19</f>
        <v>0x0000</v>
      </c>
      <c r="J20" s="36">
        <v>40473</v>
      </c>
      <c r="K20" s="37"/>
      <c r="L20" s="74">
        <f t="shared" si="0"/>
        <v>28</v>
      </c>
      <c r="M20" s="74"/>
      <c r="N20" s="74"/>
    </row>
    <row r="21" spans="1:14" ht="12" hidden="1" customHeight="1" outlineLevel="1">
      <c r="A21" s="8"/>
      <c r="B21" s="73">
        <v>15</v>
      </c>
      <c r="C21" s="39"/>
      <c r="D21" s="40"/>
      <c r="E21" s="34" t="s">
        <v>323</v>
      </c>
      <c r="F21" s="75" t="s">
        <v>386</v>
      </c>
      <c r="G21" s="35" t="s">
        <v>46</v>
      </c>
      <c r="H21" s="41" t="s">
        <v>47</v>
      </c>
      <c r="I21" s="44" t="str">
        <f>"0x"&amp;AE_w_WORK!D20</f>
        <v>0x0000</v>
      </c>
      <c r="J21" s="36">
        <v>40473</v>
      </c>
      <c r="K21" s="37"/>
      <c r="L21" s="74">
        <f t="shared" si="0"/>
        <v>30</v>
      </c>
      <c r="M21" s="74"/>
      <c r="N21" s="74"/>
    </row>
    <row r="22" spans="1:14" ht="12" hidden="1" customHeight="1" outlineLevel="1">
      <c r="A22" s="8"/>
      <c r="B22" s="73">
        <v>16</v>
      </c>
      <c r="C22" s="39"/>
      <c r="D22" s="40"/>
      <c r="E22" s="34" t="s">
        <v>323</v>
      </c>
      <c r="F22" s="75" t="s">
        <v>387</v>
      </c>
      <c r="G22" s="35" t="s">
        <v>48</v>
      </c>
      <c r="H22" s="41" t="s">
        <v>49</v>
      </c>
      <c r="I22" s="44" t="str">
        <f>"0x"&amp;AE_w_WORK!D21</f>
        <v>0x0000</v>
      </c>
      <c r="J22" s="36">
        <v>40473</v>
      </c>
      <c r="K22" s="37"/>
      <c r="L22" s="74">
        <f t="shared" si="0"/>
        <v>32</v>
      </c>
      <c r="M22" s="74"/>
      <c r="N22" s="74"/>
    </row>
    <row r="23" spans="1:14" ht="12" hidden="1" customHeight="1" outlineLevel="1">
      <c r="A23" s="8"/>
      <c r="B23" s="73">
        <v>17</v>
      </c>
      <c r="C23" s="39"/>
      <c r="D23" s="40"/>
      <c r="E23" s="34" t="s">
        <v>323</v>
      </c>
      <c r="F23" s="75" t="s">
        <v>388</v>
      </c>
      <c r="G23" s="35" t="s">
        <v>50</v>
      </c>
      <c r="H23" s="41" t="s">
        <v>51</v>
      </c>
      <c r="I23" s="44" t="str">
        <f>"0x"&amp;AE_w_WORK!D22</f>
        <v>0x0000</v>
      </c>
      <c r="J23" s="36">
        <v>40473</v>
      </c>
      <c r="K23" s="37"/>
      <c r="L23" s="74">
        <f t="shared" si="0"/>
        <v>34</v>
      </c>
      <c r="M23" s="74"/>
      <c r="N23" s="74"/>
    </row>
    <row r="24" spans="1:14" ht="12" hidden="1" customHeight="1" outlineLevel="1">
      <c r="A24" s="8"/>
      <c r="B24" s="73">
        <v>18</v>
      </c>
      <c r="C24" s="39"/>
      <c r="D24" s="40"/>
      <c r="E24" s="34" t="s">
        <v>323</v>
      </c>
      <c r="F24" s="75" t="s">
        <v>389</v>
      </c>
      <c r="G24" s="35" t="s">
        <v>52</v>
      </c>
      <c r="H24" s="41" t="s">
        <v>53</v>
      </c>
      <c r="I24" s="44" t="str">
        <f>"0x"&amp;AE_w_WORK!D23</f>
        <v>0x0000</v>
      </c>
      <c r="J24" s="36">
        <v>40473</v>
      </c>
      <c r="K24" s="37"/>
      <c r="L24" s="74">
        <f t="shared" si="0"/>
        <v>36</v>
      </c>
      <c r="M24" s="74"/>
      <c r="N24" s="74"/>
    </row>
    <row r="25" spans="1:14" ht="12" hidden="1" customHeight="1" outlineLevel="1">
      <c r="A25" s="8"/>
      <c r="B25" s="73">
        <v>19</v>
      </c>
      <c r="C25" s="39"/>
      <c r="D25" s="40"/>
      <c r="E25" s="34" t="s">
        <v>323</v>
      </c>
      <c r="F25" s="75" t="s">
        <v>390</v>
      </c>
      <c r="G25" s="35" t="s">
        <v>54</v>
      </c>
      <c r="H25" s="41" t="s">
        <v>55</v>
      </c>
      <c r="I25" s="44" t="str">
        <f>"0x"&amp;AE_w_WORK!D24</f>
        <v>0x0011</v>
      </c>
      <c r="J25" s="36">
        <v>40473</v>
      </c>
      <c r="K25" s="37"/>
      <c r="L25" s="74">
        <f t="shared" si="0"/>
        <v>38</v>
      </c>
      <c r="M25" s="74"/>
      <c r="N25" s="74"/>
    </row>
    <row r="26" spans="1:14" ht="12" hidden="1" customHeight="1" outlineLevel="1">
      <c r="A26" s="8"/>
      <c r="B26" s="73">
        <v>20</v>
      </c>
      <c r="C26" s="39"/>
      <c r="D26" s="40"/>
      <c r="E26" s="34" t="s">
        <v>323</v>
      </c>
      <c r="F26" s="75" t="s">
        <v>391</v>
      </c>
      <c r="G26" s="35" t="s">
        <v>56</v>
      </c>
      <c r="H26" s="41" t="s">
        <v>57</v>
      </c>
      <c r="I26" s="44" t="str">
        <f>"0x"&amp;AE_w_WORK!D25</f>
        <v>0x1111</v>
      </c>
      <c r="J26" s="36">
        <v>40473</v>
      </c>
      <c r="K26" s="37"/>
      <c r="L26" s="74">
        <f t="shared" si="0"/>
        <v>40</v>
      </c>
      <c r="M26" s="74"/>
      <c r="N26" s="74"/>
    </row>
    <row r="27" spans="1:14" ht="12" hidden="1" customHeight="1" outlineLevel="1">
      <c r="A27" s="8"/>
      <c r="B27" s="73">
        <v>21</v>
      </c>
      <c r="C27" s="39"/>
      <c r="D27" s="40"/>
      <c r="E27" s="34" t="s">
        <v>323</v>
      </c>
      <c r="F27" s="75" t="s">
        <v>392</v>
      </c>
      <c r="G27" s="35" t="s">
        <v>58</v>
      </c>
      <c r="H27" s="41" t="s">
        <v>59</v>
      </c>
      <c r="I27" s="44" t="str">
        <f>"0x"&amp;AE_w_WORK!D26</f>
        <v>0x1111</v>
      </c>
      <c r="J27" s="36">
        <v>40473</v>
      </c>
      <c r="K27" s="37"/>
      <c r="L27" s="74">
        <f t="shared" si="0"/>
        <v>42</v>
      </c>
      <c r="M27" s="74"/>
      <c r="N27" s="74"/>
    </row>
    <row r="28" spans="1:14" ht="12" hidden="1" customHeight="1" outlineLevel="1">
      <c r="A28" s="8"/>
      <c r="B28" s="73">
        <v>22</v>
      </c>
      <c r="C28" s="39"/>
      <c r="D28" s="40"/>
      <c r="E28" s="34" t="s">
        <v>323</v>
      </c>
      <c r="F28" s="75" t="s">
        <v>393</v>
      </c>
      <c r="G28" s="35" t="s">
        <v>60</v>
      </c>
      <c r="H28" s="41" t="s">
        <v>61</v>
      </c>
      <c r="I28" s="44" t="str">
        <f>"0x"&amp;AE_w_WORK!D27</f>
        <v>0x1100</v>
      </c>
      <c r="J28" s="36">
        <v>40473</v>
      </c>
      <c r="K28" s="37"/>
      <c r="L28" s="74">
        <f t="shared" si="0"/>
        <v>44</v>
      </c>
      <c r="M28" s="74"/>
      <c r="N28" s="74"/>
    </row>
    <row r="29" spans="1:14" ht="12" hidden="1" customHeight="1" outlineLevel="1">
      <c r="A29" s="8"/>
      <c r="B29" s="73">
        <v>23</v>
      </c>
      <c r="C29" s="39"/>
      <c r="D29" s="40"/>
      <c r="E29" s="34" t="s">
        <v>323</v>
      </c>
      <c r="F29" s="75" t="s">
        <v>394</v>
      </c>
      <c r="G29" s="35" t="s">
        <v>62</v>
      </c>
      <c r="H29" s="41" t="s">
        <v>63</v>
      </c>
      <c r="I29" s="44" t="str">
        <f>"0x"&amp;AE_w_WORK!D28</f>
        <v>0x0000</v>
      </c>
      <c r="J29" s="36">
        <v>40473</v>
      </c>
      <c r="K29" s="37"/>
      <c r="L29" s="74">
        <f t="shared" si="0"/>
        <v>46</v>
      </c>
      <c r="M29" s="74"/>
      <c r="N29" s="74"/>
    </row>
    <row r="30" spans="1:14" ht="12" hidden="1" customHeight="1" outlineLevel="1">
      <c r="A30" s="8"/>
      <c r="B30" s="73">
        <v>24</v>
      </c>
      <c r="C30" s="39"/>
      <c r="D30" s="40"/>
      <c r="E30" s="34" t="s">
        <v>323</v>
      </c>
      <c r="F30" s="75" t="s">
        <v>395</v>
      </c>
      <c r="G30" s="35" t="s">
        <v>64</v>
      </c>
      <c r="H30" s="41" t="s">
        <v>65</v>
      </c>
      <c r="I30" s="44" t="str">
        <f>"0x"&amp;AE_w_WORK!D29</f>
        <v>0x0000</v>
      </c>
      <c r="J30" s="36">
        <v>40473</v>
      </c>
      <c r="K30" s="37"/>
      <c r="L30" s="74">
        <f t="shared" si="0"/>
        <v>48</v>
      </c>
      <c r="M30" s="74"/>
      <c r="N30" s="74"/>
    </row>
    <row r="31" spans="1:14" ht="12" hidden="1" customHeight="1" outlineLevel="1">
      <c r="A31" s="8"/>
      <c r="B31" s="73">
        <v>25</v>
      </c>
      <c r="C31" s="39"/>
      <c r="D31" s="40"/>
      <c r="E31" s="34" t="s">
        <v>323</v>
      </c>
      <c r="F31" s="75" t="s">
        <v>396</v>
      </c>
      <c r="G31" s="35" t="s">
        <v>66</v>
      </c>
      <c r="H31" s="41" t="s">
        <v>67</v>
      </c>
      <c r="I31" s="44" t="str">
        <f>"0x"&amp;AE_w_WORK!D30</f>
        <v>0x0000</v>
      </c>
      <c r="J31" s="36">
        <v>40473</v>
      </c>
      <c r="K31" s="37"/>
      <c r="L31" s="74">
        <f t="shared" si="0"/>
        <v>50</v>
      </c>
      <c r="M31" s="74"/>
      <c r="N31" s="74"/>
    </row>
    <row r="32" spans="1:14" ht="12" hidden="1" customHeight="1" outlineLevel="1">
      <c r="A32" s="8"/>
      <c r="B32" s="73">
        <v>26</v>
      </c>
      <c r="C32" s="39"/>
      <c r="D32" s="40"/>
      <c r="E32" s="34" t="s">
        <v>323</v>
      </c>
      <c r="F32" s="75" t="s">
        <v>397</v>
      </c>
      <c r="G32" s="35" t="s">
        <v>68</v>
      </c>
      <c r="H32" s="41" t="s">
        <v>69</v>
      </c>
      <c r="I32" s="44" t="str">
        <f>"0x"&amp;AE_w_WORK!D31</f>
        <v>0x0000</v>
      </c>
      <c r="J32" s="36">
        <v>40473</v>
      </c>
      <c r="K32" s="37"/>
      <c r="L32" s="74">
        <f t="shared" si="0"/>
        <v>52</v>
      </c>
      <c r="M32" s="74"/>
      <c r="N32" s="74"/>
    </row>
    <row r="33" spans="1:14" ht="12" hidden="1" customHeight="1" outlineLevel="1">
      <c r="A33" s="8"/>
      <c r="B33" s="73">
        <v>27</v>
      </c>
      <c r="C33" s="39"/>
      <c r="D33" s="40"/>
      <c r="E33" s="34" t="s">
        <v>323</v>
      </c>
      <c r="F33" s="75" t="s">
        <v>398</v>
      </c>
      <c r="G33" s="35" t="s">
        <v>70</v>
      </c>
      <c r="H33" s="41" t="s">
        <v>71</v>
      </c>
      <c r="I33" s="44" t="str">
        <f>"0x"&amp;AE_w_WORK!D32</f>
        <v>0x1111</v>
      </c>
      <c r="J33" s="36">
        <v>40473</v>
      </c>
      <c r="K33" s="37"/>
      <c r="L33" s="74">
        <f t="shared" si="0"/>
        <v>54</v>
      </c>
      <c r="M33" s="74"/>
      <c r="N33" s="74"/>
    </row>
    <row r="34" spans="1:14" ht="12" hidden="1" customHeight="1" outlineLevel="1">
      <c r="A34" s="8"/>
      <c r="B34" s="73">
        <v>28</v>
      </c>
      <c r="C34" s="39"/>
      <c r="D34" s="40"/>
      <c r="E34" s="34" t="s">
        <v>323</v>
      </c>
      <c r="F34" s="75" t="s">
        <v>399</v>
      </c>
      <c r="G34" s="35" t="s">
        <v>72</v>
      </c>
      <c r="H34" s="41" t="s">
        <v>73</v>
      </c>
      <c r="I34" s="44" t="str">
        <f>"0x"&amp;AE_w_WORK!D33</f>
        <v>0x1111</v>
      </c>
      <c r="J34" s="36">
        <v>40473</v>
      </c>
      <c r="K34" s="37"/>
      <c r="L34" s="74">
        <f t="shared" si="0"/>
        <v>56</v>
      </c>
      <c r="M34" s="74"/>
      <c r="N34" s="74"/>
    </row>
    <row r="35" spans="1:14" ht="12" hidden="1" customHeight="1" outlineLevel="1">
      <c r="A35" s="8"/>
      <c r="B35" s="73">
        <v>29</v>
      </c>
      <c r="C35" s="39"/>
      <c r="D35" s="40"/>
      <c r="E35" s="34" t="s">
        <v>323</v>
      </c>
      <c r="F35" s="75" t="s">
        <v>400</v>
      </c>
      <c r="G35" s="35" t="s">
        <v>74</v>
      </c>
      <c r="H35" s="41" t="s">
        <v>128</v>
      </c>
      <c r="I35" s="44" t="str">
        <f>"0x"&amp;AE_w_WORK!D34</f>
        <v>0x1111</v>
      </c>
      <c r="J35" s="36">
        <v>40473</v>
      </c>
      <c r="K35" s="37"/>
      <c r="L35" s="74">
        <f t="shared" si="0"/>
        <v>58</v>
      </c>
      <c r="M35" s="74"/>
      <c r="N35" s="74"/>
    </row>
    <row r="36" spans="1:14" ht="12" hidden="1" customHeight="1" outlineLevel="1">
      <c r="A36" s="8"/>
      <c r="B36" s="73">
        <v>30</v>
      </c>
      <c r="C36" s="39"/>
      <c r="D36" s="40"/>
      <c r="E36" s="34" t="s">
        <v>323</v>
      </c>
      <c r="F36" s="75" t="s">
        <v>401</v>
      </c>
      <c r="G36" s="35" t="s">
        <v>129</v>
      </c>
      <c r="H36" s="41" t="s">
        <v>130</v>
      </c>
      <c r="I36" s="44" t="str">
        <f>"0x"&amp;AE_w_WORK!D35</f>
        <v>0x1111</v>
      </c>
      <c r="J36" s="36">
        <v>40473</v>
      </c>
      <c r="K36" s="37"/>
      <c r="L36" s="74">
        <f t="shared" si="0"/>
        <v>60</v>
      </c>
      <c r="M36" s="74"/>
      <c r="N36" s="74"/>
    </row>
    <row r="37" spans="1:14" ht="12" hidden="1" customHeight="1" outlineLevel="1">
      <c r="A37" s="8"/>
      <c r="B37" s="73">
        <v>31</v>
      </c>
      <c r="C37" s="39"/>
      <c r="D37" s="40"/>
      <c r="E37" s="34" t="s">
        <v>323</v>
      </c>
      <c r="F37" s="75" t="s">
        <v>402</v>
      </c>
      <c r="G37" s="35" t="s">
        <v>131</v>
      </c>
      <c r="H37" s="41" t="s">
        <v>132</v>
      </c>
      <c r="I37" s="44" t="str">
        <f>"0x"&amp;AE_w_WORK!D36</f>
        <v>0x0000</v>
      </c>
      <c r="J37" s="36">
        <v>40473</v>
      </c>
      <c r="K37" s="37"/>
      <c r="L37" s="74">
        <f t="shared" si="0"/>
        <v>62</v>
      </c>
      <c r="M37" s="74"/>
      <c r="N37" s="74"/>
    </row>
    <row r="38" spans="1:14" ht="12" hidden="1" customHeight="1" outlineLevel="1">
      <c r="A38" s="8"/>
      <c r="B38" s="73">
        <v>32</v>
      </c>
      <c r="C38" s="39"/>
      <c r="D38" s="40"/>
      <c r="E38" s="34" t="s">
        <v>323</v>
      </c>
      <c r="F38" s="75" t="s">
        <v>403</v>
      </c>
      <c r="G38" s="35" t="s">
        <v>133</v>
      </c>
      <c r="H38" s="41" t="s">
        <v>134</v>
      </c>
      <c r="I38" s="44" t="str">
        <f>"0x"&amp;AE_w_WORK!D37</f>
        <v>0x0000</v>
      </c>
      <c r="J38" s="36">
        <v>40473</v>
      </c>
      <c r="K38" s="37"/>
      <c r="L38" s="74">
        <f t="shared" si="0"/>
        <v>64</v>
      </c>
      <c r="M38" s="74"/>
      <c r="N38" s="74"/>
    </row>
    <row r="39" spans="1:14" ht="12" hidden="1" customHeight="1" outlineLevel="1">
      <c r="A39" s="8"/>
      <c r="B39" s="73">
        <v>33</v>
      </c>
      <c r="C39" s="39"/>
      <c r="D39" s="40"/>
      <c r="E39" s="34" t="s">
        <v>323</v>
      </c>
      <c r="F39" s="75" t="s">
        <v>404</v>
      </c>
      <c r="G39" s="35" t="s">
        <v>135</v>
      </c>
      <c r="H39" s="41" t="s">
        <v>136</v>
      </c>
      <c r="I39" s="44" t="str">
        <f>"0x"&amp;AE_w_WORK!D38</f>
        <v>0x0000</v>
      </c>
      <c r="J39" s="36">
        <v>40473</v>
      </c>
      <c r="K39" s="37"/>
      <c r="L39" s="74">
        <f t="shared" si="0"/>
        <v>66</v>
      </c>
      <c r="M39" s="74"/>
      <c r="N39" s="74"/>
    </row>
    <row r="40" spans="1:14" ht="12" hidden="1" customHeight="1" outlineLevel="1">
      <c r="A40" s="8"/>
      <c r="B40" s="73">
        <v>34</v>
      </c>
      <c r="C40" s="39"/>
      <c r="D40" s="40"/>
      <c r="E40" s="34" t="s">
        <v>323</v>
      </c>
      <c r="F40" s="75" t="s">
        <v>405</v>
      </c>
      <c r="G40" s="35" t="s">
        <v>137</v>
      </c>
      <c r="H40" s="41" t="s">
        <v>138</v>
      </c>
      <c r="I40" s="44" t="str">
        <f>"0x"&amp;AE_w_WORK!D39</f>
        <v>0x0011</v>
      </c>
      <c r="J40" s="36">
        <v>40473</v>
      </c>
      <c r="K40" s="37"/>
      <c r="L40" s="74">
        <f t="shared" si="0"/>
        <v>68</v>
      </c>
      <c r="M40" s="74"/>
      <c r="N40" s="74"/>
    </row>
    <row r="41" spans="1:14" ht="12" hidden="1" customHeight="1" outlineLevel="1">
      <c r="A41" s="8"/>
      <c r="B41" s="73">
        <v>35</v>
      </c>
      <c r="C41" s="39"/>
      <c r="D41" s="40"/>
      <c r="E41" s="34" t="s">
        <v>323</v>
      </c>
      <c r="F41" s="75" t="s">
        <v>406</v>
      </c>
      <c r="G41" s="35" t="s">
        <v>139</v>
      </c>
      <c r="H41" s="41" t="s">
        <v>140</v>
      </c>
      <c r="I41" s="44" t="str">
        <f>"0x"&amp;AE_w_WORK!D40</f>
        <v>0x1111</v>
      </c>
      <c r="J41" s="36">
        <v>40473</v>
      </c>
      <c r="K41" s="37"/>
      <c r="L41" s="74">
        <f t="shared" si="0"/>
        <v>70</v>
      </c>
      <c r="M41" s="74"/>
      <c r="N41" s="74"/>
    </row>
    <row r="42" spans="1:14" ht="12" hidden="1" customHeight="1" outlineLevel="1">
      <c r="A42" s="8"/>
      <c r="B42" s="73">
        <v>36</v>
      </c>
      <c r="C42" s="39"/>
      <c r="D42" s="40"/>
      <c r="E42" s="34" t="s">
        <v>323</v>
      </c>
      <c r="F42" s="75" t="s">
        <v>407</v>
      </c>
      <c r="G42" s="35" t="s">
        <v>141</v>
      </c>
      <c r="H42" s="41" t="s">
        <v>142</v>
      </c>
      <c r="I42" s="44" t="str">
        <f>"0x"&amp;AE_w_WORK!D41</f>
        <v>0x2222</v>
      </c>
      <c r="J42" s="36">
        <v>40473</v>
      </c>
      <c r="K42" s="37"/>
      <c r="L42" s="74">
        <f t="shared" si="0"/>
        <v>72</v>
      </c>
      <c r="M42" s="74"/>
      <c r="N42" s="74"/>
    </row>
    <row r="43" spans="1:14" ht="12" hidden="1" customHeight="1" outlineLevel="1">
      <c r="A43" s="8"/>
      <c r="B43" s="73">
        <v>37</v>
      </c>
      <c r="C43" s="39"/>
      <c r="D43" s="40"/>
      <c r="E43" s="34" t="s">
        <v>323</v>
      </c>
      <c r="F43" s="75" t="s">
        <v>408</v>
      </c>
      <c r="G43" s="35" t="s">
        <v>143</v>
      </c>
      <c r="H43" s="41" t="s">
        <v>144</v>
      </c>
      <c r="I43" s="44" t="str">
        <f>"0x"&amp;AE_w_WORK!D42</f>
        <v>0x2222</v>
      </c>
      <c r="J43" s="36">
        <v>40473</v>
      </c>
      <c r="K43" s="37"/>
      <c r="L43" s="74">
        <f t="shared" si="0"/>
        <v>74</v>
      </c>
      <c r="M43" s="74"/>
      <c r="N43" s="74"/>
    </row>
    <row r="44" spans="1:14" ht="12" hidden="1" customHeight="1" outlineLevel="1">
      <c r="A44" s="8"/>
      <c r="B44" s="73">
        <v>38</v>
      </c>
      <c r="C44" s="39"/>
      <c r="D44" s="40"/>
      <c r="E44" s="34" t="s">
        <v>323</v>
      </c>
      <c r="F44" s="75" t="s">
        <v>409</v>
      </c>
      <c r="G44" s="35" t="s">
        <v>145</v>
      </c>
      <c r="H44" s="41" t="s">
        <v>146</v>
      </c>
      <c r="I44" s="44" t="str">
        <f>"0x"&amp;AE_w_WORK!D43</f>
        <v>0x1111</v>
      </c>
      <c r="J44" s="36">
        <v>40473</v>
      </c>
      <c r="K44" s="37"/>
      <c r="L44" s="74">
        <f t="shared" si="0"/>
        <v>76</v>
      </c>
      <c r="M44" s="74"/>
      <c r="N44" s="74"/>
    </row>
    <row r="45" spans="1:14" ht="12" hidden="1" customHeight="1" outlineLevel="1">
      <c r="A45" s="8"/>
      <c r="B45" s="73">
        <v>39</v>
      </c>
      <c r="C45" s="39"/>
      <c r="D45" s="40"/>
      <c r="E45" s="34" t="s">
        <v>323</v>
      </c>
      <c r="F45" s="75" t="s">
        <v>410</v>
      </c>
      <c r="G45" s="35" t="s">
        <v>147</v>
      </c>
      <c r="H45" s="41" t="s">
        <v>148</v>
      </c>
      <c r="I45" s="44" t="str">
        <f>"0x"&amp;AE_w_WORK!D44</f>
        <v>0x1100</v>
      </c>
      <c r="J45" s="36">
        <v>40473</v>
      </c>
      <c r="K45" s="37"/>
      <c r="L45" s="74">
        <f t="shared" si="0"/>
        <v>78</v>
      </c>
      <c r="M45" s="74"/>
      <c r="N45" s="74"/>
    </row>
    <row r="46" spans="1:14" ht="12" hidden="1" customHeight="1" outlineLevel="1">
      <c r="A46" s="8"/>
      <c r="B46" s="73">
        <v>40</v>
      </c>
      <c r="C46" s="39"/>
      <c r="D46" s="40"/>
      <c r="E46" s="34" t="s">
        <v>323</v>
      </c>
      <c r="F46" s="75" t="s">
        <v>411</v>
      </c>
      <c r="G46" s="35" t="s">
        <v>149</v>
      </c>
      <c r="H46" s="41" t="s">
        <v>150</v>
      </c>
      <c r="I46" s="44" t="str">
        <f>"0x"&amp;AE_w_WORK!D45</f>
        <v>0x0000</v>
      </c>
      <c r="J46" s="36">
        <v>40473</v>
      </c>
      <c r="K46" s="37"/>
      <c r="L46" s="74">
        <f t="shared" si="0"/>
        <v>80</v>
      </c>
      <c r="M46" s="74"/>
      <c r="N46" s="74"/>
    </row>
    <row r="47" spans="1:14" ht="12" hidden="1" customHeight="1" outlineLevel="1">
      <c r="A47" s="8"/>
      <c r="B47" s="73">
        <v>41</v>
      </c>
      <c r="C47" s="39"/>
      <c r="D47" s="40"/>
      <c r="E47" s="34" t="s">
        <v>323</v>
      </c>
      <c r="F47" s="75" t="s">
        <v>412</v>
      </c>
      <c r="G47" s="35" t="s">
        <v>151</v>
      </c>
      <c r="H47" s="41" t="s">
        <v>152</v>
      </c>
      <c r="I47" s="44" t="str">
        <f>"0x"&amp;AE_w_WORK!D46</f>
        <v>0x0000</v>
      </c>
      <c r="J47" s="36">
        <v>40473</v>
      </c>
      <c r="K47" s="37"/>
      <c r="L47" s="74">
        <f t="shared" si="0"/>
        <v>82</v>
      </c>
      <c r="M47" s="74"/>
      <c r="N47" s="74"/>
    </row>
    <row r="48" spans="1:14" ht="12" hidden="1" customHeight="1" outlineLevel="1">
      <c r="A48" s="8"/>
      <c r="B48" s="73">
        <v>42</v>
      </c>
      <c r="C48" s="39"/>
      <c r="D48" s="40"/>
      <c r="E48" s="34" t="s">
        <v>323</v>
      </c>
      <c r="F48" s="75" t="s">
        <v>413</v>
      </c>
      <c r="G48" s="35" t="s">
        <v>153</v>
      </c>
      <c r="H48" s="41" t="s">
        <v>154</v>
      </c>
      <c r="I48" s="44" t="str">
        <f>"0x"&amp;AE_w_WORK!D47</f>
        <v>0x0011</v>
      </c>
      <c r="J48" s="36">
        <v>40473</v>
      </c>
      <c r="K48" s="37"/>
      <c r="L48" s="74">
        <f t="shared" si="0"/>
        <v>84</v>
      </c>
      <c r="M48" s="74"/>
      <c r="N48" s="74"/>
    </row>
    <row r="49" spans="1:14" ht="12" hidden="1" customHeight="1" outlineLevel="1">
      <c r="A49" s="8"/>
      <c r="B49" s="73">
        <v>43</v>
      </c>
      <c r="C49" s="39"/>
      <c r="D49" s="40"/>
      <c r="E49" s="34" t="s">
        <v>323</v>
      </c>
      <c r="F49" s="75" t="s">
        <v>414</v>
      </c>
      <c r="G49" s="35" t="s">
        <v>155</v>
      </c>
      <c r="H49" s="41" t="s">
        <v>156</v>
      </c>
      <c r="I49" s="44" t="str">
        <f>"0x"&amp;AE_w_WORK!D48</f>
        <v>0x1122</v>
      </c>
      <c r="J49" s="36">
        <v>40473</v>
      </c>
      <c r="K49" s="37"/>
      <c r="L49" s="74">
        <f t="shared" si="0"/>
        <v>86</v>
      </c>
      <c r="M49" s="74"/>
      <c r="N49" s="74"/>
    </row>
    <row r="50" spans="1:14" ht="12" hidden="1" customHeight="1" outlineLevel="1">
      <c r="A50" s="8"/>
      <c r="B50" s="73">
        <v>44</v>
      </c>
      <c r="C50" s="39"/>
      <c r="D50" s="40"/>
      <c r="E50" s="34" t="s">
        <v>323</v>
      </c>
      <c r="F50" s="75" t="s">
        <v>415</v>
      </c>
      <c r="G50" s="35" t="s">
        <v>157</v>
      </c>
      <c r="H50" s="41" t="s">
        <v>158</v>
      </c>
      <c r="I50" s="44" t="str">
        <f>"0x"&amp;AE_w_WORK!D49</f>
        <v>0x2222</v>
      </c>
      <c r="J50" s="36">
        <v>40473</v>
      </c>
      <c r="K50" s="37"/>
      <c r="L50" s="74">
        <f t="shared" si="0"/>
        <v>88</v>
      </c>
      <c r="M50" s="74"/>
      <c r="N50" s="74"/>
    </row>
    <row r="51" spans="1:14" ht="12" hidden="1" customHeight="1" outlineLevel="1">
      <c r="A51" s="8"/>
      <c r="B51" s="73">
        <v>45</v>
      </c>
      <c r="C51" s="39"/>
      <c r="D51" s="40"/>
      <c r="E51" s="34" t="s">
        <v>323</v>
      </c>
      <c r="F51" s="75" t="s">
        <v>416</v>
      </c>
      <c r="G51" s="35" t="s">
        <v>159</v>
      </c>
      <c r="H51" s="41" t="s">
        <v>160</v>
      </c>
      <c r="I51" s="44" t="str">
        <f>"0x"&amp;AE_w_WORK!D50</f>
        <v>0x2222</v>
      </c>
      <c r="J51" s="36">
        <v>40473</v>
      </c>
      <c r="K51" s="37"/>
      <c r="L51" s="74">
        <f t="shared" si="0"/>
        <v>90</v>
      </c>
      <c r="M51" s="74"/>
      <c r="N51" s="74"/>
    </row>
    <row r="52" spans="1:14" ht="12" hidden="1" customHeight="1" outlineLevel="1">
      <c r="A52" s="8"/>
      <c r="B52" s="73">
        <v>46</v>
      </c>
      <c r="C52" s="39"/>
      <c r="D52" s="40"/>
      <c r="E52" s="34" t="s">
        <v>323</v>
      </c>
      <c r="F52" s="75" t="s">
        <v>417</v>
      </c>
      <c r="G52" s="35" t="s">
        <v>161</v>
      </c>
      <c r="H52" s="41" t="s">
        <v>162</v>
      </c>
      <c r="I52" s="44" t="str">
        <f>"0x"&amp;AE_w_WORK!D51</f>
        <v>0x2211</v>
      </c>
      <c r="J52" s="36">
        <v>40473</v>
      </c>
      <c r="K52" s="37"/>
      <c r="L52" s="74">
        <f t="shared" si="0"/>
        <v>92</v>
      </c>
      <c r="M52" s="74"/>
      <c r="N52" s="74"/>
    </row>
    <row r="53" spans="1:14" ht="12" hidden="1" customHeight="1" outlineLevel="1">
      <c r="A53" s="8"/>
      <c r="B53" s="73">
        <v>47</v>
      </c>
      <c r="C53" s="39"/>
      <c r="D53" s="40"/>
      <c r="E53" s="34" t="s">
        <v>323</v>
      </c>
      <c r="F53" s="75" t="s">
        <v>418</v>
      </c>
      <c r="G53" s="35" t="s">
        <v>163</v>
      </c>
      <c r="H53" s="41" t="s">
        <v>164</v>
      </c>
      <c r="I53" s="44" t="str">
        <f>"0x"&amp;AE_w_WORK!D52</f>
        <v>0x1100</v>
      </c>
      <c r="J53" s="36">
        <v>40473</v>
      </c>
      <c r="K53" s="37"/>
      <c r="L53" s="74">
        <f t="shared" si="0"/>
        <v>94</v>
      </c>
      <c r="M53" s="74"/>
      <c r="N53" s="74"/>
    </row>
    <row r="54" spans="1:14" ht="12" hidden="1" customHeight="1" outlineLevel="1">
      <c r="A54" s="8"/>
      <c r="B54" s="73">
        <v>48</v>
      </c>
      <c r="C54" s="39"/>
      <c r="D54" s="40"/>
      <c r="E54" s="34" t="s">
        <v>323</v>
      </c>
      <c r="F54" s="75" t="s">
        <v>419</v>
      </c>
      <c r="G54" s="35" t="s">
        <v>165</v>
      </c>
      <c r="H54" s="41" t="s">
        <v>166</v>
      </c>
      <c r="I54" s="44" t="str">
        <f>"0x"&amp;AE_w_WORK!D53</f>
        <v>0x0000</v>
      </c>
      <c r="J54" s="36">
        <v>40473</v>
      </c>
      <c r="K54" s="37"/>
      <c r="L54" s="74">
        <f t="shared" si="0"/>
        <v>96</v>
      </c>
      <c r="M54" s="74"/>
      <c r="N54" s="74"/>
    </row>
    <row r="55" spans="1:14" ht="12" hidden="1" customHeight="1" outlineLevel="1">
      <c r="A55" s="8"/>
      <c r="B55" s="73">
        <v>49</v>
      </c>
      <c r="C55" s="39"/>
      <c r="D55" s="40"/>
      <c r="E55" s="34" t="s">
        <v>323</v>
      </c>
      <c r="F55" s="75" t="s">
        <v>420</v>
      </c>
      <c r="G55" s="35" t="s">
        <v>167</v>
      </c>
      <c r="H55" s="41" t="s">
        <v>168</v>
      </c>
      <c r="I55" s="44" t="str">
        <f>"0x"&amp;AE_w_WORK!D54</f>
        <v>0x0000</v>
      </c>
      <c r="J55" s="36">
        <v>40473</v>
      </c>
      <c r="K55" s="37"/>
      <c r="L55" s="74">
        <f t="shared" si="0"/>
        <v>98</v>
      </c>
      <c r="M55" s="74"/>
      <c r="N55" s="74"/>
    </row>
    <row r="56" spans="1:14" ht="12" hidden="1" customHeight="1" outlineLevel="1">
      <c r="A56" s="8"/>
      <c r="B56" s="73">
        <v>50</v>
      </c>
      <c r="C56" s="39"/>
      <c r="D56" s="40"/>
      <c r="E56" s="34" t="s">
        <v>323</v>
      </c>
      <c r="F56" s="75" t="s">
        <v>421</v>
      </c>
      <c r="G56" s="35" t="s">
        <v>169</v>
      </c>
      <c r="H56" s="41" t="s">
        <v>170</v>
      </c>
      <c r="I56" s="44" t="str">
        <f>"0x"&amp;AE_w_WORK!D55</f>
        <v>0x1111</v>
      </c>
      <c r="J56" s="36">
        <v>40473</v>
      </c>
      <c r="K56" s="37"/>
      <c r="L56" s="74">
        <f t="shared" si="0"/>
        <v>100</v>
      </c>
      <c r="M56" s="74"/>
      <c r="N56" s="74"/>
    </row>
    <row r="57" spans="1:14" ht="12" hidden="1" customHeight="1" outlineLevel="1">
      <c r="A57" s="8"/>
      <c r="B57" s="73">
        <v>51</v>
      </c>
      <c r="C57" s="39"/>
      <c r="D57" s="40"/>
      <c r="E57" s="34" t="s">
        <v>323</v>
      </c>
      <c r="F57" s="75" t="s">
        <v>422</v>
      </c>
      <c r="G57" s="35" t="s">
        <v>171</v>
      </c>
      <c r="H57" s="41" t="s">
        <v>172</v>
      </c>
      <c r="I57" s="44" t="str">
        <f>"0x"&amp;AE_w_WORK!D56</f>
        <v>0x2222</v>
      </c>
      <c r="J57" s="36">
        <v>40473</v>
      </c>
      <c r="K57" s="37"/>
      <c r="L57" s="74">
        <f t="shared" si="0"/>
        <v>102</v>
      </c>
      <c r="M57" s="74"/>
      <c r="N57" s="74"/>
    </row>
    <row r="58" spans="1:14" ht="12" hidden="1" customHeight="1" outlineLevel="1">
      <c r="A58" s="8"/>
      <c r="B58" s="73">
        <v>52</v>
      </c>
      <c r="C58" s="39"/>
      <c r="D58" s="40"/>
      <c r="E58" s="34" t="s">
        <v>323</v>
      </c>
      <c r="F58" s="75" t="s">
        <v>423</v>
      </c>
      <c r="G58" s="35" t="s">
        <v>173</v>
      </c>
      <c r="H58" s="41" t="s">
        <v>174</v>
      </c>
      <c r="I58" s="44" t="str">
        <f>"0x"&amp;AE_w_WORK!D57</f>
        <v>0x2233</v>
      </c>
      <c r="J58" s="36">
        <v>40473</v>
      </c>
      <c r="K58" s="37"/>
      <c r="L58" s="74">
        <f t="shared" si="0"/>
        <v>104</v>
      </c>
      <c r="M58" s="74"/>
      <c r="N58" s="74"/>
    </row>
    <row r="59" spans="1:14" ht="12" hidden="1" customHeight="1" outlineLevel="1">
      <c r="A59" s="8"/>
      <c r="B59" s="73">
        <v>53</v>
      </c>
      <c r="C59" s="39"/>
      <c r="D59" s="40"/>
      <c r="E59" s="34" t="s">
        <v>323</v>
      </c>
      <c r="F59" s="75" t="s">
        <v>424</v>
      </c>
      <c r="G59" s="35" t="s">
        <v>175</v>
      </c>
      <c r="H59" s="41" t="s">
        <v>176</v>
      </c>
      <c r="I59" s="44" t="str">
        <f>"0x"&amp;AE_w_WORK!D58</f>
        <v>0x3322</v>
      </c>
      <c r="J59" s="36">
        <v>40473</v>
      </c>
      <c r="K59" s="37"/>
      <c r="L59" s="74">
        <f t="shared" si="0"/>
        <v>106</v>
      </c>
      <c r="M59" s="74"/>
      <c r="N59" s="74"/>
    </row>
    <row r="60" spans="1:14" ht="12" hidden="1" customHeight="1" outlineLevel="1">
      <c r="A60" s="8"/>
      <c r="B60" s="73">
        <v>54</v>
      </c>
      <c r="C60" s="39"/>
      <c r="D60" s="40"/>
      <c r="E60" s="34" t="s">
        <v>323</v>
      </c>
      <c r="F60" s="75" t="s">
        <v>425</v>
      </c>
      <c r="G60" s="35" t="s">
        <v>177</v>
      </c>
      <c r="H60" s="41" t="s">
        <v>178</v>
      </c>
      <c r="I60" s="44" t="str">
        <f>"0x"&amp;AE_w_WORK!D59</f>
        <v>0x2222</v>
      </c>
      <c r="J60" s="36">
        <v>40473</v>
      </c>
      <c r="K60" s="37"/>
      <c r="L60" s="74">
        <f t="shared" si="0"/>
        <v>108</v>
      </c>
      <c r="M60" s="74"/>
      <c r="N60" s="74"/>
    </row>
    <row r="61" spans="1:14" ht="12" hidden="1" customHeight="1" outlineLevel="1">
      <c r="A61" s="8"/>
      <c r="B61" s="73">
        <v>55</v>
      </c>
      <c r="C61" s="39"/>
      <c r="D61" s="40"/>
      <c r="E61" s="34" t="s">
        <v>323</v>
      </c>
      <c r="F61" s="75" t="s">
        <v>426</v>
      </c>
      <c r="G61" s="35" t="s">
        <v>179</v>
      </c>
      <c r="H61" s="41" t="s">
        <v>180</v>
      </c>
      <c r="I61" s="44" t="str">
        <f>"0x"&amp;AE_w_WORK!D60</f>
        <v>0x1111</v>
      </c>
      <c r="J61" s="36">
        <v>40473</v>
      </c>
      <c r="K61" s="37"/>
      <c r="L61" s="74">
        <f t="shared" si="0"/>
        <v>110</v>
      </c>
      <c r="M61" s="74"/>
      <c r="N61" s="74"/>
    </row>
    <row r="62" spans="1:14" ht="12" hidden="1" customHeight="1" outlineLevel="1">
      <c r="A62" s="8"/>
      <c r="B62" s="73">
        <v>56</v>
      </c>
      <c r="C62" s="39"/>
      <c r="D62" s="40"/>
      <c r="E62" s="34" t="s">
        <v>323</v>
      </c>
      <c r="F62" s="75" t="s">
        <v>427</v>
      </c>
      <c r="G62" s="35" t="s">
        <v>181</v>
      </c>
      <c r="H62" s="41" t="s">
        <v>182</v>
      </c>
      <c r="I62" s="44" t="str">
        <f>"0x"&amp;AE_w_WORK!D61</f>
        <v>0x0000</v>
      </c>
      <c r="J62" s="36">
        <v>40473</v>
      </c>
      <c r="K62" s="37"/>
      <c r="L62" s="74">
        <f t="shared" si="0"/>
        <v>112</v>
      </c>
      <c r="M62" s="74"/>
      <c r="N62" s="74"/>
    </row>
    <row r="63" spans="1:14" ht="12" hidden="1" customHeight="1" outlineLevel="1">
      <c r="A63" s="8"/>
      <c r="B63" s="73">
        <v>57</v>
      </c>
      <c r="C63" s="39"/>
      <c r="D63" s="40"/>
      <c r="E63" s="34" t="s">
        <v>323</v>
      </c>
      <c r="F63" s="75" t="s">
        <v>428</v>
      </c>
      <c r="G63" s="35" t="s">
        <v>183</v>
      </c>
      <c r="H63" s="41" t="s">
        <v>184</v>
      </c>
      <c r="I63" s="44" t="str">
        <f>"0x"&amp;AE_w_WORK!D62</f>
        <v>0x0000</v>
      </c>
      <c r="J63" s="36">
        <v>40473</v>
      </c>
      <c r="K63" s="37"/>
      <c r="L63" s="74">
        <f t="shared" si="0"/>
        <v>114</v>
      </c>
      <c r="M63" s="74"/>
      <c r="N63" s="74"/>
    </row>
    <row r="64" spans="1:14" ht="12" hidden="1" customHeight="1" outlineLevel="1">
      <c r="A64" s="8"/>
      <c r="B64" s="73">
        <v>58</v>
      </c>
      <c r="C64" s="39"/>
      <c r="D64" s="40"/>
      <c r="E64" s="34" t="s">
        <v>323</v>
      </c>
      <c r="F64" s="75" t="s">
        <v>429</v>
      </c>
      <c r="G64" s="35" t="s">
        <v>185</v>
      </c>
      <c r="H64" s="41" t="s">
        <v>186</v>
      </c>
      <c r="I64" s="44" t="str">
        <f>"0x"&amp;AE_w_WORK!D63</f>
        <v>0x1111</v>
      </c>
      <c r="J64" s="36">
        <v>40473</v>
      </c>
      <c r="K64" s="37"/>
      <c r="L64" s="74">
        <f t="shared" si="0"/>
        <v>116</v>
      </c>
      <c r="M64" s="74"/>
      <c r="N64" s="74"/>
    </row>
    <row r="65" spans="1:14" ht="12" hidden="1" customHeight="1" outlineLevel="1">
      <c r="A65" s="8"/>
      <c r="B65" s="73">
        <v>59</v>
      </c>
      <c r="C65" s="39"/>
      <c r="D65" s="40"/>
      <c r="E65" s="34" t="s">
        <v>323</v>
      </c>
      <c r="F65" s="75" t="s">
        <v>430</v>
      </c>
      <c r="G65" s="35" t="s">
        <v>187</v>
      </c>
      <c r="H65" s="41" t="s">
        <v>188</v>
      </c>
      <c r="I65" s="44" t="str">
        <f>"0x"&amp;AE_w_WORK!D64</f>
        <v>0x2222</v>
      </c>
      <c r="J65" s="36">
        <v>40473</v>
      </c>
      <c r="K65" s="37"/>
      <c r="L65" s="74">
        <f t="shared" si="0"/>
        <v>118</v>
      </c>
      <c r="M65" s="74"/>
      <c r="N65" s="74"/>
    </row>
    <row r="66" spans="1:14" ht="12" hidden="1" customHeight="1" outlineLevel="1">
      <c r="A66" s="8"/>
      <c r="B66" s="73">
        <v>60</v>
      </c>
      <c r="C66" s="39"/>
      <c r="D66" s="40"/>
      <c r="E66" s="34" t="s">
        <v>323</v>
      </c>
      <c r="F66" s="75" t="s">
        <v>431</v>
      </c>
      <c r="G66" s="35" t="s">
        <v>189</v>
      </c>
      <c r="H66" s="41" t="s">
        <v>190</v>
      </c>
      <c r="I66" s="44" t="str">
        <f>"0x"&amp;AE_w_WORK!D65</f>
        <v>0x3344</v>
      </c>
      <c r="J66" s="36">
        <v>40473</v>
      </c>
      <c r="K66" s="37"/>
      <c r="L66" s="74">
        <f t="shared" si="0"/>
        <v>120</v>
      </c>
      <c r="M66" s="74"/>
      <c r="N66" s="74"/>
    </row>
    <row r="67" spans="1:14" ht="12" hidden="1" customHeight="1" outlineLevel="1">
      <c r="A67" s="8"/>
      <c r="B67" s="73">
        <v>61</v>
      </c>
      <c r="C67" s="39"/>
      <c r="D67" s="40"/>
      <c r="E67" s="34" t="s">
        <v>323</v>
      </c>
      <c r="F67" s="75" t="s">
        <v>432</v>
      </c>
      <c r="G67" s="35" t="s">
        <v>191</v>
      </c>
      <c r="H67" s="41" t="s">
        <v>192</v>
      </c>
      <c r="I67" s="44" t="str">
        <f>"0x"&amp;AE_w_WORK!D66</f>
        <v>0x3344</v>
      </c>
      <c r="J67" s="36">
        <v>40473</v>
      </c>
      <c r="K67" s="37"/>
      <c r="L67" s="74">
        <f t="shared" si="0"/>
        <v>122</v>
      </c>
      <c r="M67" s="74"/>
      <c r="N67" s="74"/>
    </row>
    <row r="68" spans="1:14" ht="12" hidden="1" customHeight="1" outlineLevel="1">
      <c r="A68" s="8"/>
      <c r="B68" s="73">
        <v>62</v>
      </c>
      <c r="C68" s="39"/>
      <c r="D68" s="40"/>
      <c r="E68" s="34" t="s">
        <v>323</v>
      </c>
      <c r="F68" s="75" t="s">
        <v>433</v>
      </c>
      <c r="G68" s="35" t="s">
        <v>193</v>
      </c>
      <c r="H68" s="41" t="s">
        <v>194</v>
      </c>
      <c r="I68" s="44" t="str">
        <f>"0x"&amp;AE_w_WORK!D67</f>
        <v>0x2222</v>
      </c>
      <c r="J68" s="36">
        <v>40473</v>
      </c>
      <c r="K68" s="37"/>
      <c r="L68" s="74">
        <f t="shared" si="0"/>
        <v>124</v>
      </c>
      <c r="M68" s="74"/>
      <c r="N68" s="74"/>
    </row>
    <row r="69" spans="1:14" ht="12" hidden="1" customHeight="1" outlineLevel="1">
      <c r="A69" s="8"/>
      <c r="B69" s="73">
        <v>63</v>
      </c>
      <c r="C69" s="39"/>
      <c r="D69" s="40"/>
      <c r="E69" s="34" t="s">
        <v>323</v>
      </c>
      <c r="F69" s="75" t="s">
        <v>434</v>
      </c>
      <c r="G69" s="35" t="s">
        <v>195</v>
      </c>
      <c r="H69" s="41" t="s">
        <v>196</v>
      </c>
      <c r="I69" s="44" t="str">
        <f>"0x"&amp;AE_w_WORK!D68</f>
        <v>0x1111</v>
      </c>
      <c r="J69" s="36">
        <v>40473</v>
      </c>
      <c r="K69" s="37"/>
      <c r="L69" s="74">
        <f t="shared" si="0"/>
        <v>126</v>
      </c>
      <c r="M69" s="74"/>
      <c r="N69" s="74"/>
    </row>
    <row r="70" spans="1:14" ht="12" hidden="1" customHeight="1" outlineLevel="1">
      <c r="A70" s="8"/>
      <c r="B70" s="73">
        <v>64</v>
      </c>
      <c r="C70" s="39"/>
      <c r="D70" s="40"/>
      <c r="E70" s="34" t="s">
        <v>323</v>
      </c>
      <c r="F70" s="75" t="s">
        <v>435</v>
      </c>
      <c r="G70" s="35" t="s">
        <v>197</v>
      </c>
      <c r="H70" s="41" t="s">
        <v>198</v>
      </c>
      <c r="I70" s="44" t="str">
        <f>"0x"&amp;AE_w_WORK!D69</f>
        <v>0x0000</v>
      </c>
      <c r="J70" s="36">
        <v>40473</v>
      </c>
      <c r="K70" s="37"/>
      <c r="L70" s="74">
        <f t="shared" si="0"/>
        <v>128</v>
      </c>
      <c r="M70" s="74"/>
      <c r="N70" s="74"/>
    </row>
    <row r="71" spans="1:14" ht="12" hidden="1" customHeight="1" outlineLevel="1">
      <c r="A71" s="8"/>
      <c r="B71" s="73">
        <v>65</v>
      </c>
      <c r="C71" s="39"/>
      <c r="D71" s="40"/>
      <c r="E71" s="34" t="s">
        <v>323</v>
      </c>
      <c r="F71" s="75" t="s">
        <v>436</v>
      </c>
      <c r="G71" s="35" t="s">
        <v>199</v>
      </c>
      <c r="H71" s="41" t="s">
        <v>200</v>
      </c>
      <c r="I71" s="44" t="str">
        <f>"0x"&amp;AE_w_WORK!D70</f>
        <v>0x0011</v>
      </c>
      <c r="J71" s="36">
        <v>40473</v>
      </c>
      <c r="K71" s="37"/>
      <c r="L71" s="74">
        <f t="shared" si="0"/>
        <v>130</v>
      </c>
      <c r="M71" s="74"/>
      <c r="N71" s="74"/>
    </row>
    <row r="72" spans="1:14" ht="12" hidden="1" customHeight="1" outlineLevel="1">
      <c r="A72" s="8"/>
      <c r="B72" s="73">
        <v>66</v>
      </c>
      <c r="C72" s="39"/>
      <c r="D72" s="40"/>
      <c r="E72" s="34" t="s">
        <v>323</v>
      </c>
      <c r="F72" s="75" t="s">
        <v>437</v>
      </c>
      <c r="G72" s="35" t="s">
        <v>201</v>
      </c>
      <c r="H72" s="41" t="s">
        <v>202</v>
      </c>
      <c r="I72" s="44" t="str">
        <f>"0x"&amp;AE_w_WORK!D71</f>
        <v>0x1122</v>
      </c>
      <c r="J72" s="36">
        <v>40473</v>
      </c>
      <c r="K72" s="37"/>
      <c r="L72" s="74">
        <f t="shared" ref="L72:L135" si="1">L71+2</f>
        <v>132</v>
      </c>
      <c r="M72" s="74"/>
      <c r="N72" s="74"/>
    </row>
    <row r="73" spans="1:14" ht="12" hidden="1" customHeight="1" outlineLevel="1">
      <c r="A73" s="8"/>
      <c r="B73" s="73">
        <v>67</v>
      </c>
      <c r="C73" s="39"/>
      <c r="D73" s="40"/>
      <c r="E73" s="34" t="s">
        <v>323</v>
      </c>
      <c r="F73" s="75" t="s">
        <v>438</v>
      </c>
      <c r="G73" s="35" t="s">
        <v>203</v>
      </c>
      <c r="H73" s="41" t="s">
        <v>204</v>
      </c>
      <c r="I73" s="44" t="str">
        <f>"0x"&amp;AE_w_WORK!D72</f>
        <v>0x2233</v>
      </c>
      <c r="J73" s="36">
        <v>40473</v>
      </c>
      <c r="K73" s="37"/>
      <c r="L73" s="74">
        <f t="shared" si="1"/>
        <v>134</v>
      </c>
      <c r="M73" s="74"/>
      <c r="N73" s="74"/>
    </row>
    <row r="74" spans="1:14" ht="12" hidden="1" customHeight="1" outlineLevel="1">
      <c r="A74" s="8"/>
      <c r="B74" s="73">
        <v>68</v>
      </c>
      <c r="C74" s="39"/>
      <c r="D74" s="40"/>
      <c r="E74" s="34" t="s">
        <v>323</v>
      </c>
      <c r="F74" s="75" t="s">
        <v>439</v>
      </c>
      <c r="G74" s="35" t="s">
        <v>205</v>
      </c>
      <c r="H74" s="41" t="s">
        <v>206</v>
      </c>
      <c r="I74" s="44" t="str">
        <f>"0x"&amp;AE_w_WORK!D73</f>
        <v>0x3344</v>
      </c>
      <c r="J74" s="36">
        <v>40473</v>
      </c>
      <c r="K74" s="37"/>
      <c r="L74" s="74">
        <f t="shared" si="1"/>
        <v>136</v>
      </c>
      <c r="M74" s="74"/>
      <c r="N74" s="74"/>
    </row>
    <row r="75" spans="1:14" ht="12" hidden="1" customHeight="1" outlineLevel="1">
      <c r="A75" s="8"/>
      <c r="B75" s="73">
        <v>69</v>
      </c>
      <c r="C75" s="39"/>
      <c r="D75" s="40"/>
      <c r="E75" s="34" t="s">
        <v>323</v>
      </c>
      <c r="F75" s="75" t="s">
        <v>440</v>
      </c>
      <c r="G75" s="35" t="s">
        <v>207</v>
      </c>
      <c r="H75" s="41" t="s">
        <v>208</v>
      </c>
      <c r="I75" s="44" t="str">
        <f>"0x"&amp;AE_w_WORK!D74</f>
        <v>0x4433</v>
      </c>
      <c r="J75" s="36">
        <v>40473</v>
      </c>
      <c r="K75" s="37"/>
      <c r="L75" s="74">
        <f t="shared" si="1"/>
        <v>138</v>
      </c>
      <c r="M75" s="74"/>
      <c r="N75" s="74"/>
    </row>
    <row r="76" spans="1:14" ht="12" hidden="1" customHeight="1" outlineLevel="1">
      <c r="A76" s="8"/>
      <c r="B76" s="73">
        <v>70</v>
      </c>
      <c r="C76" s="39"/>
      <c r="D76" s="40"/>
      <c r="E76" s="34" t="s">
        <v>323</v>
      </c>
      <c r="F76" s="75" t="s">
        <v>441</v>
      </c>
      <c r="G76" s="35" t="s">
        <v>209</v>
      </c>
      <c r="H76" s="41" t="s">
        <v>210</v>
      </c>
      <c r="I76" s="44" t="str">
        <f>"0x"&amp;AE_w_WORK!D75</f>
        <v>0x3322</v>
      </c>
      <c r="J76" s="36">
        <v>40473</v>
      </c>
      <c r="K76" s="37"/>
      <c r="L76" s="74">
        <f t="shared" si="1"/>
        <v>140</v>
      </c>
      <c r="M76" s="74"/>
      <c r="N76" s="74"/>
    </row>
    <row r="77" spans="1:14" ht="12" hidden="1" customHeight="1" outlineLevel="1">
      <c r="A77" s="8"/>
      <c r="B77" s="73">
        <v>71</v>
      </c>
      <c r="C77" s="39"/>
      <c r="D77" s="40"/>
      <c r="E77" s="34" t="s">
        <v>323</v>
      </c>
      <c r="F77" s="75" t="s">
        <v>442</v>
      </c>
      <c r="G77" s="35" t="s">
        <v>211</v>
      </c>
      <c r="H77" s="41" t="s">
        <v>212</v>
      </c>
      <c r="I77" s="44" t="str">
        <f>"0x"&amp;AE_w_WORK!D76</f>
        <v>0x2211</v>
      </c>
      <c r="J77" s="36">
        <v>40473</v>
      </c>
      <c r="K77" s="37"/>
      <c r="L77" s="74">
        <f t="shared" si="1"/>
        <v>142</v>
      </c>
      <c r="M77" s="74"/>
      <c r="N77" s="74"/>
    </row>
    <row r="78" spans="1:14" ht="12" hidden="1" customHeight="1" outlineLevel="1">
      <c r="A78" s="8"/>
      <c r="B78" s="73">
        <v>72</v>
      </c>
      <c r="C78" s="39"/>
      <c r="D78" s="40"/>
      <c r="E78" s="34" t="s">
        <v>323</v>
      </c>
      <c r="F78" s="75" t="s">
        <v>443</v>
      </c>
      <c r="G78" s="35" t="s">
        <v>213</v>
      </c>
      <c r="H78" s="41" t="s">
        <v>214</v>
      </c>
      <c r="I78" s="44" t="str">
        <f>"0x"&amp;AE_w_WORK!D77</f>
        <v>0x1100</v>
      </c>
      <c r="J78" s="36">
        <v>40473</v>
      </c>
      <c r="K78" s="37"/>
      <c r="L78" s="74">
        <f t="shared" si="1"/>
        <v>144</v>
      </c>
      <c r="M78" s="74"/>
      <c r="N78" s="74"/>
    </row>
    <row r="79" spans="1:14" ht="12" hidden="1" customHeight="1" outlineLevel="1">
      <c r="A79" s="8"/>
      <c r="B79" s="73">
        <v>73</v>
      </c>
      <c r="C79" s="39"/>
      <c r="D79" s="40"/>
      <c r="E79" s="34" t="s">
        <v>323</v>
      </c>
      <c r="F79" s="75" t="s">
        <v>444</v>
      </c>
      <c r="G79" s="35" t="s">
        <v>215</v>
      </c>
      <c r="H79" s="41" t="s">
        <v>216</v>
      </c>
      <c r="I79" s="44" t="str">
        <f>"0x"&amp;AE_w_WORK!D78</f>
        <v>0x0011</v>
      </c>
      <c r="J79" s="36">
        <v>40473</v>
      </c>
      <c r="K79" s="37"/>
      <c r="L79" s="74">
        <f t="shared" si="1"/>
        <v>146</v>
      </c>
      <c r="M79" s="74"/>
      <c r="N79" s="74"/>
    </row>
    <row r="80" spans="1:14" ht="12" hidden="1" customHeight="1" outlineLevel="1">
      <c r="A80" s="8"/>
      <c r="B80" s="73">
        <v>74</v>
      </c>
      <c r="C80" s="39"/>
      <c r="D80" s="40"/>
      <c r="E80" s="34" t="s">
        <v>323</v>
      </c>
      <c r="F80" s="75" t="s">
        <v>445</v>
      </c>
      <c r="G80" s="35" t="s">
        <v>217</v>
      </c>
      <c r="H80" s="41" t="s">
        <v>218</v>
      </c>
      <c r="I80" s="44" t="str">
        <f>"0x"&amp;AE_w_WORK!D79</f>
        <v>0x1122</v>
      </c>
      <c r="J80" s="36">
        <v>40473</v>
      </c>
      <c r="K80" s="37"/>
      <c r="L80" s="74">
        <f t="shared" si="1"/>
        <v>148</v>
      </c>
      <c r="M80" s="74"/>
      <c r="N80" s="74"/>
    </row>
    <row r="81" spans="1:14" ht="12" hidden="1" customHeight="1" outlineLevel="1">
      <c r="A81" s="8"/>
      <c r="B81" s="73">
        <v>75</v>
      </c>
      <c r="C81" s="39"/>
      <c r="D81" s="40"/>
      <c r="E81" s="34" t="s">
        <v>323</v>
      </c>
      <c r="F81" s="75" t="s">
        <v>446</v>
      </c>
      <c r="G81" s="35" t="s">
        <v>219</v>
      </c>
      <c r="H81" s="41" t="s">
        <v>220</v>
      </c>
      <c r="I81" s="44" t="str">
        <f>"0x"&amp;AE_w_WORK!D80</f>
        <v>0x3333</v>
      </c>
      <c r="J81" s="36">
        <v>40473</v>
      </c>
      <c r="K81" s="37"/>
      <c r="L81" s="74">
        <f t="shared" si="1"/>
        <v>150</v>
      </c>
      <c r="M81" s="74"/>
      <c r="N81" s="74"/>
    </row>
    <row r="82" spans="1:14" ht="12" hidden="1" customHeight="1" outlineLevel="1">
      <c r="A82" s="8"/>
      <c r="B82" s="73">
        <v>76</v>
      </c>
      <c r="C82" s="39"/>
      <c r="D82" s="40"/>
      <c r="E82" s="34" t="s">
        <v>323</v>
      </c>
      <c r="F82" s="75" t="s">
        <v>447</v>
      </c>
      <c r="G82" s="35" t="s">
        <v>221</v>
      </c>
      <c r="H82" s="41" t="s">
        <v>222</v>
      </c>
      <c r="I82" s="44" t="str">
        <f>"0x"&amp;AE_w_WORK!D81</f>
        <v>0x4444</v>
      </c>
      <c r="J82" s="36">
        <v>40473</v>
      </c>
      <c r="K82" s="37"/>
      <c r="L82" s="74">
        <f t="shared" si="1"/>
        <v>152</v>
      </c>
      <c r="M82" s="74"/>
      <c r="N82" s="74"/>
    </row>
    <row r="83" spans="1:14" ht="12" hidden="1" customHeight="1" outlineLevel="1">
      <c r="A83" s="8"/>
      <c r="B83" s="73">
        <v>77</v>
      </c>
      <c r="C83" s="39"/>
      <c r="D83" s="40"/>
      <c r="E83" s="34" t="s">
        <v>323</v>
      </c>
      <c r="F83" s="75" t="s">
        <v>448</v>
      </c>
      <c r="G83" s="35" t="s">
        <v>223</v>
      </c>
      <c r="H83" s="41" t="s">
        <v>224</v>
      </c>
      <c r="I83" s="44" t="str">
        <f>"0x"&amp;AE_w_WORK!D82</f>
        <v>0x4444</v>
      </c>
      <c r="J83" s="36">
        <v>40473</v>
      </c>
      <c r="K83" s="37"/>
      <c r="L83" s="74">
        <f t="shared" si="1"/>
        <v>154</v>
      </c>
      <c r="M83" s="74"/>
      <c r="N83" s="74"/>
    </row>
    <row r="84" spans="1:14" ht="12" hidden="1" customHeight="1" outlineLevel="1">
      <c r="A84" s="8"/>
      <c r="B84" s="73">
        <v>78</v>
      </c>
      <c r="C84" s="39"/>
      <c r="D84" s="40"/>
      <c r="E84" s="34" t="s">
        <v>323</v>
      </c>
      <c r="F84" s="75" t="s">
        <v>449</v>
      </c>
      <c r="G84" s="35" t="s">
        <v>225</v>
      </c>
      <c r="H84" s="41" t="s">
        <v>226</v>
      </c>
      <c r="I84" s="44" t="str">
        <f>"0x"&amp;AE_w_WORK!D83</f>
        <v>0x3333</v>
      </c>
      <c r="J84" s="36">
        <v>40473</v>
      </c>
      <c r="K84" s="37"/>
      <c r="L84" s="74">
        <f t="shared" si="1"/>
        <v>156</v>
      </c>
      <c r="M84" s="74"/>
      <c r="N84" s="74"/>
    </row>
    <row r="85" spans="1:14" ht="12" hidden="1" customHeight="1" outlineLevel="1">
      <c r="A85" s="8"/>
      <c r="B85" s="73">
        <v>79</v>
      </c>
      <c r="C85" s="39"/>
      <c r="D85" s="40"/>
      <c r="E85" s="34" t="s">
        <v>323</v>
      </c>
      <c r="F85" s="75" t="s">
        <v>450</v>
      </c>
      <c r="G85" s="35" t="s">
        <v>227</v>
      </c>
      <c r="H85" s="41" t="s">
        <v>228</v>
      </c>
      <c r="I85" s="44" t="str">
        <f>"0x"&amp;AE_w_WORK!D84</f>
        <v>0x2211</v>
      </c>
      <c r="J85" s="36">
        <v>40473</v>
      </c>
      <c r="K85" s="37"/>
      <c r="L85" s="74">
        <f t="shared" si="1"/>
        <v>158</v>
      </c>
      <c r="M85" s="74"/>
      <c r="N85" s="74"/>
    </row>
    <row r="86" spans="1:14" ht="12" hidden="1" customHeight="1" outlineLevel="1">
      <c r="A86" s="8"/>
      <c r="B86" s="73">
        <v>80</v>
      </c>
      <c r="C86" s="39"/>
      <c r="D86" s="40"/>
      <c r="E86" s="34" t="s">
        <v>323</v>
      </c>
      <c r="F86" s="75" t="s">
        <v>451</v>
      </c>
      <c r="G86" s="35" t="s">
        <v>229</v>
      </c>
      <c r="H86" s="41" t="s">
        <v>230</v>
      </c>
      <c r="I86" s="44" t="str">
        <f>"0x"&amp;AE_w_WORK!D85</f>
        <v>0x1100</v>
      </c>
      <c r="J86" s="36">
        <v>40473</v>
      </c>
      <c r="K86" s="37"/>
      <c r="L86" s="74">
        <f t="shared" si="1"/>
        <v>160</v>
      </c>
      <c r="M86" s="74"/>
      <c r="N86" s="74"/>
    </row>
    <row r="87" spans="1:14" ht="12" hidden="1" customHeight="1" outlineLevel="1">
      <c r="A87" s="8"/>
      <c r="B87" s="73">
        <v>81</v>
      </c>
      <c r="C87" s="39"/>
      <c r="D87" s="40"/>
      <c r="E87" s="34" t="s">
        <v>323</v>
      </c>
      <c r="F87" s="75" t="s">
        <v>452</v>
      </c>
      <c r="G87" s="35" t="s">
        <v>231</v>
      </c>
      <c r="H87" s="41" t="s">
        <v>232</v>
      </c>
      <c r="I87" s="44" t="str">
        <f>"0x"&amp;AE_w_WORK!D86</f>
        <v>0x0011</v>
      </c>
      <c r="J87" s="36">
        <v>40473</v>
      </c>
      <c r="K87" s="37"/>
      <c r="L87" s="74">
        <f t="shared" si="1"/>
        <v>162</v>
      </c>
      <c r="M87" s="74"/>
      <c r="N87" s="74"/>
    </row>
    <row r="88" spans="1:14" ht="12" hidden="1" customHeight="1" outlineLevel="1">
      <c r="A88" s="8"/>
      <c r="B88" s="73">
        <v>82</v>
      </c>
      <c r="C88" s="39"/>
      <c r="D88" s="40"/>
      <c r="E88" s="34" t="s">
        <v>323</v>
      </c>
      <c r="F88" s="75" t="s">
        <v>453</v>
      </c>
      <c r="G88" s="35" t="s">
        <v>233</v>
      </c>
      <c r="H88" s="41" t="s">
        <v>234</v>
      </c>
      <c r="I88" s="44" t="str">
        <f>"0x"&amp;AE_w_WORK!D87</f>
        <v>0x2222</v>
      </c>
      <c r="J88" s="36">
        <v>40473</v>
      </c>
      <c r="K88" s="37"/>
      <c r="L88" s="74">
        <f t="shared" si="1"/>
        <v>164</v>
      </c>
      <c r="M88" s="74"/>
      <c r="N88" s="74"/>
    </row>
    <row r="89" spans="1:14" ht="12" hidden="1" customHeight="1" outlineLevel="1">
      <c r="A89" s="8"/>
      <c r="B89" s="73">
        <v>83</v>
      </c>
      <c r="C89" s="39"/>
      <c r="D89" s="40"/>
      <c r="E89" s="34" t="s">
        <v>323</v>
      </c>
      <c r="F89" s="75" t="s">
        <v>454</v>
      </c>
      <c r="G89" s="35" t="s">
        <v>235</v>
      </c>
      <c r="H89" s="41" t="s">
        <v>236</v>
      </c>
      <c r="I89" s="44" t="str">
        <f>"0x"&amp;AE_w_WORK!D88</f>
        <v>0x3344</v>
      </c>
      <c r="J89" s="36">
        <v>40473</v>
      </c>
      <c r="K89" s="37"/>
      <c r="L89" s="74">
        <f t="shared" si="1"/>
        <v>166</v>
      </c>
      <c r="M89" s="74"/>
      <c r="N89" s="74"/>
    </row>
    <row r="90" spans="1:14" ht="12" hidden="1" customHeight="1" outlineLevel="1">
      <c r="A90" s="8"/>
      <c r="B90" s="73">
        <v>84</v>
      </c>
      <c r="C90" s="39"/>
      <c r="D90" s="40"/>
      <c r="E90" s="34" t="s">
        <v>323</v>
      </c>
      <c r="F90" s="75" t="s">
        <v>455</v>
      </c>
      <c r="G90" s="35" t="s">
        <v>237</v>
      </c>
      <c r="H90" s="41" t="s">
        <v>238</v>
      </c>
      <c r="I90" s="44" t="str">
        <f>"0x"&amp;AE_w_WORK!D89</f>
        <v>0x4455</v>
      </c>
      <c r="J90" s="36">
        <v>40473</v>
      </c>
      <c r="K90" s="37"/>
      <c r="L90" s="74">
        <f t="shared" si="1"/>
        <v>168</v>
      </c>
      <c r="M90" s="74"/>
      <c r="N90" s="74"/>
    </row>
    <row r="91" spans="1:14" ht="12" hidden="1" customHeight="1" outlineLevel="1">
      <c r="A91" s="8"/>
      <c r="B91" s="73">
        <v>85</v>
      </c>
      <c r="C91" s="39"/>
      <c r="D91" s="40"/>
      <c r="E91" s="34" t="s">
        <v>323</v>
      </c>
      <c r="F91" s="75" t="s">
        <v>456</v>
      </c>
      <c r="G91" s="35" t="s">
        <v>239</v>
      </c>
      <c r="H91" s="41" t="s">
        <v>240</v>
      </c>
      <c r="I91" s="44" t="str">
        <f>"0x"&amp;AE_w_WORK!D90</f>
        <v>0x5544</v>
      </c>
      <c r="J91" s="36">
        <v>40473</v>
      </c>
      <c r="K91" s="37"/>
      <c r="L91" s="74">
        <f t="shared" si="1"/>
        <v>170</v>
      </c>
      <c r="M91" s="74"/>
      <c r="N91" s="74"/>
    </row>
    <row r="92" spans="1:14" ht="12" hidden="1" customHeight="1" outlineLevel="1">
      <c r="A92" s="8"/>
      <c r="B92" s="73">
        <v>86</v>
      </c>
      <c r="C92" s="39"/>
      <c r="D92" s="40"/>
      <c r="E92" s="34" t="s">
        <v>323</v>
      </c>
      <c r="F92" s="75" t="s">
        <v>457</v>
      </c>
      <c r="G92" s="35" t="s">
        <v>241</v>
      </c>
      <c r="H92" s="41" t="s">
        <v>242</v>
      </c>
      <c r="I92" s="44" t="str">
        <f>"0x"&amp;AE_w_WORK!D91</f>
        <v>0x4433</v>
      </c>
      <c r="J92" s="36">
        <v>40473</v>
      </c>
      <c r="K92" s="37"/>
      <c r="L92" s="74">
        <f t="shared" si="1"/>
        <v>172</v>
      </c>
      <c r="M92" s="74"/>
      <c r="N92" s="74"/>
    </row>
    <row r="93" spans="1:14" ht="12" hidden="1" customHeight="1" outlineLevel="1">
      <c r="A93" s="8"/>
      <c r="B93" s="73">
        <v>87</v>
      </c>
      <c r="C93" s="39"/>
      <c r="D93" s="40"/>
      <c r="E93" s="34" t="s">
        <v>323</v>
      </c>
      <c r="F93" s="75" t="s">
        <v>458</v>
      </c>
      <c r="G93" s="35" t="s">
        <v>243</v>
      </c>
      <c r="H93" s="41" t="s">
        <v>244</v>
      </c>
      <c r="I93" s="44" t="str">
        <f>"0x"&amp;AE_w_WORK!D92</f>
        <v>0x2222</v>
      </c>
      <c r="J93" s="36">
        <v>40473</v>
      </c>
      <c r="K93" s="37"/>
      <c r="L93" s="74">
        <f t="shared" si="1"/>
        <v>174</v>
      </c>
      <c r="M93" s="74"/>
      <c r="N93" s="74"/>
    </row>
    <row r="94" spans="1:14" ht="12" hidden="1" customHeight="1" outlineLevel="1">
      <c r="A94" s="8"/>
      <c r="B94" s="73">
        <v>88</v>
      </c>
      <c r="C94" s="39"/>
      <c r="D94" s="40"/>
      <c r="E94" s="34" t="s">
        <v>323</v>
      </c>
      <c r="F94" s="75" t="s">
        <v>459</v>
      </c>
      <c r="G94" s="35" t="s">
        <v>245</v>
      </c>
      <c r="H94" s="41" t="s">
        <v>246</v>
      </c>
      <c r="I94" s="44" t="str">
        <f>"0x"&amp;AE_w_WORK!D93</f>
        <v>0x1100</v>
      </c>
      <c r="J94" s="36">
        <v>40473</v>
      </c>
      <c r="K94" s="37"/>
      <c r="L94" s="74">
        <f t="shared" si="1"/>
        <v>176</v>
      </c>
      <c r="M94" s="74"/>
      <c r="N94" s="74"/>
    </row>
    <row r="95" spans="1:14" ht="12" hidden="1" customHeight="1" outlineLevel="1">
      <c r="A95" s="8"/>
      <c r="B95" s="73">
        <v>89</v>
      </c>
      <c r="C95" s="39"/>
      <c r="D95" s="40"/>
      <c r="E95" s="34" t="s">
        <v>323</v>
      </c>
      <c r="F95" s="75" t="s">
        <v>460</v>
      </c>
      <c r="G95" s="35" t="s">
        <v>247</v>
      </c>
      <c r="H95" s="41" t="s">
        <v>248</v>
      </c>
      <c r="I95" s="44" t="str">
        <f>"0x"&amp;AE_w_WORK!D94</f>
        <v>0x0011</v>
      </c>
      <c r="J95" s="36">
        <v>40473</v>
      </c>
      <c r="K95" s="37"/>
      <c r="L95" s="74">
        <f t="shared" si="1"/>
        <v>178</v>
      </c>
      <c r="M95" s="74"/>
      <c r="N95" s="74"/>
    </row>
    <row r="96" spans="1:14" ht="12" hidden="1" customHeight="1" outlineLevel="1">
      <c r="A96" s="8"/>
      <c r="B96" s="73">
        <v>90</v>
      </c>
      <c r="C96" s="39"/>
      <c r="D96" s="40"/>
      <c r="E96" s="34" t="s">
        <v>323</v>
      </c>
      <c r="F96" s="75" t="s">
        <v>461</v>
      </c>
      <c r="G96" s="35" t="s">
        <v>249</v>
      </c>
      <c r="H96" s="41" t="s">
        <v>250</v>
      </c>
      <c r="I96" s="44" t="str">
        <f>"0x"&amp;AE_w_WORK!D95</f>
        <v>0x2233</v>
      </c>
      <c r="J96" s="36">
        <v>40473</v>
      </c>
      <c r="K96" s="37"/>
      <c r="L96" s="74">
        <f t="shared" si="1"/>
        <v>180</v>
      </c>
      <c r="M96" s="74"/>
      <c r="N96" s="74"/>
    </row>
    <row r="97" spans="1:14" ht="12" hidden="1" customHeight="1" outlineLevel="1">
      <c r="A97" s="8"/>
      <c r="B97" s="73">
        <v>91</v>
      </c>
      <c r="C97" s="39"/>
      <c r="D97" s="40"/>
      <c r="E97" s="34" t="s">
        <v>323</v>
      </c>
      <c r="F97" s="75" t="s">
        <v>462</v>
      </c>
      <c r="G97" s="35" t="s">
        <v>251</v>
      </c>
      <c r="H97" s="41" t="s">
        <v>252</v>
      </c>
      <c r="I97" s="44" t="str">
        <f>"0x"&amp;AE_w_WORK!D96</f>
        <v>0x4444</v>
      </c>
      <c r="J97" s="36">
        <v>40473</v>
      </c>
      <c r="K97" s="37"/>
      <c r="L97" s="74">
        <f t="shared" si="1"/>
        <v>182</v>
      </c>
      <c r="M97" s="74"/>
      <c r="N97" s="74"/>
    </row>
    <row r="98" spans="1:14" ht="12" hidden="1" customHeight="1" outlineLevel="1">
      <c r="A98" s="8"/>
      <c r="B98" s="73">
        <v>92</v>
      </c>
      <c r="C98" s="39"/>
      <c r="D98" s="40"/>
      <c r="E98" s="34" t="s">
        <v>323</v>
      </c>
      <c r="F98" s="75" t="s">
        <v>463</v>
      </c>
      <c r="G98" s="35" t="s">
        <v>253</v>
      </c>
      <c r="H98" s="41" t="s">
        <v>254</v>
      </c>
      <c r="I98" s="44" t="str">
        <f>"0x"&amp;AE_w_WORK!D97</f>
        <v>0x5555</v>
      </c>
      <c r="J98" s="36">
        <v>40473</v>
      </c>
      <c r="K98" s="37"/>
      <c r="L98" s="74">
        <f t="shared" si="1"/>
        <v>184</v>
      </c>
      <c r="M98" s="74"/>
      <c r="N98" s="74"/>
    </row>
    <row r="99" spans="1:14" ht="12" hidden="1" customHeight="1" outlineLevel="1">
      <c r="A99" s="8"/>
      <c r="B99" s="73">
        <v>93</v>
      </c>
      <c r="C99" s="39"/>
      <c r="D99" s="40"/>
      <c r="E99" s="34" t="s">
        <v>323</v>
      </c>
      <c r="F99" s="75" t="s">
        <v>464</v>
      </c>
      <c r="G99" s="35" t="s">
        <v>255</v>
      </c>
      <c r="H99" s="41" t="s">
        <v>256</v>
      </c>
      <c r="I99" s="44" t="str">
        <f>"0x"&amp;AE_w_WORK!D98</f>
        <v>0x5555</v>
      </c>
      <c r="J99" s="36">
        <v>40473</v>
      </c>
      <c r="K99" s="37"/>
      <c r="L99" s="74">
        <f t="shared" si="1"/>
        <v>186</v>
      </c>
      <c r="M99" s="74"/>
      <c r="N99" s="74"/>
    </row>
    <row r="100" spans="1:14" ht="12" hidden="1" customHeight="1" outlineLevel="1">
      <c r="A100" s="8"/>
      <c r="B100" s="73">
        <v>94</v>
      </c>
      <c r="C100" s="39"/>
      <c r="D100" s="40"/>
      <c r="E100" s="34" t="s">
        <v>323</v>
      </c>
      <c r="F100" s="75" t="s">
        <v>465</v>
      </c>
      <c r="G100" s="35" t="s">
        <v>257</v>
      </c>
      <c r="H100" s="41" t="s">
        <v>258</v>
      </c>
      <c r="I100" s="44" t="str">
        <f>"0x"&amp;AE_w_WORK!D99</f>
        <v>0x4444</v>
      </c>
      <c r="J100" s="36">
        <v>40473</v>
      </c>
      <c r="K100" s="37"/>
      <c r="L100" s="74">
        <f t="shared" si="1"/>
        <v>188</v>
      </c>
      <c r="M100" s="74"/>
      <c r="N100" s="74"/>
    </row>
    <row r="101" spans="1:14" ht="12" hidden="1" customHeight="1" outlineLevel="1">
      <c r="A101" s="8"/>
      <c r="B101" s="73">
        <v>95</v>
      </c>
      <c r="C101" s="39"/>
      <c r="D101" s="40"/>
      <c r="E101" s="34" t="s">
        <v>323</v>
      </c>
      <c r="F101" s="75" t="s">
        <v>466</v>
      </c>
      <c r="G101" s="35" t="s">
        <v>259</v>
      </c>
      <c r="H101" s="41" t="s">
        <v>260</v>
      </c>
      <c r="I101" s="44" t="str">
        <f>"0x"&amp;AE_w_WORK!D100</f>
        <v>0x3322</v>
      </c>
      <c r="J101" s="36">
        <v>40473</v>
      </c>
      <c r="K101" s="37"/>
      <c r="L101" s="74">
        <f t="shared" si="1"/>
        <v>190</v>
      </c>
      <c r="M101" s="74"/>
      <c r="N101" s="74"/>
    </row>
    <row r="102" spans="1:14" ht="12" hidden="1" customHeight="1" outlineLevel="1">
      <c r="A102" s="8"/>
      <c r="B102" s="73">
        <v>96</v>
      </c>
      <c r="C102" s="39"/>
      <c r="D102" s="40"/>
      <c r="E102" s="34" t="s">
        <v>323</v>
      </c>
      <c r="F102" s="75" t="s">
        <v>467</v>
      </c>
      <c r="G102" s="35" t="s">
        <v>261</v>
      </c>
      <c r="H102" s="41" t="s">
        <v>262</v>
      </c>
      <c r="I102" s="44" t="str">
        <f>"0x"&amp;AE_w_WORK!D101</f>
        <v>0x1100</v>
      </c>
      <c r="J102" s="36">
        <v>40473</v>
      </c>
      <c r="K102" s="37"/>
      <c r="L102" s="74">
        <f t="shared" si="1"/>
        <v>192</v>
      </c>
      <c r="M102" s="74"/>
      <c r="N102" s="74"/>
    </row>
    <row r="103" spans="1:14" ht="12" hidden="1" customHeight="1" outlineLevel="1">
      <c r="A103" s="8"/>
      <c r="B103" s="73">
        <v>97</v>
      </c>
      <c r="C103" s="39"/>
      <c r="D103" s="40"/>
      <c r="E103" s="34" t="s">
        <v>323</v>
      </c>
      <c r="F103" s="75" t="s">
        <v>468</v>
      </c>
      <c r="G103" s="35" t="s">
        <v>263</v>
      </c>
      <c r="H103" s="41" t="s">
        <v>81</v>
      </c>
      <c r="I103" s="44" t="str">
        <f>"0x"&amp;AE_w_WORK!D102</f>
        <v>0x0011</v>
      </c>
      <c r="J103" s="36">
        <v>40473</v>
      </c>
      <c r="K103" s="37"/>
      <c r="L103" s="74">
        <f t="shared" si="1"/>
        <v>194</v>
      </c>
      <c r="M103" s="74"/>
      <c r="N103" s="74"/>
    </row>
    <row r="104" spans="1:14" ht="12" hidden="1" customHeight="1" outlineLevel="1">
      <c r="A104" s="8"/>
      <c r="B104" s="73">
        <v>98</v>
      </c>
      <c r="C104" s="39"/>
      <c r="D104" s="40"/>
      <c r="E104" s="34" t="s">
        <v>323</v>
      </c>
      <c r="F104" s="75" t="s">
        <v>469</v>
      </c>
      <c r="G104" s="35" t="s">
        <v>82</v>
      </c>
      <c r="H104" s="41" t="s">
        <v>83</v>
      </c>
      <c r="I104" s="44" t="str">
        <f>"0x"&amp;AE_w_WORK!D103</f>
        <v>0x2233</v>
      </c>
      <c r="J104" s="36">
        <v>40473</v>
      </c>
      <c r="K104" s="37"/>
      <c r="L104" s="74">
        <f t="shared" si="1"/>
        <v>196</v>
      </c>
      <c r="M104" s="74"/>
      <c r="N104" s="74"/>
    </row>
    <row r="105" spans="1:14" ht="12" hidden="1" customHeight="1" outlineLevel="1">
      <c r="A105" s="8"/>
      <c r="B105" s="73">
        <v>99</v>
      </c>
      <c r="C105" s="39"/>
      <c r="D105" s="40"/>
      <c r="E105" s="34" t="s">
        <v>323</v>
      </c>
      <c r="F105" s="75" t="s">
        <v>470</v>
      </c>
      <c r="G105" s="35" t="s">
        <v>84</v>
      </c>
      <c r="H105" s="41" t="s">
        <v>85</v>
      </c>
      <c r="I105" s="44" t="str">
        <f>"0x"&amp;AE_w_WORK!D104</f>
        <v>0x4455</v>
      </c>
      <c r="J105" s="36">
        <v>40473</v>
      </c>
      <c r="K105" s="37"/>
      <c r="L105" s="74">
        <f t="shared" si="1"/>
        <v>198</v>
      </c>
      <c r="M105" s="74"/>
      <c r="N105" s="74"/>
    </row>
    <row r="106" spans="1:14" ht="12" hidden="1" customHeight="1" outlineLevel="1">
      <c r="A106" s="8"/>
      <c r="B106" s="73">
        <v>100</v>
      </c>
      <c r="C106" s="39"/>
      <c r="D106" s="40"/>
      <c r="E106" s="34" t="s">
        <v>323</v>
      </c>
      <c r="F106" s="75" t="s">
        <v>471</v>
      </c>
      <c r="G106" s="35" t="s">
        <v>86</v>
      </c>
      <c r="H106" s="41" t="s">
        <v>87</v>
      </c>
      <c r="I106" s="44" t="str">
        <f>"0x"&amp;AE_w_WORK!D105</f>
        <v>0x5555</v>
      </c>
      <c r="J106" s="36">
        <v>40473</v>
      </c>
      <c r="K106" s="37"/>
      <c r="L106" s="74">
        <f t="shared" si="1"/>
        <v>200</v>
      </c>
      <c r="M106" s="74"/>
      <c r="N106" s="74"/>
    </row>
    <row r="107" spans="1:14" ht="12" hidden="1" customHeight="1" outlineLevel="1">
      <c r="A107" s="8"/>
      <c r="B107" s="73">
        <v>101</v>
      </c>
      <c r="C107" s="39"/>
      <c r="D107" s="40"/>
      <c r="E107" s="34" t="s">
        <v>323</v>
      </c>
      <c r="F107" s="75" t="s">
        <v>472</v>
      </c>
      <c r="G107" s="35" t="s">
        <v>88</v>
      </c>
      <c r="H107" s="41" t="s">
        <v>89</v>
      </c>
      <c r="I107" s="44" t="str">
        <f>"0x"&amp;AE_w_WORK!D106</f>
        <v>0x5555</v>
      </c>
      <c r="J107" s="36">
        <v>40473</v>
      </c>
      <c r="K107" s="37"/>
      <c r="L107" s="74">
        <f t="shared" si="1"/>
        <v>202</v>
      </c>
      <c r="M107" s="74"/>
      <c r="N107" s="74"/>
    </row>
    <row r="108" spans="1:14" ht="12" hidden="1" customHeight="1" outlineLevel="1">
      <c r="A108" s="8"/>
      <c r="B108" s="73">
        <v>102</v>
      </c>
      <c r="C108" s="39"/>
      <c r="D108" s="40"/>
      <c r="E108" s="34" t="s">
        <v>323</v>
      </c>
      <c r="F108" s="75" t="s">
        <v>473</v>
      </c>
      <c r="G108" s="35" t="s">
        <v>90</v>
      </c>
      <c r="H108" s="41" t="s">
        <v>91</v>
      </c>
      <c r="I108" s="44" t="str">
        <f>"0x"&amp;AE_w_WORK!D107</f>
        <v>0x5544</v>
      </c>
      <c r="J108" s="36">
        <v>40473</v>
      </c>
      <c r="K108" s="37"/>
      <c r="L108" s="74">
        <f t="shared" si="1"/>
        <v>204</v>
      </c>
      <c r="M108" s="74"/>
      <c r="N108" s="74"/>
    </row>
    <row r="109" spans="1:14" ht="12" hidden="1" customHeight="1" outlineLevel="1">
      <c r="A109" s="8"/>
      <c r="B109" s="73">
        <v>103</v>
      </c>
      <c r="C109" s="39"/>
      <c r="D109" s="40"/>
      <c r="E109" s="34" t="s">
        <v>323</v>
      </c>
      <c r="F109" s="75" t="s">
        <v>474</v>
      </c>
      <c r="G109" s="35" t="s">
        <v>92</v>
      </c>
      <c r="H109" s="41" t="s">
        <v>93</v>
      </c>
      <c r="I109" s="44" t="str">
        <f>"0x"&amp;AE_w_WORK!D108</f>
        <v>0x3322</v>
      </c>
      <c r="J109" s="36">
        <v>40473</v>
      </c>
      <c r="K109" s="37"/>
      <c r="L109" s="74">
        <f t="shared" si="1"/>
        <v>206</v>
      </c>
      <c r="M109" s="74"/>
      <c r="N109" s="74"/>
    </row>
    <row r="110" spans="1:14" ht="12" hidden="1" customHeight="1" outlineLevel="1">
      <c r="A110" s="8"/>
      <c r="B110" s="73">
        <v>104</v>
      </c>
      <c r="C110" s="39"/>
      <c r="D110" s="40"/>
      <c r="E110" s="34" t="s">
        <v>323</v>
      </c>
      <c r="F110" s="75" t="s">
        <v>475</v>
      </c>
      <c r="G110" s="35" t="s">
        <v>94</v>
      </c>
      <c r="H110" s="41" t="s">
        <v>95</v>
      </c>
      <c r="I110" s="44" t="str">
        <f>"0x"&amp;AE_w_WORK!D109</f>
        <v>0x1100</v>
      </c>
      <c r="J110" s="36">
        <v>40473</v>
      </c>
      <c r="K110" s="37"/>
      <c r="L110" s="74">
        <f t="shared" si="1"/>
        <v>208</v>
      </c>
      <c r="M110" s="74"/>
      <c r="N110" s="74"/>
    </row>
    <row r="111" spans="1:14" ht="12" hidden="1" customHeight="1" outlineLevel="1">
      <c r="A111" s="8"/>
      <c r="B111" s="73">
        <v>105</v>
      </c>
      <c r="C111" s="39"/>
      <c r="D111" s="40"/>
      <c r="E111" s="34" t="s">
        <v>323</v>
      </c>
      <c r="F111" s="75" t="s">
        <v>476</v>
      </c>
      <c r="G111" s="35" t="s">
        <v>96</v>
      </c>
      <c r="H111" s="41" t="s">
        <v>97</v>
      </c>
      <c r="I111" s="44" t="str">
        <f>"0x"&amp;AE_w_WORK!D110</f>
        <v>0x0011</v>
      </c>
      <c r="J111" s="36">
        <v>40473</v>
      </c>
      <c r="K111" s="37"/>
      <c r="L111" s="74">
        <f t="shared" si="1"/>
        <v>210</v>
      </c>
      <c r="M111" s="74"/>
      <c r="N111" s="74"/>
    </row>
    <row r="112" spans="1:14" ht="12" hidden="1" customHeight="1" outlineLevel="1">
      <c r="A112" s="8"/>
      <c r="B112" s="73">
        <v>106</v>
      </c>
      <c r="C112" s="39"/>
      <c r="D112" s="40"/>
      <c r="E112" s="34" t="s">
        <v>323</v>
      </c>
      <c r="F112" s="75" t="s">
        <v>477</v>
      </c>
      <c r="G112" s="35" t="s">
        <v>98</v>
      </c>
      <c r="H112" s="41" t="s">
        <v>99</v>
      </c>
      <c r="I112" s="44" t="str">
        <f>"0x"&amp;AE_w_WORK!D111</f>
        <v>0x2233</v>
      </c>
      <c r="J112" s="36">
        <v>40473</v>
      </c>
      <c r="K112" s="37"/>
      <c r="L112" s="74">
        <f t="shared" si="1"/>
        <v>212</v>
      </c>
      <c r="M112" s="74"/>
      <c r="N112" s="74"/>
    </row>
    <row r="113" spans="1:14" ht="12" hidden="1" customHeight="1" outlineLevel="1">
      <c r="A113" s="8"/>
      <c r="B113" s="73">
        <v>107</v>
      </c>
      <c r="C113" s="39"/>
      <c r="D113" s="40"/>
      <c r="E113" s="34" t="s">
        <v>323</v>
      </c>
      <c r="F113" s="75" t="s">
        <v>478</v>
      </c>
      <c r="G113" s="35" t="s">
        <v>100</v>
      </c>
      <c r="H113" s="41" t="s">
        <v>101</v>
      </c>
      <c r="I113" s="44" t="str">
        <f>"0x"&amp;AE_w_WORK!D112</f>
        <v>0x4455</v>
      </c>
      <c r="J113" s="36">
        <v>40473</v>
      </c>
      <c r="K113" s="37"/>
      <c r="L113" s="74">
        <f t="shared" si="1"/>
        <v>214</v>
      </c>
      <c r="M113" s="74"/>
      <c r="N113" s="74"/>
    </row>
    <row r="114" spans="1:14" ht="12" hidden="1" customHeight="1" outlineLevel="1">
      <c r="A114" s="8"/>
      <c r="B114" s="73">
        <v>108</v>
      </c>
      <c r="C114" s="39"/>
      <c r="D114" s="40"/>
      <c r="E114" s="34" t="s">
        <v>323</v>
      </c>
      <c r="F114" s="75" t="s">
        <v>479</v>
      </c>
      <c r="G114" s="35" t="s">
        <v>102</v>
      </c>
      <c r="H114" s="41" t="s">
        <v>103</v>
      </c>
      <c r="I114" s="44" t="str">
        <f>"0x"&amp;AE_w_WORK!D113</f>
        <v>0x5555</v>
      </c>
      <c r="J114" s="36">
        <v>40473</v>
      </c>
      <c r="K114" s="37"/>
      <c r="L114" s="74">
        <f t="shared" si="1"/>
        <v>216</v>
      </c>
      <c r="M114" s="74"/>
      <c r="N114" s="74"/>
    </row>
    <row r="115" spans="1:14" ht="12" hidden="1" customHeight="1" outlineLevel="1">
      <c r="A115" s="8"/>
      <c r="B115" s="73">
        <v>109</v>
      </c>
      <c r="C115" s="39"/>
      <c r="D115" s="40"/>
      <c r="E115" s="34" t="s">
        <v>323</v>
      </c>
      <c r="F115" s="75" t="s">
        <v>480</v>
      </c>
      <c r="G115" s="35" t="s">
        <v>104</v>
      </c>
      <c r="H115" s="41" t="s">
        <v>105</v>
      </c>
      <c r="I115" s="44" t="str">
        <f>"0x"&amp;AE_w_WORK!D114</f>
        <v>0x5555</v>
      </c>
      <c r="J115" s="36">
        <v>40473</v>
      </c>
      <c r="K115" s="37"/>
      <c r="L115" s="74">
        <f t="shared" si="1"/>
        <v>218</v>
      </c>
      <c r="M115" s="74"/>
      <c r="N115" s="74"/>
    </row>
    <row r="116" spans="1:14" ht="12" hidden="1" customHeight="1" outlineLevel="1">
      <c r="A116" s="8"/>
      <c r="B116" s="73">
        <v>110</v>
      </c>
      <c r="C116" s="39"/>
      <c r="D116" s="40"/>
      <c r="E116" s="34" t="s">
        <v>323</v>
      </c>
      <c r="F116" s="75" t="s">
        <v>481</v>
      </c>
      <c r="G116" s="35" t="s">
        <v>106</v>
      </c>
      <c r="H116" s="41" t="s">
        <v>107</v>
      </c>
      <c r="I116" s="44" t="str">
        <f>"0x"&amp;AE_w_WORK!D115</f>
        <v>0x5544</v>
      </c>
      <c r="J116" s="36">
        <v>40473</v>
      </c>
      <c r="K116" s="37"/>
      <c r="L116" s="74">
        <f t="shared" si="1"/>
        <v>220</v>
      </c>
      <c r="M116" s="74"/>
      <c r="N116" s="74"/>
    </row>
    <row r="117" spans="1:14" ht="12" hidden="1" customHeight="1" outlineLevel="1">
      <c r="A117" s="8"/>
      <c r="B117" s="73">
        <v>111</v>
      </c>
      <c r="C117" s="39"/>
      <c r="D117" s="40"/>
      <c r="E117" s="34" t="s">
        <v>323</v>
      </c>
      <c r="F117" s="75" t="s">
        <v>482</v>
      </c>
      <c r="G117" s="35" t="s">
        <v>108</v>
      </c>
      <c r="H117" s="41" t="s">
        <v>109</v>
      </c>
      <c r="I117" s="44" t="str">
        <f>"0x"&amp;AE_w_WORK!D116</f>
        <v>0x3322</v>
      </c>
      <c r="J117" s="36">
        <v>40473</v>
      </c>
      <c r="K117" s="37"/>
      <c r="L117" s="74">
        <f t="shared" si="1"/>
        <v>222</v>
      </c>
      <c r="M117" s="74"/>
      <c r="N117" s="74"/>
    </row>
    <row r="118" spans="1:14" ht="12" hidden="1" customHeight="1" outlineLevel="1">
      <c r="A118" s="8"/>
      <c r="B118" s="73">
        <v>112</v>
      </c>
      <c r="C118" s="39"/>
      <c r="D118" s="40"/>
      <c r="E118" s="34" t="s">
        <v>323</v>
      </c>
      <c r="F118" s="75" t="s">
        <v>483</v>
      </c>
      <c r="G118" s="35" t="s">
        <v>110</v>
      </c>
      <c r="H118" s="41" t="s">
        <v>111</v>
      </c>
      <c r="I118" s="44" t="str">
        <f>"0x"&amp;AE_w_WORK!D117</f>
        <v>0x1100</v>
      </c>
      <c r="J118" s="36">
        <v>40473</v>
      </c>
      <c r="K118" s="37"/>
      <c r="L118" s="74">
        <f t="shared" si="1"/>
        <v>224</v>
      </c>
      <c r="M118" s="74"/>
      <c r="N118" s="74"/>
    </row>
    <row r="119" spans="1:14" ht="12" hidden="1" customHeight="1" outlineLevel="1">
      <c r="A119" s="8"/>
      <c r="B119" s="73">
        <v>113</v>
      </c>
      <c r="C119" s="39"/>
      <c r="D119" s="40"/>
      <c r="E119" s="34" t="s">
        <v>323</v>
      </c>
      <c r="F119" s="75" t="s">
        <v>484</v>
      </c>
      <c r="G119" s="35" t="s">
        <v>112</v>
      </c>
      <c r="H119" s="41" t="s">
        <v>113</v>
      </c>
      <c r="I119" s="44" t="str">
        <f>"0x"&amp;AE_w_WORK!D118</f>
        <v>0x0011</v>
      </c>
      <c r="J119" s="36">
        <v>40473</v>
      </c>
      <c r="K119" s="37"/>
      <c r="L119" s="74">
        <f t="shared" si="1"/>
        <v>226</v>
      </c>
      <c r="M119" s="74"/>
      <c r="N119" s="74"/>
    </row>
    <row r="120" spans="1:14" ht="12" hidden="1" customHeight="1" outlineLevel="1">
      <c r="A120" s="8"/>
      <c r="B120" s="73">
        <v>114</v>
      </c>
      <c r="C120" s="39"/>
      <c r="D120" s="40"/>
      <c r="E120" s="34" t="s">
        <v>323</v>
      </c>
      <c r="F120" s="75" t="s">
        <v>485</v>
      </c>
      <c r="G120" s="35" t="s">
        <v>114</v>
      </c>
      <c r="H120" s="41" t="s">
        <v>115</v>
      </c>
      <c r="I120" s="44" t="str">
        <f>"0x"&amp;AE_w_WORK!D119</f>
        <v>0x2233</v>
      </c>
      <c r="J120" s="36">
        <v>40473</v>
      </c>
      <c r="K120" s="37"/>
      <c r="L120" s="74">
        <f t="shared" si="1"/>
        <v>228</v>
      </c>
      <c r="M120" s="74"/>
      <c r="N120" s="74"/>
    </row>
    <row r="121" spans="1:14" ht="12" hidden="1" customHeight="1" outlineLevel="1">
      <c r="A121" s="8"/>
      <c r="B121" s="73">
        <v>115</v>
      </c>
      <c r="C121" s="39"/>
      <c r="D121" s="40"/>
      <c r="E121" s="34" t="s">
        <v>323</v>
      </c>
      <c r="F121" s="75" t="s">
        <v>486</v>
      </c>
      <c r="G121" s="35" t="s">
        <v>116</v>
      </c>
      <c r="H121" s="41" t="s">
        <v>117</v>
      </c>
      <c r="I121" s="44" t="str">
        <f>"0x"&amp;AE_w_WORK!D120</f>
        <v>0x4455</v>
      </c>
      <c r="J121" s="36">
        <v>40473</v>
      </c>
      <c r="K121" s="37"/>
      <c r="L121" s="74">
        <f t="shared" si="1"/>
        <v>230</v>
      </c>
      <c r="M121" s="74"/>
      <c r="N121" s="74"/>
    </row>
    <row r="122" spans="1:14" ht="12" hidden="1" customHeight="1" outlineLevel="1">
      <c r="A122" s="8"/>
      <c r="B122" s="73">
        <v>116</v>
      </c>
      <c r="C122" s="39"/>
      <c r="D122" s="40"/>
      <c r="E122" s="34" t="s">
        <v>323</v>
      </c>
      <c r="F122" s="75" t="s">
        <v>487</v>
      </c>
      <c r="G122" s="35" t="s">
        <v>118</v>
      </c>
      <c r="H122" s="41" t="s">
        <v>119</v>
      </c>
      <c r="I122" s="44" t="str">
        <f>"0x"&amp;AE_w_WORK!D121</f>
        <v>0x5555</v>
      </c>
      <c r="J122" s="36">
        <v>40473</v>
      </c>
      <c r="K122" s="37"/>
      <c r="L122" s="74">
        <f t="shared" si="1"/>
        <v>232</v>
      </c>
      <c r="M122" s="74"/>
      <c r="N122" s="74"/>
    </row>
    <row r="123" spans="1:14" ht="12" hidden="1" customHeight="1" outlineLevel="1">
      <c r="A123" s="8"/>
      <c r="B123" s="73">
        <v>117</v>
      </c>
      <c r="C123" s="39"/>
      <c r="D123" s="40"/>
      <c r="E123" s="34" t="s">
        <v>323</v>
      </c>
      <c r="F123" s="75" t="s">
        <v>488</v>
      </c>
      <c r="G123" s="35" t="s">
        <v>120</v>
      </c>
      <c r="H123" s="41" t="s">
        <v>264</v>
      </c>
      <c r="I123" s="44" t="str">
        <f>"0x"&amp;AE_w_WORK!D122</f>
        <v>0x5555</v>
      </c>
      <c r="J123" s="36">
        <v>40473</v>
      </c>
      <c r="K123" s="37"/>
      <c r="L123" s="74">
        <f t="shared" si="1"/>
        <v>234</v>
      </c>
      <c r="M123" s="74"/>
      <c r="N123" s="74"/>
    </row>
    <row r="124" spans="1:14" ht="12" hidden="1" customHeight="1" outlineLevel="1">
      <c r="A124" s="8"/>
      <c r="B124" s="73">
        <v>118</v>
      </c>
      <c r="C124" s="39"/>
      <c r="D124" s="40"/>
      <c r="E124" s="34" t="s">
        <v>323</v>
      </c>
      <c r="F124" s="75" t="s">
        <v>489</v>
      </c>
      <c r="G124" s="35" t="s">
        <v>0</v>
      </c>
      <c r="H124" s="41" t="s">
        <v>1</v>
      </c>
      <c r="I124" s="44" t="str">
        <f>"0x"&amp;AE_w_WORK!D123</f>
        <v>0x5544</v>
      </c>
      <c r="J124" s="36">
        <v>40473</v>
      </c>
      <c r="K124" s="37"/>
      <c r="L124" s="74">
        <f t="shared" si="1"/>
        <v>236</v>
      </c>
      <c r="M124" s="74"/>
      <c r="N124" s="74"/>
    </row>
    <row r="125" spans="1:14" ht="12" hidden="1" customHeight="1" outlineLevel="1">
      <c r="A125" s="8"/>
      <c r="B125" s="73">
        <v>119</v>
      </c>
      <c r="C125" s="39"/>
      <c r="D125" s="40"/>
      <c r="E125" s="34" t="s">
        <v>323</v>
      </c>
      <c r="F125" s="75" t="s">
        <v>490</v>
      </c>
      <c r="G125" s="35" t="s">
        <v>2</v>
      </c>
      <c r="H125" s="41" t="s">
        <v>3</v>
      </c>
      <c r="I125" s="44" t="str">
        <f>"0x"&amp;AE_w_WORK!D124</f>
        <v>0x4422</v>
      </c>
      <c r="J125" s="36">
        <v>40473</v>
      </c>
      <c r="K125" s="37"/>
      <c r="L125" s="74">
        <f t="shared" si="1"/>
        <v>238</v>
      </c>
      <c r="M125" s="74"/>
      <c r="N125" s="74"/>
    </row>
    <row r="126" spans="1:14" ht="12" hidden="1" customHeight="1" outlineLevel="1">
      <c r="A126" s="8"/>
      <c r="B126" s="73">
        <v>120</v>
      </c>
      <c r="C126" s="39"/>
      <c r="D126" s="40"/>
      <c r="E126" s="34" t="s">
        <v>323</v>
      </c>
      <c r="F126" s="75" t="s">
        <v>491</v>
      </c>
      <c r="G126" s="35" t="s">
        <v>4</v>
      </c>
      <c r="H126" s="41" t="s">
        <v>5</v>
      </c>
      <c r="I126" s="44" t="str">
        <f>"0x"&amp;AE_w_WORK!D125</f>
        <v>0x1100</v>
      </c>
      <c r="J126" s="36">
        <v>40473</v>
      </c>
      <c r="K126" s="37"/>
      <c r="L126" s="74">
        <f t="shared" si="1"/>
        <v>240</v>
      </c>
      <c r="M126" s="74"/>
      <c r="N126" s="74"/>
    </row>
    <row r="127" spans="1:14" ht="12" hidden="1" customHeight="1" outlineLevel="1">
      <c r="A127" s="8"/>
      <c r="B127" s="73">
        <v>121</v>
      </c>
      <c r="C127" s="39"/>
      <c r="D127" s="40"/>
      <c r="E127" s="34" t="s">
        <v>323</v>
      </c>
      <c r="F127" s="75" t="s">
        <v>492</v>
      </c>
      <c r="G127" s="35" t="s">
        <v>6</v>
      </c>
      <c r="H127" s="41" t="s">
        <v>7</v>
      </c>
      <c r="I127" s="44" t="str">
        <f>"0x"&amp;AE_w_WORK!D126</f>
        <v>0x0011</v>
      </c>
      <c r="J127" s="36">
        <v>40473</v>
      </c>
      <c r="K127" s="37"/>
      <c r="L127" s="74">
        <f t="shared" si="1"/>
        <v>242</v>
      </c>
      <c r="M127" s="74"/>
      <c r="N127" s="74"/>
    </row>
    <row r="128" spans="1:14" ht="12" hidden="1" customHeight="1" outlineLevel="1">
      <c r="A128" s="8"/>
      <c r="B128" s="73">
        <v>122</v>
      </c>
      <c r="C128" s="39"/>
      <c r="D128" s="40"/>
      <c r="E128" s="34" t="s">
        <v>323</v>
      </c>
      <c r="F128" s="75" t="s">
        <v>493</v>
      </c>
      <c r="G128" s="35" t="s">
        <v>8</v>
      </c>
      <c r="H128" s="41" t="s">
        <v>9</v>
      </c>
      <c r="I128" s="44" t="str">
        <f>"0x"&amp;AE_w_WORK!D127</f>
        <v>0x2244</v>
      </c>
      <c r="J128" s="36">
        <v>40473</v>
      </c>
      <c r="K128" s="37"/>
      <c r="L128" s="74">
        <f t="shared" si="1"/>
        <v>244</v>
      </c>
      <c r="M128" s="74"/>
      <c r="N128" s="74"/>
    </row>
    <row r="129" spans="1:14" ht="12" hidden="1" customHeight="1" outlineLevel="1">
      <c r="A129" s="8"/>
      <c r="B129" s="73">
        <v>123</v>
      </c>
      <c r="C129" s="39"/>
      <c r="D129" s="40"/>
      <c r="E129" s="34" t="s">
        <v>323</v>
      </c>
      <c r="F129" s="75" t="s">
        <v>494</v>
      </c>
      <c r="G129" s="35" t="s">
        <v>10</v>
      </c>
      <c r="H129" s="41" t="s">
        <v>11</v>
      </c>
      <c r="I129" s="44" t="str">
        <f>"0x"&amp;AE_w_WORK!D128</f>
        <v>0x4455</v>
      </c>
      <c r="J129" s="36">
        <v>40473</v>
      </c>
      <c r="K129" s="37"/>
      <c r="L129" s="74">
        <f t="shared" si="1"/>
        <v>246</v>
      </c>
      <c r="M129" s="74"/>
      <c r="N129" s="74"/>
    </row>
    <row r="130" spans="1:14" ht="12" hidden="1" customHeight="1" outlineLevel="1">
      <c r="A130" s="8"/>
      <c r="B130" s="73">
        <v>124</v>
      </c>
      <c r="C130" s="39"/>
      <c r="D130" s="40"/>
      <c r="E130" s="34" t="s">
        <v>323</v>
      </c>
      <c r="F130" s="75" t="s">
        <v>495</v>
      </c>
      <c r="G130" s="35" t="s">
        <v>12</v>
      </c>
      <c r="H130" s="41" t="s">
        <v>13</v>
      </c>
      <c r="I130" s="44" t="str">
        <f>"0x"&amp;AE_w_WORK!D129</f>
        <v>0x5555</v>
      </c>
      <c r="J130" s="36">
        <v>40473</v>
      </c>
      <c r="K130" s="37"/>
      <c r="L130" s="74">
        <f t="shared" si="1"/>
        <v>248</v>
      </c>
      <c r="M130" s="74"/>
      <c r="N130" s="74"/>
    </row>
    <row r="131" spans="1:14" ht="12" hidden="1" customHeight="1" outlineLevel="1">
      <c r="A131" s="8"/>
      <c r="B131" s="73">
        <v>125</v>
      </c>
      <c r="C131" s="39"/>
      <c r="D131" s="40"/>
      <c r="E131" s="34" t="s">
        <v>323</v>
      </c>
      <c r="F131" s="75" t="s">
        <v>496</v>
      </c>
      <c r="G131" s="35" t="s">
        <v>14</v>
      </c>
      <c r="H131" s="41" t="s">
        <v>15</v>
      </c>
      <c r="I131" s="44" t="str">
        <f>"0x"&amp;AE_w_WORK!D130</f>
        <v>0x5555</v>
      </c>
      <c r="J131" s="36">
        <v>40473</v>
      </c>
      <c r="K131" s="37"/>
      <c r="L131" s="74">
        <f t="shared" si="1"/>
        <v>250</v>
      </c>
      <c r="M131" s="74"/>
      <c r="N131" s="74"/>
    </row>
    <row r="132" spans="1:14" ht="12" hidden="1" customHeight="1" outlineLevel="1">
      <c r="A132" s="8"/>
      <c r="B132" s="73">
        <v>126</v>
      </c>
      <c r="C132" s="39"/>
      <c r="D132" s="40"/>
      <c r="E132" s="34" t="s">
        <v>323</v>
      </c>
      <c r="F132" s="75" t="s">
        <v>497</v>
      </c>
      <c r="G132" s="35" t="s">
        <v>16</v>
      </c>
      <c r="H132" s="41" t="s">
        <v>17</v>
      </c>
      <c r="I132" s="44" t="str">
        <f>"0x"&amp;AE_w_WORK!D131</f>
        <v>0x5544</v>
      </c>
      <c r="J132" s="36">
        <v>40473</v>
      </c>
      <c r="K132" s="37"/>
      <c r="L132" s="74">
        <f t="shared" si="1"/>
        <v>252</v>
      </c>
      <c r="M132" s="74"/>
      <c r="N132" s="74"/>
    </row>
    <row r="133" spans="1:14" ht="12" hidden="1" customHeight="1" outlineLevel="1">
      <c r="A133" s="8"/>
      <c r="B133" s="73">
        <v>127</v>
      </c>
      <c r="C133" s="39"/>
      <c r="D133" s="40"/>
      <c r="E133" s="34" t="s">
        <v>323</v>
      </c>
      <c r="F133" s="75" t="s">
        <v>498</v>
      </c>
      <c r="G133" s="35" t="s">
        <v>18</v>
      </c>
      <c r="H133" s="41" t="s">
        <v>19</v>
      </c>
      <c r="I133" s="44" t="str">
        <f>"0x"&amp;AE_w_WORK!D132</f>
        <v>0x3322</v>
      </c>
      <c r="J133" s="36">
        <v>40473</v>
      </c>
      <c r="K133" s="37"/>
      <c r="L133" s="74">
        <f t="shared" si="1"/>
        <v>254</v>
      </c>
      <c r="M133" s="74"/>
      <c r="N133" s="74"/>
    </row>
    <row r="134" spans="1:14" ht="12" hidden="1" customHeight="1" outlineLevel="1">
      <c r="A134" s="8"/>
      <c r="B134" s="73">
        <v>128</v>
      </c>
      <c r="C134" s="39"/>
      <c r="D134" s="40"/>
      <c r="E134" s="34" t="s">
        <v>323</v>
      </c>
      <c r="F134" s="75" t="s">
        <v>499</v>
      </c>
      <c r="G134" s="35" t="s">
        <v>20</v>
      </c>
      <c r="H134" s="41" t="s">
        <v>21</v>
      </c>
      <c r="I134" s="44" t="str">
        <f>"0x"&amp;AE_w_WORK!D133</f>
        <v>0x1100</v>
      </c>
      <c r="J134" s="36">
        <v>40473</v>
      </c>
      <c r="K134" s="37"/>
      <c r="L134" s="74">
        <f t="shared" si="1"/>
        <v>256</v>
      </c>
      <c r="M134" s="74"/>
      <c r="N134" s="74"/>
    </row>
    <row r="135" spans="1:14" ht="12" hidden="1" customHeight="1" outlineLevel="1" collapsed="1">
      <c r="B135" s="73">
        <v>129</v>
      </c>
      <c r="C135" s="39"/>
      <c r="D135" s="40"/>
      <c r="E135" s="34" t="s">
        <v>323</v>
      </c>
      <c r="F135" s="75" t="s">
        <v>500</v>
      </c>
      <c r="G135" s="35" t="s">
        <v>20</v>
      </c>
      <c r="H135" s="41" t="s">
        <v>21</v>
      </c>
      <c r="I135" s="44" t="str">
        <f>"0x"&amp;AE_w_WORK!D134</f>
        <v>0x0011</v>
      </c>
      <c r="J135" s="36">
        <v>40474</v>
      </c>
      <c r="K135" s="37"/>
      <c r="L135" s="74">
        <f t="shared" si="1"/>
        <v>258</v>
      </c>
      <c r="M135" s="74"/>
      <c r="N135" s="74"/>
    </row>
    <row r="136" spans="1:14" ht="12" hidden="1" customHeight="1" outlineLevel="1">
      <c r="B136" s="73">
        <v>130</v>
      </c>
      <c r="C136" s="39"/>
      <c r="D136" s="40"/>
      <c r="E136" s="34" t="s">
        <v>323</v>
      </c>
      <c r="F136" s="75" t="s">
        <v>501</v>
      </c>
      <c r="G136" s="35" t="s">
        <v>20</v>
      </c>
      <c r="H136" s="41" t="s">
        <v>21</v>
      </c>
      <c r="I136" s="44" t="str">
        <f>"0x"&amp;AE_w_WORK!D135</f>
        <v>0x2233</v>
      </c>
      <c r="J136" s="36">
        <v>40475</v>
      </c>
      <c r="K136" s="37"/>
      <c r="L136" s="74">
        <f t="shared" ref="L136:L199" si="2">L135+2</f>
        <v>260</v>
      </c>
      <c r="M136" s="74"/>
      <c r="N136" s="74"/>
    </row>
    <row r="137" spans="1:14" ht="12" hidden="1" customHeight="1" outlineLevel="1">
      <c r="B137" s="73">
        <v>131</v>
      </c>
      <c r="C137" s="39"/>
      <c r="D137" s="40"/>
      <c r="E137" s="34" t="s">
        <v>323</v>
      </c>
      <c r="F137" s="75" t="s">
        <v>502</v>
      </c>
      <c r="G137" s="35" t="s">
        <v>20</v>
      </c>
      <c r="H137" s="41" t="s">
        <v>21</v>
      </c>
      <c r="I137" s="44" t="str">
        <f>"0x"&amp;AE_w_WORK!D136</f>
        <v>0x4455</v>
      </c>
      <c r="J137" s="36">
        <v>40476</v>
      </c>
      <c r="K137" s="37"/>
      <c r="L137" s="74">
        <f t="shared" si="2"/>
        <v>262</v>
      </c>
      <c r="M137" s="74"/>
      <c r="N137" s="74"/>
    </row>
    <row r="138" spans="1:14" ht="12" hidden="1" customHeight="1" outlineLevel="1">
      <c r="B138" s="73">
        <v>132</v>
      </c>
      <c r="C138" s="39"/>
      <c r="D138" s="40"/>
      <c r="E138" s="34" t="s">
        <v>323</v>
      </c>
      <c r="F138" s="75" t="s">
        <v>503</v>
      </c>
      <c r="G138" s="35" t="s">
        <v>20</v>
      </c>
      <c r="H138" s="41" t="s">
        <v>21</v>
      </c>
      <c r="I138" s="44" t="str">
        <f>"0x"&amp;AE_w_WORK!D137</f>
        <v>0x5555</v>
      </c>
      <c r="J138" s="36">
        <v>40477</v>
      </c>
      <c r="K138" s="37"/>
      <c r="L138" s="74">
        <f t="shared" si="2"/>
        <v>264</v>
      </c>
      <c r="M138" s="74"/>
      <c r="N138" s="74"/>
    </row>
    <row r="139" spans="1:14" ht="12" hidden="1" customHeight="1" outlineLevel="1">
      <c r="B139" s="73">
        <v>133</v>
      </c>
      <c r="C139" s="39"/>
      <c r="D139" s="40"/>
      <c r="E139" s="34" t="s">
        <v>323</v>
      </c>
      <c r="F139" s="75" t="s">
        <v>504</v>
      </c>
      <c r="G139" s="35" t="s">
        <v>20</v>
      </c>
      <c r="H139" s="41" t="s">
        <v>21</v>
      </c>
      <c r="I139" s="44" t="str">
        <f>"0x"&amp;AE_w_WORK!D138</f>
        <v>0x5555</v>
      </c>
      <c r="J139" s="36">
        <v>40478</v>
      </c>
      <c r="K139" s="37"/>
      <c r="L139" s="74">
        <f t="shared" si="2"/>
        <v>266</v>
      </c>
      <c r="M139" s="74"/>
      <c r="N139" s="74"/>
    </row>
    <row r="140" spans="1:14" ht="12" hidden="1" customHeight="1" outlineLevel="1">
      <c r="B140" s="73">
        <v>134</v>
      </c>
      <c r="C140" s="39"/>
      <c r="D140" s="40"/>
      <c r="E140" s="34" t="s">
        <v>323</v>
      </c>
      <c r="F140" s="75" t="s">
        <v>505</v>
      </c>
      <c r="G140" s="35" t="s">
        <v>20</v>
      </c>
      <c r="H140" s="41" t="s">
        <v>21</v>
      </c>
      <c r="I140" s="44" t="str">
        <f>"0x"&amp;AE_w_WORK!D139</f>
        <v>0x5544</v>
      </c>
      <c r="J140" s="36">
        <v>40479</v>
      </c>
      <c r="K140" s="37"/>
      <c r="L140" s="74">
        <f t="shared" si="2"/>
        <v>268</v>
      </c>
      <c r="M140" s="74"/>
      <c r="N140" s="74"/>
    </row>
    <row r="141" spans="1:14" ht="12" hidden="1" customHeight="1" outlineLevel="1">
      <c r="B141" s="73">
        <v>135</v>
      </c>
      <c r="C141" s="39"/>
      <c r="D141" s="40"/>
      <c r="E141" s="34" t="s">
        <v>323</v>
      </c>
      <c r="F141" s="75" t="s">
        <v>506</v>
      </c>
      <c r="G141" s="35" t="s">
        <v>20</v>
      </c>
      <c r="H141" s="41" t="s">
        <v>21</v>
      </c>
      <c r="I141" s="44" t="str">
        <f>"0x"&amp;AE_w_WORK!D140</f>
        <v>0x4422</v>
      </c>
      <c r="J141" s="36">
        <v>40480</v>
      </c>
      <c r="K141" s="37"/>
      <c r="L141" s="74">
        <f t="shared" si="2"/>
        <v>270</v>
      </c>
      <c r="M141" s="74"/>
      <c r="N141" s="74"/>
    </row>
    <row r="142" spans="1:14" ht="12" hidden="1" customHeight="1" outlineLevel="1">
      <c r="B142" s="73">
        <v>136</v>
      </c>
      <c r="C142" s="39"/>
      <c r="D142" s="40"/>
      <c r="E142" s="34" t="s">
        <v>323</v>
      </c>
      <c r="F142" s="75" t="s">
        <v>507</v>
      </c>
      <c r="G142" s="35" t="s">
        <v>20</v>
      </c>
      <c r="H142" s="41" t="s">
        <v>21</v>
      </c>
      <c r="I142" s="44" t="str">
        <f>"0x"&amp;AE_w_WORK!D141</f>
        <v>0x1100</v>
      </c>
      <c r="J142" s="36">
        <v>40481</v>
      </c>
      <c r="K142" s="37"/>
      <c r="L142" s="74">
        <f t="shared" si="2"/>
        <v>272</v>
      </c>
      <c r="M142" s="74"/>
      <c r="N142" s="74"/>
    </row>
    <row r="143" spans="1:14" ht="12" hidden="1" customHeight="1" outlineLevel="1">
      <c r="B143" s="73">
        <v>137</v>
      </c>
      <c r="C143" s="39"/>
      <c r="D143" s="40"/>
      <c r="E143" s="34" t="s">
        <v>323</v>
      </c>
      <c r="F143" s="75" t="s">
        <v>508</v>
      </c>
      <c r="G143" s="35" t="s">
        <v>20</v>
      </c>
      <c r="H143" s="41" t="s">
        <v>21</v>
      </c>
      <c r="I143" s="44" t="str">
        <f>"0x"&amp;AE_w_WORK!D142</f>
        <v>0x0011</v>
      </c>
      <c r="J143" s="36">
        <v>40482</v>
      </c>
      <c r="K143" s="37"/>
      <c r="L143" s="74">
        <f t="shared" si="2"/>
        <v>274</v>
      </c>
      <c r="M143" s="74"/>
      <c r="N143" s="74"/>
    </row>
    <row r="144" spans="1:14" ht="12" hidden="1" customHeight="1" outlineLevel="1">
      <c r="B144" s="73">
        <v>138</v>
      </c>
      <c r="C144" s="39"/>
      <c r="D144" s="40"/>
      <c r="E144" s="34" t="s">
        <v>323</v>
      </c>
      <c r="F144" s="75" t="s">
        <v>509</v>
      </c>
      <c r="G144" s="35" t="s">
        <v>20</v>
      </c>
      <c r="H144" s="41" t="s">
        <v>21</v>
      </c>
      <c r="I144" s="44" t="str">
        <f>"0x"&amp;AE_w_WORK!D143</f>
        <v>0x2244</v>
      </c>
      <c r="J144" s="36">
        <v>40483</v>
      </c>
      <c r="K144" s="37"/>
      <c r="L144" s="74">
        <f t="shared" si="2"/>
        <v>276</v>
      </c>
      <c r="M144" s="74"/>
      <c r="N144" s="74"/>
    </row>
    <row r="145" spans="2:14" ht="12" hidden="1" customHeight="1" outlineLevel="1">
      <c r="B145" s="73">
        <v>139</v>
      </c>
      <c r="C145" s="39"/>
      <c r="D145" s="40"/>
      <c r="E145" s="34" t="s">
        <v>323</v>
      </c>
      <c r="F145" s="75" t="s">
        <v>510</v>
      </c>
      <c r="G145" s="35" t="s">
        <v>20</v>
      </c>
      <c r="H145" s="41" t="s">
        <v>21</v>
      </c>
      <c r="I145" s="44" t="str">
        <f>"0x"&amp;AE_w_WORK!D144</f>
        <v>0x4455</v>
      </c>
      <c r="J145" s="36">
        <v>40484</v>
      </c>
      <c r="K145" s="37"/>
      <c r="L145" s="74">
        <f t="shared" si="2"/>
        <v>278</v>
      </c>
      <c r="M145" s="74"/>
      <c r="N145" s="74"/>
    </row>
    <row r="146" spans="2:14" ht="12" hidden="1" customHeight="1" outlineLevel="1">
      <c r="B146" s="73">
        <v>140</v>
      </c>
      <c r="C146" s="39"/>
      <c r="D146" s="40"/>
      <c r="E146" s="34" t="s">
        <v>323</v>
      </c>
      <c r="F146" s="75" t="s">
        <v>511</v>
      </c>
      <c r="G146" s="35" t="s">
        <v>20</v>
      </c>
      <c r="H146" s="41" t="s">
        <v>21</v>
      </c>
      <c r="I146" s="44" t="str">
        <f>"0x"&amp;AE_w_WORK!D145</f>
        <v>0x5555</v>
      </c>
      <c r="J146" s="36">
        <v>40485</v>
      </c>
      <c r="K146" s="37"/>
      <c r="L146" s="74">
        <f t="shared" si="2"/>
        <v>280</v>
      </c>
      <c r="M146" s="74"/>
      <c r="N146" s="74"/>
    </row>
    <row r="147" spans="2:14" ht="12" hidden="1" customHeight="1" outlineLevel="1">
      <c r="B147" s="73">
        <v>141</v>
      </c>
      <c r="C147" s="39"/>
      <c r="D147" s="40"/>
      <c r="E147" s="34" t="s">
        <v>323</v>
      </c>
      <c r="F147" s="75" t="s">
        <v>512</v>
      </c>
      <c r="G147" s="35" t="s">
        <v>20</v>
      </c>
      <c r="H147" s="41" t="s">
        <v>21</v>
      </c>
      <c r="I147" s="44" t="str">
        <f>"0x"&amp;AE_w_WORK!D146</f>
        <v>0x5555</v>
      </c>
      <c r="J147" s="36">
        <v>40486</v>
      </c>
      <c r="K147" s="37"/>
      <c r="L147" s="74">
        <f t="shared" si="2"/>
        <v>282</v>
      </c>
      <c r="M147" s="74"/>
      <c r="N147" s="74"/>
    </row>
    <row r="148" spans="2:14" ht="12" hidden="1" customHeight="1" outlineLevel="1">
      <c r="B148" s="73">
        <v>142</v>
      </c>
      <c r="C148" s="39"/>
      <c r="D148" s="40"/>
      <c r="E148" s="34" t="s">
        <v>323</v>
      </c>
      <c r="F148" s="75" t="s">
        <v>513</v>
      </c>
      <c r="G148" s="35" t="s">
        <v>20</v>
      </c>
      <c r="H148" s="41" t="s">
        <v>21</v>
      </c>
      <c r="I148" s="44" t="str">
        <f>"0x"&amp;AE_w_WORK!D147</f>
        <v>0x5544</v>
      </c>
      <c r="J148" s="36">
        <v>40487</v>
      </c>
      <c r="K148" s="37"/>
      <c r="L148" s="74">
        <f t="shared" si="2"/>
        <v>284</v>
      </c>
      <c r="M148" s="74"/>
      <c r="N148" s="74"/>
    </row>
    <row r="149" spans="2:14" ht="12" hidden="1" customHeight="1" outlineLevel="1">
      <c r="B149" s="73">
        <v>143</v>
      </c>
      <c r="C149" s="39"/>
      <c r="D149" s="40"/>
      <c r="E149" s="34" t="s">
        <v>323</v>
      </c>
      <c r="F149" s="75" t="s">
        <v>514</v>
      </c>
      <c r="G149" s="35" t="s">
        <v>20</v>
      </c>
      <c r="H149" s="41" t="s">
        <v>21</v>
      </c>
      <c r="I149" s="44" t="str">
        <f>"0x"&amp;AE_w_WORK!D148</f>
        <v>0x3322</v>
      </c>
      <c r="J149" s="36">
        <v>40488</v>
      </c>
      <c r="K149" s="37"/>
      <c r="L149" s="74">
        <f t="shared" si="2"/>
        <v>286</v>
      </c>
      <c r="M149" s="74"/>
      <c r="N149" s="74"/>
    </row>
    <row r="150" spans="2:14" ht="12" hidden="1" customHeight="1" outlineLevel="1">
      <c r="B150" s="73">
        <v>144</v>
      </c>
      <c r="C150" s="39"/>
      <c r="D150" s="40"/>
      <c r="E150" s="34" t="s">
        <v>323</v>
      </c>
      <c r="F150" s="75" t="s">
        <v>515</v>
      </c>
      <c r="G150" s="35" t="s">
        <v>20</v>
      </c>
      <c r="H150" s="41" t="s">
        <v>21</v>
      </c>
      <c r="I150" s="44" t="str">
        <f>"0x"&amp;AE_w_WORK!D149</f>
        <v>0x1100</v>
      </c>
      <c r="J150" s="36">
        <v>40489</v>
      </c>
      <c r="K150" s="37"/>
      <c r="L150" s="74">
        <f t="shared" si="2"/>
        <v>288</v>
      </c>
      <c r="M150" s="74"/>
      <c r="N150" s="74"/>
    </row>
    <row r="151" spans="2:14" ht="12" hidden="1" customHeight="1" outlineLevel="1">
      <c r="B151" s="73">
        <v>145</v>
      </c>
      <c r="C151" s="39"/>
      <c r="D151" s="40"/>
      <c r="E151" s="34" t="s">
        <v>323</v>
      </c>
      <c r="F151" s="75" t="s">
        <v>516</v>
      </c>
      <c r="G151" s="35" t="s">
        <v>20</v>
      </c>
      <c r="H151" s="41" t="s">
        <v>21</v>
      </c>
      <c r="I151" s="44" t="str">
        <f>"0x"&amp;AE_w_WORK!D150</f>
        <v>0x0011</v>
      </c>
      <c r="J151" s="36">
        <v>40490</v>
      </c>
      <c r="K151" s="37"/>
      <c r="L151" s="74">
        <f t="shared" si="2"/>
        <v>290</v>
      </c>
      <c r="M151" s="74"/>
      <c r="N151" s="74"/>
    </row>
    <row r="152" spans="2:14" ht="12" hidden="1" customHeight="1" outlineLevel="1">
      <c r="B152" s="73">
        <v>146</v>
      </c>
      <c r="C152" s="39"/>
      <c r="D152" s="40"/>
      <c r="E152" s="34" t="s">
        <v>323</v>
      </c>
      <c r="F152" s="75" t="s">
        <v>517</v>
      </c>
      <c r="G152" s="35" t="s">
        <v>20</v>
      </c>
      <c r="H152" s="41" t="s">
        <v>21</v>
      </c>
      <c r="I152" s="44" t="str">
        <f>"0x"&amp;AE_w_WORK!D151</f>
        <v>0x2233</v>
      </c>
      <c r="J152" s="36">
        <v>40491</v>
      </c>
      <c r="K152" s="37"/>
      <c r="L152" s="74">
        <f t="shared" si="2"/>
        <v>292</v>
      </c>
      <c r="M152" s="74"/>
      <c r="N152" s="74"/>
    </row>
    <row r="153" spans="2:14" ht="12" hidden="1" customHeight="1" outlineLevel="1">
      <c r="B153" s="73">
        <v>147</v>
      </c>
      <c r="C153" s="39"/>
      <c r="D153" s="40"/>
      <c r="E153" s="34" t="s">
        <v>323</v>
      </c>
      <c r="F153" s="75" t="s">
        <v>518</v>
      </c>
      <c r="G153" s="35" t="s">
        <v>20</v>
      </c>
      <c r="H153" s="41" t="s">
        <v>21</v>
      </c>
      <c r="I153" s="44" t="str">
        <f>"0x"&amp;AE_w_WORK!D152</f>
        <v>0x4455</v>
      </c>
      <c r="J153" s="36">
        <v>40492</v>
      </c>
      <c r="K153" s="37"/>
      <c r="L153" s="74">
        <f t="shared" si="2"/>
        <v>294</v>
      </c>
      <c r="M153" s="74"/>
      <c r="N153" s="74"/>
    </row>
    <row r="154" spans="2:14" ht="12" hidden="1" customHeight="1" outlineLevel="1">
      <c r="B154" s="73">
        <v>148</v>
      </c>
      <c r="C154" s="39"/>
      <c r="D154" s="40"/>
      <c r="E154" s="34" t="s">
        <v>323</v>
      </c>
      <c r="F154" s="75" t="s">
        <v>519</v>
      </c>
      <c r="G154" s="35" t="s">
        <v>20</v>
      </c>
      <c r="H154" s="41" t="s">
        <v>21</v>
      </c>
      <c r="I154" s="44" t="str">
        <f>"0x"&amp;AE_w_WORK!D153</f>
        <v>0x5555</v>
      </c>
      <c r="J154" s="36">
        <v>40493</v>
      </c>
      <c r="K154" s="37"/>
      <c r="L154" s="74">
        <f t="shared" si="2"/>
        <v>296</v>
      </c>
      <c r="M154" s="74"/>
      <c r="N154" s="74"/>
    </row>
    <row r="155" spans="2:14" ht="12" hidden="1" customHeight="1" outlineLevel="1">
      <c r="B155" s="73">
        <v>149</v>
      </c>
      <c r="C155" s="39"/>
      <c r="D155" s="40"/>
      <c r="E155" s="34" t="s">
        <v>323</v>
      </c>
      <c r="F155" s="75" t="s">
        <v>520</v>
      </c>
      <c r="G155" s="35" t="s">
        <v>20</v>
      </c>
      <c r="H155" s="41" t="s">
        <v>21</v>
      </c>
      <c r="I155" s="44" t="str">
        <f>"0x"&amp;AE_w_WORK!D154</f>
        <v>0x5555</v>
      </c>
      <c r="J155" s="36">
        <v>40494</v>
      </c>
      <c r="K155" s="37"/>
      <c r="L155" s="74">
        <f t="shared" si="2"/>
        <v>298</v>
      </c>
      <c r="M155" s="74"/>
      <c r="N155" s="74"/>
    </row>
    <row r="156" spans="2:14" ht="12" hidden="1" customHeight="1" outlineLevel="1">
      <c r="B156" s="73">
        <v>150</v>
      </c>
      <c r="C156" s="39"/>
      <c r="D156" s="40"/>
      <c r="E156" s="34" t="s">
        <v>323</v>
      </c>
      <c r="F156" s="75" t="s">
        <v>521</v>
      </c>
      <c r="G156" s="35" t="s">
        <v>20</v>
      </c>
      <c r="H156" s="41" t="s">
        <v>21</v>
      </c>
      <c r="I156" s="44" t="str">
        <f>"0x"&amp;AE_w_WORK!D155</f>
        <v>0x5544</v>
      </c>
      <c r="J156" s="36">
        <v>40495</v>
      </c>
      <c r="K156" s="37"/>
      <c r="L156" s="74">
        <f t="shared" si="2"/>
        <v>300</v>
      </c>
      <c r="M156" s="74"/>
      <c r="N156" s="74"/>
    </row>
    <row r="157" spans="2:14" ht="12" hidden="1" customHeight="1" outlineLevel="1">
      <c r="B157" s="73">
        <v>151</v>
      </c>
      <c r="C157" s="39"/>
      <c r="D157" s="40"/>
      <c r="E157" s="34" t="s">
        <v>323</v>
      </c>
      <c r="F157" s="75" t="s">
        <v>522</v>
      </c>
      <c r="G157" s="35" t="s">
        <v>20</v>
      </c>
      <c r="H157" s="41" t="s">
        <v>21</v>
      </c>
      <c r="I157" s="44" t="str">
        <f>"0x"&amp;AE_w_WORK!D156</f>
        <v>0x3322</v>
      </c>
      <c r="J157" s="36">
        <v>40496</v>
      </c>
      <c r="K157" s="37"/>
      <c r="L157" s="74">
        <f t="shared" si="2"/>
        <v>302</v>
      </c>
      <c r="M157" s="74"/>
      <c r="N157" s="74"/>
    </row>
    <row r="158" spans="2:14" ht="12" hidden="1" customHeight="1" outlineLevel="1">
      <c r="B158" s="73">
        <v>152</v>
      </c>
      <c r="C158" s="39"/>
      <c r="D158" s="40"/>
      <c r="E158" s="34" t="s">
        <v>323</v>
      </c>
      <c r="F158" s="75" t="s">
        <v>523</v>
      </c>
      <c r="G158" s="35" t="s">
        <v>20</v>
      </c>
      <c r="H158" s="41" t="s">
        <v>21</v>
      </c>
      <c r="I158" s="44" t="str">
        <f>"0x"&amp;AE_w_WORK!D157</f>
        <v>0x1100</v>
      </c>
      <c r="J158" s="36">
        <v>40497</v>
      </c>
      <c r="K158" s="37"/>
      <c r="L158" s="74">
        <f t="shared" si="2"/>
        <v>304</v>
      </c>
      <c r="M158" s="74"/>
      <c r="N158" s="74"/>
    </row>
    <row r="159" spans="2:14" ht="12" hidden="1" customHeight="1" outlineLevel="1">
      <c r="B159" s="73">
        <v>153</v>
      </c>
      <c r="C159" s="39"/>
      <c r="D159" s="40"/>
      <c r="E159" s="34" t="s">
        <v>323</v>
      </c>
      <c r="F159" s="75" t="s">
        <v>524</v>
      </c>
      <c r="G159" s="35" t="s">
        <v>20</v>
      </c>
      <c r="H159" s="41" t="s">
        <v>21</v>
      </c>
      <c r="I159" s="44" t="str">
        <f>"0x"&amp;AE_w_WORK!D158</f>
        <v>0x0011</v>
      </c>
      <c r="J159" s="36">
        <v>40498</v>
      </c>
      <c r="K159" s="37"/>
      <c r="L159" s="74">
        <f t="shared" si="2"/>
        <v>306</v>
      </c>
      <c r="M159" s="74"/>
      <c r="N159" s="74"/>
    </row>
    <row r="160" spans="2:14" ht="12" hidden="1" customHeight="1" outlineLevel="1">
      <c r="B160" s="73">
        <v>154</v>
      </c>
      <c r="C160" s="39"/>
      <c r="D160" s="40"/>
      <c r="E160" s="34" t="s">
        <v>323</v>
      </c>
      <c r="F160" s="75" t="s">
        <v>525</v>
      </c>
      <c r="G160" s="35" t="s">
        <v>20</v>
      </c>
      <c r="H160" s="41" t="s">
        <v>21</v>
      </c>
      <c r="I160" s="44" t="str">
        <f>"0x"&amp;AE_w_WORK!D159</f>
        <v>0x2233</v>
      </c>
      <c r="J160" s="36">
        <v>40499</v>
      </c>
      <c r="K160" s="37"/>
      <c r="L160" s="74">
        <f t="shared" si="2"/>
        <v>308</v>
      </c>
      <c r="M160" s="74"/>
      <c r="N160" s="74"/>
    </row>
    <row r="161" spans="2:14" ht="12" hidden="1" customHeight="1" outlineLevel="1">
      <c r="B161" s="73">
        <v>155</v>
      </c>
      <c r="C161" s="39"/>
      <c r="D161" s="40"/>
      <c r="E161" s="34" t="s">
        <v>323</v>
      </c>
      <c r="F161" s="75" t="s">
        <v>526</v>
      </c>
      <c r="G161" s="35" t="s">
        <v>20</v>
      </c>
      <c r="H161" s="41" t="s">
        <v>21</v>
      </c>
      <c r="I161" s="44" t="str">
        <f>"0x"&amp;AE_w_WORK!D160</f>
        <v>0x4455</v>
      </c>
      <c r="J161" s="36">
        <v>40500</v>
      </c>
      <c r="K161" s="37"/>
      <c r="L161" s="74">
        <f t="shared" si="2"/>
        <v>310</v>
      </c>
      <c r="M161" s="74"/>
      <c r="N161" s="74"/>
    </row>
    <row r="162" spans="2:14" ht="12" hidden="1" customHeight="1" outlineLevel="1">
      <c r="B162" s="73">
        <v>156</v>
      </c>
      <c r="C162" s="39"/>
      <c r="D162" s="40"/>
      <c r="E162" s="34" t="s">
        <v>323</v>
      </c>
      <c r="F162" s="75" t="s">
        <v>527</v>
      </c>
      <c r="G162" s="35" t="s">
        <v>20</v>
      </c>
      <c r="H162" s="41" t="s">
        <v>21</v>
      </c>
      <c r="I162" s="44" t="str">
        <f>"0x"&amp;AE_w_WORK!D161</f>
        <v>0x5555</v>
      </c>
      <c r="J162" s="36">
        <v>40501</v>
      </c>
      <c r="K162" s="37"/>
      <c r="L162" s="74">
        <f t="shared" si="2"/>
        <v>312</v>
      </c>
      <c r="M162" s="74"/>
      <c r="N162" s="74"/>
    </row>
    <row r="163" spans="2:14" ht="12" hidden="1" customHeight="1" outlineLevel="1">
      <c r="B163" s="73">
        <v>157</v>
      </c>
      <c r="C163" s="39"/>
      <c r="D163" s="40"/>
      <c r="E163" s="34" t="s">
        <v>323</v>
      </c>
      <c r="F163" s="75" t="s">
        <v>528</v>
      </c>
      <c r="G163" s="35" t="s">
        <v>20</v>
      </c>
      <c r="H163" s="41" t="s">
        <v>21</v>
      </c>
      <c r="I163" s="44" t="str">
        <f>"0x"&amp;AE_w_WORK!D162</f>
        <v>0x5555</v>
      </c>
      <c r="J163" s="36">
        <v>40502</v>
      </c>
      <c r="K163" s="37"/>
      <c r="L163" s="74">
        <f t="shared" si="2"/>
        <v>314</v>
      </c>
      <c r="M163" s="74"/>
      <c r="N163" s="74"/>
    </row>
    <row r="164" spans="2:14" ht="12" hidden="1" customHeight="1" outlineLevel="1">
      <c r="B164" s="73">
        <v>158</v>
      </c>
      <c r="C164" s="39"/>
      <c r="D164" s="40"/>
      <c r="E164" s="34" t="s">
        <v>323</v>
      </c>
      <c r="F164" s="75" t="s">
        <v>529</v>
      </c>
      <c r="G164" s="35" t="s">
        <v>20</v>
      </c>
      <c r="H164" s="41" t="s">
        <v>21</v>
      </c>
      <c r="I164" s="44" t="str">
        <f>"0x"&amp;AE_w_WORK!D163</f>
        <v>0x5544</v>
      </c>
      <c r="J164" s="36">
        <v>40503</v>
      </c>
      <c r="K164" s="37"/>
      <c r="L164" s="74">
        <f t="shared" si="2"/>
        <v>316</v>
      </c>
      <c r="M164" s="74"/>
      <c r="N164" s="74"/>
    </row>
    <row r="165" spans="2:14" ht="12" hidden="1" customHeight="1" outlineLevel="1">
      <c r="B165" s="73">
        <v>159</v>
      </c>
      <c r="C165" s="39"/>
      <c r="D165" s="40"/>
      <c r="E165" s="34" t="s">
        <v>323</v>
      </c>
      <c r="F165" s="75" t="s">
        <v>530</v>
      </c>
      <c r="G165" s="35" t="s">
        <v>20</v>
      </c>
      <c r="H165" s="41" t="s">
        <v>21</v>
      </c>
      <c r="I165" s="44" t="str">
        <f>"0x"&amp;AE_w_WORK!D164</f>
        <v>0x3322</v>
      </c>
      <c r="J165" s="36">
        <v>40504</v>
      </c>
      <c r="K165" s="37"/>
      <c r="L165" s="74">
        <f t="shared" si="2"/>
        <v>318</v>
      </c>
      <c r="M165" s="74"/>
      <c r="N165" s="74"/>
    </row>
    <row r="166" spans="2:14" ht="12" hidden="1" customHeight="1" outlineLevel="1">
      <c r="B166" s="73">
        <v>160</v>
      </c>
      <c r="C166" s="39"/>
      <c r="D166" s="40"/>
      <c r="E166" s="34" t="s">
        <v>323</v>
      </c>
      <c r="F166" s="75" t="s">
        <v>531</v>
      </c>
      <c r="G166" s="35" t="s">
        <v>20</v>
      </c>
      <c r="H166" s="41" t="s">
        <v>21</v>
      </c>
      <c r="I166" s="44" t="str">
        <f>"0x"&amp;AE_w_WORK!D165</f>
        <v>0x1100</v>
      </c>
      <c r="J166" s="36">
        <v>40505</v>
      </c>
      <c r="K166" s="37"/>
      <c r="L166" s="74">
        <f t="shared" si="2"/>
        <v>320</v>
      </c>
      <c r="M166" s="74"/>
      <c r="N166" s="74"/>
    </row>
    <row r="167" spans="2:14" ht="12" hidden="1" customHeight="1" outlineLevel="1">
      <c r="B167" s="73">
        <v>161</v>
      </c>
      <c r="C167" s="39"/>
      <c r="D167" s="40"/>
      <c r="E167" s="34" t="s">
        <v>323</v>
      </c>
      <c r="F167" s="75" t="s">
        <v>532</v>
      </c>
      <c r="G167" s="35" t="s">
        <v>20</v>
      </c>
      <c r="H167" s="41" t="s">
        <v>21</v>
      </c>
      <c r="I167" s="44" t="str">
        <f>"0x"&amp;AE_w_WORK!D166</f>
        <v>0x0011</v>
      </c>
      <c r="J167" s="36">
        <v>40506</v>
      </c>
      <c r="K167" s="37"/>
      <c r="L167" s="74">
        <f t="shared" si="2"/>
        <v>322</v>
      </c>
      <c r="M167" s="74"/>
      <c r="N167" s="74"/>
    </row>
    <row r="168" spans="2:14" ht="12" hidden="1" customHeight="1" outlineLevel="1">
      <c r="B168" s="73">
        <v>162</v>
      </c>
      <c r="C168" s="39"/>
      <c r="D168" s="40"/>
      <c r="E168" s="34" t="s">
        <v>323</v>
      </c>
      <c r="F168" s="75" t="s">
        <v>533</v>
      </c>
      <c r="G168" s="35" t="s">
        <v>20</v>
      </c>
      <c r="H168" s="41" t="s">
        <v>21</v>
      </c>
      <c r="I168" s="44" t="str">
        <f>"0x"&amp;AE_w_WORK!D167</f>
        <v>0x2233</v>
      </c>
      <c r="J168" s="36">
        <v>40507</v>
      </c>
      <c r="K168" s="37"/>
      <c r="L168" s="74">
        <f t="shared" si="2"/>
        <v>324</v>
      </c>
      <c r="M168" s="74"/>
      <c r="N168" s="74"/>
    </row>
    <row r="169" spans="2:14" ht="12" hidden="1" customHeight="1" outlineLevel="1">
      <c r="B169" s="73">
        <v>163</v>
      </c>
      <c r="C169" s="39"/>
      <c r="D169" s="40"/>
      <c r="E169" s="34" t="s">
        <v>323</v>
      </c>
      <c r="F169" s="75" t="s">
        <v>534</v>
      </c>
      <c r="G169" s="35" t="s">
        <v>20</v>
      </c>
      <c r="H169" s="41" t="s">
        <v>21</v>
      </c>
      <c r="I169" s="44" t="str">
        <f>"0x"&amp;AE_w_WORK!D168</f>
        <v>0x4444</v>
      </c>
      <c r="J169" s="36">
        <v>40508</v>
      </c>
      <c r="K169" s="37"/>
      <c r="L169" s="74">
        <f t="shared" si="2"/>
        <v>326</v>
      </c>
      <c r="M169" s="74"/>
      <c r="N169" s="74"/>
    </row>
    <row r="170" spans="2:14" ht="12" hidden="1" customHeight="1" outlineLevel="1">
      <c r="B170" s="73">
        <v>164</v>
      </c>
      <c r="C170" s="39"/>
      <c r="D170" s="40"/>
      <c r="E170" s="34" t="s">
        <v>323</v>
      </c>
      <c r="F170" s="75" t="s">
        <v>535</v>
      </c>
      <c r="G170" s="35" t="s">
        <v>20</v>
      </c>
      <c r="H170" s="41" t="s">
        <v>21</v>
      </c>
      <c r="I170" s="44" t="str">
        <f>"0x"&amp;AE_w_WORK!D169</f>
        <v>0x5555</v>
      </c>
      <c r="J170" s="36">
        <v>40509</v>
      </c>
      <c r="K170" s="37"/>
      <c r="L170" s="74">
        <f t="shared" si="2"/>
        <v>328</v>
      </c>
      <c r="M170" s="74"/>
      <c r="N170" s="74"/>
    </row>
    <row r="171" spans="2:14" ht="12" hidden="1" customHeight="1" outlineLevel="1">
      <c r="B171" s="73">
        <v>165</v>
      </c>
      <c r="C171" s="39"/>
      <c r="D171" s="40"/>
      <c r="E171" s="34" t="s">
        <v>323</v>
      </c>
      <c r="F171" s="75" t="s">
        <v>536</v>
      </c>
      <c r="G171" s="35" t="s">
        <v>20</v>
      </c>
      <c r="H171" s="41" t="s">
        <v>21</v>
      </c>
      <c r="I171" s="44" t="str">
        <f>"0x"&amp;AE_w_WORK!D170</f>
        <v>0x5555</v>
      </c>
      <c r="J171" s="36">
        <v>40510</v>
      </c>
      <c r="K171" s="37"/>
      <c r="L171" s="74">
        <f t="shared" si="2"/>
        <v>330</v>
      </c>
      <c r="M171" s="74"/>
      <c r="N171" s="74"/>
    </row>
    <row r="172" spans="2:14" ht="12" hidden="1" customHeight="1" outlineLevel="1">
      <c r="B172" s="73">
        <v>166</v>
      </c>
      <c r="C172" s="39"/>
      <c r="D172" s="40"/>
      <c r="E172" s="34" t="s">
        <v>323</v>
      </c>
      <c r="F172" s="75" t="s">
        <v>537</v>
      </c>
      <c r="G172" s="35" t="s">
        <v>20</v>
      </c>
      <c r="H172" s="41" t="s">
        <v>21</v>
      </c>
      <c r="I172" s="44" t="str">
        <f>"0x"&amp;AE_w_WORK!D171</f>
        <v>0x4444</v>
      </c>
      <c r="J172" s="36">
        <v>40511</v>
      </c>
      <c r="K172" s="37"/>
      <c r="L172" s="74">
        <f t="shared" si="2"/>
        <v>332</v>
      </c>
      <c r="M172" s="74"/>
      <c r="N172" s="74"/>
    </row>
    <row r="173" spans="2:14" ht="12" hidden="1" customHeight="1" outlineLevel="1">
      <c r="B173" s="73">
        <v>167</v>
      </c>
      <c r="C173" s="39"/>
      <c r="D173" s="40"/>
      <c r="E173" s="34" t="s">
        <v>323</v>
      </c>
      <c r="F173" s="75" t="s">
        <v>538</v>
      </c>
      <c r="G173" s="35" t="s">
        <v>20</v>
      </c>
      <c r="H173" s="41" t="s">
        <v>21</v>
      </c>
      <c r="I173" s="44" t="str">
        <f>"0x"&amp;AE_w_WORK!D172</f>
        <v>0x3322</v>
      </c>
      <c r="J173" s="36">
        <v>40512</v>
      </c>
      <c r="K173" s="37"/>
      <c r="L173" s="74">
        <f t="shared" si="2"/>
        <v>334</v>
      </c>
      <c r="M173" s="74"/>
      <c r="N173" s="74"/>
    </row>
    <row r="174" spans="2:14" ht="12" hidden="1" customHeight="1" outlineLevel="1">
      <c r="B174" s="73">
        <v>168</v>
      </c>
      <c r="C174" s="39"/>
      <c r="D174" s="40"/>
      <c r="E174" s="34" t="s">
        <v>323</v>
      </c>
      <c r="F174" s="75" t="s">
        <v>539</v>
      </c>
      <c r="G174" s="35" t="s">
        <v>20</v>
      </c>
      <c r="H174" s="41" t="s">
        <v>21</v>
      </c>
      <c r="I174" s="44" t="str">
        <f>"0x"&amp;AE_w_WORK!D173</f>
        <v>0x1100</v>
      </c>
      <c r="J174" s="36">
        <v>40513</v>
      </c>
      <c r="K174" s="37"/>
      <c r="L174" s="74">
        <f t="shared" si="2"/>
        <v>336</v>
      </c>
      <c r="M174" s="74"/>
      <c r="N174" s="74"/>
    </row>
    <row r="175" spans="2:14" ht="12" hidden="1" customHeight="1" outlineLevel="1">
      <c r="B175" s="73">
        <v>169</v>
      </c>
      <c r="C175" s="39"/>
      <c r="D175" s="40"/>
      <c r="E175" s="34" t="s">
        <v>323</v>
      </c>
      <c r="F175" s="75" t="s">
        <v>540</v>
      </c>
      <c r="G175" s="35" t="s">
        <v>20</v>
      </c>
      <c r="H175" s="41" t="s">
        <v>21</v>
      </c>
      <c r="I175" s="44" t="str">
        <f>"0x"&amp;AE_w_WORK!D174</f>
        <v>0x0011</v>
      </c>
      <c r="J175" s="36">
        <v>40514</v>
      </c>
      <c r="K175" s="37"/>
      <c r="L175" s="74">
        <f t="shared" si="2"/>
        <v>338</v>
      </c>
      <c r="M175" s="74"/>
      <c r="N175" s="74"/>
    </row>
    <row r="176" spans="2:14" ht="12" hidden="1" customHeight="1" outlineLevel="1">
      <c r="B176" s="73">
        <v>170</v>
      </c>
      <c r="C176" s="39"/>
      <c r="D176" s="40"/>
      <c r="E176" s="34" t="s">
        <v>323</v>
      </c>
      <c r="F176" s="75" t="s">
        <v>541</v>
      </c>
      <c r="G176" s="35" t="s">
        <v>20</v>
      </c>
      <c r="H176" s="41" t="s">
        <v>21</v>
      </c>
      <c r="I176" s="44" t="str">
        <f>"0x"&amp;AE_w_WORK!D175</f>
        <v>0x2222</v>
      </c>
      <c r="J176" s="36">
        <v>40515</v>
      </c>
      <c r="K176" s="37"/>
      <c r="L176" s="74">
        <f t="shared" si="2"/>
        <v>340</v>
      </c>
      <c r="M176" s="74"/>
      <c r="N176" s="74"/>
    </row>
    <row r="177" spans="2:14" ht="12" hidden="1" customHeight="1" outlineLevel="1">
      <c r="B177" s="73">
        <v>171</v>
      </c>
      <c r="C177" s="39"/>
      <c r="D177" s="40"/>
      <c r="E177" s="34" t="s">
        <v>323</v>
      </c>
      <c r="F177" s="75" t="s">
        <v>542</v>
      </c>
      <c r="G177" s="35" t="s">
        <v>20</v>
      </c>
      <c r="H177" s="41" t="s">
        <v>21</v>
      </c>
      <c r="I177" s="44" t="str">
        <f>"0x"&amp;AE_w_WORK!D176</f>
        <v>0x3344</v>
      </c>
      <c r="J177" s="36">
        <v>40516</v>
      </c>
      <c r="K177" s="37"/>
      <c r="L177" s="74">
        <f t="shared" si="2"/>
        <v>342</v>
      </c>
      <c r="M177" s="74"/>
      <c r="N177" s="74"/>
    </row>
    <row r="178" spans="2:14" ht="12" hidden="1" customHeight="1" outlineLevel="1">
      <c r="B178" s="73">
        <v>172</v>
      </c>
      <c r="C178" s="39"/>
      <c r="D178" s="40"/>
      <c r="E178" s="34" t="s">
        <v>323</v>
      </c>
      <c r="F178" s="75" t="s">
        <v>543</v>
      </c>
      <c r="G178" s="35" t="s">
        <v>20</v>
      </c>
      <c r="H178" s="41" t="s">
        <v>21</v>
      </c>
      <c r="I178" s="44" t="str">
        <f>"0x"&amp;AE_w_WORK!D177</f>
        <v>0x4455</v>
      </c>
      <c r="J178" s="36">
        <v>40517</v>
      </c>
      <c r="K178" s="37"/>
      <c r="L178" s="74">
        <f t="shared" si="2"/>
        <v>344</v>
      </c>
      <c r="M178" s="74"/>
      <c r="N178" s="74"/>
    </row>
    <row r="179" spans="2:14" ht="12" hidden="1" customHeight="1" outlineLevel="1">
      <c r="B179" s="73">
        <v>173</v>
      </c>
      <c r="C179" s="39"/>
      <c r="D179" s="40"/>
      <c r="E179" s="34" t="s">
        <v>323</v>
      </c>
      <c r="F179" s="75" t="s">
        <v>544</v>
      </c>
      <c r="G179" s="35" t="s">
        <v>20</v>
      </c>
      <c r="H179" s="41" t="s">
        <v>21</v>
      </c>
      <c r="I179" s="44" t="str">
        <f>"0x"&amp;AE_w_WORK!D178</f>
        <v>0x5544</v>
      </c>
      <c r="J179" s="36">
        <v>40518</v>
      </c>
      <c r="K179" s="37"/>
      <c r="L179" s="74">
        <f t="shared" si="2"/>
        <v>346</v>
      </c>
      <c r="M179" s="74"/>
      <c r="N179" s="74"/>
    </row>
    <row r="180" spans="2:14" ht="12" hidden="1" customHeight="1" outlineLevel="1">
      <c r="B180" s="73">
        <v>174</v>
      </c>
      <c r="C180" s="39"/>
      <c r="D180" s="40"/>
      <c r="E180" s="34" t="s">
        <v>323</v>
      </c>
      <c r="F180" s="75" t="s">
        <v>545</v>
      </c>
      <c r="G180" s="35" t="s">
        <v>20</v>
      </c>
      <c r="H180" s="41" t="s">
        <v>21</v>
      </c>
      <c r="I180" s="44" t="str">
        <f>"0x"&amp;AE_w_WORK!D179</f>
        <v>0x4433</v>
      </c>
      <c r="J180" s="36">
        <v>40519</v>
      </c>
      <c r="K180" s="37"/>
      <c r="L180" s="74">
        <f t="shared" si="2"/>
        <v>348</v>
      </c>
      <c r="M180" s="74"/>
      <c r="N180" s="74"/>
    </row>
    <row r="181" spans="2:14" ht="12" hidden="1" customHeight="1" outlineLevel="1">
      <c r="B181" s="73">
        <v>175</v>
      </c>
      <c r="C181" s="39"/>
      <c r="D181" s="40"/>
      <c r="E181" s="34" t="s">
        <v>323</v>
      </c>
      <c r="F181" s="75" t="s">
        <v>546</v>
      </c>
      <c r="G181" s="35" t="s">
        <v>20</v>
      </c>
      <c r="H181" s="41" t="s">
        <v>21</v>
      </c>
      <c r="I181" s="44" t="str">
        <f>"0x"&amp;AE_w_WORK!D180</f>
        <v>0x2222</v>
      </c>
      <c r="J181" s="36">
        <v>40520</v>
      </c>
      <c r="K181" s="37"/>
      <c r="L181" s="74">
        <f t="shared" si="2"/>
        <v>350</v>
      </c>
      <c r="M181" s="74"/>
      <c r="N181" s="74"/>
    </row>
    <row r="182" spans="2:14" ht="12" hidden="1" customHeight="1" outlineLevel="1">
      <c r="B182" s="73">
        <v>176</v>
      </c>
      <c r="C182" s="39"/>
      <c r="D182" s="40"/>
      <c r="E182" s="34" t="s">
        <v>323</v>
      </c>
      <c r="F182" s="75" t="s">
        <v>547</v>
      </c>
      <c r="G182" s="35" t="s">
        <v>20</v>
      </c>
      <c r="H182" s="41" t="s">
        <v>21</v>
      </c>
      <c r="I182" s="44" t="str">
        <f>"0x"&amp;AE_w_WORK!D181</f>
        <v>0x1100</v>
      </c>
      <c r="J182" s="36">
        <v>40521</v>
      </c>
      <c r="K182" s="37"/>
      <c r="L182" s="74">
        <f t="shared" si="2"/>
        <v>352</v>
      </c>
      <c r="M182" s="74"/>
      <c r="N182" s="74"/>
    </row>
    <row r="183" spans="2:14" ht="12" hidden="1" customHeight="1" outlineLevel="1">
      <c r="B183" s="73">
        <v>177</v>
      </c>
      <c r="C183" s="39"/>
      <c r="D183" s="40"/>
      <c r="E183" s="34" t="s">
        <v>323</v>
      </c>
      <c r="F183" s="75" t="s">
        <v>548</v>
      </c>
      <c r="G183" s="35" t="s">
        <v>20</v>
      </c>
      <c r="H183" s="41" t="s">
        <v>21</v>
      </c>
      <c r="I183" s="44" t="str">
        <f>"0x"&amp;AE_w_WORK!D182</f>
        <v>0x0011</v>
      </c>
      <c r="J183" s="36">
        <v>40522</v>
      </c>
      <c r="K183" s="37"/>
      <c r="L183" s="74">
        <f t="shared" si="2"/>
        <v>354</v>
      </c>
      <c r="M183" s="74"/>
      <c r="N183" s="74"/>
    </row>
    <row r="184" spans="2:14" ht="12" hidden="1" customHeight="1" outlineLevel="1">
      <c r="B184" s="73">
        <v>178</v>
      </c>
      <c r="C184" s="39"/>
      <c r="D184" s="40"/>
      <c r="E184" s="34" t="s">
        <v>323</v>
      </c>
      <c r="F184" s="75" t="s">
        <v>549</v>
      </c>
      <c r="G184" s="35" t="s">
        <v>20</v>
      </c>
      <c r="H184" s="41" t="s">
        <v>21</v>
      </c>
      <c r="I184" s="44" t="str">
        <f>"0x"&amp;AE_w_WORK!D183</f>
        <v>0x1122</v>
      </c>
      <c r="J184" s="36">
        <v>40523</v>
      </c>
      <c r="K184" s="37"/>
      <c r="L184" s="74">
        <f t="shared" si="2"/>
        <v>356</v>
      </c>
      <c r="M184" s="74"/>
      <c r="N184" s="74"/>
    </row>
    <row r="185" spans="2:14" ht="12" hidden="1" customHeight="1" outlineLevel="1">
      <c r="B185" s="73">
        <v>179</v>
      </c>
      <c r="C185" s="39"/>
      <c r="D185" s="40"/>
      <c r="E185" s="34" t="s">
        <v>323</v>
      </c>
      <c r="F185" s="75" t="s">
        <v>550</v>
      </c>
      <c r="G185" s="35" t="s">
        <v>20</v>
      </c>
      <c r="H185" s="41" t="s">
        <v>21</v>
      </c>
      <c r="I185" s="44" t="str">
        <f>"0x"&amp;AE_w_WORK!D184</f>
        <v>0x3333</v>
      </c>
      <c r="J185" s="36">
        <v>40524</v>
      </c>
      <c r="K185" s="37"/>
      <c r="L185" s="74">
        <f t="shared" si="2"/>
        <v>358</v>
      </c>
      <c r="M185" s="74"/>
      <c r="N185" s="74"/>
    </row>
    <row r="186" spans="2:14" ht="12" hidden="1" customHeight="1" outlineLevel="1">
      <c r="B186" s="73">
        <v>180</v>
      </c>
      <c r="C186" s="39"/>
      <c r="D186" s="40"/>
      <c r="E186" s="34" t="s">
        <v>323</v>
      </c>
      <c r="F186" s="75" t="s">
        <v>551</v>
      </c>
      <c r="G186" s="35" t="s">
        <v>20</v>
      </c>
      <c r="H186" s="41" t="s">
        <v>21</v>
      </c>
      <c r="I186" s="44" t="str">
        <f>"0x"&amp;AE_w_WORK!D185</f>
        <v>0x4444</v>
      </c>
      <c r="J186" s="36">
        <v>40525</v>
      </c>
      <c r="K186" s="37"/>
      <c r="L186" s="74">
        <f t="shared" si="2"/>
        <v>360</v>
      </c>
      <c r="M186" s="74"/>
      <c r="N186" s="74"/>
    </row>
    <row r="187" spans="2:14" ht="12" hidden="1" customHeight="1" outlineLevel="1">
      <c r="B187" s="73">
        <v>181</v>
      </c>
      <c r="C187" s="39"/>
      <c r="D187" s="40"/>
      <c r="E187" s="34" t="s">
        <v>323</v>
      </c>
      <c r="F187" s="75" t="s">
        <v>552</v>
      </c>
      <c r="G187" s="35" t="s">
        <v>20</v>
      </c>
      <c r="H187" s="41" t="s">
        <v>21</v>
      </c>
      <c r="I187" s="44" t="str">
        <f>"0x"&amp;AE_w_WORK!D186</f>
        <v>0x4444</v>
      </c>
      <c r="J187" s="36">
        <v>40526</v>
      </c>
      <c r="K187" s="37"/>
      <c r="L187" s="74">
        <f t="shared" si="2"/>
        <v>362</v>
      </c>
      <c r="M187" s="74"/>
      <c r="N187" s="74"/>
    </row>
    <row r="188" spans="2:14" ht="12" hidden="1" customHeight="1" outlineLevel="1">
      <c r="B188" s="73">
        <v>182</v>
      </c>
      <c r="C188" s="39"/>
      <c r="D188" s="40"/>
      <c r="E188" s="34" t="s">
        <v>323</v>
      </c>
      <c r="F188" s="75" t="s">
        <v>553</v>
      </c>
      <c r="G188" s="35" t="s">
        <v>20</v>
      </c>
      <c r="H188" s="41" t="s">
        <v>21</v>
      </c>
      <c r="I188" s="44" t="str">
        <f>"0x"&amp;AE_w_WORK!D187</f>
        <v>0x3333</v>
      </c>
      <c r="J188" s="36">
        <v>40527</v>
      </c>
      <c r="K188" s="37"/>
      <c r="L188" s="74">
        <f t="shared" si="2"/>
        <v>364</v>
      </c>
      <c r="M188" s="74"/>
      <c r="N188" s="74"/>
    </row>
    <row r="189" spans="2:14" ht="12" hidden="1" customHeight="1" outlineLevel="1">
      <c r="B189" s="73">
        <v>183</v>
      </c>
      <c r="C189" s="39"/>
      <c r="D189" s="40"/>
      <c r="E189" s="34" t="s">
        <v>323</v>
      </c>
      <c r="F189" s="75" t="s">
        <v>554</v>
      </c>
      <c r="G189" s="35" t="s">
        <v>20</v>
      </c>
      <c r="H189" s="41" t="s">
        <v>21</v>
      </c>
      <c r="I189" s="44" t="str">
        <f>"0x"&amp;AE_w_WORK!D188</f>
        <v>0x2211</v>
      </c>
      <c r="J189" s="36">
        <v>40528</v>
      </c>
      <c r="K189" s="37"/>
      <c r="L189" s="74">
        <f t="shared" si="2"/>
        <v>366</v>
      </c>
      <c r="M189" s="74"/>
      <c r="N189" s="74"/>
    </row>
    <row r="190" spans="2:14" ht="12" hidden="1" customHeight="1" outlineLevel="1">
      <c r="B190" s="73">
        <v>184</v>
      </c>
      <c r="C190" s="39"/>
      <c r="D190" s="40"/>
      <c r="E190" s="34" t="s">
        <v>323</v>
      </c>
      <c r="F190" s="75" t="s">
        <v>555</v>
      </c>
      <c r="G190" s="35" t="s">
        <v>20</v>
      </c>
      <c r="H190" s="41" t="s">
        <v>21</v>
      </c>
      <c r="I190" s="44" t="str">
        <f>"0x"&amp;AE_w_WORK!D189</f>
        <v>0x1100</v>
      </c>
      <c r="J190" s="36">
        <v>40529</v>
      </c>
      <c r="K190" s="37"/>
      <c r="L190" s="74">
        <f t="shared" si="2"/>
        <v>368</v>
      </c>
      <c r="M190" s="74"/>
      <c r="N190" s="74"/>
    </row>
    <row r="191" spans="2:14" ht="12" hidden="1" customHeight="1" outlineLevel="1">
      <c r="B191" s="73">
        <v>185</v>
      </c>
      <c r="C191" s="39"/>
      <c r="D191" s="40"/>
      <c r="E191" s="34" t="s">
        <v>323</v>
      </c>
      <c r="F191" s="75" t="s">
        <v>556</v>
      </c>
      <c r="G191" s="35" t="s">
        <v>20</v>
      </c>
      <c r="H191" s="41" t="s">
        <v>21</v>
      </c>
      <c r="I191" s="44" t="str">
        <f>"0x"&amp;AE_w_WORK!D190</f>
        <v>0x0000</v>
      </c>
      <c r="J191" s="36">
        <v>40530</v>
      </c>
      <c r="K191" s="37"/>
      <c r="L191" s="74">
        <f t="shared" si="2"/>
        <v>370</v>
      </c>
      <c r="M191" s="74"/>
      <c r="N191" s="74"/>
    </row>
    <row r="192" spans="2:14" ht="12" hidden="1" customHeight="1" outlineLevel="1">
      <c r="B192" s="73">
        <v>186</v>
      </c>
      <c r="C192" s="39"/>
      <c r="D192" s="40"/>
      <c r="E192" s="34" t="s">
        <v>323</v>
      </c>
      <c r="F192" s="75" t="s">
        <v>557</v>
      </c>
      <c r="G192" s="35" t="s">
        <v>20</v>
      </c>
      <c r="H192" s="41" t="s">
        <v>21</v>
      </c>
      <c r="I192" s="44" t="str">
        <f>"0x"&amp;AE_w_WORK!D191</f>
        <v>0x1122</v>
      </c>
      <c r="J192" s="36">
        <v>40531</v>
      </c>
      <c r="K192" s="37"/>
      <c r="L192" s="74">
        <f t="shared" si="2"/>
        <v>372</v>
      </c>
      <c r="M192" s="74"/>
      <c r="N192" s="74"/>
    </row>
    <row r="193" spans="2:14" ht="12" hidden="1" customHeight="1" outlineLevel="1">
      <c r="B193" s="73">
        <v>187</v>
      </c>
      <c r="C193" s="39"/>
      <c r="D193" s="40"/>
      <c r="E193" s="34" t="s">
        <v>323</v>
      </c>
      <c r="F193" s="75" t="s">
        <v>558</v>
      </c>
      <c r="G193" s="35" t="s">
        <v>20</v>
      </c>
      <c r="H193" s="41" t="s">
        <v>21</v>
      </c>
      <c r="I193" s="44" t="str">
        <f>"0x"&amp;AE_w_WORK!D192</f>
        <v>0x2233</v>
      </c>
      <c r="J193" s="36">
        <v>40532</v>
      </c>
      <c r="K193" s="37"/>
      <c r="L193" s="74">
        <f t="shared" si="2"/>
        <v>374</v>
      </c>
      <c r="M193" s="74"/>
      <c r="N193" s="74"/>
    </row>
    <row r="194" spans="2:14" ht="12" hidden="1" customHeight="1" outlineLevel="1">
      <c r="B194" s="73">
        <v>188</v>
      </c>
      <c r="C194" s="39"/>
      <c r="D194" s="40"/>
      <c r="E194" s="34" t="s">
        <v>323</v>
      </c>
      <c r="F194" s="75" t="s">
        <v>559</v>
      </c>
      <c r="G194" s="35" t="s">
        <v>20</v>
      </c>
      <c r="H194" s="41" t="s">
        <v>21</v>
      </c>
      <c r="I194" s="44" t="str">
        <f>"0x"&amp;AE_w_WORK!D193</f>
        <v>0x3344</v>
      </c>
      <c r="J194" s="36">
        <v>40533</v>
      </c>
      <c r="K194" s="37"/>
      <c r="L194" s="74">
        <f t="shared" si="2"/>
        <v>376</v>
      </c>
      <c r="M194" s="74"/>
      <c r="N194" s="74"/>
    </row>
    <row r="195" spans="2:14" ht="12" hidden="1" customHeight="1" outlineLevel="1">
      <c r="B195" s="73">
        <v>189</v>
      </c>
      <c r="C195" s="39"/>
      <c r="D195" s="40"/>
      <c r="E195" s="34" t="s">
        <v>323</v>
      </c>
      <c r="F195" s="75" t="s">
        <v>560</v>
      </c>
      <c r="G195" s="35" t="s">
        <v>20</v>
      </c>
      <c r="H195" s="41" t="s">
        <v>21</v>
      </c>
      <c r="I195" s="44" t="str">
        <f>"0x"&amp;AE_w_WORK!D194</f>
        <v>0x4433</v>
      </c>
      <c r="J195" s="36">
        <v>40534</v>
      </c>
      <c r="K195" s="37"/>
      <c r="L195" s="74">
        <f t="shared" si="2"/>
        <v>378</v>
      </c>
      <c r="M195" s="74"/>
      <c r="N195" s="74"/>
    </row>
    <row r="196" spans="2:14" ht="12" hidden="1" customHeight="1" outlineLevel="1">
      <c r="B196" s="73">
        <v>190</v>
      </c>
      <c r="C196" s="39"/>
      <c r="D196" s="40"/>
      <c r="E196" s="34" t="s">
        <v>323</v>
      </c>
      <c r="F196" s="75" t="s">
        <v>561</v>
      </c>
      <c r="G196" s="35" t="s">
        <v>20</v>
      </c>
      <c r="H196" s="41" t="s">
        <v>21</v>
      </c>
      <c r="I196" s="44" t="str">
        <f>"0x"&amp;AE_w_WORK!D195</f>
        <v>0x3322</v>
      </c>
      <c r="J196" s="36">
        <v>40535</v>
      </c>
      <c r="K196" s="37"/>
      <c r="L196" s="74">
        <f t="shared" si="2"/>
        <v>380</v>
      </c>
      <c r="M196" s="74"/>
      <c r="N196" s="74"/>
    </row>
    <row r="197" spans="2:14" ht="12" hidden="1" customHeight="1" outlineLevel="1">
      <c r="B197" s="73">
        <v>191</v>
      </c>
      <c r="C197" s="39"/>
      <c r="D197" s="40"/>
      <c r="E197" s="34" t="s">
        <v>323</v>
      </c>
      <c r="F197" s="75" t="s">
        <v>562</v>
      </c>
      <c r="G197" s="35" t="s">
        <v>20</v>
      </c>
      <c r="H197" s="41" t="s">
        <v>21</v>
      </c>
      <c r="I197" s="44" t="str">
        <f>"0x"&amp;AE_w_WORK!D196</f>
        <v>0x2211</v>
      </c>
      <c r="J197" s="36">
        <v>40536</v>
      </c>
      <c r="K197" s="37"/>
      <c r="L197" s="74">
        <f t="shared" si="2"/>
        <v>382</v>
      </c>
      <c r="M197" s="74"/>
      <c r="N197" s="74"/>
    </row>
    <row r="198" spans="2:14" ht="12" hidden="1" customHeight="1" outlineLevel="1">
      <c r="B198" s="73">
        <v>192</v>
      </c>
      <c r="C198" s="39"/>
      <c r="D198" s="40"/>
      <c r="E198" s="34" t="s">
        <v>323</v>
      </c>
      <c r="F198" s="75" t="s">
        <v>563</v>
      </c>
      <c r="G198" s="35" t="s">
        <v>20</v>
      </c>
      <c r="H198" s="41" t="s">
        <v>21</v>
      </c>
      <c r="I198" s="44" t="str">
        <f>"0x"&amp;AE_w_WORK!D197</f>
        <v>0x1100</v>
      </c>
      <c r="J198" s="36">
        <v>40537</v>
      </c>
      <c r="K198" s="37"/>
      <c r="L198" s="74">
        <f t="shared" si="2"/>
        <v>384</v>
      </c>
      <c r="M198" s="74"/>
      <c r="N198" s="74"/>
    </row>
    <row r="199" spans="2:14" ht="12" hidden="1" customHeight="1" outlineLevel="1">
      <c r="B199" s="73">
        <v>193</v>
      </c>
      <c r="C199" s="39"/>
      <c r="D199" s="40"/>
      <c r="E199" s="34" t="s">
        <v>323</v>
      </c>
      <c r="F199" s="75" t="s">
        <v>564</v>
      </c>
      <c r="G199" s="35" t="s">
        <v>20</v>
      </c>
      <c r="H199" s="41" t="s">
        <v>21</v>
      </c>
      <c r="I199" s="44" t="str">
        <f>"0x"&amp;AE_w_WORK!D198</f>
        <v>0x0000</v>
      </c>
      <c r="J199" s="36">
        <v>40538</v>
      </c>
      <c r="K199" s="37"/>
      <c r="L199" s="74">
        <f t="shared" si="2"/>
        <v>386</v>
      </c>
      <c r="M199" s="74"/>
      <c r="N199" s="74"/>
    </row>
    <row r="200" spans="2:14" ht="12" hidden="1" customHeight="1" outlineLevel="1">
      <c r="B200" s="73">
        <v>194</v>
      </c>
      <c r="C200" s="39"/>
      <c r="D200" s="40"/>
      <c r="E200" s="34" t="s">
        <v>323</v>
      </c>
      <c r="F200" s="75" t="s">
        <v>565</v>
      </c>
      <c r="G200" s="35" t="s">
        <v>20</v>
      </c>
      <c r="H200" s="41" t="s">
        <v>21</v>
      </c>
      <c r="I200" s="44" t="str">
        <f>"0x"&amp;AE_w_WORK!D199</f>
        <v>0x1111</v>
      </c>
      <c r="J200" s="36">
        <v>40539</v>
      </c>
      <c r="K200" s="37"/>
      <c r="L200" s="74">
        <f t="shared" ref="L200:L263" si="3">L199+2</f>
        <v>388</v>
      </c>
      <c r="M200" s="74"/>
      <c r="N200" s="74"/>
    </row>
    <row r="201" spans="2:14" ht="12" hidden="1" customHeight="1" outlineLevel="1">
      <c r="B201" s="73">
        <v>195</v>
      </c>
      <c r="C201" s="39"/>
      <c r="D201" s="40"/>
      <c r="E201" s="34" t="s">
        <v>323</v>
      </c>
      <c r="F201" s="75" t="s">
        <v>566</v>
      </c>
      <c r="G201" s="35" t="s">
        <v>20</v>
      </c>
      <c r="H201" s="41" t="s">
        <v>21</v>
      </c>
      <c r="I201" s="44" t="str">
        <f>"0x"&amp;AE_w_WORK!D200</f>
        <v>0x2222</v>
      </c>
      <c r="J201" s="36">
        <v>40540</v>
      </c>
      <c r="K201" s="37"/>
      <c r="L201" s="74">
        <f t="shared" si="3"/>
        <v>390</v>
      </c>
      <c r="M201" s="74"/>
      <c r="N201" s="74"/>
    </row>
    <row r="202" spans="2:14" ht="12" hidden="1" customHeight="1" outlineLevel="1">
      <c r="B202" s="73">
        <v>196</v>
      </c>
      <c r="C202" s="39"/>
      <c r="D202" s="40"/>
      <c r="E202" s="34" t="s">
        <v>323</v>
      </c>
      <c r="F202" s="75" t="s">
        <v>567</v>
      </c>
      <c r="G202" s="35" t="s">
        <v>20</v>
      </c>
      <c r="H202" s="41" t="s">
        <v>21</v>
      </c>
      <c r="I202" s="44" t="str">
        <f>"0x"&amp;AE_w_WORK!D201</f>
        <v>0x4433</v>
      </c>
      <c r="J202" s="36">
        <v>40541</v>
      </c>
      <c r="K202" s="37"/>
      <c r="L202" s="74">
        <f t="shared" si="3"/>
        <v>392</v>
      </c>
      <c r="M202" s="74"/>
      <c r="N202" s="74"/>
    </row>
    <row r="203" spans="2:14" ht="12" hidden="1" customHeight="1" outlineLevel="1">
      <c r="B203" s="73">
        <v>197</v>
      </c>
      <c r="C203" s="39"/>
      <c r="D203" s="40"/>
      <c r="E203" s="34" t="s">
        <v>323</v>
      </c>
      <c r="F203" s="75" t="s">
        <v>568</v>
      </c>
      <c r="G203" s="35" t="s">
        <v>20</v>
      </c>
      <c r="H203" s="41" t="s">
        <v>21</v>
      </c>
      <c r="I203" s="44" t="str">
        <f>"0x"&amp;AE_w_WORK!D202</f>
        <v>0x4433</v>
      </c>
      <c r="J203" s="36">
        <v>40542</v>
      </c>
      <c r="K203" s="37"/>
      <c r="L203" s="74">
        <f t="shared" si="3"/>
        <v>394</v>
      </c>
      <c r="M203" s="74"/>
      <c r="N203" s="74"/>
    </row>
    <row r="204" spans="2:14" ht="12" hidden="1" customHeight="1" outlineLevel="1">
      <c r="B204" s="73">
        <v>198</v>
      </c>
      <c r="C204" s="39"/>
      <c r="D204" s="40"/>
      <c r="E204" s="34" t="s">
        <v>323</v>
      </c>
      <c r="F204" s="75" t="s">
        <v>569</v>
      </c>
      <c r="G204" s="35" t="s">
        <v>20</v>
      </c>
      <c r="H204" s="41" t="s">
        <v>21</v>
      </c>
      <c r="I204" s="44" t="str">
        <f>"0x"&amp;AE_w_WORK!D203</f>
        <v>0x2222</v>
      </c>
      <c r="J204" s="36">
        <v>40543</v>
      </c>
      <c r="K204" s="37"/>
      <c r="L204" s="74">
        <f t="shared" si="3"/>
        <v>396</v>
      </c>
      <c r="M204" s="74"/>
      <c r="N204" s="74"/>
    </row>
    <row r="205" spans="2:14" ht="12" hidden="1" customHeight="1" outlineLevel="1">
      <c r="B205" s="73">
        <v>199</v>
      </c>
      <c r="C205" s="39"/>
      <c r="D205" s="40"/>
      <c r="E205" s="34" t="s">
        <v>323</v>
      </c>
      <c r="F205" s="75" t="s">
        <v>570</v>
      </c>
      <c r="G205" s="35" t="s">
        <v>20</v>
      </c>
      <c r="H205" s="41" t="s">
        <v>21</v>
      </c>
      <c r="I205" s="44" t="str">
        <f>"0x"&amp;AE_w_WORK!D204</f>
        <v>0x1111</v>
      </c>
      <c r="J205" s="36">
        <v>40544</v>
      </c>
      <c r="K205" s="37"/>
      <c r="L205" s="74">
        <f t="shared" si="3"/>
        <v>398</v>
      </c>
      <c r="M205" s="74"/>
      <c r="N205" s="74"/>
    </row>
    <row r="206" spans="2:14" ht="12" hidden="1" customHeight="1" outlineLevel="1">
      <c r="B206" s="73">
        <v>200</v>
      </c>
      <c r="C206" s="39"/>
      <c r="D206" s="40"/>
      <c r="E206" s="34" t="s">
        <v>323</v>
      </c>
      <c r="F206" s="75" t="s">
        <v>571</v>
      </c>
      <c r="G206" s="35" t="s">
        <v>20</v>
      </c>
      <c r="H206" s="41" t="s">
        <v>21</v>
      </c>
      <c r="I206" s="44" t="str">
        <f>"0x"&amp;AE_w_WORK!D205</f>
        <v>0x0000</v>
      </c>
      <c r="J206" s="36">
        <v>40545</v>
      </c>
      <c r="K206" s="37"/>
      <c r="L206" s="74">
        <f t="shared" si="3"/>
        <v>400</v>
      </c>
      <c r="M206" s="74"/>
      <c r="N206" s="74"/>
    </row>
    <row r="207" spans="2:14" ht="12" hidden="1" customHeight="1" outlineLevel="1">
      <c r="B207" s="73">
        <v>201</v>
      </c>
      <c r="C207" s="39"/>
      <c r="D207" s="40"/>
      <c r="E207" s="34" t="s">
        <v>323</v>
      </c>
      <c r="F207" s="75" t="s">
        <v>572</v>
      </c>
      <c r="G207" s="35" t="s">
        <v>20</v>
      </c>
      <c r="H207" s="41" t="s">
        <v>21</v>
      </c>
      <c r="I207" s="44" t="str">
        <f>"0x"&amp;AE_w_WORK!D206</f>
        <v>0x0000</v>
      </c>
      <c r="J207" s="36">
        <v>40546</v>
      </c>
      <c r="K207" s="37"/>
      <c r="L207" s="74">
        <f t="shared" si="3"/>
        <v>402</v>
      </c>
      <c r="M207" s="74"/>
      <c r="N207" s="74"/>
    </row>
    <row r="208" spans="2:14" ht="12" hidden="1" customHeight="1" outlineLevel="1">
      <c r="B208" s="73">
        <v>202</v>
      </c>
      <c r="C208" s="39"/>
      <c r="D208" s="40"/>
      <c r="E208" s="34" t="s">
        <v>323</v>
      </c>
      <c r="F208" s="75" t="s">
        <v>573</v>
      </c>
      <c r="G208" s="35" t="s">
        <v>20</v>
      </c>
      <c r="H208" s="41" t="s">
        <v>21</v>
      </c>
      <c r="I208" s="44" t="str">
        <f>"0x"&amp;AE_w_WORK!D207</f>
        <v>0x1111</v>
      </c>
      <c r="J208" s="36">
        <v>40547</v>
      </c>
      <c r="K208" s="37"/>
      <c r="L208" s="74">
        <f t="shared" si="3"/>
        <v>404</v>
      </c>
      <c r="M208" s="74"/>
      <c r="N208" s="74"/>
    </row>
    <row r="209" spans="2:14" ht="12" hidden="1" customHeight="1" outlineLevel="1">
      <c r="B209" s="73">
        <v>203</v>
      </c>
      <c r="C209" s="39"/>
      <c r="D209" s="40"/>
      <c r="E209" s="34" t="s">
        <v>323</v>
      </c>
      <c r="F209" s="75" t="s">
        <v>574</v>
      </c>
      <c r="G209" s="35" t="s">
        <v>20</v>
      </c>
      <c r="H209" s="41" t="s">
        <v>21</v>
      </c>
      <c r="I209" s="44" t="str">
        <f>"0x"&amp;AE_w_WORK!D208</f>
        <v>0x2222</v>
      </c>
      <c r="J209" s="36">
        <v>40548</v>
      </c>
      <c r="K209" s="37"/>
      <c r="L209" s="74">
        <f t="shared" si="3"/>
        <v>406</v>
      </c>
      <c r="M209" s="74"/>
      <c r="N209" s="74"/>
    </row>
    <row r="210" spans="2:14" ht="12" hidden="1" customHeight="1" outlineLevel="1">
      <c r="B210" s="73">
        <v>204</v>
      </c>
      <c r="C210" s="39"/>
      <c r="D210" s="40"/>
      <c r="E210" s="34" t="s">
        <v>323</v>
      </c>
      <c r="F210" s="75" t="s">
        <v>575</v>
      </c>
      <c r="G210" s="35" t="s">
        <v>20</v>
      </c>
      <c r="H210" s="41" t="s">
        <v>21</v>
      </c>
      <c r="I210" s="44" t="str">
        <f>"0x"&amp;AE_w_WORK!D209</f>
        <v>0x2233</v>
      </c>
      <c r="J210" s="36">
        <v>40549</v>
      </c>
      <c r="K210" s="37"/>
      <c r="L210" s="74">
        <f t="shared" si="3"/>
        <v>408</v>
      </c>
      <c r="M210" s="74"/>
      <c r="N210" s="74"/>
    </row>
    <row r="211" spans="2:14" ht="12" hidden="1" customHeight="1" outlineLevel="1">
      <c r="B211" s="73">
        <v>205</v>
      </c>
      <c r="C211" s="39"/>
      <c r="D211" s="40"/>
      <c r="E211" s="34" t="s">
        <v>323</v>
      </c>
      <c r="F211" s="75" t="s">
        <v>576</v>
      </c>
      <c r="G211" s="35" t="s">
        <v>20</v>
      </c>
      <c r="H211" s="41" t="s">
        <v>21</v>
      </c>
      <c r="I211" s="44" t="str">
        <f>"0x"&amp;AE_w_WORK!D210</f>
        <v>0x3322</v>
      </c>
      <c r="J211" s="36">
        <v>40550</v>
      </c>
      <c r="K211" s="37"/>
      <c r="L211" s="74">
        <f t="shared" si="3"/>
        <v>410</v>
      </c>
      <c r="M211" s="74"/>
      <c r="N211" s="74"/>
    </row>
    <row r="212" spans="2:14" ht="12" hidden="1" customHeight="1" outlineLevel="1">
      <c r="B212" s="73">
        <v>206</v>
      </c>
      <c r="C212" s="39"/>
      <c r="D212" s="40"/>
      <c r="E212" s="34" t="s">
        <v>323</v>
      </c>
      <c r="F212" s="75" t="s">
        <v>577</v>
      </c>
      <c r="G212" s="35" t="s">
        <v>20</v>
      </c>
      <c r="H212" s="41" t="s">
        <v>21</v>
      </c>
      <c r="I212" s="44" t="str">
        <f>"0x"&amp;AE_w_WORK!D211</f>
        <v>0x2222</v>
      </c>
      <c r="J212" s="36">
        <v>40551</v>
      </c>
      <c r="K212" s="37"/>
      <c r="L212" s="74">
        <f t="shared" si="3"/>
        <v>412</v>
      </c>
      <c r="M212" s="74"/>
      <c r="N212" s="74"/>
    </row>
    <row r="213" spans="2:14" ht="12" hidden="1" customHeight="1" outlineLevel="1">
      <c r="B213" s="73">
        <v>207</v>
      </c>
      <c r="C213" s="39"/>
      <c r="D213" s="40"/>
      <c r="E213" s="34" t="s">
        <v>323</v>
      </c>
      <c r="F213" s="75" t="s">
        <v>578</v>
      </c>
      <c r="G213" s="35" t="s">
        <v>20</v>
      </c>
      <c r="H213" s="41" t="s">
        <v>21</v>
      </c>
      <c r="I213" s="44" t="str">
        <f>"0x"&amp;AE_w_WORK!D212</f>
        <v>0x1111</v>
      </c>
      <c r="J213" s="36">
        <v>40552</v>
      </c>
      <c r="K213" s="37"/>
      <c r="L213" s="74">
        <f t="shared" si="3"/>
        <v>414</v>
      </c>
      <c r="M213" s="74"/>
      <c r="N213" s="74"/>
    </row>
    <row r="214" spans="2:14" ht="12" hidden="1" customHeight="1" outlineLevel="1">
      <c r="B214" s="73">
        <v>208</v>
      </c>
      <c r="C214" s="39"/>
      <c r="D214" s="40"/>
      <c r="E214" s="34" t="s">
        <v>323</v>
      </c>
      <c r="F214" s="75" t="s">
        <v>579</v>
      </c>
      <c r="G214" s="35" t="s">
        <v>20</v>
      </c>
      <c r="H214" s="41" t="s">
        <v>21</v>
      </c>
      <c r="I214" s="44" t="str">
        <f>"0x"&amp;AE_w_WORK!D213</f>
        <v>0x0000</v>
      </c>
      <c r="J214" s="36">
        <v>40553</v>
      </c>
      <c r="K214" s="37"/>
      <c r="L214" s="74">
        <f t="shared" si="3"/>
        <v>416</v>
      </c>
      <c r="M214" s="74"/>
      <c r="N214" s="74"/>
    </row>
    <row r="215" spans="2:14" ht="12" hidden="1" customHeight="1" outlineLevel="1">
      <c r="B215" s="73">
        <v>209</v>
      </c>
      <c r="C215" s="39"/>
      <c r="D215" s="40"/>
      <c r="E215" s="34" t="s">
        <v>323</v>
      </c>
      <c r="F215" s="75" t="s">
        <v>580</v>
      </c>
      <c r="G215" s="35" t="s">
        <v>20</v>
      </c>
      <c r="H215" s="41" t="s">
        <v>21</v>
      </c>
      <c r="I215" s="44" t="str">
        <f>"0x"&amp;AE_w_WORK!D214</f>
        <v>0x0000</v>
      </c>
      <c r="J215" s="36">
        <v>40554</v>
      </c>
      <c r="K215" s="37"/>
      <c r="L215" s="74">
        <f t="shared" si="3"/>
        <v>418</v>
      </c>
      <c r="M215" s="74"/>
      <c r="N215" s="74"/>
    </row>
    <row r="216" spans="2:14" ht="12" hidden="1" customHeight="1" outlineLevel="1">
      <c r="B216" s="73">
        <v>210</v>
      </c>
      <c r="C216" s="39"/>
      <c r="D216" s="40"/>
      <c r="E216" s="34" t="s">
        <v>323</v>
      </c>
      <c r="F216" s="75" t="s">
        <v>581</v>
      </c>
      <c r="G216" s="35" t="s">
        <v>20</v>
      </c>
      <c r="H216" s="41" t="s">
        <v>21</v>
      </c>
      <c r="I216" s="44" t="str">
        <f>"0x"&amp;AE_w_WORK!D215</f>
        <v>0x0011</v>
      </c>
      <c r="J216" s="36">
        <v>40555</v>
      </c>
      <c r="K216" s="37"/>
      <c r="L216" s="74">
        <f t="shared" si="3"/>
        <v>420</v>
      </c>
      <c r="M216" s="74"/>
      <c r="N216" s="74"/>
    </row>
    <row r="217" spans="2:14" ht="12" hidden="1" customHeight="1" outlineLevel="1">
      <c r="B217" s="73">
        <v>211</v>
      </c>
      <c r="C217" s="39"/>
      <c r="D217" s="40"/>
      <c r="E217" s="34" t="s">
        <v>323</v>
      </c>
      <c r="F217" s="75" t="s">
        <v>582</v>
      </c>
      <c r="G217" s="35" t="s">
        <v>20</v>
      </c>
      <c r="H217" s="41" t="s">
        <v>21</v>
      </c>
      <c r="I217" s="44" t="str">
        <f>"0x"&amp;AE_w_WORK!D216</f>
        <v>0x1122</v>
      </c>
      <c r="J217" s="36">
        <v>40556</v>
      </c>
      <c r="K217" s="37"/>
      <c r="L217" s="74">
        <f t="shared" si="3"/>
        <v>422</v>
      </c>
      <c r="M217" s="74"/>
      <c r="N217" s="74"/>
    </row>
    <row r="218" spans="2:14" ht="12" hidden="1" customHeight="1" outlineLevel="1">
      <c r="B218" s="73">
        <v>212</v>
      </c>
      <c r="C218" s="39"/>
      <c r="D218" s="40"/>
      <c r="E218" s="34" t="s">
        <v>323</v>
      </c>
      <c r="F218" s="75" t="s">
        <v>583</v>
      </c>
      <c r="G218" s="35" t="s">
        <v>20</v>
      </c>
      <c r="H218" s="41" t="s">
        <v>21</v>
      </c>
      <c r="I218" s="44" t="str">
        <f>"0x"&amp;AE_w_WORK!D217</f>
        <v>0x2222</v>
      </c>
      <c r="J218" s="36">
        <v>40557</v>
      </c>
      <c r="K218" s="37"/>
      <c r="L218" s="74">
        <f t="shared" si="3"/>
        <v>424</v>
      </c>
      <c r="M218" s="74"/>
      <c r="N218" s="74"/>
    </row>
    <row r="219" spans="2:14" ht="12" hidden="1" customHeight="1" outlineLevel="1">
      <c r="B219" s="73">
        <v>213</v>
      </c>
      <c r="C219" s="39"/>
      <c r="D219" s="40"/>
      <c r="E219" s="34" t="s">
        <v>323</v>
      </c>
      <c r="F219" s="75" t="s">
        <v>584</v>
      </c>
      <c r="G219" s="35" t="s">
        <v>20</v>
      </c>
      <c r="H219" s="41" t="s">
        <v>21</v>
      </c>
      <c r="I219" s="44" t="str">
        <f>"0x"&amp;AE_w_WORK!D218</f>
        <v>0x2222</v>
      </c>
      <c r="J219" s="36">
        <v>40558</v>
      </c>
      <c r="K219" s="37"/>
      <c r="L219" s="74">
        <f t="shared" si="3"/>
        <v>426</v>
      </c>
      <c r="M219" s="74"/>
      <c r="N219" s="74"/>
    </row>
    <row r="220" spans="2:14" ht="12" hidden="1" customHeight="1" outlineLevel="1">
      <c r="B220" s="73">
        <v>214</v>
      </c>
      <c r="C220" s="39"/>
      <c r="D220" s="40"/>
      <c r="E220" s="34" t="s">
        <v>323</v>
      </c>
      <c r="F220" s="75" t="s">
        <v>585</v>
      </c>
      <c r="G220" s="35" t="s">
        <v>20</v>
      </c>
      <c r="H220" s="41" t="s">
        <v>21</v>
      </c>
      <c r="I220" s="44" t="str">
        <f>"0x"&amp;AE_w_WORK!D219</f>
        <v>0x2211</v>
      </c>
      <c r="J220" s="36">
        <v>40559</v>
      </c>
      <c r="K220" s="37"/>
      <c r="L220" s="74">
        <f t="shared" si="3"/>
        <v>428</v>
      </c>
      <c r="M220" s="74"/>
      <c r="N220" s="74"/>
    </row>
    <row r="221" spans="2:14" ht="12" hidden="1" customHeight="1" outlineLevel="1">
      <c r="B221" s="73">
        <v>215</v>
      </c>
      <c r="C221" s="39"/>
      <c r="D221" s="40"/>
      <c r="E221" s="34" t="s">
        <v>323</v>
      </c>
      <c r="F221" s="75" t="s">
        <v>586</v>
      </c>
      <c r="G221" s="35" t="s">
        <v>20</v>
      </c>
      <c r="H221" s="41" t="s">
        <v>21</v>
      </c>
      <c r="I221" s="44" t="str">
        <f>"0x"&amp;AE_w_WORK!D220</f>
        <v>0x1100</v>
      </c>
      <c r="J221" s="36">
        <v>40560</v>
      </c>
      <c r="K221" s="37"/>
      <c r="L221" s="74">
        <f t="shared" si="3"/>
        <v>430</v>
      </c>
      <c r="M221" s="74"/>
      <c r="N221" s="74"/>
    </row>
    <row r="222" spans="2:14" ht="12" hidden="1" customHeight="1" outlineLevel="1">
      <c r="B222" s="73">
        <v>216</v>
      </c>
      <c r="C222" s="39"/>
      <c r="D222" s="40"/>
      <c r="E222" s="34" t="s">
        <v>323</v>
      </c>
      <c r="F222" s="75" t="s">
        <v>587</v>
      </c>
      <c r="G222" s="35" t="s">
        <v>20</v>
      </c>
      <c r="H222" s="41" t="s">
        <v>21</v>
      </c>
      <c r="I222" s="44" t="str">
        <f>"0x"&amp;AE_w_WORK!D221</f>
        <v>0x0000</v>
      </c>
      <c r="J222" s="36">
        <v>40561</v>
      </c>
      <c r="K222" s="37"/>
      <c r="L222" s="74">
        <f t="shared" si="3"/>
        <v>432</v>
      </c>
      <c r="M222" s="74"/>
      <c r="N222" s="74"/>
    </row>
    <row r="223" spans="2:14" ht="12" hidden="1" customHeight="1" outlineLevel="1">
      <c r="B223" s="73">
        <v>217</v>
      </c>
      <c r="C223" s="39"/>
      <c r="D223" s="40"/>
      <c r="E223" s="34" t="s">
        <v>323</v>
      </c>
      <c r="F223" s="75" t="s">
        <v>588</v>
      </c>
      <c r="G223" s="35" t="s">
        <v>20</v>
      </c>
      <c r="H223" s="41" t="s">
        <v>21</v>
      </c>
      <c r="I223" s="44" t="str">
        <f>"0x"&amp;AE_w_WORK!D222</f>
        <v>0x0000</v>
      </c>
      <c r="J223" s="36">
        <v>40562</v>
      </c>
      <c r="K223" s="37"/>
      <c r="L223" s="74">
        <f t="shared" si="3"/>
        <v>434</v>
      </c>
      <c r="M223" s="74"/>
      <c r="N223" s="74"/>
    </row>
    <row r="224" spans="2:14" ht="12" hidden="1" customHeight="1" outlineLevel="1">
      <c r="B224" s="73">
        <v>218</v>
      </c>
      <c r="C224" s="39"/>
      <c r="D224" s="40"/>
      <c r="E224" s="34" t="s">
        <v>323</v>
      </c>
      <c r="F224" s="75" t="s">
        <v>589</v>
      </c>
      <c r="G224" s="35" t="s">
        <v>20</v>
      </c>
      <c r="H224" s="41" t="s">
        <v>21</v>
      </c>
      <c r="I224" s="44" t="str">
        <f>"0x"&amp;AE_w_WORK!D223</f>
        <v>0x0011</v>
      </c>
      <c r="J224" s="36">
        <v>40563</v>
      </c>
      <c r="K224" s="37"/>
      <c r="L224" s="74">
        <f t="shared" si="3"/>
        <v>436</v>
      </c>
      <c r="M224" s="74"/>
      <c r="N224" s="74"/>
    </row>
    <row r="225" spans="2:14" ht="12" hidden="1" customHeight="1" outlineLevel="1">
      <c r="B225" s="73">
        <v>219</v>
      </c>
      <c r="C225" s="39"/>
      <c r="D225" s="40"/>
      <c r="E225" s="34" t="s">
        <v>323</v>
      </c>
      <c r="F225" s="75" t="s">
        <v>590</v>
      </c>
      <c r="G225" s="35" t="s">
        <v>20</v>
      </c>
      <c r="H225" s="41" t="s">
        <v>21</v>
      </c>
      <c r="I225" s="44" t="str">
        <f>"0x"&amp;AE_w_WORK!D224</f>
        <v>0x1111</v>
      </c>
      <c r="J225" s="36">
        <v>40564</v>
      </c>
      <c r="K225" s="37"/>
      <c r="L225" s="74">
        <f t="shared" si="3"/>
        <v>438</v>
      </c>
      <c r="M225" s="74"/>
      <c r="N225" s="74"/>
    </row>
    <row r="226" spans="2:14" ht="12" hidden="1" customHeight="1" outlineLevel="1">
      <c r="B226" s="73">
        <v>220</v>
      </c>
      <c r="C226" s="39"/>
      <c r="D226" s="40"/>
      <c r="E226" s="34" t="s">
        <v>323</v>
      </c>
      <c r="F226" s="75" t="s">
        <v>591</v>
      </c>
      <c r="G226" s="35" t="s">
        <v>20</v>
      </c>
      <c r="H226" s="41" t="s">
        <v>21</v>
      </c>
      <c r="I226" s="44" t="str">
        <f>"0x"&amp;AE_w_WORK!D225</f>
        <v>0x2222</v>
      </c>
      <c r="J226" s="36">
        <v>40565</v>
      </c>
      <c r="K226" s="37"/>
      <c r="L226" s="74">
        <f t="shared" si="3"/>
        <v>440</v>
      </c>
      <c r="M226" s="74"/>
      <c r="N226" s="74"/>
    </row>
    <row r="227" spans="2:14" ht="12" hidden="1" customHeight="1" outlineLevel="1">
      <c r="B227" s="73">
        <v>221</v>
      </c>
      <c r="C227" s="39"/>
      <c r="D227" s="40"/>
      <c r="E227" s="34" t="s">
        <v>323</v>
      </c>
      <c r="F227" s="75" t="s">
        <v>592</v>
      </c>
      <c r="G227" s="35" t="s">
        <v>20</v>
      </c>
      <c r="H227" s="41" t="s">
        <v>21</v>
      </c>
      <c r="I227" s="44" t="str">
        <f>"0x"&amp;AE_w_WORK!D226</f>
        <v>0x2222</v>
      </c>
      <c r="J227" s="36">
        <v>40566</v>
      </c>
      <c r="K227" s="37"/>
      <c r="L227" s="74">
        <f t="shared" si="3"/>
        <v>442</v>
      </c>
      <c r="M227" s="74"/>
      <c r="N227" s="74"/>
    </row>
    <row r="228" spans="2:14" ht="12" hidden="1" customHeight="1" outlineLevel="1">
      <c r="B228" s="73">
        <v>222</v>
      </c>
      <c r="C228" s="39"/>
      <c r="D228" s="40"/>
      <c r="E228" s="34" t="s">
        <v>323</v>
      </c>
      <c r="F228" s="75" t="s">
        <v>593</v>
      </c>
      <c r="G228" s="35" t="s">
        <v>20</v>
      </c>
      <c r="H228" s="41" t="s">
        <v>21</v>
      </c>
      <c r="I228" s="44" t="str">
        <f>"0x"&amp;AE_w_WORK!D227</f>
        <v>0x1111</v>
      </c>
      <c r="J228" s="36">
        <v>40567</v>
      </c>
      <c r="K228" s="37"/>
      <c r="L228" s="74">
        <f t="shared" si="3"/>
        <v>444</v>
      </c>
      <c r="M228" s="74"/>
      <c r="N228" s="74"/>
    </row>
    <row r="229" spans="2:14" ht="12" hidden="1" customHeight="1" outlineLevel="1">
      <c r="B229" s="73">
        <v>223</v>
      </c>
      <c r="C229" s="39"/>
      <c r="D229" s="40"/>
      <c r="E229" s="34" t="s">
        <v>323</v>
      </c>
      <c r="F229" s="75" t="s">
        <v>594</v>
      </c>
      <c r="G229" s="35" t="s">
        <v>20</v>
      </c>
      <c r="H229" s="41" t="s">
        <v>21</v>
      </c>
      <c r="I229" s="44" t="str">
        <f>"0x"&amp;AE_w_WORK!D228</f>
        <v>0x0000</v>
      </c>
      <c r="J229" s="36">
        <v>40568</v>
      </c>
      <c r="K229" s="37"/>
      <c r="L229" s="74">
        <f t="shared" si="3"/>
        <v>446</v>
      </c>
      <c r="M229" s="74"/>
      <c r="N229" s="74"/>
    </row>
    <row r="230" spans="2:14" ht="12" hidden="1" customHeight="1" outlineLevel="1">
      <c r="B230" s="73">
        <v>224</v>
      </c>
      <c r="C230" s="39"/>
      <c r="D230" s="40"/>
      <c r="E230" s="34" t="s">
        <v>323</v>
      </c>
      <c r="F230" s="75" t="s">
        <v>595</v>
      </c>
      <c r="G230" s="35" t="s">
        <v>20</v>
      </c>
      <c r="H230" s="41" t="s">
        <v>21</v>
      </c>
      <c r="I230" s="44" t="str">
        <f>"0x"&amp;AE_w_WORK!D229</f>
        <v>0x0000</v>
      </c>
      <c r="J230" s="36">
        <v>40569</v>
      </c>
      <c r="K230" s="37"/>
      <c r="L230" s="74">
        <f t="shared" si="3"/>
        <v>448</v>
      </c>
      <c r="M230" s="74"/>
      <c r="N230" s="74"/>
    </row>
    <row r="231" spans="2:14" ht="12" hidden="1" customHeight="1" outlineLevel="1">
      <c r="B231" s="73">
        <v>225</v>
      </c>
      <c r="C231" s="39"/>
      <c r="D231" s="40"/>
      <c r="E231" s="34" t="s">
        <v>323</v>
      </c>
      <c r="F231" s="75" t="s">
        <v>596</v>
      </c>
      <c r="G231" s="35" t="s">
        <v>20</v>
      </c>
      <c r="H231" s="41" t="s">
        <v>21</v>
      </c>
      <c r="I231" s="44" t="str">
        <f>"0x"&amp;AE_w_WORK!D230</f>
        <v>0x0000</v>
      </c>
      <c r="J231" s="36">
        <v>40570</v>
      </c>
      <c r="K231" s="37"/>
      <c r="L231" s="74">
        <f t="shared" si="3"/>
        <v>450</v>
      </c>
      <c r="M231" s="74"/>
      <c r="N231" s="74"/>
    </row>
    <row r="232" spans="2:14" ht="12" hidden="1" customHeight="1" outlineLevel="1">
      <c r="B232" s="73">
        <v>226</v>
      </c>
      <c r="C232" s="39"/>
      <c r="D232" s="40"/>
      <c r="E232" s="34" t="s">
        <v>323</v>
      </c>
      <c r="F232" s="75" t="s">
        <v>597</v>
      </c>
      <c r="G232" s="35" t="s">
        <v>20</v>
      </c>
      <c r="H232" s="41" t="s">
        <v>21</v>
      </c>
      <c r="I232" s="44" t="str">
        <f>"0x"&amp;AE_w_WORK!D231</f>
        <v>0x0000</v>
      </c>
      <c r="J232" s="36">
        <v>40571</v>
      </c>
      <c r="K232" s="37"/>
      <c r="L232" s="74">
        <f t="shared" si="3"/>
        <v>452</v>
      </c>
      <c r="M232" s="74"/>
      <c r="N232" s="74"/>
    </row>
    <row r="233" spans="2:14" ht="12" hidden="1" customHeight="1" outlineLevel="1">
      <c r="B233" s="73">
        <v>227</v>
      </c>
      <c r="C233" s="39"/>
      <c r="D233" s="40"/>
      <c r="E233" s="34" t="s">
        <v>323</v>
      </c>
      <c r="F233" s="75" t="s">
        <v>598</v>
      </c>
      <c r="G233" s="35" t="s">
        <v>20</v>
      </c>
      <c r="H233" s="41" t="s">
        <v>21</v>
      </c>
      <c r="I233" s="44" t="str">
        <f>"0x"&amp;AE_w_WORK!D232</f>
        <v>0x1111</v>
      </c>
      <c r="J233" s="36">
        <v>40572</v>
      </c>
      <c r="K233" s="37"/>
      <c r="L233" s="74">
        <f t="shared" si="3"/>
        <v>454</v>
      </c>
      <c r="M233" s="74"/>
      <c r="N233" s="74"/>
    </row>
    <row r="234" spans="2:14" ht="12" hidden="1" customHeight="1" outlineLevel="1">
      <c r="B234" s="73">
        <v>228</v>
      </c>
      <c r="C234" s="39"/>
      <c r="D234" s="40"/>
      <c r="E234" s="34" t="s">
        <v>323</v>
      </c>
      <c r="F234" s="75" t="s">
        <v>599</v>
      </c>
      <c r="G234" s="35" t="s">
        <v>20</v>
      </c>
      <c r="H234" s="41" t="s">
        <v>21</v>
      </c>
      <c r="I234" s="44" t="str">
        <f>"0x"&amp;AE_w_WORK!D233</f>
        <v>0x1111</v>
      </c>
      <c r="J234" s="36">
        <v>40573</v>
      </c>
      <c r="K234" s="37"/>
      <c r="L234" s="74">
        <f t="shared" si="3"/>
        <v>456</v>
      </c>
      <c r="M234" s="74"/>
      <c r="N234" s="74"/>
    </row>
    <row r="235" spans="2:14" ht="12" hidden="1" customHeight="1" outlineLevel="1">
      <c r="B235" s="73">
        <v>229</v>
      </c>
      <c r="C235" s="39"/>
      <c r="D235" s="40"/>
      <c r="E235" s="34" t="s">
        <v>323</v>
      </c>
      <c r="F235" s="75" t="s">
        <v>600</v>
      </c>
      <c r="G235" s="35" t="s">
        <v>20</v>
      </c>
      <c r="H235" s="41" t="s">
        <v>21</v>
      </c>
      <c r="I235" s="44" t="str">
        <f>"0x"&amp;AE_w_WORK!D234</f>
        <v>0x1111</v>
      </c>
      <c r="J235" s="36">
        <v>40574</v>
      </c>
      <c r="K235" s="37"/>
      <c r="L235" s="74">
        <f t="shared" si="3"/>
        <v>458</v>
      </c>
      <c r="M235" s="74"/>
      <c r="N235" s="74"/>
    </row>
    <row r="236" spans="2:14" ht="12" hidden="1" customHeight="1" outlineLevel="1">
      <c r="B236" s="73">
        <v>230</v>
      </c>
      <c r="C236" s="39"/>
      <c r="D236" s="40"/>
      <c r="E236" s="34" t="s">
        <v>323</v>
      </c>
      <c r="F236" s="75" t="s">
        <v>601</v>
      </c>
      <c r="G236" s="35" t="s">
        <v>20</v>
      </c>
      <c r="H236" s="41" t="s">
        <v>21</v>
      </c>
      <c r="I236" s="44" t="str">
        <f>"0x"&amp;AE_w_WORK!D235</f>
        <v>0x1111</v>
      </c>
      <c r="J236" s="36">
        <v>40575</v>
      </c>
      <c r="K236" s="37"/>
      <c r="L236" s="74">
        <f t="shared" si="3"/>
        <v>460</v>
      </c>
      <c r="M236" s="74"/>
      <c r="N236" s="74"/>
    </row>
    <row r="237" spans="2:14" ht="12" hidden="1" customHeight="1" outlineLevel="1">
      <c r="B237" s="73">
        <v>231</v>
      </c>
      <c r="C237" s="39"/>
      <c r="D237" s="40"/>
      <c r="E237" s="34" t="s">
        <v>323</v>
      </c>
      <c r="F237" s="75" t="s">
        <v>602</v>
      </c>
      <c r="G237" s="35" t="s">
        <v>20</v>
      </c>
      <c r="H237" s="41" t="s">
        <v>21</v>
      </c>
      <c r="I237" s="44" t="str">
        <f>"0x"&amp;AE_w_WORK!D236</f>
        <v>0x0000</v>
      </c>
      <c r="J237" s="36">
        <v>40576</v>
      </c>
      <c r="K237" s="37"/>
      <c r="L237" s="74">
        <f t="shared" si="3"/>
        <v>462</v>
      </c>
      <c r="M237" s="74"/>
      <c r="N237" s="74"/>
    </row>
    <row r="238" spans="2:14" ht="12" hidden="1" customHeight="1" outlineLevel="1">
      <c r="B238" s="73">
        <v>232</v>
      </c>
      <c r="C238" s="39"/>
      <c r="D238" s="40"/>
      <c r="E238" s="34" t="s">
        <v>323</v>
      </c>
      <c r="F238" s="75" t="s">
        <v>603</v>
      </c>
      <c r="G238" s="35" t="s">
        <v>20</v>
      </c>
      <c r="H238" s="41" t="s">
        <v>21</v>
      </c>
      <c r="I238" s="44" t="str">
        <f>"0x"&amp;AE_w_WORK!D237</f>
        <v>0x0000</v>
      </c>
      <c r="J238" s="36">
        <v>40577</v>
      </c>
      <c r="K238" s="37"/>
      <c r="L238" s="74">
        <f t="shared" si="3"/>
        <v>464</v>
      </c>
      <c r="M238" s="74"/>
      <c r="N238" s="74"/>
    </row>
    <row r="239" spans="2:14" ht="12" hidden="1" customHeight="1" outlineLevel="1">
      <c r="B239" s="73">
        <v>233</v>
      </c>
      <c r="C239" s="39"/>
      <c r="D239" s="40"/>
      <c r="E239" s="34" t="s">
        <v>323</v>
      </c>
      <c r="F239" s="75" t="s">
        <v>604</v>
      </c>
      <c r="G239" s="35" t="s">
        <v>20</v>
      </c>
      <c r="H239" s="41" t="s">
        <v>21</v>
      </c>
      <c r="I239" s="44" t="str">
        <f>"0x"&amp;AE_w_WORK!D238</f>
        <v>0x0000</v>
      </c>
      <c r="J239" s="36">
        <v>40578</v>
      </c>
      <c r="K239" s="37"/>
      <c r="L239" s="74">
        <f t="shared" si="3"/>
        <v>466</v>
      </c>
      <c r="M239" s="74"/>
      <c r="N239" s="74"/>
    </row>
    <row r="240" spans="2:14" ht="12" hidden="1" customHeight="1" outlineLevel="1">
      <c r="B240" s="73">
        <v>234</v>
      </c>
      <c r="C240" s="39"/>
      <c r="D240" s="40"/>
      <c r="E240" s="34" t="s">
        <v>323</v>
      </c>
      <c r="F240" s="75" t="s">
        <v>605</v>
      </c>
      <c r="G240" s="35" t="s">
        <v>20</v>
      </c>
      <c r="H240" s="41" t="s">
        <v>21</v>
      </c>
      <c r="I240" s="44" t="str">
        <f>"0x"&amp;AE_w_WORK!D239</f>
        <v>0x0000</v>
      </c>
      <c r="J240" s="36">
        <v>40579</v>
      </c>
      <c r="K240" s="37"/>
      <c r="L240" s="74">
        <f t="shared" si="3"/>
        <v>468</v>
      </c>
      <c r="M240" s="74"/>
      <c r="N240" s="74"/>
    </row>
    <row r="241" spans="2:14" ht="12" hidden="1" customHeight="1" outlineLevel="1">
      <c r="B241" s="73">
        <v>235</v>
      </c>
      <c r="C241" s="39"/>
      <c r="D241" s="40"/>
      <c r="E241" s="34" t="s">
        <v>323</v>
      </c>
      <c r="F241" s="75" t="s">
        <v>606</v>
      </c>
      <c r="G241" s="35" t="s">
        <v>20</v>
      </c>
      <c r="H241" s="41" t="s">
        <v>21</v>
      </c>
      <c r="I241" s="44" t="str">
        <f>"0x"&amp;AE_w_WORK!D240</f>
        <v>0x0011</v>
      </c>
      <c r="J241" s="36">
        <v>40580</v>
      </c>
      <c r="K241" s="37"/>
      <c r="L241" s="74">
        <f t="shared" si="3"/>
        <v>470</v>
      </c>
      <c r="M241" s="74"/>
      <c r="N241" s="74"/>
    </row>
    <row r="242" spans="2:14" ht="12" hidden="1" customHeight="1" outlineLevel="1">
      <c r="B242" s="73">
        <v>236</v>
      </c>
      <c r="C242" s="39"/>
      <c r="D242" s="40"/>
      <c r="E242" s="34" t="s">
        <v>323</v>
      </c>
      <c r="F242" s="75" t="s">
        <v>607</v>
      </c>
      <c r="G242" s="35" t="s">
        <v>20</v>
      </c>
      <c r="H242" s="41" t="s">
        <v>21</v>
      </c>
      <c r="I242" s="44" t="str">
        <f>"0x"&amp;AE_w_WORK!D241</f>
        <v>0x1111</v>
      </c>
      <c r="J242" s="36">
        <v>40581</v>
      </c>
      <c r="K242" s="37"/>
      <c r="L242" s="74">
        <f t="shared" si="3"/>
        <v>472</v>
      </c>
      <c r="M242" s="74"/>
      <c r="N242" s="74"/>
    </row>
    <row r="243" spans="2:14" ht="12" hidden="1" customHeight="1" outlineLevel="1">
      <c r="B243" s="73">
        <v>237</v>
      </c>
      <c r="C243" s="39"/>
      <c r="D243" s="40"/>
      <c r="E243" s="34" t="s">
        <v>323</v>
      </c>
      <c r="F243" s="75" t="s">
        <v>608</v>
      </c>
      <c r="G243" s="35" t="s">
        <v>20</v>
      </c>
      <c r="H243" s="41" t="s">
        <v>21</v>
      </c>
      <c r="I243" s="44" t="str">
        <f>"0x"&amp;AE_w_WORK!D242</f>
        <v>0x1111</v>
      </c>
      <c r="J243" s="36">
        <v>40582</v>
      </c>
      <c r="K243" s="37"/>
      <c r="L243" s="74">
        <f t="shared" si="3"/>
        <v>474</v>
      </c>
      <c r="M243" s="74"/>
      <c r="N243" s="74"/>
    </row>
    <row r="244" spans="2:14" ht="12" hidden="1" customHeight="1" outlineLevel="1">
      <c r="B244" s="73">
        <v>238</v>
      </c>
      <c r="C244" s="39"/>
      <c r="D244" s="40"/>
      <c r="E244" s="34" t="s">
        <v>323</v>
      </c>
      <c r="F244" s="75" t="s">
        <v>609</v>
      </c>
      <c r="G244" s="35" t="s">
        <v>20</v>
      </c>
      <c r="H244" s="41" t="s">
        <v>21</v>
      </c>
      <c r="I244" s="44" t="str">
        <f>"0x"&amp;AE_w_WORK!D243</f>
        <v>0x1100</v>
      </c>
      <c r="J244" s="36">
        <v>40583</v>
      </c>
      <c r="K244" s="37"/>
      <c r="L244" s="74">
        <f t="shared" si="3"/>
        <v>476</v>
      </c>
      <c r="M244" s="74"/>
      <c r="N244" s="74"/>
    </row>
    <row r="245" spans="2:14" ht="12" hidden="1" customHeight="1" outlineLevel="1">
      <c r="B245" s="73">
        <v>239</v>
      </c>
      <c r="C245" s="39"/>
      <c r="D245" s="40"/>
      <c r="E245" s="34" t="s">
        <v>323</v>
      </c>
      <c r="F245" s="75" t="s">
        <v>610</v>
      </c>
      <c r="G245" s="35" t="s">
        <v>20</v>
      </c>
      <c r="H245" s="41" t="s">
        <v>21</v>
      </c>
      <c r="I245" s="44" t="str">
        <f>"0x"&amp;AE_w_WORK!D244</f>
        <v>0x0000</v>
      </c>
      <c r="J245" s="36">
        <v>40584</v>
      </c>
      <c r="K245" s="37"/>
      <c r="L245" s="74">
        <f t="shared" si="3"/>
        <v>478</v>
      </c>
      <c r="M245" s="74"/>
      <c r="N245" s="74"/>
    </row>
    <row r="246" spans="2:14" ht="12" hidden="1" customHeight="1" outlineLevel="1">
      <c r="B246" s="73">
        <v>240</v>
      </c>
      <c r="C246" s="39"/>
      <c r="D246" s="40"/>
      <c r="E246" s="34" t="s">
        <v>323</v>
      </c>
      <c r="F246" s="75" t="s">
        <v>611</v>
      </c>
      <c r="G246" s="35" t="s">
        <v>20</v>
      </c>
      <c r="H246" s="41" t="s">
        <v>21</v>
      </c>
      <c r="I246" s="44" t="str">
        <f>"0x"&amp;AE_w_WORK!D245</f>
        <v>0x0000</v>
      </c>
      <c r="J246" s="36">
        <v>40585</v>
      </c>
      <c r="K246" s="37"/>
      <c r="L246" s="74">
        <f t="shared" si="3"/>
        <v>480</v>
      </c>
      <c r="M246" s="74"/>
      <c r="N246" s="74"/>
    </row>
    <row r="247" spans="2:14" ht="12" hidden="1" customHeight="1" outlineLevel="1">
      <c r="B247" s="73">
        <v>241</v>
      </c>
      <c r="C247" s="39"/>
      <c r="D247" s="40"/>
      <c r="E247" s="34" t="s">
        <v>323</v>
      </c>
      <c r="F247" s="75" t="s">
        <v>612</v>
      </c>
      <c r="G247" s="35" t="s">
        <v>20</v>
      </c>
      <c r="H247" s="41" t="s">
        <v>21</v>
      </c>
      <c r="I247" s="44" t="str">
        <f>"0x"&amp;AE_w_WORK!D246</f>
        <v>0x0000</v>
      </c>
      <c r="J247" s="36">
        <v>40586</v>
      </c>
      <c r="K247" s="37"/>
      <c r="L247" s="74">
        <f t="shared" si="3"/>
        <v>482</v>
      </c>
      <c r="M247" s="74"/>
      <c r="N247" s="74"/>
    </row>
    <row r="248" spans="2:14" ht="12" hidden="1" customHeight="1" outlineLevel="1">
      <c r="B248" s="73">
        <v>242</v>
      </c>
      <c r="C248" s="39"/>
      <c r="D248" s="40"/>
      <c r="E248" s="34" t="s">
        <v>323</v>
      </c>
      <c r="F248" s="75" t="s">
        <v>613</v>
      </c>
      <c r="G248" s="35" t="s">
        <v>20</v>
      </c>
      <c r="H248" s="41" t="s">
        <v>21</v>
      </c>
      <c r="I248" s="44" t="str">
        <f>"0x"&amp;AE_w_WORK!D247</f>
        <v>0x0000</v>
      </c>
      <c r="J248" s="36">
        <v>40587</v>
      </c>
      <c r="K248" s="37"/>
      <c r="L248" s="74">
        <f t="shared" si="3"/>
        <v>484</v>
      </c>
      <c r="M248" s="74"/>
      <c r="N248" s="74"/>
    </row>
    <row r="249" spans="2:14" ht="12" hidden="1" customHeight="1" outlineLevel="1">
      <c r="B249" s="73">
        <v>243</v>
      </c>
      <c r="C249" s="39"/>
      <c r="D249" s="40"/>
      <c r="E249" s="34" t="s">
        <v>323</v>
      </c>
      <c r="F249" s="75" t="s">
        <v>614</v>
      </c>
      <c r="G249" s="35" t="s">
        <v>20</v>
      </c>
      <c r="H249" s="41" t="s">
        <v>21</v>
      </c>
      <c r="I249" s="44" t="str">
        <f>"0x"&amp;AE_w_WORK!D248</f>
        <v>0x0000</v>
      </c>
      <c r="J249" s="36">
        <v>40588</v>
      </c>
      <c r="K249" s="37"/>
      <c r="L249" s="74">
        <f t="shared" si="3"/>
        <v>486</v>
      </c>
      <c r="M249" s="74"/>
      <c r="N249" s="74"/>
    </row>
    <row r="250" spans="2:14" ht="12" hidden="1" customHeight="1" outlineLevel="1">
      <c r="B250" s="73">
        <v>244</v>
      </c>
      <c r="C250" s="39"/>
      <c r="D250" s="40"/>
      <c r="E250" s="34" t="s">
        <v>323</v>
      </c>
      <c r="F250" s="75" t="s">
        <v>615</v>
      </c>
      <c r="G250" s="35" t="s">
        <v>20</v>
      </c>
      <c r="H250" s="41" t="s">
        <v>21</v>
      </c>
      <c r="I250" s="44" t="str">
        <f>"0x"&amp;AE_w_WORK!D249</f>
        <v>0x1111</v>
      </c>
      <c r="J250" s="36">
        <v>40589</v>
      </c>
      <c r="K250" s="37"/>
      <c r="L250" s="74">
        <f t="shared" si="3"/>
        <v>488</v>
      </c>
      <c r="M250" s="74"/>
      <c r="N250" s="74"/>
    </row>
    <row r="251" spans="2:14" ht="12" hidden="1" customHeight="1" outlineLevel="1">
      <c r="B251" s="73">
        <v>245</v>
      </c>
      <c r="C251" s="39"/>
      <c r="D251" s="40"/>
      <c r="E251" s="34" t="s">
        <v>323</v>
      </c>
      <c r="F251" s="75" t="s">
        <v>616</v>
      </c>
      <c r="G251" s="35" t="s">
        <v>20</v>
      </c>
      <c r="H251" s="41" t="s">
        <v>21</v>
      </c>
      <c r="I251" s="44" t="str">
        <f>"0x"&amp;AE_w_WORK!D250</f>
        <v>0x1111</v>
      </c>
      <c r="J251" s="36">
        <v>40590</v>
      </c>
      <c r="K251" s="37"/>
      <c r="L251" s="74">
        <f t="shared" si="3"/>
        <v>490</v>
      </c>
      <c r="M251" s="74"/>
      <c r="N251" s="74"/>
    </row>
    <row r="252" spans="2:14" ht="12" hidden="1" customHeight="1" outlineLevel="1">
      <c r="B252" s="73">
        <v>246</v>
      </c>
      <c r="C252" s="39"/>
      <c r="D252" s="40"/>
      <c r="E252" s="34" t="s">
        <v>323</v>
      </c>
      <c r="F252" s="75" t="s">
        <v>617</v>
      </c>
      <c r="G252" s="35" t="s">
        <v>20</v>
      </c>
      <c r="H252" s="41" t="s">
        <v>21</v>
      </c>
      <c r="I252" s="44" t="str">
        <f>"0x"&amp;AE_w_WORK!D251</f>
        <v>0x0000</v>
      </c>
      <c r="J252" s="36">
        <v>40591</v>
      </c>
      <c r="K252" s="37"/>
      <c r="L252" s="74">
        <f t="shared" si="3"/>
        <v>492</v>
      </c>
      <c r="M252" s="74"/>
      <c r="N252" s="74"/>
    </row>
    <row r="253" spans="2:14" ht="12" hidden="1" customHeight="1" outlineLevel="1">
      <c r="B253" s="73">
        <v>247</v>
      </c>
      <c r="C253" s="39"/>
      <c r="D253" s="40"/>
      <c r="E253" s="34" t="s">
        <v>323</v>
      </c>
      <c r="F253" s="75" t="s">
        <v>618</v>
      </c>
      <c r="G253" s="35" t="s">
        <v>20</v>
      </c>
      <c r="H253" s="41" t="s">
        <v>21</v>
      </c>
      <c r="I253" s="44" t="str">
        <f>"0x"&amp;AE_w_WORK!D252</f>
        <v>0x0000</v>
      </c>
      <c r="J253" s="36">
        <v>40592</v>
      </c>
      <c r="K253" s="37"/>
      <c r="L253" s="74">
        <f t="shared" si="3"/>
        <v>494</v>
      </c>
      <c r="M253" s="74"/>
      <c r="N253" s="74"/>
    </row>
    <row r="254" spans="2:14" ht="12" hidden="1" customHeight="1" outlineLevel="1">
      <c r="B254" s="73">
        <v>248</v>
      </c>
      <c r="C254" s="39"/>
      <c r="D254" s="40"/>
      <c r="E254" s="34" t="s">
        <v>323</v>
      </c>
      <c r="F254" s="75" t="s">
        <v>619</v>
      </c>
      <c r="G254" s="35" t="s">
        <v>20</v>
      </c>
      <c r="H254" s="41" t="s">
        <v>21</v>
      </c>
      <c r="I254" s="44" t="str">
        <f>"0x"&amp;AE_w_WORK!D253</f>
        <v>0x0000</v>
      </c>
      <c r="J254" s="36">
        <v>40593</v>
      </c>
      <c r="K254" s="37"/>
      <c r="L254" s="74">
        <f t="shared" si="3"/>
        <v>496</v>
      </c>
      <c r="M254" s="74"/>
      <c r="N254" s="74"/>
    </row>
    <row r="255" spans="2:14" ht="12" hidden="1" customHeight="1" outlineLevel="1">
      <c r="B255" s="73">
        <v>249</v>
      </c>
      <c r="C255" s="39"/>
      <c r="D255" s="40"/>
      <c r="E255" s="34" t="s">
        <v>323</v>
      </c>
      <c r="F255" s="75" t="s">
        <v>620</v>
      </c>
      <c r="G255" s="35" t="s">
        <v>20</v>
      </c>
      <c r="H255" s="41" t="s">
        <v>21</v>
      </c>
      <c r="I255" s="44" t="str">
        <f>"0x"&amp;AE_w_WORK!D254</f>
        <v>0x0000</v>
      </c>
      <c r="J255" s="36">
        <v>40594</v>
      </c>
      <c r="K255" s="37"/>
      <c r="L255" s="74">
        <f t="shared" si="3"/>
        <v>498</v>
      </c>
      <c r="M255" s="74"/>
      <c r="N255" s="74"/>
    </row>
    <row r="256" spans="2:14" ht="12" hidden="1" customHeight="1" outlineLevel="1">
      <c r="B256" s="73">
        <v>250</v>
      </c>
      <c r="C256" s="39"/>
      <c r="D256" s="40"/>
      <c r="E256" s="34" t="s">
        <v>323</v>
      </c>
      <c r="F256" s="75" t="s">
        <v>621</v>
      </c>
      <c r="G256" s="35" t="s">
        <v>20</v>
      </c>
      <c r="H256" s="41" t="s">
        <v>21</v>
      </c>
      <c r="I256" s="44" t="str">
        <f>"0x"&amp;AE_w_WORK!D255</f>
        <v>0x0000</v>
      </c>
      <c r="J256" s="36">
        <v>40595</v>
      </c>
      <c r="K256" s="37"/>
      <c r="L256" s="74">
        <f t="shared" si="3"/>
        <v>500</v>
      </c>
      <c r="M256" s="74"/>
      <c r="N256" s="74"/>
    </row>
    <row r="257" spans="2:14" ht="12" hidden="1" customHeight="1" outlineLevel="1">
      <c r="B257" s="73">
        <v>251</v>
      </c>
      <c r="C257" s="39"/>
      <c r="D257" s="40"/>
      <c r="E257" s="34" t="s">
        <v>323</v>
      </c>
      <c r="F257" s="75" t="s">
        <v>622</v>
      </c>
      <c r="G257" s="35" t="s">
        <v>20</v>
      </c>
      <c r="H257" s="41" t="s">
        <v>21</v>
      </c>
      <c r="I257" s="44" t="str">
        <f>"0x"&amp;AE_w_WORK!D256</f>
        <v>0x0000</v>
      </c>
      <c r="J257" s="36">
        <v>40596</v>
      </c>
      <c r="K257" s="37"/>
      <c r="L257" s="74">
        <f t="shared" si="3"/>
        <v>502</v>
      </c>
      <c r="M257" s="74"/>
      <c r="N257" s="74"/>
    </row>
    <row r="258" spans="2:14" ht="12" hidden="1" customHeight="1" outlineLevel="1">
      <c r="B258" s="73">
        <v>252</v>
      </c>
      <c r="C258" s="39"/>
      <c r="D258" s="40"/>
      <c r="E258" s="34" t="s">
        <v>323</v>
      </c>
      <c r="F258" s="75" t="s">
        <v>623</v>
      </c>
      <c r="G258" s="35" t="s">
        <v>20</v>
      </c>
      <c r="H258" s="41" t="s">
        <v>21</v>
      </c>
      <c r="I258" s="44" t="str">
        <f>"0x"&amp;AE_w_WORK!D257</f>
        <v>0x0000</v>
      </c>
      <c r="J258" s="36">
        <v>40597</v>
      </c>
      <c r="K258" s="37"/>
      <c r="L258" s="74">
        <f t="shared" si="3"/>
        <v>504</v>
      </c>
      <c r="M258" s="74"/>
      <c r="N258" s="74"/>
    </row>
    <row r="259" spans="2:14" ht="12" hidden="1" customHeight="1" outlineLevel="1">
      <c r="B259" s="73">
        <v>253</v>
      </c>
      <c r="C259" s="39"/>
      <c r="D259" s="40"/>
      <c r="E259" s="34" t="s">
        <v>323</v>
      </c>
      <c r="F259" s="75" t="s">
        <v>624</v>
      </c>
      <c r="G259" s="35" t="s">
        <v>20</v>
      </c>
      <c r="H259" s="41" t="s">
        <v>21</v>
      </c>
      <c r="I259" s="44" t="str">
        <f>"0x"&amp;AE_w_WORK!D258</f>
        <v>0x0000</v>
      </c>
      <c r="J259" s="36">
        <v>40598</v>
      </c>
      <c r="K259" s="37"/>
      <c r="L259" s="74">
        <f t="shared" si="3"/>
        <v>506</v>
      </c>
      <c r="M259" s="74"/>
      <c r="N259" s="74"/>
    </row>
    <row r="260" spans="2:14" ht="12" hidden="1" customHeight="1" outlineLevel="1">
      <c r="B260" s="73">
        <v>254</v>
      </c>
      <c r="C260" s="39"/>
      <c r="D260" s="40"/>
      <c r="E260" s="34" t="s">
        <v>323</v>
      </c>
      <c r="F260" s="75" t="s">
        <v>625</v>
      </c>
      <c r="G260" s="35" t="s">
        <v>20</v>
      </c>
      <c r="H260" s="41" t="s">
        <v>21</v>
      </c>
      <c r="I260" s="44" t="str">
        <f>"0x"&amp;AE_w_WORK!D259</f>
        <v>0x0000</v>
      </c>
      <c r="J260" s="36">
        <v>40599</v>
      </c>
      <c r="K260" s="37"/>
      <c r="L260" s="74">
        <f t="shared" si="3"/>
        <v>508</v>
      </c>
      <c r="M260" s="74"/>
      <c r="N260" s="74"/>
    </row>
    <row r="261" spans="2:14" ht="12" hidden="1" customHeight="1" outlineLevel="1">
      <c r="B261" s="73">
        <v>255</v>
      </c>
      <c r="C261" s="39"/>
      <c r="D261" s="40"/>
      <c r="E261" s="34" t="s">
        <v>323</v>
      </c>
      <c r="F261" s="75" t="s">
        <v>626</v>
      </c>
      <c r="G261" s="35" t="s">
        <v>20</v>
      </c>
      <c r="H261" s="41" t="s">
        <v>21</v>
      </c>
      <c r="I261" s="44" t="str">
        <f>"0x"&amp;AE_w_WORK!D260</f>
        <v>0x0000</v>
      </c>
      <c r="J261" s="36">
        <v>40600</v>
      </c>
      <c r="K261" s="37"/>
      <c r="L261" s="74">
        <f t="shared" si="3"/>
        <v>510</v>
      </c>
      <c r="M261" s="74"/>
      <c r="N261" s="74"/>
    </row>
    <row r="262" spans="2:14" ht="12" hidden="1" customHeight="1" outlineLevel="1">
      <c r="B262" s="73">
        <v>256</v>
      </c>
      <c r="C262" s="39"/>
      <c r="D262" s="40"/>
      <c r="E262" s="34" t="s">
        <v>323</v>
      </c>
      <c r="F262" s="75" t="s">
        <v>627</v>
      </c>
      <c r="G262" s="35" t="s">
        <v>20</v>
      </c>
      <c r="H262" s="41" t="s">
        <v>21</v>
      </c>
      <c r="I262" s="44" t="str">
        <f>"0x"&amp;AE_w_WORK!D261</f>
        <v>0x0000</v>
      </c>
      <c r="J262" s="36">
        <v>40601</v>
      </c>
      <c r="K262" s="37"/>
      <c r="L262" s="74">
        <f t="shared" si="3"/>
        <v>512</v>
      </c>
      <c r="M262" s="74"/>
      <c r="N262" s="74"/>
    </row>
    <row r="263" spans="2:14" ht="12" customHeight="1" collapsed="1">
      <c r="B263" s="73">
        <v>257</v>
      </c>
      <c r="C263" s="39"/>
      <c r="D263" s="40"/>
      <c r="E263" s="34" t="s">
        <v>323</v>
      </c>
      <c r="F263" s="75" t="s">
        <v>628</v>
      </c>
      <c r="G263" s="35" t="s">
        <v>79</v>
      </c>
      <c r="H263" s="41" t="s">
        <v>80</v>
      </c>
      <c r="I263" s="44" t="str">
        <f>"0x"&amp;AE_w_WORK!E6</f>
        <v>0x2222</v>
      </c>
      <c r="J263" s="36">
        <v>40473</v>
      </c>
      <c r="K263" s="37" t="s">
        <v>331</v>
      </c>
      <c r="L263" s="74">
        <f t="shared" si="3"/>
        <v>514</v>
      </c>
      <c r="M263" s="74"/>
      <c r="N263" s="74"/>
    </row>
    <row r="264" spans="2:14" ht="12" hidden="1" customHeight="1" outlineLevel="1">
      <c r="B264" s="73">
        <v>258</v>
      </c>
      <c r="C264" s="39"/>
      <c r="D264" s="40"/>
      <c r="E264" s="34" t="s">
        <v>323</v>
      </c>
      <c r="F264" s="75" t="s">
        <v>629</v>
      </c>
      <c r="G264" s="35" t="s">
        <v>79</v>
      </c>
      <c r="H264" s="41" t="s">
        <v>80</v>
      </c>
      <c r="I264" s="44" t="str">
        <f>"0x"&amp;AE_w_WORK!E7</f>
        <v>0x2222</v>
      </c>
      <c r="J264" s="36">
        <v>40474</v>
      </c>
      <c r="L264" s="74">
        <f t="shared" ref="L264:L327" si="4">L263+2</f>
        <v>516</v>
      </c>
      <c r="M264" s="74"/>
      <c r="N264" s="74"/>
    </row>
    <row r="265" spans="2:14" ht="12" hidden="1" customHeight="1" outlineLevel="1">
      <c r="B265" s="73">
        <v>259</v>
      </c>
      <c r="C265" s="39"/>
      <c r="D265" s="40"/>
      <c r="E265" s="34" t="s">
        <v>323</v>
      </c>
      <c r="F265" s="75" t="s">
        <v>630</v>
      </c>
      <c r="G265" s="35" t="s">
        <v>79</v>
      </c>
      <c r="H265" s="41" t="s">
        <v>80</v>
      </c>
      <c r="I265" s="44" t="str">
        <f>"0x"&amp;AE_w_WORK!E8</f>
        <v>0x2222</v>
      </c>
      <c r="J265" s="36">
        <v>40475</v>
      </c>
      <c r="K265" s="74"/>
      <c r="L265" s="74">
        <f t="shared" si="4"/>
        <v>518</v>
      </c>
      <c r="M265" s="74"/>
      <c r="N265" s="74"/>
    </row>
    <row r="266" spans="2:14" ht="12" hidden="1" customHeight="1" outlineLevel="1">
      <c r="B266" s="73">
        <v>260</v>
      </c>
      <c r="C266" s="39"/>
      <c r="D266" s="40"/>
      <c r="E266" s="34" t="s">
        <v>323</v>
      </c>
      <c r="F266" s="75" t="s">
        <v>631</v>
      </c>
      <c r="G266" s="35" t="s">
        <v>79</v>
      </c>
      <c r="H266" s="41" t="s">
        <v>80</v>
      </c>
      <c r="I266" s="44" t="str">
        <f>"0x"&amp;AE_w_WORK!E9</f>
        <v>0x2222</v>
      </c>
      <c r="J266" s="36">
        <v>40476</v>
      </c>
      <c r="K266" s="74"/>
      <c r="L266" s="74">
        <f t="shared" si="4"/>
        <v>520</v>
      </c>
      <c r="M266" s="74"/>
      <c r="N266" s="74"/>
    </row>
    <row r="267" spans="2:14" ht="12" hidden="1" customHeight="1" outlineLevel="1">
      <c r="B267" s="73">
        <v>261</v>
      </c>
      <c r="C267" s="39"/>
      <c r="D267" s="40"/>
      <c r="E267" s="34" t="s">
        <v>323</v>
      </c>
      <c r="F267" s="75" t="s">
        <v>632</v>
      </c>
      <c r="G267" s="35" t="s">
        <v>79</v>
      </c>
      <c r="H267" s="41" t="s">
        <v>80</v>
      </c>
      <c r="I267" s="44" t="str">
        <f>"0x"&amp;AE_w_WORK!E10</f>
        <v>0x2222</v>
      </c>
      <c r="J267" s="36">
        <v>40477</v>
      </c>
      <c r="K267" s="74"/>
      <c r="L267" s="74">
        <f t="shared" si="4"/>
        <v>522</v>
      </c>
      <c r="M267" s="74"/>
      <c r="N267" s="74"/>
    </row>
    <row r="268" spans="2:14" ht="12" hidden="1" customHeight="1" outlineLevel="1">
      <c r="B268" s="73">
        <v>262</v>
      </c>
      <c r="C268" s="39"/>
      <c r="D268" s="40"/>
      <c r="E268" s="34" t="s">
        <v>323</v>
      </c>
      <c r="F268" s="75" t="s">
        <v>633</v>
      </c>
      <c r="G268" s="35" t="s">
        <v>79</v>
      </c>
      <c r="H268" s="41" t="s">
        <v>80</v>
      </c>
      <c r="I268" s="44" t="str">
        <f>"0x"&amp;AE_w_WORK!E11</f>
        <v>0x2222</v>
      </c>
      <c r="J268" s="36">
        <v>40478</v>
      </c>
      <c r="K268" s="74"/>
      <c r="L268" s="74">
        <f t="shared" si="4"/>
        <v>524</v>
      </c>
      <c r="M268" s="74"/>
      <c r="N268" s="74"/>
    </row>
    <row r="269" spans="2:14" ht="12" hidden="1" customHeight="1" outlineLevel="1">
      <c r="B269" s="73">
        <v>263</v>
      </c>
      <c r="C269" s="39"/>
      <c r="D269" s="40"/>
      <c r="E269" s="34" t="s">
        <v>323</v>
      </c>
      <c r="F269" s="75" t="s">
        <v>634</v>
      </c>
      <c r="G269" s="35" t="s">
        <v>79</v>
      </c>
      <c r="H269" s="41" t="s">
        <v>80</v>
      </c>
      <c r="I269" s="44" t="str">
        <f>"0x"&amp;AE_w_WORK!E12</f>
        <v>0x2222</v>
      </c>
      <c r="J269" s="36">
        <v>40479</v>
      </c>
      <c r="K269" s="74"/>
      <c r="L269" s="74">
        <f t="shared" si="4"/>
        <v>526</v>
      </c>
      <c r="M269" s="74"/>
      <c r="N269" s="74"/>
    </row>
    <row r="270" spans="2:14" ht="12" hidden="1" customHeight="1" outlineLevel="1">
      <c r="B270" s="73">
        <v>264</v>
      </c>
      <c r="C270" s="39"/>
      <c r="D270" s="40"/>
      <c r="E270" s="34" t="s">
        <v>323</v>
      </c>
      <c r="F270" s="75" t="s">
        <v>635</v>
      </c>
      <c r="G270" s="35" t="s">
        <v>79</v>
      </c>
      <c r="H270" s="41" t="s">
        <v>80</v>
      </c>
      <c r="I270" s="44" t="str">
        <f>"0x"&amp;AE_w_WORK!E13</f>
        <v>0x2222</v>
      </c>
      <c r="J270" s="36">
        <v>40480</v>
      </c>
      <c r="K270" s="74"/>
      <c r="L270" s="74">
        <f t="shared" si="4"/>
        <v>528</v>
      </c>
      <c r="M270" s="74"/>
      <c r="N270" s="74"/>
    </row>
    <row r="271" spans="2:14" ht="12" hidden="1" customHeight="1" outlineLevel="1">
      <c r="B271" s="73">
        <v>265</v>
      </c>
      <c r="C271" s="39"/>
      <c r="D271" s="40"/>
      <c r="E271" s="34" t="s">
        <v>323</v>
      </c>
      <c r="F271" s="75" t="s">
        <v>636</v>
      </c>
      <c r="G271" s="35" t="s">
        <v>79</v>
      </c>
      <c r="H271" s="41" t="s">
        <v>80</v>
      </c>
      <c r="I271" s="44" t="str">
        <f>"0x"&amp;AE_w_WORK!E14</f>
        <v>0x2222</v>
      </c>
      <c r="J271" s="36">
        <v>40481</v>
      </c>
      <c r="K271" s="74"/>
      <c r="L271" s="74">
        <f t="shared" si="4"/>
        <v>530</v>
      </c>
      <c r="M271" s="74"/>
      <c r="N271" s="74"/>
    </row>
    <row r="272" spans="2:14" ht="12" hidden="1" customHeight="1" outlineLevel="1">
      <c r="B272" s="73">
        <v>266</v>
      </c>
      <c r="C272" s="39"/>
      <c r="D272" s="40"/>
      <c r="E272" s="34" t="s">
        <v>323</v>
      </c>
      <c r="F272" s="75" t="s">
        <v>637</v>
      </c>
      <c r="G272" s="35" t="s">
        <v>79</v>
      </c>
      <c r="H272" s="41" t="s">
        <v>80</v>
      </c>
      <c r="I272" s="44" t="str">
        <f>"0x"&amp;AE_w_WORK!E15</f>
        <v>0x2222</v>
      </c>
      <c r="J272" s="36">
        <v>40482</v>
      </c>
      <c r="K272" s="74"/>
      <c r="L272" s="74">
        <f t="shared" si="4"/>
        <v>532</v>
      </c>
      <c r="M272" s="74"/>
      <c r="N272" s="74"/>
    </row>
    <row r="273" spans="2:14" ht="12" hidden="1" customHeight="1" outlineLevel="1">
      <c r="B273" s="73">
        <v>267</v>
      </c>
      <c r="C273" s="39"/>
      <c r="D273" s="40"/>
      <c r="E273" s="34" t="s">
        <v>323</v>
      </c>
      <c r="F273" s="75" t="s">
        <v>638</v>
      </c>
      <c r="G273" s="35" t="s">
        <v>79</v>
      </c>
      <c r="H273" s="41" t="s">
        <v>80</v>
      </c>
      <c r="I273" s="44" t="str">
        <f>"0x"&amp;AE_w_WORK!E16</f>
        <v>0x2222</v>
      </c>
      <c r="J273" s="36">
        <v>40483</v>
      </c>
      <c r="K273" s="74"/>
      <c r="L273" s="74">
        <f t="shared" si="4"/>
        <v>534</v>
      </c>
      <c r="M273" s="74"/>
      <c r="N273" s="74"/>
    </row>
    <row r="274" spans="2:14" ht="12" hidden="1" customHeight="1" outlineLevel="1">
      <c r="B274" s="73">
        <v>268</v>
      </c>
      <c r="C274" s="39"/>
      <c r="D274" s="40"/>
      <c r="E274" s="34" t="s">
        <v>323</v>
      </c>
      <c r="F274" s="75" t="s">
        <v>639</v>
      </c>
      <c r="G274" s="35" t="s">
        <v>79</v>
      </c>
      <c r="H274" s="41" t="s">
        <v>80</v>
      </c>
      <c r="I274" s="44" t="str">
        <f>"0x"&amp;AE_w_WORK!E17</f>
        <v>0x2222</v>
      </c>
      <c r="J274" s="36">
        <v>40484</v>
      </c>
      <c r="K274" s="74"/>
      <c r="L274" s="74">
        <f t="shared" si="4"/>
        <v>536</v>
      </c>
      <c r="M274" s="74"/>
      <c r="N274" s="74"/>
    </row>
    <row r="275" spans="2:14" ht="12" hidden="1" customHeight="1" outlineLevel="1">
      <c r="B275" s="73">
        <v>269</v>
      </c>
      <c r="C275" s="39"/>
      <c r="D275" s="40"/>
      <c r="E275" s="34" t="s">
        <v>323</v>
      </c>
      <c r="F275" s="75" t="s">
        <v>640</v>
      </c>
      <c r="G275" s="35" t="s">
        <v>79</v>
      </c>
      <c r="H275" s="41" t="s">
        <v>80</v>
      </c>
      <c r="I275" s="44" t="str">
        <f>"0x"&amp;AE_w_WORK!E18</f>
        <v>0x2222</v>
      </c>
      <c r="J275" s="36">
        <v>40485</v>
      </c>
      <c r="K275" s="74"/>
      <c r="L275" s="74">
        <f t="shared" si="4"/>
        <v>538</v>
      </c>
      <c r="M275" s="74"/>
      <c r="N275" s="74"/>
    </row>
    <row r="276" spans="2:14" ht="12" hidden="1" customHeight="1" outlineLevel="1">
      <c r="B276" s="73">
        <v>270</v>
      </c>
      <c r="C276" s="39"/>
      <c r="D276" s="40"/>
      <c r="E276" s="34" t="s">
        <v>323</v>
      </c>
      <c r="F276" s="75" t="s">
        <v>641</v>
      </c>
      <c r="G276" s="35" t="s">
        <v>79</v>
      </c>
      <c r="H276" s="41" t="s">
        <v>80</v>
      </c>
      <c r="I276" s="44" t="str">
        <f>"0x"&amp;AE_w_WORK!E19</f>
        <v>0x2222</v>
      </c>
      <c r="J276" s="36">
        <v>40486</v>
      </c>
      <c r="K276" s="74"/>
      <c r="L276" s="74">
        <f t="shared" si="4"/>
        <v>540</v>
      </c>
      <c r="M276" s="74"/>
      <c r="N276" s="74"/>
    </row>
    <row r="277" spans="2:14" ht="12" hidden="1" customHeight="1" outlineLevel="1">
      <c r="B277" s="73">
        <v>271</v>
      </c>
      <c r="C277" s="39"/>
      <c r="D277" s="40"/>
      <c r="E277" s="34" t="s">
        <v>323</v>
      </c>
      <c r="F277" s="75" t="s">
        <v>642</v>
      </c>
      <c r="G277" s="35" t="s">
        <v>79</v>
      </c>
      <c r="H277" s="41" t="s">
        <v>80</v>
      </c>
      <c r="I277" s="44" t="str">
        <f>"0x"&amp;AE_w_WORK!E20</f>
        <v>0x2222</v>
      </c>
      <c r="J277" s="36">
        <v>40487</v>
      </c>
      <c r="K277" s="74"/>
      <c r="L277" s="74">
        <f t="shared" si="4"/>
        <v>542</v>
      </c>
      <c r="M277" s="74"/>
      <c r="N277" s="74"/>
    </row>
    <row r="278" spans="2:14" ht="12" hidden="1" customHeight="1" outlineLevel="1">
      <c r="B278" s="73">
        <v>272</v>
      </c>
      <c r="C278" s="39"/>
      <c r="D278" s="40"/>
      <c r="E278" s="34" t="s">
        <v>323</v>
      </c>
      <c r="F278" s="75" t="s">
        <v>643</v>
      </c>
      <c r="G278" s="35" t="s">
        <v>79</v>
      </c>
      <c r="H278" s="41" t="s">
        <v>80</v>
      </c>
      <c r="I278" s="44" t="str">
        <f>"0x"&amp;AE_w_WORK!E21</f>
        <v>0x2222</v>
      </c>
      <c r="J278" s="36">
        <v>40488</v>
      </c>
      <c r="K278" s="74"/>
      <c r="L278" s="74">
        <f t="shared" si="4"/>
        <v>544</v>
      </c>
      <c r="M278" s="74"/>
      <c r="N278" s="74"/>
    </row>
    <row r="279" spans="2:14" ht="12" hidden="1" customHeight="1" outlineLevel="1">
      <c r="B279" s="73">
        <v>273</v>
      </c>
      <c r="C279" s="39"/>
      <c r="D279" s="40"/>
      <c r="E279" s="34" t="s">
        <v>323</v>
      </c>
      <c r="F279" s="75" t="s">
        <v>644</v>
      </c>
      <c r="G279" s="35" t="s">
        <v>79</v>
      </c>
      <c r="H279" s="41" t="s">
        <v>80</v>
      </c>
      <c r="I279" s="44" t="str">
        <f>"0x"&amp;AE_w_WORK!E22</f>
        <v>0x2222</v>
      </c>
      <c r="J279" s="36">
        <v>40489</v>
      </c>
      <c r="K279" s="74"/>
      <c r="L279" s="74">
        <f t="shared" si="4"/>
        <v>546</v>
      </c>
      <c r="M279" s="74"/>
      <c r="N279" s="74"/>
    </row>
    <row r="280" spans="2:14" ht="12" hidden="1" customHeight="1" outlineLevel="1">
      <c r="B280" s="73">
        <v>274</v>
      </c>
      <c r="C280" s="39"/>
      <c r="D280" s="40"/>
      <c r="E280" s="34" t="s">
        <v>323</v>
      </c>
      <c r="F280" s="75" t="s">
        <v>645</v>
      </c>
      <c r="G280" s="35" t="s">
        <v>79</v>
      </c>
      <c r="H280" s="41" t="s">
        <v>80</v>
      </c>
      <c r="I280" s="44" t="str">
        <f>"0x"&amp;AE_w_WORK!E23</f>
        <v>0x2222</v>
      </c>
      <c r="J280" s="36">
        <v>40490</v>
      </c>
      <c r="K280" s="74"/>
      <c r="L280" s="74">
        <f t="shared" si="4"/>
        <v>548</v>
      </c>
      <c r="M280" s="74"/>
      <c r="N280" s="74"/>
    </row>
    <row r="281" spans="2:14" ht="12" hidden="1" customHeight="1" outlineLevel="1">
      <c r="B281" s="73">
        <v>275</v>
      </c>
      <c r="C281" s="39"/>
      <c r="D281" s="40"/>
      <c r="E281" s="34" t="s">
        <v>323</v>
      </c>
      <c r="F281" s="75" t="s">
        <v>646</v>
      </c>
      <c r="G281" s="35" t="s">
        <v>79</v>
      </c>
      <c r="H281" s="41" t="s">
        <v>80</v>
      </c>
      <c r="I281" s="44" t="str">
        <f>"0x"&amp;AE_w_WORK!E24</f>
        <v>0x2222</v>
      </c>
      <c r="J281" s="36">
        <v>40491</v>
      </c>
      <c r="K281" s="74"/>
      <c r="L281" s="74">
        <f t="shared" si="4"/>
        <v>550</v>
      </c>
      <c r="M281" s="74"/>
      <c r="N281" s="74"/>
    </row>
    <row r="282" spans="2:14" ht="12" hidden="1" customHeight="1" outlineLevel="1">
      <c r="B282" s="73">
        <v>276</v>
      </c>
      <c r="C282" s="39"/>
      <c r="D282" s="40"/>
      <c r="E282" s="34" t="s">
        <v>323</v>
      </c>
      <c r="F282" s="75" t="s">
        <v>647</v>
      </c>
      <c r="G282" s="35" t="s">
        <v>79</v>
      </c>
      <c r="H282" s="41" t="s">
        <v>80</v>
      </c>
      <c r="I282" s="44" t="str">
        <f>"0x"&amp;AE_w_WORK!E25</f>
        <v>0x2222</v>
      </c>
      <c r="J282" s="36">
        <v>40492</v>
      </c>
      <c r="K282" s="74"/>
      <c r="L282" s="74">
        <f t="shared" si="4"/>
        <v>552</v>
      </c>
      <c r="M282" s="74"/>
      <c r="N282" s="74"/>
    </row>
    <row r="283" spans="2:14" ht="12" hidden="1" customHeight="1" outlineLevel="1">
      <c r="B283" s="73">
        <v>277</v>
      </c>
      <c r="C283" s="39"/>
      <c r="D283" s="40"/>
      <c r="E283" s="34" t="s">
        <v>323</v>
      </c>
      <c r="F283" s="75" t="s">
        <v>648</v>
      </c>
      <c r="G283" s="35" t="s">
        <v>79</v>
      </c>
      <c r="H283" s="41" t="s">
        <v>80</v>
      </c>
      <c r="I283" s="44" t="str">
        <f>"0x"&amp;AE_w_WORK!E26</f>
        <v>0x2222</v>
      </c>
      <c r="J283" s="36">
        <v>40493</v>
      </c>
      <c r="K283" s="74"/>
      <c r="L283" s="74">
        <f t="shared" si="4"/>
        <v>554</v>
      </c>
      <c r="M283" s="74"/>
      <c r="N283" s="74"/>
    </row>
    <row r="284" spans="2:14" ht="12" hidden="1" customHeight="1" outlineLevel="1">
      <c r="B284" s="73">
        <v>278</v>
      </c>
      <c r="C284" s="39"/>
      <c r="D284" s="40"/>
      <c r="E284" s="34" t="s">
        <v>323</v>
      </c>
      <c r="F284" s="75" t="s">
        <v>649</v>
      </c>
      <c r="G284" s="35" t="s">
        <v>79</v>
      </c>
      <c r="H284" s="41" t="s">
        <v>80</v>
      </c>
      <c r="I284" s="44" t="str">
        <f>"0x"&amp;AE_w_WORK!E27</f>
        <v>0x2222</v>
      </c>
      <c r="J284" s="36">
        <v>40494</v>
      </c>
      <c r="K284" s="74"/>
      <c r="L284" s="74">
        <f t="shared" si="4"/>
        <v>556</v>
      </c>
      <c r="M284" s="74"/>
      <c r="N284" s="74"/>
    </row>
    <row r="285" spans="2:14" ht="12" hidden="1" customHeight="1" outlineLevel="1">
      <c r="B285" s="73">
        <v>279</v>
      </c>
      <c r="C285" s="39"/>
      <c r="D285" s="40"/>
      <c r="E285" s="34" t="s">
        <v>323</v>
      </c>
      <c r="F285" s="75" t="s">
        <v>650</v>
      </c>
      <c r="G285" s="35" t="s">
        <v>79</v>
      </c>
      <c r="H285" s="41" t="s">
        <v>80</v>
      </c>
      <c r="I285" s="44" t="str">
        <f>"0x"&amp;AE_w_WORK!E28</f>
        <v>0x2222</v>
      </c>
      <c r="J285" s="36">
        <v>40495</v>
      </c>
      <c r="K285" s="74"/>
      <c r="L285" s="74">
        <f t="shared" si="4"/>
        <v>558</v>
      </c>
      <c r="M285" s="74"/>
      <c r="N285" s="74"/>
    </row>
    <row r="286" spans="2:14" ht="12" hidden="1" customHeight="1" outlineLevel="1">
      <c r="B286" s="73">
        <v>280</v>
      </c>
      <c r="C286" s="39"/>
      <c r="D286" s="40"/>
      <c r="E286" s="34" t="s">
        <v>323</v>
      </c>
      <c r="F286" s="75" t="s">
        <v>651</v>
      </c>
      <c r="G286" s="35" t="s">
        <v>79</v>
      </c>
      <c r="H286" s="41" t="s">
        <v>80</v>
      </c>
      <c r="I286" s="44" t="str">
        <f>"0x"&amp;AE_w_WORK!E29</f>
        <v>0x2222</v>
      </c>
      <c r="J286" s="36">
        <v>40496</v>
      </c>
      <c r="K286" s="74"/>
      <c r="L286" s="74">
        <f t="shared" si="4"/>
        <v>560</v>
      </c>
      <c r="M286" s="74"/>
      <c r="N286" s="74"/>
    </row>
    <row r="287" spans="2:14" ht="12" hidden="1" customHeight="1" outlineLevel="1">
      <c r="B287" s="73">
        <v>281</v>
      </c>
      <c r="C287" s="39"/>
      <c r="D287" s="40"/>
      <c r="E287" s="34" t="s">
        <v>323</v>
      </c>
      <c r="F287" s="75" t="s">
        <v>652</v>
      </c>
      <c r="G287" s="35" t="s">
        <v>79</v>
      </c>
      <c r="H287" s="41" t="s">
        <v>80</v>
      </c>
      <c r="I287" s="44" t="str">
        <f>"0x"&amp;AE_w_WORK!E30</f>
        <v>0x2222</v>
      </c>
      <c r="J287" s="36">
        <v>40497</v>
      </c>
      <c r="K287" s="74"/>
      <c r="L287" s="74">
        <f t="shared" si="4"/>
        <v>562</v>
      </c>
      <c r="M287" s="74"/>
      <c r="N287" s="74"/>
    </row>
    <row r="288" spans="2:14" ht="12" hidden="1" customHeight="1" outlineLevel="1">
      <c r="B288" s="73">
        <v>282</v>
      </c>
      <c r="C288" s="39"/>
      <c r="D288" s="40"/>
      <c r="E288" s="34" t="s">
        <v>323</v>
      </c>
      <c r="F288" s="75" t="s">
        <v>653</v>
      </c>
      <c r="G288" s="35" t="s">
        <v>79</v>
      </c>
      <c r="H288" s="41" t="s">
        <v>80</v>
      </c>
      <c r="I288" s="44" t="str">
        <f>"0x"&amp;AE_w_WORK!E31</f>
        <v>0x2222</v>
      </c>
      <c r="J288" s="36">
        <v>40498</v>
      </c>
      <c r="K288" s="74"/>
      <c r="L288" s="74">
        <f t="shared" si="4"/>
        <v>564</v>
      </c>
      <c r="M288" s="74"/>
      <c r="N288" s="74"/>
    </row>
    <row r="289" spans="2:14" ht="12" hidden="1" customHeight="1" outlineLevel="1">
      <c r="B289" s="73">
        <v>283</v>
      </c>
      <c r="C289" s="39"/>
      <c r="D289" s="40"/>
      <c r="E289" s="34" t="s">
        <v>323</v>
      </c>
      <c r="F289" s="75" t="s">
        <v>654</v>
      </c>
      <c r="G289" s="35" t="s">
        <v>79</v>
      </c>
      <c r="H289" s="41" t="s">
        <v>80</v>
      </c>
      <c r="I289" s="44" t="str">
        <f>"0x"&amp;AE_w_WORK!E32</f>
        <v>0x2222</v>
      </c>
      <c r="J289" s="36">
        <v>40499</v>
      </c>
      <c r="K289" s="74"/>
      <c r="L289" s="74">
        <f t="shared" si="4"/>
        <v>566</v>
      </c>
      <c r="M289" s="74"/>
      <c r="N289" s="74"/>
    </row>
    <row r="290" spans="2:14" ht="12" hidden="1" customHeight="1" outlineLevel="1">
      <c r="B290" s="73">
        <v>284</v>
      </c>
      <c r="C290" s="39"/>
      <c r="D290" s="40"/>
      <c r="E290" s="34" t="s">
        <v>323</v>
      </c>
      <c r="F290" s="75" t="s">
        <v>655</v>
      </c>
      <c r="G290" s="35" t="s">
        <v>79</v>
      </c>
      <c r="H290" s="41" t="s">
        <v>80</v>
      </c>
      <c r="I290" s="44" t="str">
        <f>"0x"&amp;AE_w_WORK!E33</f>
        <v>0x2222</v>
      </c>
      <c r="J290" s="36">
        <v>40500</v>
      </c>
      <c r="K290" s="74"/>
      <c r="L290" s="74">
        <f t="shared" si="4"/>
        <v>568</v>
      </c>
      <c r="M290" s="74"/>
      <c r="N290" s="74"/>
    </row>
    <row r="291" spans="2:14" ht="12" hidden="1" customHeight="1" outlineLevel="1">
      <c r="B291" s="73">
        <v>285</v>
      </c>
      <c r="C291" s="39"/>
      <c r="D291" s="40"/>
      <c r="E291" s="34" t="s">
        <v>323</v>
      </c>
      <c r="F291" s="75" t="s">
        <v>656</v>
      </c>
      <c r="G291" s="35" t="s">
        <v>79</v>
      </c>
      <c r="H291" s="41" t="s">
        <v>80</v>
      </c>
      <c r="I291" s="44" t="str">
        <f>"0x"&amp;AE_w_WORK!E34</f>
        <v>0x2222</v>
      </c>
      <c r="J291" s="36">
        <v>40501</v>
      </c>
      <c r="K291" s="74"/>
      <c r="L291" s="74">
        <f t="shared" si="4"/>
        <v>570</v>
      </c>
      <c r="M291" s="74"/>
      <c r="N291" s="74"/>
    </row>
    <row r="292" spans="2:14" ht="12" hidden="1" customHeight="1" outlineLevel="1">
      <c r="B292" s="73">
        <v>286</v>
      </c>
      <c r="C292" s="39"/>
      <c r="D292" s="40"/>
      <c r="E292" s="34" t="s">
        <v>323</v>
      </c>
      <c r="F292" s="75" t="s">
        <v>657</v>
      </c>
      <c r="G292" s="35" t="s">
        <v>79</v>
      </c>
      <c r="H292" s="41" t="s">
        <v>80</v>
      </c>
      <c r="I292" s="44" t="str">
        <f>"0x"&amp;AE_w_WORK!E35</f>
        <v>0x2222</v>
      </c>
      <c r="J292" s="36">
        <v>40502</v>
      </c>
      <c r="K292" s="74"/>
      <c r="L292" s="74">
        <f t="shared" si="4"/>
        <v>572</v>
      </c>
      <c r="M292" s="74"/>
      <c r="N292" s="74"/>
    </row>
    <row r="293" spans="2:14" ht="12" hidden="1" customHeight="1" outlineLevel="1">
      <c r="B293" s="73">
        <v>287</v>
      </c>
      <c r="C293" s="39"/>
      <c r="D293" s="40"/>
      <c r="E293" s="34" t="s">
        <v>323</v>
      </c>
      <c r="F293" s="75" t="s">
        <v>658</v>
      </c>
      <c r="G293" s="35" t="s">
        <v>79</v>
      </c>
      <c r="H293" s="41" t="s">
        <v>80</v>
      </c>
      <c r="I293" s="44" t="str">
        <f>"0x"&amp;AE_w_WORK!E36</f>
        <v>0x2222</v>
      </c>
      <c r="J293" s="36">
        <v>40503</v>
      </c>
      <c r="K293" s="74"/>
      <c r="L293" s="74">
        <f t="shared" si="4"/>
        <v>574</v>
      </c>
      <c r="M293" s="74"/>
      <c r="N293" s="74"/>
    </row>
    <row r="294" spans="2:14" ht="12" hidden="1" customHeight="1" outlineLevel="1">
      <c r="B294" s="73">
        <v>288</v>
      </c>
      <c r="C294" s="39"/>
      <c r="D294" s="40"/>
      <c r="E294" s="34" t="s">
        <v>323</v>
      </c>
      <c r="F294" s="75" t="s">
        <v>659</v>
      </c>
      <c r="G294" s="35" t="s">
        <v>79</v>
      </c>
      <c r="H294" s="41" t="s">
        <v>80</v>
      </c>
      <c r="I294" s="44" t="str">
        <f>"0x"&amp;AE_w_WORK!E37</f>
        <v>0x2222</v>
      </c>
      <c r="J294" s="36">
        <v>40504</v>
      </c>
      <c r="K294" s="74"/>
      <c r="L294" s="74">
        <f t="shared" si="4"/>
        <v>576</v>
      </c>
      <c r="M294" s="74"/>
      <c r="N294" s="74"/>
    </row>
    <row r="295" spans="2:14" ht="12" hidden="1" customHeight="1" outlineLevel="1">
      <c r="B295" s="73">
        <v>289</v>
      </c>
      <c r="C295" s="39"/>
      <c r="D295" s="40"/>
      <c r="E295" s="34" t="s">
        <v>323</v>
      </c>
      <c r="F295" s="75" t="s">
        <v>660</v>
      </c>
      <c r="G295" s="35" t="s">
        <v>79</v>
      </c>
      <c r="H295" s="41" t="s">
        <v>80</v>
      </c>
      <c r="I295" s="44" t="str">
        <f>"0x"&amp;AE_w_WORK!E38</f>
        <v>0x2222</v>
      </c>
      <c r="J295" s="36">
        <v>40505</v>
      </c>
      <c r="K295" s="74"/>
      <c r="L295" s="74">
        <f t="shared" si="4"/>
        <v>578</v>
      </c>
      <c r="M295" s="74"/>
      <c r="N295" s="74"/>
    </row>
    <row r="296" spans="2:14" ht="12" hidden="1" customHeight="1" outlineLevel="1">
      <c r="B296" s="73">
        <v>290</v>
      </c>
      <c r="C296" s="39"/>
      <c r="D296" s="40"/>
      <c r="E296" s="34" t="s">
        <v>323</v>
      </c>
      <c r="F296" s="75" t="s">
        <v>661</v>
      </c>
      <c r="G296" s="35" t="s">
        <v>79</v>
      </c>
      <c r="H296" s="41" t="s">
        <v>80</v>
      </c>
      <c r="I296" s="44" t="str">
        <f>"0x"&amp;AE_w_WORK!E39</f>
        <v>0x2222</v>
      </c>
      <c r="J296" s="36">
        <v>40506</v>
      </c>
      <c r="K296" s="74"/>
      <c r="L296" s="74">
        <f t="shared" si="4"/>
        <v>580</v>
      </c>
      <c r="M296" s="74"/>
      <c r="N296" s="74"/>
    </row>
    <row r="297" spans="2:14" ht="12" hidden="1" customHeight="1" outlineLevel="1">
      <c r="B297" s="73">
        <v>291</v>
      </c>
      <c r="C297" s="39"/>
      <c r="D297" s="40"/>
      <c r="E297" s="34" t="s">
        <v>323</v>
      </c>
      <c r="F297" s="75" t="s">
        <v>662</v>
      </c>
      <c r="G297" s="35" t="s">
        <v>79</v>
      </c>
      <c r="H297" s="41" t="s">
        <v>80</v>
      </c>
      <c r="I297" s="44" t="str">
        <f>"0x"&amp;AE_w_WORK!E40</f>
        <v>0x2222</v>
      </c>
      <c r="J297" s="36">
        <v>40507</v>
      </c>
      <c r="K297" s="74"/>
      <c r="L297" s="74">
        <f t="shared" si="4"/>
        <v>582</v>
      </c>
      <c r="M297" s="74"/>
      <c r="N297" s="74"/>
    </row>
    <row r="298" spans="2:14" ht="12" hidden="1" customHeight="1" outlineLevel="1">
      <c r="B298" s="73">
        <v>292</v>
      </c>
      <c r="C298" s="39"/>
      <c r="D298" s="40"/>
      <c r="E298" s="34" t="s">
        <v>323</v>
      </c>
      <c r="F298" s="75" t="s">
        <v>663</v>
      </c>
      <c r="G298" s="35" t="s">
        <v>79</v>
      </c>
      <c r="H298" s="41" t="s">
        <v>80</v>
      </c>
      <c r="I298" s="44" t="str">
        <f>"0x"&amp;AE_w_WORK!E41</f>
        <v>0x2222</v>
      </c>
      <c r="J298" s="36">
        <v>40508</v>
      </c>
      <c r="K298" s="74"/>
      <c r="L298" s="74">
        <f t="shared" si="4"/>
        <v>584</v>
      </c>
      <c r="M298" s="74"/>
      <c r="N298" s="74"/>
    </row>
    <row r="299" spans="2:14" ht="12" hidden="1" customHeight="1" outlineLevel="1">
      <c r="B299" s="73">
        <v>293</v>
      </c>
      <c r="C299" s="39"/>
      <c r="D299" s="40"/>
      <c r="E299" s="34" t="s">
        <v>323</v>
      </c>
      <c r="F299" s="75" t="s">
        <v>664</v>
      </c>
      <c r="G299" s="35" t="s">
        <v>79</v>
      </c>
      <c r="H299" s="41" t="s">
        <v>80</v>
      </c>
      <c r="I299" s="44" t="str">
        <f>"0x"&amp;AE_w_WORK!E42</f>
        <v>0x2222</v>
      </c>
      <c r="J299" s="36">
        <v>40509</v>
      </c>
      <c r="K299" s="74"/>
      <c r="L299" s="74">
        <f t="shared" si="4"/>
        <v>586</v>
      </c>
      <c r="M299" s="74"/>
      <c r="N299" s="74"/>
    </row>
    <row r="300" spans="2:14" ht="12" hidden="1" customHeight="1" outlineLevel="1">
      <c r="B300" s="73">
        <v>294</v>
      </c>
      <c r="C300" s="39"/>
      <c r="D300" s="40"/>
      <c r="E300" s="34" t="s">
        <v>323</v>
      </c>
      <c r="F300" s="75" t="s">
        <v>665</v>
      </c>
      <c r="G300" s="35" t="s">
        <v>79</v>
      </c>
      <c r="H300" s="41" t="s">
        <v>80</v>
      </c>
      <c r="I300" s="44" t="str">
        <f>"0x"&amp;AE_w_WORK!E43</f>
        <v>0x2222</v>
      </c>
      <c r="J300" s="36">
        <v>40510</v>
      </c>
      <c r="K300" s="74"/>
      <c r="L300" s="74">
        <f t="shared" si="4"/>
        <v>588</v>
      </c>
      <c r="M300" s="74"/>
      <c r="N300" s="74"/>
    </row>
    <row r="301" spans="2:14" ht="12" hidden="1" customHeight="1" outlineLevel="1">
      <c r="B301" s="73">
        <v>295</v>
      </c>
      <c r="C301" s="39"/>
      <c r="D301" s="40"/>
      <c r="E301" s="34" t="s">
        <v>323</v>
      </c>
      <c r="F301" s="75" t="s">
        <v>666</v>
      </c>
      <c r="G301" s="35" t="s">
        <v>79</v>
      </c>
      <c r="H301" s="41" t="s">
        <v>80</v>
      </c>
      <c r="I301" s="44" t="str">
        <f>"0x"&amp;AE_w_WORK!E44</f>
        <v>0x2222</v>
      </c>
      <c r="J301" s="36">
        <v>40511</v>
      </c>
      <c r="K301" s="74"/>
      <c r="L301" s="74">
        <f t="shared" si="4"/>
        <v>590</v>
      </c>
      <c r="M301" s="74"/>
      <c r="N301" s="74"/>
    </row>
    <row r="302" spans="2:14" ht="12" hidden="1" customHeight="1" outlineLevel="1">
      <c r="B302" s="73">
        <v>296</v>
      </c>
      <c r="C302" s="39"/>
      <c r="D302" s="40"/>
      <c r="E302" s="34" t="s">
        <v>323</v>
      </c>
      <c r="F302" s="75" t="s">
        <v>667</v>
      </c>
      <c r="G302" s="35" t="s">
        <v>79</v>
      </c>
      <c r="H302" s="41" t="s">
        <v>80</v>
      </c>
      <c r="I302" s="44" t="str">
        <f>"0x"&amp;AE_w_WORK!E45</f>
        <v>0x2222</v>
      </c>
      <c r="J302" s="36">
        <v>40512</v>
      </c>
      <c r="K302" s="74"/>
      <c r="L302" s="74">
        <f t="shared" si="4"/>
        <v>592</v>
      </c>
      <c r="M302" s="74"/>
      <c r="N302" s="74"/>
    </row>
    <row r="303" spans="2:14" ht="12" hidden="1" customHeight="1" outlineLevel="1">
      <c r="B303" s="73">
        <v>297</v>
      </c>
      <c r="C303" s="39"/>
      <c r="D303" s="40"/>
      <c r="E303" s="34" t="s">
        <v>323</v>
      </c>
      <c r="F303" s="75" t="s">
        <v>668</v>
      </c>
      <c r="G303" s="35" t="s">
        <v>79</v>
      </c>
      <c r="H303" s="41" t="s">
        <v>80</v>
      </c>
      <c r="I303" s="44" t="str">
        <f>"0x"&amp;AE_w_WORK!E46</f>
        <v>0x2222</v>
      </c>
      <c r="J303" s="36">
        <v>40513</v>
      </c>
      <c r="K303" s="74"/>
      <c r="L303" s="74">
        <f t="shared" si="4"/>
        <v>594</v>
      </c>
      <c r="M303" s="74"/>
      <c r="N303" s="74"/>
    </row>
    <row r="304" spans="2:14" ht="12" hidden="1" customHeight="1" outlineLevel="1">
      <c r="B304" s="73">
        <v>298</v>
      </c>
      <c r="C304" s="39"/>
      <c r="D304" s="40"/>
      <c r="E304" s="34" t="s">
        <v>323</v>
      </c>
      <c r="F304" s="75" t="s">
        <v>669</v>
      </c>
      <c r="G304" s="35" t="s">
        <v>79</v>
      </c>
      <c r="H304" s="41" t="s">
        <v>80</v>
      </c>
      <c r="I304" s="44" t="str">
        <f>"0x"&amp;AE_w_WORK!E47</f>
        <v>0x2222</v>
      </c>
      <c r="J304" s="36">
        <v>40514</v>
      </c>
      <c r="K304" s="74"/>
      <c r="L304" s="74">
        <f t="shared" si="4"/>
        <v>596</v>
      </c>
      <c r="M304" s="74"/>
      <c r="N304" s="74"/>
    </row>
    <row r="305" spans="2:14" ht="12" hidden="1" customHeight="1" outlineLevel="1">
      <c r="B305" s="73">
        <v>299</v>
      </c>
      <c r="C305" s="39"/>
      <c r="D305" s="40"/>
      <c r="E305" s="34" t="s">
        <v>323</v>
      </c>
      <c r="F305" s="75" t="s">
        <v>670</v>
      </c>
      <c r="G305" s="35" t="s">
        <v>79</v>
      </c>
      <c r="H305" s="41" t="s">
        <v>80</v>
      </c>
      <c r="I305" s="44" t="str">
        <f>"0x"&amp;AE_w_WORK!E48</f>
        <v>0x2222</v>
      </c>
      <c r="J305" s="36">
        <v>40515</v>
      </c>
      <c r="K305" s="74"/>
      <c r="L305" s="74">
        <f t="shared" si="4"/>
        <v>598</v>
      </c>
      <c r="M305" s="74"/>
      <c r="N305" s="74"/>
    </row>
    <row r="306" spans="2:14" ht="12" hidden="1" customHeight="1" outlineLevel="1">
      <c r="B306" s="73">
        <v>300</v>
      </c>
      <c r="C306" s="39"/>
      <c r="D306" s="40"/>
      <c r="E306" s="34" t="s">
        <v>323</v>
      </c>
      <c r="F306" s="75" t="s">
        <v>671</v>
      </c>
      <c r="G306" s="35" t="s">
        <v>79</v>
      </c>
      <c r="H306" s="41" t="s">
        <v>80</v>
      </c>
      <c r="I306" s="44" t="str">
        <f>"0x"&amp;AE_w_WORK!E49</f>
        <v>0x2222</v>
      </c>
      <c r="J306" s="36">
        <v>40516</v>
      </c>
      <c r="K306" s="74"/>
      <c r="L306" s="74">
        <f t="shared" si="4"/>
        <v>600</v>
      </c>
      <c r="M306" s="74"/>
      <c r="N306" s="74"/>
    </row>
    <row r="307" spans="2:14" ht="12" hidden="1" customHeight="1" outlineLevel="1">
      <c r="B307" s="73">
        <v>301</v>
      </c>
      <c r="C307" s="39"/>
      <c r="D307" s="40"/>
      <c r="E307" s="34" t="s">
        <v>323</v>
      </c>
      <c r="F307" s="75" t="s">
        <v>672</v>
      </c>
      <c r="G307" s="35" t="s">
        <v>79</v>
      </c>
      <c r="H307" s="41" t="s">
        <v>80</v>
      </c>
      <c r="I307" s="44" t="str">
        <f>"0x"&amp;AE_w_WORK!E50</f>
        <v>0x2222</v>
      </c>
      <c r="J307" s="36">
        <v>40517</v>
      </c>
      <c r="K307" s="74"/>
      <c r="L307" s="74">
        <f t="shared" si="4"/>
        <v>602</v>
      </c>
      <c r="M307" s="74"/>
      <c r="N307" s="74"/>
    </row>
    <row r="308" spans="2:14" ht="12" hidden="1" customHeight="1" outlineLevel="1">
      <c r="B308" s="73">
        <v>302</v>
      </c>
      <c r="C308" s="39"/>
      <c r="D308" s="40"/>
      <c r="E308" s="34" t="s">
        <v>323</v>
      </c>
      <c r="F308" s="75" t="s">
        <v>673</v>
      </c>
      <c r="G308" s="35" t="s">
        <v>79</v>
      </c>
      <c r="H308" s="41" t="s">
        <v>80</v>
      </c>
      <c r="I308" s="44" t="str">
        <f>"0x"&amp;AE_w_WORK!E51</f>
        <v>0x2222</v>
      </c>
      <c r="J308" s="36">
        <v>40518</v>
      </c>
      <c r="K308" s="74"/>
      <c r="L308" s="74">
        <f t="shared" si="4"/>
        <v>604</v>
      </c>
      <c r="M308" s="74"/>
      <c r="N308" s="74"/>
    </row>
    <row r="309" spans="2:14" ht="12" hidden="1" customHeight="1" outlineLevel="1">
      <c r="B309" s="73">
        <v>303</v>
      </c>
      <c r="C309" s="39"/>
      <c r="D309" s="40"/>
      <c r="E309" s="34" t="s">
        <v>323</v>
      </c>
      <c r="F309" s="75" t="s">
        <v>674</v>
      </c>
      <c r="G309" s="35" t="s">
        <v>79</v>
      </c>
      <c r="H309" s="41" t="s">
        <v>80</v>
      </c>
      <c r="I309" s="44" t="str">
        <f>"0x"&amp;AE_w_WORK!E52</f>
        <v>0x2222</v>
      </c>
      <c r="J309" s="36">
        <v>40519</v>
      </c>
      <c r="K309" s="74"/>
      <c r="L309" s="74">
        <f t="shared" si="4"/>
        <v>606</v>
      </c>
      <c r="M309" s="74"/>
      <c r="N309" s="74"/>
    </row>
    <row r="310" spans="2:14" ht="12" hidden="1" customHeight="1" outlineLevel="1">
      <c r="B310" s="73">
        <v>304</v>
      </c>
      <c r="C310" s="39"/>
      <c r="D310" s="40"/>
      <c r="E310" s="34" t="s">
        <v>323</v>
      </c>
      <c r="F310" s="75" t="s">
        <v>675</v>
      </c>
      <c r="G310" s="35" t="s">
        <v>79</v>
      </c>
      <c r="H310" s="41" t="s">
        <v>80</v>
      </c>
      <c r="I310" s="44" t="str">
        <f>"0x"&amp;AE_w_WORK!E53</f>
        <v>0x2222</v>
      </c>
      <c r="J310" s="36">
        <v>40520</v>
      </c>
      <c r="K310" s="74"/>
      <c r="L310" s="74">
        <f t="shared" si="4"/>
        <v>608</v>
      </c>
      <c r="M310" s="74"/>
      <c r="N310" s="74"/>
    </row>
    <row r="311" spans="2:14" ht="12" hidden="1" customHeight="1" outlineLevel="1">
      <c r="B311" s="73">
        <v>305</v>
      </c>
      <c r="C311" s="39"/>
      <c r="D311" s="40"/>
      <c r="E311" s="34" t="s">
        <v>323</v>
      </c>
      <c r="F311" s="75" t="s">
        <v>676</v>
      </c>
      <c r="G311" s="35" t="s">
        <v>79</v>
      </c>
      <c r="H311" s="41" t="s">
        <v>80</v>
      </c>
      <c r="I311" s="44" t="str">
        <f>"0x"&amp;AE_w_WORK!E54</f>
        <v>0x2222</v>
      </c>
      <c r="J311" s="36">
        <v>40521</v>
      </c>
      <c r="K311" s="74"/>
      <c r="L311" s="74">
        <f t="shared" si="4"/>
        <v>610</v>
      </c>
      <c r="M311" s="74"/>
      <c r="N311" s="74"/>
    </row>
    <row r="312" spans="2:14" ht="12" hidden="1" customHeight="1" outlineLevel="1">
      <c r="B312" s="73">
        <v>306</v>
      </c>
      <c r="C312" s="39"/>
      <c r="D312" s="40"/>
      <c r="E312" s="34" t="s">
        <v>323</v>
      </c>
      <c r="F312" s="75" t="s">
        <v>677</v>
      </c>
      <c r="G312" s="35" t="s">
        <v>79</v>
      </c>
      <c r="H312" s="41" t="s">
        <v>80</v>
      </c>
      <c r="I312" s="44" t="str">
        <f>"0x"&amp;AE_w_WORK!E55</f>
        <v>0x2222</v>
      </c>
      <c r="J312" s="36">
        <v>40522</v>
      </c>
      <c r="K312" s="74"/>
      <c r="L312" s="74">
        <f t="shared" si="4"/>
        <v>612</v>
      </c>
      <c r="M312" s="74"/>
      <c r="N312" s="74"/>
    </row>
    <row r="313" spans="2:14" ht="12" hidden="1" customHeight="1" outlineLevel="1">
      <c r="B313" s="73">
        <v>307</v>
      </c>
      <c r="C313" s="39"/>
      <c r="D313" s="40"/>
      <c r="E313" s="34" t="s">
        <v>323</v>
      </c>
      <c r="F313" s="75" t="s">
        <v>678</v>
      </c>
      <c r="G313" s="35" t="s">
        <v>79</v>
      </c>
      <c r="H313" s="41" t="s">
        <v>80</v>
      </c>
      <c r="I313" s="44" t="str">
        <f>"0x"&amp;AE_w_WORK!E56</f>
        <v>0x2222</v>
      </c>
      <c r="J313" s="36">
        <v>40523</v>
      </c>
      <c r="K313" s="74"/>
      <c r="L313" s="74">
        <f t="shared" si="4"/>
        <v>614</v>
      </c>
      <c r="M313" s="74"/>
      <c r="N313" s="74"/>
    </row>
    <row r="314" spans="2:14" ht="12" hidden="1" customHeight="1" outlineLevel="1">
      <c r="B314" s="73">
        <v>308</v>
      </c>
      <c r="C314" s="39"/>
      <c r="D314" s="40"/>
      <c r="E314" s="34" t="s">
        <v>323</v>
      </c>
      <c r="F314" s="75" t="s">
        <v>679</v>
      </c>
      <c r="G314" s="35" t="s">
        <v>79</v>
      </c>
      <c r="H314" s="41" t="s">
        <v>80</v>
      </c>
      <c r="I314" s="44" t="str">
        <f>"0x"&amp;AE_w_WORK!E57</f>
        <v>0x2222</v>
      </c>
      <c r="J314" s="36">
        <v>40524</v>
      </c>
      <c r="K314" s="74"/>
      <c r="L314" s="74">
        <f t="shared" si="4"/>
        <v>616</v>
      </c>
      <c r="M314" s="74"/>
      <c r="N314" s="74"/>
    </row>
    <row r="315" spans="2:14" ht="12" hidden="1" customHeight="1" outlineLevel="1">
      <c r="B315" s="73">
        <v>309</v>
      </c>
      <c r="C315" s="39"/>
      <c r="D315" s="40"/>
      <c r="E315" s="34" t="s">
        <v>323</v>
      </c>
      <c r="F315" s="75" t="s">
        <v>680</v>
      </c>
      <c r="G315" s="35" t="s">
        <v>79</v>
      </c>
      <c r="H315" s="41" t="s">
        <v>80</v>
      </c>
      <c r="I315" s="44" t="str">
        <f>"0x"&amp;AE_w_WORK!E58</f>
        <v>0x2222</v>
      </c>
      <c r="J315" s="36">
        <v>40525</v>
      </c>
      <c r="K315" s="74"/>
      <c r="L315" s="74">
        <f t="shared" si="4"/>
        <v>618</v>
      </c>
      <c r="M315" s="74"/>
      <c r="N315" s="74"/>
    </row>
    <row r="316" spans="2:14" ht="12" hidden="1" customHeight="1" outlineLevel="1">
      <c r="B316" s="73">
        <v>310</v>
      </c>
      <c r="C316" s="39"/>
      <c r="D316" s="40"/>
      <c r="E316" s="34" t="s">
        <v>323</v>
      </c>
      <c r="F316" s="75" t="s">
        <v>681</v>
      </c>
      <c r="G316" s="35" t="s">
        <v>79</v>
      </c>
      <c r="H316" s="41" t="s">
        <v>80</v>
      </c>
      <c r="I316" s="44" t="str">
        <f>"0x"&amp;AE_w_WORK!E59</f>
        <v>0x2222</v>
      </c>
      <c r="J316" s="36">
        <v>40526</v>
      </c>
      <c r="K316" s="74"/>
      <c r="L316" s="74">
        <f t="shared" si="4"/>
        <v>620</v>
      </c>
      <c r="M316" s="74"/>
      <c r="N316" s="74"/>
    </row>
    <row r="317" spans="2:14" ht="12" hidden="1" customHeight="1" outlineLevel="1">
      <c r="B317" s="73">
        <v>311</v>
      </c>
      <c r="C317" s="39"/>
      <c r="D317" s="40"/>
      <c r="E317" s="34" t="s">
        <v>323</v>
      </c>
      <c r="F317" s="75" t="s">
        <v>682</v>
      </c>
      <c r="G317" s="35" t="s">
        <v>79</v>
      </c>
      <c r="H317" s="41" t="s">
        <v>80</v>
      </c>
      <c r="I317" s="44" t="str">
        <f>"0x"&amp;AE_w_WORK!E60</f>
        <v>0x2222</v>
      </c>
      <c r="J317" s="36">
        <v>40527</v>
      </c>
      <c r="K317" s="74"/>
      <c r="L317" s="74">
        <f t="shared" si="4"/>
        <v>622</v>
      </c>
      <c r="M317" s="74"/>
      <c r="N317" s="74"/>
    </row>
    <row r="318" spans="2:14" ht="12" hidden="1" customHeight="1" outlineLevel="1">
      <c r="B318" s="73">
        <v>312</v>
      </c>
      <c r="C318" s="39"/>
      <c r="D318" s="40"/>
      <c r="E318" s="34" t="s">
        <v>323</v>
      </c>
      <c r="F318" s="75" t="s">
        <v>683</v>
      </c>
      <c r="G318" s="35" t="s">
        <v>79</v>
      </c>
      <c r="H318" s="41" t="s">
        <v>80</v>
      </c>
      <c r="I318" s="44" t="str">
        <f>"0x"&amp;AE_w_WORK!E61</f>
        <v>0x2222</v>
      </c>
      <c r="J318" s="36">
        <v>40528</v>
      </c>
      <c r="K318" s="74"/>
      <c r="L318" s="74">
        <f t="shared" si="4"/>
        <v>624</v>
      </c>
      <c r="M318" s="74"/>
      <c r="N318" s="74"/>
    </row>
    <row r="319" spans="2:14" ht="12" hidden="1" customHeight="1" outlineLevel="1">
      <c r="B319" s="73">
        <v>313</v>
      </c>
      <c r="C319" s="39"/>
      <c r="D319" s="40"/>
      <c r="E319" s="34" t="s">
        <v>323</v>
      </c>
      <c r="F319" s="75" t="s">
        <v>684</v>
      </c>
      <c r="G319" s="35" t="s">
        <v>79</v>
      </c>
      <c r="H319" s="41" t="s">
        <v>80</v>
      </c>
      <c r="I319" s="44" t="str">
        <f>"0x"&amp;AE_w_WORK!E62</f>
        <v>0x2222</v>
      </c>
      <c r="J319" s="36">
        <v>40529</v>
      </c>
      <c r="K319" s="74"/>
      <c r="L319" s="74">
        <f t="shared" si="4"/>
        <v>626</v>
      </c>
      <c r="M319" s="74"/>
      <c r="N319" s="74"/>
    </row>
    <row r="320" spans="2:14" ht="12" hidden="1" customHeight="1" outlineLevel="1">
      <c r="B320" s="73">
        <v>314</v>
      </c>
      <c r="C320" s="39"/>
      <c r="D320" s="40"/>
      <c r="E320" s="34" t="s">
        <v>323</v>
      </c>
      <c r="F320" s="75" t="s">
        <v>685</v>
      </c>
      <c r="G320" s="35" t="s">
        <v>79</v>
      </c>
      <c r="H320" s="41" t="s">
        <v>80</v>
      </c>
      <c r="I320" s="44" t="str">
        <f>"0x"&amp;AE_w_WORK!E63</f>
        <v>0x2222</v>
      </c>
      <c r="J320" s="36">
        <v>40530</v>
      </c>
      <c r="K320" s="74"/>
      <c r="L320" s="74">
        <f t="shared" si="4"/>
        <v>628</v>
      </c>
      <c r="M320" s="74"/>
      <c r="N320" s="74"/>
    </row>
    <row r="321" spans="2:14" ht="12" hidden="1" customHeight="1" outlineLevel="1">
      <c r="B321" s="73">
        <v>315</v>
      </c>
      <c r="C321" s="39"/>
      <c r="D321" s="40"/>
      <c r="E321" s="34" t="s">
        <v>323</v>
      </c>
      <c r="F321" s="75" t="s">
        <v>686</v>
      </c>
      <c r="G321" s="35" t="s">
        <v>79</v>
      </c>
      <c r="H321" s="41" t="s">
        <v>80</v>
      </c>
      <c r="I321" s="44" t="str">
        <f>"0x"&amp;AE_w_WORK!E64</f>
        <v>0x2222</v>
      </c>
      <c r="J321" s="36">
        <v>40531</v>
      </c>
      <c r="K321" s="74"/>
      <c r="L321" s="74">
        <f t="shared" si="4"/>
        <v>630</v>
      </c>
      <c r="M321" s="74"/>
      <c r="N321" s="74"/>
    </row>
    <row r="322" spans="2:14" ht="12" hidden="1" customHeight="1" outlineLevel="1">
      <c r="B322" s="73">
        <v>316</v>
      </c>
      <c r="C322" s="39"/>
      <c r="D322" s="40"/>
      <c r="E322" s="34" t="s">
        <v>323</v>
      </c>
      <c r="F322" s="75" t="s">
        <v>687</v>
      </c>
      <c r="G322" s="35" t="s">
        <v>79</v>
      </c>
      <c r="H322" s="41" t="s">
        <v>80</v>
      </c>
      <c r="I322" s="44" t="str">
        <f>"0x"&amp;AE_w_WORK!E65</f>
        <v>0x2222</v>
      </c>
      <c r="J322" s="36">
        <v>40532</v>
      </c>
      <c r="K322" s="74"/>
      <c r="L322" s="74">
        <f t="shared" si="4"/>
        <v>632</v>
      </c>
      <c r="M322" s="74"/>
      <c r="N322" s="74"/>
    </row>
    <row r="323" spans="2:14" ht="12" hidden="1" customHeight="1" outlineLevel="1">
      <c r="B323" s="73">
        <v>317</v>
      </c>
      <c r="C323" s="39"/>
      <c r="D323" s="40"/>
      <c r="E323" s="34" t="s">
        <v>323</v>
      </c>
      <c r="F323" s="75" t="s">
        <v>688</v>
      </c>
      <c r="G323" s="35" t="s">
        <v>79</v>
      </c>
      <c r="H323" s="41" t="s">
        <v>80</v>
      </c>
      <c r="I323" s="44" t="str">
        <f>"0x"&amp;AE_w_WORK!E66</f>
        <v>0x2222</v>
      </c>
      <c r="J323" s="36">
        <v>40533</v>
      </c>
      <c r="K323" s="74"/>
      <c r="L323" s="74">
        <f t="shared" si="4"/>
        <v>634</v>
      </c>
      <c r="M323" s="74"/>
      <c r="N323" s="74"/>
    </row>
    <row r="324" spans="2:14" ht="12" hidden="1" customHeight="1" outlineLevel="1">
      <c r="B324" s="73">
        <v>318</v>
      </c>
      <c r="C324" s="39"/>
      <c r="D324" s="40"/>
      <c r="E324" s="34" t="s">
        <v>323</v>
      </c>
      <c r="F324" s="75" t="s">
        <v>689</v>
      </c>
      <c r="G324" s="35" t="s">
        <v>79</v>
      </c>
      <c r="H324" s="41" t="s">
        <v>80</v>
      </c>
      <c r="I324" s="44" t="str">
        <f>"0x"&amp;AE_w_WORK!E67</f>
        <v>0x2222</v>
      </c>
      <c r="J324" s="36">
        <v>40534</v>
      </c>
      <c r="K324" s="74"/>
      <c r="L324" s="74">
        <f t="shared" si="4"/>
        <v>636</v>
      </c>
      <c r="M324" s="74"/>
      <c r="N324" s="74"/>
    </row>
    <row r="325" spans="2:14" ht="12" hidden="1" customHeight="1" outlineLevel="1">
      <c r="B325" s="73">
        <v>319</v>
      </c>
      <c r="C325" s="39"/>
      <c r="D325" s="40"/>
      <c r="E325" s="34" t="s">
        <v>323</v>
      </c>
      <c r="F325" s="75" t="s">
        <v>690</v>
      </c>
      <c r="G325" s="35" t="s">
        <v>79</v>
      </c>
      <c r="H325" s="41" t="s">
        <v>80</v>
      </c>
      <c r="I325" s="44" t="str">
        <f>"0x"&amp;AE_w_WORK!E68</f>
        <v>0x2222</v>
      </c>
      <c r="J325" s="36">
        <v>40535</v>
      </c>
      <c r="K325" s="74"/>
      <c r="L325" s="74">
        <f t="shared" si="4"/>
        <v>638</v>
      </c>
      <c r="M325" s="74"/>
      <c r="N325" s="74"/>
    </row>
    <row r="326" spans="2:14" ht="12" hidden="1" customHeight="1" outlineLevel="1">
      <c r="B326" s="73">
        <v>320</v>
      </c>
      <c r="C326" s="39"/>
      <c r="D326" s="40"/>
      <c r="E326" s="34" t="s">
        <v>323</v>
      </c>
      <c r="F326" s="75" t="s">
        <v>691</v>
      </c>
      <c r="G326" s="35" t="s">
        <v>79</v>
      </c>
      <c r="H326" s="41" t="s">
        <v>80</v>
      </c>
      <c r="I326" s="44" t="str">
        <f>"0x"&amp;AE_w_WORK!E69</f>
        <v>0x2222</v>
      </c>
      <c r="J326" s="36">
        <v>40536</v>
      </c>
      <c r="K326" s="74"/>
      <c r="L326" s="74">
        <f t="shared" si="4"/>
        <v>640</v>
      </c>
      <c r="M326" s="74"/>
      <c r="N326" s="74"/>
    </row>
    <row r="327" spans="2:14" ht="12" hidden="1" customHeight="1" outlineLevel="1">
      <c r="B327" s="73">
        <v>321</v>
      </c>
      <c r="C327" s="39"/>
      <c r="D327" s="40"/>
      <c r="E327" s="34" t="s">
        <v>323</v>
      </c>
      <c r="F327" s="75" t="s">
        <v>692</v>
      </c>
      <c r="G327" s="35" t="s">
        <v>79</v>
      </c>
      <c r="H327" s="41" t="s">
        <v>80</v>
      </c>
      <c r="I327" s="44" t="str">
        <f>"0x"&amp;AE_w_WORK!E70</f>
        <v>0x2222</v>
      </c>
      <c r="J327" s="36">
        <v>40537</v>
      </c>
      <c r="K327" s="74"/>
      <c r="L327" s="74">
        <f t="shared" si="4"/>
        <v>642</v>
      </c>
      <c r="M327" s="74"/>
      <c r="N327" s="74"/>
    </row>
    <row r="328" spans="2:14" ht="12" hidden="1" customHeight="1" outlineLevel="1">
      <c r="B328" s="73">
        <v>322</v>
      </c>
      <c r="C328" s="39"/>
      <c r="D328" s="40"/>
      <c r="E328" s="34" t="s">
        <v>323</v>
      </c>
      <c r="F328" s="75" t="s">
        <v>693</v>
      </c>
      <c r="G328" s="35" t="s">
        <v>79</v>
      </c>
      <c r="H328" s="41" t="s">
        <v>80</v>
      </c>
      <c r="I328" s="44" t="str">
        <f>"0x"&amp;AE_w_WORK!E71</f>
        <v>0x2222</v>
      </c>
      <c r="J328" s="36">
        <v>40538</v>
      </c>
      <c r="K328" s="74"/>
      <c r="L328" s="74">
        <f t="shared" ref="L328:L391" si="5">L327+2</f>
        <v>644</v>
      </c>
      <c r="M328" s="74"/>
      <c r="N328" s="74"/>
    </row>
    <row r="329" spans="2:14" ht="12" hidden="1" customHeight="1" outlineLevel="1">
      <c r="B329" s="73">
        <v>323</v>
      </c>
      <c r="C329" s="39"/>
      <c r="D329" s="40"/>
      <c r="E329" s="34" t="s">
        <v>323</v>
      </c>
      <c r="F329" s="75" t="s">
        <v>694</v>
      </c>
      <c r="G329" s="35" t="s">
        <v>79</v>
      </c>
      <c r="H329" s="41" t="s">
        <v>80</v>
      </c>
      <c r="I329" s="44" t="str">
        <f>"0x"&amp;AE_w_WORK!E72</f>
        <v>0x2222</v>
      </c>
      <c r="J329" s="36">
        <v>40539</v>
      </c>
      <c r="K329" s="74"/>
      <c r="L329" s="74">
        <f t="shared" si="5"/>
        <v>646</v>
      </c>
      <c r="M329" s="74"/>
      <c r="N329" s="74"/>
    </row>
    <row r="330" spans="2:14" ht="12" hidden="1" customHeight="1" outlineLevel="1">
      <c r="B330" s="73">
        <v>324</v>
      </c>
      <c r="C330" s="39"/>
      <c r="D330" s="40"/>
      <c r="E330" s="34" t="s">
        <v>323</v>
      </c>
      <c r="F330" s="75" t="s">
        <v>695</v>
      </c>
      <c r="G330" s="35" t="s">
        <v>79</v>
      </c>
      <c r="H330" s="41" t="s">
        <v>80</v>
      </c>
      <c r="I330" s="44" t="str">
        <f>"0x"&amp;AE_w_WORK!E73</f>
        <v>0x2222</v>
      </c>
      <c r="J330" s="36">
        <v>40540</v>
      </c>
      <c r="K330" s="74"/>
      <c r="L330" s="74">
        <f t="shared" si="5"/>
        <v>648</v>
      </c>
      <c r="M330" s="74"/>
      <c r="N330" s="74"/>
    </row>
    <row r="331" spans="2:14" ht="12" hidden="1" customHeight="1" outlineLevel="1">
      <c r="B331" s="73">
        <v>325</v>
      </c>
      <c r="C331" s="39"/>
      <c r="D331" s="40"/>
      <c r="E331" s="34" t="s">
        <v>323</v>
      </c>
      <c r="F331" s="75" t="s">
        <v>696</v>
      </c>
      <c r="G331" s="35" t="s">
        <v>79</v>
      </c>
      <c r="H331" s="41" t="s">
        <v>80</v>
      </c>
      <c r="I331" s="44" t="str">
        <f>"0x"&amp;AE_w_WORK!E74</f>
        <v>0x2222</v>
      </c>
      <c r="J331" s="36">
        <v>40541</v>
      </c>
      <c r="K331" s="74"/>
      <c r="L331" s="74">
        <f t="shared" si="5"/>
        <v>650</v>
      </c>
      <c r="M331" s="74"/>
      <c r="N331" s="74"/>
    </row>
    <row r="332" spans="2:14" ht="12" hidden="1" customHeight="1" outlineLevel="1">
      <c r="B332" s="73">
        <v>326</v>
      </c>
      <c r="C332" s="39"/>
      <c r="D332" s="40"/>
      <c r="E332" s="34" t="s">
        <v>323</v>
      </c>
      <c r="F332" s="75" t="s">
        <v>697</v>
      </c>
      <c r="G332" s="35" t="s">
        <v>79</v>
      </c>
      <c r="H332" s="41" t="s">
        <v>80</v>
      </c>
      <c r="I332" s="44" t="str">
        <f>"0x"&amp;AE_w_WORK!E75</f>
        <v>0x2222</v>
      </c>
      <c r="J332" s="36">
        <v>40542</v>
      </c>
      <c r="K332" s="74"/>
      <c r="L332" s="74">
        <f t="shared" si="5"/>
        <v>652</v>
      </c>
      <c r="M332" s="74"/>
      <c r="N332" s="74"/>
    </row>
    <row r="333" spans="2:14" ht="12" hidden="1" customHeight="1" outlineLevel="1">
      <c r="B333" s="73">
        <v>327</v>
      </c>
      <c r="C333" s="39"/>
      <c r="D333" s="40"/>
      <c r="E333" s="34" t="s">
        <v>323</v>
      </c>
      <c r="F333" s="75" t="s">
        <v>698</v>
      </c>
      <c r="G333" s="35" t="s">
        <v>79</v>
      </c>
      <c r="H333" s="41" t="s">
        <v>80</v>
      </c>
      <c r="I333" s="44" t="str">
        <f>"0x"&amp;AE_w_WORK!E76</f>
        <v>0x2222</v>
      </c>
      <c r="J333" s="36">
        <v>40543</v>
      </c>
      <c r="K333" s="74"/>
      <c r="L333" s="74">
        <f t="shared" si="5"/>
        <v>654</v>
      </c>
      <c r="M333" s="74"/>
      <c r="N333" s="74"/>
    </row>
    <row r="334" spans="2:14" ht="12" hidden="1" customHeight="1" outlineLevel="1">
      <c r="B334" s="73">
        <v>328</v>
      </c>
      <c r="C334" s="39"/>
      <c r="D334" s="40"/>
      <c r="E334" s="34" t="s">
        <v>323</v>
      </c>
      <c r="F334" s="75" t="s">
        <v>699</v>
      </c>
      <c r="G334" s="35" t="s">
        <v>79</v>
      </c>
      <c r="H334" s="41" t="s">
        <v>80</v>
      </c>
      <c r="I334" s="44" t="str">
        <f>"0x"&amp;AE_w_WORK!E77</f>
        <v>0x2222</v>
      </c>
      <c r="J334" s="36">
        <v>40544</v>
      </c>
      <c r="K334" s="74"/>
      <c r="L334" s="74">
        <f t="shared" si="5"/>
        <v>656</v>
      </c>
      <c r="M334" s="74"/>
      <c r="N334" s="74"/>
    </row>
    <row r="335" spans="2:14" ht="12" hidden="1" customHeight="1" outlineLevel="1">
      <c r="B335" s="73">
        <v>329</v>
      </c>
      <c r="C335" s="39"/>
      <c r="D335" s="40"/>
      <c r="E335" s="34" t="s">
        <v>323</v>
      </c>
      <c r="F335" s="75" t="s">
        <v>700</v>
      </c>
      <c r="G335" s="35" t="s">
        <v>79</v>
      </c>
      <c r="H335" s="41" t="s">
        <v>80</v>
      </c>
      <c r="I335" s="44" t="str">
        <f>"0x"&amp;AE_w_WORK!E78</f>
        <v>0x2222</v>
      </c>
      <c r="J335" s="36">
        <v>40545</v>
      </c>
      <c r="K335" s="74"/>
      <c r="L335" s="74">
        <f t="shared" si="5"/>
        <v>658</v>
      </c>
      <c r="M335" s="74"/>
      <c r="N335" s="74"/>
    </row>
    <row r="336" spans="2:14" ht="12" hidden="1" customHeight="1" outlineLevel="1">
      <c r="B336" s="73">
        <v>330</v>
      </c>
      <c r="C336" s="39"/>
      <c r="D336" s="40"/>
      <c r="E336" s="34" t="s">
        <v>323</v>
      </c>
      <c r="F336" s="75" t="s">
        <v>701</v>
      </c>
      <c r="G336" s="35" t="s">
        <v>79</v>
      </c>
      <c r="H336" s="41" t="s">
        <v>80</v>
      </c>
      <c r="I336" s="44" t="str">
        <f>"0x"&amp;AE_w_WORK!E79</f>
        <v>0x2222</v>
      </c>
      <c r="J336" s="36">
        <v>40546</v>
      </c>
      <c r="K336" s="74"/>
      <c r="L336" s="74">
        <f t="shared" si="5"/>
        <v>660</v>
      </c>
      <c r="M336" s="74"/>
      <c r="N336" s="74"/>
    </row>
    <row r="337" spans="2:14" ht="12" hidden="1" customHeight="1" outlineLevel="1">
      <c r="B337" s="73">
        <v>331</v>
      </c>
      <c r="C337" s="39"/>
      <c r="D337" s="40"/>
      <c r="E337" s="34" t="s">
        <v>323</v>
      </c>
      <c r="F337" s="75" t="s">
        <v>702</v>
      </c>
      <c r="G337" s="35" t="s">
        <v>79</v>
      </c>
      <c r="H337" s="41" t="s">
        <v>80</v>
      </c>
      <c r="I337" s="44" t="str">
        <f>"0x"&amp;AE_w_WORK!E80</f>
        <v>0x2222</v>
      </c>
      <c r="J337" s="36">
        <v>40547</v>
      </c>
      <c r="K337" s="74"/>
      <c r="L337" s="74">
        <f t="shared" si="5"/>
        <v>662</v>
      </c>
      <c r="M337" s="74"/>
      <c r="N337" s="74"/>
    </row>
    <row r="338" spans="2:14" ht="12" hidden="1" customHeight="1" outlineLevel="1">
      <c r="B338" s="73">
        <v>332</v>
      </c>
      <c r="C338" s="39"/>
      <c r="D338" s="40"/>
      <c r="E338" s="34" t="s">
        <v>323</v>
      </c>
      <c r="F338" s="75" t="s">
        <v>703</v>
      </c>
      <c r="G338" s="35" t="s">
        <v>79</v>
      </c>
      <c r="H338" s="41" t="s">
        <v>80</v>
      </c>
      <c r="I338" s="44" t="str">
        <f>"0x"&amp;AE_w_WORK!E81</f>
        <v>0x2222</v>
      </c>
      <c r="J338" s="36">
        <v>40548</v>
      </c>
      <c r="K338" s="74"/>
      <c r="L338" s="74">
        <f t="shared" si="5"/>
        <v>664</v>
      </c>
      <c r="M338" s="74"/>
      <c r="N338" s="74"/>
    </row>
    <row r="339" spans="2:14" ht="12" hidden="1" customHeight="1" outlineLevel="1">
      <c r="B339" s="73">
        <v>333</v>
      </c>
      <c r="C339" s="39"/>
      <c r="D339" s="40"/>
      <c r="E339" s="34" t="s">
        <v>323</v>
      </c>
      <c r="F339" s="75" t="s">
        <v>704</v>
      </c>
      <c r="G339" s="35" t="s">
        <v>79</v>
      </c>
      <c r="H339" s="41" t="s">
        <v>80</v>
      </c>
      <c r="I339" s="44" t="str">
        <f>"0x"&amp;AE_w_WORK!E82</f>
        <v>0x2222</v>
      </c>
      <c r="J339" s="36">
        <v>40549</v>
      </c>
      <c r="K339" s="74"/>
      <c r="L339" s="74">
        <f t="shared" si="5"/>
        <v>666</v>
      </c>
      <c r="M339" s="74"/>
      <c r="N339" s="74"/>
    </row>
    <row r="340" spans="2:14" ht="12" hidden="1" customHeight="1" outlineLevel="1">
      <c r="B340" s="73">
        <v>334</v>
      </c>
      <c r="C340" s="39"/>
      <c r="D340" s="40"/>
      <c r="E340" s="34" t="s">
        <v>323</v>
      </c>
      <c r="F340" s="75" t="s">
        <v>705</v>
      </c>
      <c r="G340" s="35" t="s">
        <v>79</v>
      </c>
      <c r="H340" s="41" t="s">
        <v>80</v>
      </c>
      <c r="I340" s="44" t="str">
        <f>"0x"&amp;AE_w_WORK!E83</f>
        <v>0x2222</v>
      </c>
      <c r="J340" s="36">
        <v>40550</v>
      </c>
      <c r="K340" s="74"/>
      <c r="L340" s="74">
        <f t="shared" si="5"/>
        <v>668</v>
      </c>
      <c r="M340" s="74"/>
      <c r="N340" s="74"/>
    </row>
    <row r="341" spans="2:14" ht="12" hidden="1" customHeight="1" outlineLevel="1">
      <c r="B341" s="73">
        <v>335</v>
      </c>
      <c r="C341" s="39"/>
      <c r="D341" s="40"/>
      <c r="E341" s="34" t="s">
        <v>323</v>
      </c>
      <c r="F341" s="75" t="s">
        <v>706</v>
      </c>
      <c r="G341" s="35" t="s">
        <v>79</v>
      </c>
      <c r="H341" s="41" t="s">
        <v>80</v>
      </c>
      <c r="I341" s="44" t="str">
        <f>"0x"&amp;AE_w_WORK!E84</f>
        <v>0x2222</v>
      </c>
      <c r="J341" s="36">
        <v>40551</v>
      </c>
      <c r="K341" s="74"/>
      <c r="L341" s="74">
        <f t="shared" si="5"/>
        <v>670</v>
      </c>
      <c r="M341" s="74"/>
      <c r="N341" s="74"/>
    </row>
    <row r="342" spans="2:14" ht="12" hidden="1" customHeight="1" outlineLevel="1">
      <c r="B342" s="73">
        <v>336</v>
      </c>
      <c r="C342" s="39"/>
      <c r="D342" s="40"/>
      <c r="E342" s="34" t="s">
        <v>323</v>
      </c>
      <c r="F342" s="75" t="s">
        <v>707</v>
      </c>
      <c r="G342" s="35" t="s">
        <v>79</v>
      </c>
      <c r="H342" s="41" t="s">
        <v>80</v>
      </c>
      <c r="I342" s="44" t="str">
        <f>"0x"&amp;AE_w_WORK!E85</f>
        <v>0x2222</v>
      </c>
      <c r="J342" s="36">
        <v>40552</v>
      </c>
      <c r="K342" s="74"/>
      <c r="L342" s="74">
        <f t="shared" si="5"/>
        <v>672</v>
      </c>
      <c r="M342" s="74"/>
      <c r="N342" s="74"/>
    </row>
    <row r="343" spans="2:14" ht="12" hidden="1" customHeight="1" outlineLevel="1">
      <c r="B343" s="73">
        <v>337</v>
      </c>
      <c r="C343" s="39"/>
      <c r="D343" s="40"/>
      <c r="E343" s="34" t="s">
        <v>323</v>
      </c>
      <c r="F343" s="75" t="s">
        <v>708</v>
      </c>
      <c r="G343" s="35" t="s">
        <v>79</v>
      </c>
      <c r="H343" s="41" t="s">
        <v>80</v>
      </c>
      <c r="I343" s="44" t="str">
        <f>"0x"&amp;AE_w_WORK!E86</f>
        <v>0x2222</v>
      </c>
      <c r="J343" s="36">
        <v>40553</v>
      </c>
      <c r="K343" s="74"/>
      <c r="L343" s="74">
        <f t="shared" si="5"/>
        <v>674</v>
      </c>
      <c r="M343" s="74"/>
      <c r="N343" s="74"/>
    </row>
    <row r="344" spans="2:14" ht="12" hidden="1" customHeight="1" outlineLevel="1">
      <c r="B344" s="73">
        <v>338</v>
      </c>
      <c r="C344" s="39"/>
      <c r="D344" s="40"/>
      <c r="E344" s="34" t="s">
        <v>323</v>
      </c>
      <c r="F344" s="75" t="s">
        <v>709</v>
      </c>
      <c r="G344" s="35" t="s">
        <v>79</v>
      </c>
      <c r="H344" s="41" t="s">
        <v>80</v>
      </c>
      <c r="I344" s="44" t="str">
        <f>"0x"&amp;AE_w_WORK!E87</f>
        <v>0x2222</v>
      </c>
      <c r="J344" s="36">
        <v>40554</v>
      </c>
      <c r="K344" s="74"/>
      <c r="L344" s="74">
        <f t="shared" si="5"/>
        <v>676</v>
      </c>
      <c r="M344" s="74"/>
      <c r="N344" s="74"/>
    </row>
    <row r="345" spans="2:14" ht="12" hidden="1" customHeight="1" outlineLevel="1">
      <c r="B345" s="73">
        <v>339</v>
      </c>
      <c r="C345" s="39"/>
      <c r="D345" s="40"/>
      <c r="E345" s="34" t="s">
        <v>323</v>
      </c>
      <c r="F345" s="75" t="s">
        <v>710</v>
      </c>
      <c r="G345" s="35" t="s">
        <v>79</v>
      </c>
      <c r="H345" s="41" t="s">
        <v>80</v>
      </c>
      <c r="I345" s="44" t="str">
        <f>"0x"&amp;AE_w_WORK!E88</f>
        <v>0x2222</v>
      </c>
      <c r="J345" s="36">
        <v>40555</v>
      </c>
      <c r="K345" s="74"/>
      <c r="L345" s="74">
        <f t="shared" si="5"/>
        <v>678</v>
      </c>
      <c r="M345" s="74"/>
      <c r="N345" s="74"/>
    </row>
    <row r="346" spans="2:14" ht="12" hidden="1" customHeight="1" outlineLevel="1">
      <c r="B346" s="73">
        <v>340</v>
      </c>
      <c r="C346" s="39"/>
      <c r="D346" s="40"/>
      <c r="E346" s="34" t="s">
        <v>323</v>
      </c>
      <c r="F346" s="75" t="s">
        <v>711</v>
      </c>
      <c r="G346" s="35" t="s">
        <v>79</v>
      </c>
      <c r="H346" s="41" t="s">
        <v>80</v>
      </c>
      <c r="I346" s="44" t="str">
        <f>"0x"&amp;AE_w_WORK!E89</f>
        <v>0x2222</v>
      </c>
      <c r="J346" s="36">
        <v>40556</v>
      </c>
      <c r="K346" s="74"/>
      <c r="L346" s="74">
        <f t="shared" si="5"/>
        <v>680</v>
      </c>
      <c r="M346" s="74"/>
      <c r="N346" s="74"/>
    </row>
    <row r="347" spans="2:14" ht="12" hidden="1" customHeight="1" outlineLevel="1">
      <c r="B347" s="73">
        <v>341</v>
      </c>
      <c r="C347" s="39"/>
      <c r="D347" s="40"/>
      <c r="E347" s="34" t="s">
        <v>323</v>
      </c>
      <c r="F347" s="75" t="s">
        <v>712</v>
      </c>
      <c r="G347" s="35" t="s">
        <v>79</v>
      </c>
      <c r="H347" s="41" t="s">
        <v>80</v>
      </c>
      <c r="I347" s="44" t="str">
        <f>"0x"&amp;AE_w_WORK!E90</f>
        <v>0x2222</v>
      </c>
      <c r="J347" s="36">
        <v>40557</v>
      </c>
      <c r="K347" s="74"/>
      <c r="L347" s="74">
        <f t="shared" si="5"/>
        <v>682</v>
      </c>
      <c r="M347" s="74"/>
      <c r="N347" s="74"/>
    </row>
    <row r="348" spans="2:14" ht="12" hidden="1" customHeight="1" outlineLevel="1">
      <c r="B348" s="73">
        <v>342</v>
      </c>
      <c r="C348" s="39"/>
      <c r="D348" s="40"/>
      <c r="E348" s="34" t="s">
        <v>323</v>
      </c>
      <c r="F348" s="75" t="s">
        <v>713</v>
      </c>
      <c r="G348" s="35" t="s">
        <v>79</v>
      </c>
      <c r="H348" s="41" t="s">
        <v>80</v>
      </c>
      <c r="I348" s="44" t="str">
        <f>"0x"&amp;AE_w_WORK!E91</f>
        <v>0x2222</v>
      </c>
      <c r="J348" s="36">
        <v>40558</v>
      </c>
      <c r="K348" s="74"/>
      <c r="L348" s="74">
        <f t="shared" si="5"/>
        <v>684</v>
      </c>
      <c r="M348" s="74"/>
      <c r="N348" s="74"/>
    </row>
    <row r="349" spans="2:14" ht="12" hidden="1" customHeight="1" outlineLevel="1">
      <c r="B349" s="73">
        <v>343</v>
      </c>
      <c r="C349" s="39"/>
      <c r="D349" s="40"/>
      <c r="E349" s="34" t="s">
        <v>323</v>
      </c>
      <c r="F349" s="75" t="s">
        <v>714</v>
      </c>
      <c r="G349" s="35" t="s">
        <v>79</v>
      </c>
      <c r="H349" s="41" t="s">
        <v>80</v>
      </c>
      <c r="I349" s="44" t="str">
        <f>"0x"&amp;AE_w_WORK!E92</f>
        <v>0x2222</v>
      </c>
      <c r="J349" s="36">
        <v>40559</v>
      </c>
      <c r="K349" s="74"/>
      <c r="L349" s="74">
        <f t="shared" si="5"/>
        <v>686</v>
      </c>
      <c r="M349" s="74"/>
      <c r="N349" s="74"/>
    </row>
    <row r="350" spans="2:14" ht="12" hidden="1" customHeight="1" outlineLevel="1">
      <c r="B350" s="73">
        <v>344</v>
      </c>
      <c r="C350" s="39"/>
      <c r="D350" s="40"/>
      <c r="E350" s="34" t="s">
        <v>323</v>
      </c>
      <c r="F350" s="75" t="s">
        <v>715</v>
      </c>
      <c r="G350" s="35" t="s">
        <v>79</v>
      </c>
      <c r="H350" s="41" t="s">
        <v>80</v>
      </c>
      <c r="I350" s="44" t="str">
        <f>"0x"&amp;AE_w_WORK!E93</f>
        <v>0x2222</v>
      </c>
      <c r="J350" s="36">
        <v>40560</v>
      </c>
      <c r="K350" s="74"/>
      <c r="L350" s="74">
        <f t="shared" si="5"/>
        <v>688</v>
      </c>
      <c r="M350" s="74"/>
      <c r="N350" s="74"/>
    </row>
    <row r="351" spans="2:14" ht="12" hidden="1" customHeight="1" outlineLevel="1">
      <c r="B351" s="73">
        <v>345</v>
      </c>
      <c r="C351" s="39"/>
      <c r="D351" s="40"/>
      <c r="E351" s="34" t="s">
        <v>323</v>
      </c>
      <c r="F351" s="75" t="s">
        <v>716</v>
      </c>
      <c r="G351" s="35" t="s">
        <v>79</v>
      </c>
      <c r="H351" s="41" t="s">
        <v>80</v>
      </c>
      <c r="I351" s="44" t="str">
        <f>"0x"&amp;AE_w_WORK!E94</f>
        <v>0x2222</v>
      </c>
      <c r="J351" s="36">
        <v>40561</v>
      </c>
      <c r="K351" s="74"/>
      <c r="L351" s="74">
        <f t="shared" si="5"/>
        <v>690</v>
      </c>
      <c r="M351" s="74"/>
      <c r="N351" s="74"/>
    </row>
    <row r="352" spans="2:14" ht="12" hidden="1" customHeight="1" outlineLevel="1">
      <c r="B352" s="73">
        <v>346</v>
      </c>
      <c r="C352" s="39"/>
      <c r="D352" s="40"/>
      <c r="E352" s="34" t="s">
        <v>323</v>
      </c>
      <c r="F352" s="75" t="s">
        <v>717</v>
      </c>
      <c r="G352" s="35" t="s">
        <v>79</v>
      </c>
      <c r="H352" s="41" t="s">
        <v>80</v>
      </c>
      <c r="I352" s="44" t="str">
        <f>"0x"&amp;AE_w_WORK!E95</f>
        <v>0x2222</v>
      </c>
      <c r="J352" s="36">
        <v>40562</v>
      </c>
      <c r="K352" s="74"/>
      <c r="L352" s="74">
        <f t="shared" si="5"/>
        <v>692</v>
      </c>
      <c r="M352" s="74"/>
      <c r="N352" s="74"/>
    </row>
    <row r="353" spans="2:14" ht="12" hidden="1" customHeight="1" outlineLevel="1">
      <c r="B353" s="73">
        <v>347</v>
      </c>
      <c r="C353" s="39"/>
      <c r="D353" s="40"/>
      <c r="E353" s="34" t="s">
        <v>323</v>
      </c>
      <c r="F353" s="75" t="s">
        <v>718</v>
      </c>
      <c r="G353" s="35" t="s">
        <v>79</v>
      </c>
      <c r="H353" s="41" t="s">
        <v>80</v>
      </c>
      <c r="I353" s="44" t="str">
        <f>"0x"&amp;AE_w_WORK!E96</f>
        <v>0x2222</v>
      </c>
      <c r="J353" s="36">
        <v>40563</v>
      </c>
      <c r="K353" s="74"/>
      <c r="L353" s="74">
        <f t="shared" si="5"/>
        <v>694</v>
      </c>
      <c r="M353" s="74"/>
      <c r="N353" s="74"/>
    </row>
    <row r="354" spans="2:14" ht="12" hidden="1" customHeight="1" outlineLevel="1">
      <c r="B354" s="73">
        <v>348</v>
      </c>
      <c r="C354" s="39"/>
      <c r="D354" s="40"/>
      <c r="E354" s="34" t="s">
        <v>323</v>
      </c>
      <c r="F354" s="75" t="s">
        <v>719</v>
      </c>
      <c r="G354" s="35" t="s">
        <v>79</v>
      </c>
      <c r="H354" s="41" t="s">
        <v>80</v>
      </c>
      <c r="I354" s="44" t="str">
        <f>"0x"&amp;AE_w_WORK!E97</f>
        <v>0x2222</v>
      </c>
      <c r="J354" s="36">
        <v>40564</v>
      </c>
      <c r="K354" s="74"/>
      <c r="L354" s="74">
        <f t="shared" si="5"/>
        <v>696</v>
      </c>
      <c r="M354" s="74"/>
      <c r="N354" s="74"/>
    </row>
    <row r="355" spans="2:14" ht="12" hidden="1" customHeight="1" outlineLevel="1">
      <c r="B355" s="73">
        <v>349</v>
      </c>
      <c r="C355" s="39"/>
      <c r="D355" s="40"/>
      <c r="E355" s="34" t="s">
        <v>323</v>
      </c>
      <c r="F355" s="75" t="s">
        <v>720</v>
      </c>
      <c r="G355" s="35" t="s">
        <v>79</v>
      </c>
      <c r="H355" s="41" t="s">
        <v>80</v>
      </c>
      <c r="I355" s="44" t="str">
        <f>"0x"&amp;AE_w_WORK!E98</f>
        <v>0x2222</v>
      </c>
      <c r="J355" s="36">
        <v>40565</v>
      </c>
      <c r="K355" s="74"/>
      <c r="L355" s="74">
        <f t="shared" si="5"/>
        <v>698</v>
      </c>
      <c r="M355" s="74"/>
      <c r="N355" s="74"/>
    </row>
    <row r="356" spans="2:14" ht="12" hidden="1" customHeight="1" outlineLevel="1">
      <c r="B356" s="73">
        <v>350</v>
      </c>
      <c r="C356" s="39"/>
      <c r="D356" s="40"/>
      <c r="E356" s="34" t="s">
        <v>323</v>
      </c>
      <c r="F356" s="75" t="s">
        <v>721</v>
      </c>
      <c r="G356" s="35" t="s">
        <v>79</v>
      </c>
      <c r="H356" s="41" t="s">
        <v>80</v>
      </c>
      <c r="I356" s="44" t="str">
        <f>"0x"&amp;AE_w_WORK!E99</f>
        <v>0x2222</v>
      </c>
      <c r="J356" s="36">
        <v>40566</v>
      </c>
      <c r="K356" s="74"/>
      <c r="L356" s="74">
        <f t="shared" si="5"/>
        <v>700</v>
      </c>
      <c r="M356" s="74"/>
      <c r="N356" s="74"/>
    </row>
    <row r="357" spans="2:14" ht="12" hidden="1" customHeight="1" outlineLevel="1">
      <c r="B357" s="73">
        <v>351</v>
      </c>
      <c r="C357" s="39"/>
      <c r="D357" s="40"/>
      <c r="E357" s="34" t="s">
        <v>323</v>
      </c>
      <c r="F357" s="75" t="s">
        <v>722</v>
      </c>
      <c r="G357" s="35" t="s">
        <v>79</v>
      </c>
      <c r="H357" s="41" t="s">
        <v>80</v>
      </c>
      <c r="I357" s="44" t="str">
        <f>"0x"&amp;AE_w_WORK!E100</f>
        <v>0x2222</v>
      </c>
      <c r="J357" s="36">
        <v>40567</v>
      </c>
      <c r="K357" s="74"/>
      <c r="L357" s="74">
        <f t="shared" si="5"/>
        <v>702</v>
      </c>
      <c r="M357" s="74"/>
      <c r="N357" s="74"/>
    </row>
    <row r="358" spans="2:14" ht="12" hidden="1" customHeight="1" outlineLevel="1">
      <c r="B358" s="73">
        <v>352</v>
      </c>
      <c r="C358" s="39"/>
      <c r="D358" s="40"/>
      <c r="E358" s="34" t="s">
        <v>323</v>
      </c>
      <c r="F358" s="75" t="s">
        <v>723</v>
      </c>
      <c r="G358" s="35" t="s">
        <v>79</v>
      </c>
      <c r="H358" s="41" t="s">
        <v>80</v>
      </c>
      <c r="I358" s="44" t="str">
        <f>"0x"&amp;AE_w_WORK!E101</f>
        <v>0x2222</v>
      </c>
      <c r="J358" s="36">
        <v>40568</v>
      </c>
      <c r="K358" s="74"/>
      <c r="L358" s="74">
        <f t="shared" si="5"/>
        <v>704</v>
      </c>
      <c r="M358" s="74"/>
      <c r="N358" s="74"/>
    </row>
    <row r="359" spans="2:14" ht="12" hidden="1" customHeight="1" outlineLevel="1">
      <c r="B359" s="73">
        <v>353</v>
      </c>
      <c r="C359" s="39"/>
      <c r="D359" s="40"/>
      <c r="E359" s="34" t="s">
        <v>323</v>
      </c>
      <c r="F359" s="75" t="s">
        <v>724</v>
      </c>
      <c r="G359" s="35" t="s">
        <v>79</v>
      </c>
      <c r="H359" s="41" t="s">
        <v>80</v>
      </c>
      <c r="I359" s="44" t="str">
        <f>"0x"&amp;AE_w_WORK!E102</f>
        <v>0x2222</v>
      </c>
      <c r="J359" s="36">
        <v>40569</v>
      </c>
      <c r="K359" s="74"/>
      <c r="L359" s="74">
        <f t="shared" si="5"/>
        <v>706</v>
      </c>
      <c r="M359" s="74"/>
      <c r="N359" s="74"/>
    </row>
    <row r="360" spans="2:14" ht="12" hidden="1" customHeight="1" outlineLevel="1">
      <c r="B360" s="73">
        <v>354</v>
      </c>
      <c r="C360" s="39"/>
      <c r="D360" s="40"/>
      <c r="E360" s="34" t="s">
        <v>323</v>
      </c>
      <c r="F360" s="75" t="s">
        <v>725</v>
      </c>
      <c r="G360" s="35" t="s">
        <v>79</v>
      </c>
      <c r="H360" s="41" t="s">
        <v>80</v>
      </c>
      <c r="I360" s="44" t="str">
        <f>"0x"&amp;AE_w_WORK!E103</f>
        <v>0x2222</v>
      </c>
      <c r="J360" s="36">
        <v>40570</v>
      </c>
      <c r="K360" s="74"/>
      <c r="L360" s="74">
        <f t="shared" si="5"/>
        <v>708</v>
      </c>
      <c r="M360" s="74"/>
      <c r="N360" s="74"/>
    </row>
    <row r="361" spans="2:14" ht="12" hidden="1" customHeight="1" outlineLevel="1">
      <c r="B361" s="73">
        <v>355</v>
      </c>
      <c r="C361" s="39"/>
      <c r="D361" s="40"/>
      <c r="E361" s="34" t="s">
        <v>323</v>
      </c>
      <c r="F361" s="75" t="s">
        <v>726</v>
      </c>
      <c r="G361" s="35" t="s">
        <v>79</v>
      </c>
      <c r="H361" s="41" t="s">
        <v>80</v>
      </c>
      <c r="I361" s="44" t="str">
        <f>"0x"&amp;AE_w_WORK!E104</f>
        <v>0x2222</v>
      </c>
      <c r="J361" s="36">
        <v>40571</v>
      </c>
      <c r="K361" s="74"/>
      <c r="L361" s="74">
        <f t="shared" si="5"/>
        <v>710</v>
      </c>
      <c r="M361" s="74"/>
      <c r="N361" s="74"/>
    </row>
    <row r="362" spans="2:14" ht="12" hidden="1" customHeight="1" outlineLevel="1">
      <c r="B362" s="73">
        <v>356</v>
      </c>
      <c r="C362" s="39"/>
      <c r="D362" s="40"/>
      <c r="E362" s="34" t="s">
        <v>323</v>
      </c>
      <c r="F362" s="75" t="s">
        <v>727</v>
      </c>
      <c r="G362" s="35" t="s">
        <v>79</v>
      </c>
      <c r="H362" s="41" t="s">
        <v>80</v>
      </c>
      <c r="I362" s="44" t="str">
        <f>"0x"&amp;AE_w_WORK!E105</f>
        <v>0x2222</v>
      </c>
      <c r="J362" s="36">
        <v>40572</v>
      </c>
      <c r="K362" s="74"/>
      <c r="L362" s="74">
        <f t="shared" si="5"/>
        <v>712</v>
      </c>
      <c r="M362" s="74"/>
      <c r="N362" s="74"/>
    </row>
    <row r="363" spans="2:14" ht="12" hidden="1" customHeight="1" outlineLevel="1">
      <c r="B363" s="73">
        <v>357</v>
      </c>
      <c r="C363" s="39"/>
      <c r="D363" s="40"/>
      <c r="E363" s="34" t="s">
        <v>323</v>
      </c>
      <c r="F363" s="75" t="s">
        <v>728</v>
      </c>
      <c r="G363" s="35" t="s">
        <v>79</v>
      </c>
      <c r="H363" s="41" t="s">
        <v>80</v>
      </c>
      <c r="I363" s="44" t="str">
        <f>"0x"&amp;AE_w_WORK!E106</f>
        <v>0x2222</v>
      </c>
      <c r="J363" s="36">
        <v>40573</v>
      </c>
      <c r="K363" s="74"/>
      <c r="L363" s="74">
        <f t="shared" si="5"/>
        <v>714</v>
      </c>
      <c r="M363" s="74"/>
      <c r="N363" s="74"/>
    </row>
    <row r="364" spans="2:14" ht="12" hidden="1" customHeight="1" outlineLevel="1">
      <c r="B364" s="73">
        <v>358</v>
      </c>
      <c r="C364" s="39"/>
      <c r="D364" s="40"/>
      <c r="E364" s="34" t="s">
        <v>323</v>
      </c>
      <c r="F364" s="75" t="s">
        <v>729</v>
      </c>
      <c r="G364" s="35" t="s">
        <v>79</v>
      </c>
      <c r="H364" s="41" t="s">
        <v>80</v>
      </c>
      <c r="I364" s="44" t="str">
        <f>"0x"&amp;AE_w_WORK!E107</f>
        <v>0x2222</v>
      </c>
      <c r="J364" s="36">
        <v>40574</v>
      </c>
      <c r="K364" s="74"/>
      <c r="L364" s="74">
        <f t="shared" si="5"/>
        <v>716</v>
      </c>
      <c r="M364" s="74"/>
      <c r="N364" s="74"/>
    </row>
    <row r="365" spans="2:14" ht="12" hidden="1" customHeight="1" outlineLevel="1">
      <c r="B365" s="73">
        <v>359</v>
      </c>
      <c r="C365" s="39"/>
      <c r="D365" s="40"/>
      <c r="E365" s="34" t="s">
        <v>323</v>
      </c>
      <c r="F365" s="75" t="s">
        <v>730</v>
      </c>
      <c r="G365" s="35" t="s">
        <v>79</v>
      </c>
      <c r="H365" s="41" t="s">
        <v>80</v>
      </c>
      <c r="I365" s="44" t="str">
        <f>"0x"&amp;AE_w_WORK!E108</f>
        <v>0x2222</v>
      </c>
      <c r="J365" s="36">
        <v>40575</v>
      </c>
      <c r="K365" s="74"/>
      <c r="L365" s="74">
        <f t="shared" si="5"/>
        <v>718</v>
      </c>
      <c r="M365" s="74"/>
      <c r="N365" s="74"/>
    </row>
    <row r="366" spans="2:14" ht="12" hidden="1" customHeight="1" outlineLevel="1">
      <c r="B366" s="73">
        <v>360</v>
      </c>
      <c r="C366" s="39"/>
      <c r="D366" s="40"/>
      <c r="E366" s="34" t="s">
        <v>323</v>
      </c>
      <c r="F366" s="75" t="s">
        <v>731</v>
      </c>
      <c r="G366" s="35" t="s">
        <v>79</v>
      </c>
      <c r="H366" s="41" t="s">
        <v>80</v>
      </c>
      <c r="I366" s="44" t="str">
        <f>"0x"&amp;AE_w_WORK!E109</f>
        <v>0x2222</v>
      </c>
      <c r="J366" s="36">
        <v>40576</v>
      </c>
      <c r="K366" s="74"/>
      <c r="L366" s="74">
        <f t="shared" si="5"/>
        <v>720</v>
      </c>
      <c r="M366" s="74"/>
      <c r="N366" s="74"/>
    </row>
    <row r="367" spans="2:14" ht="12" hidden="1" customHeight="1" outlineLevel="1">
      <c r="B367" s="73">
        <v>361</v>
      </c>
      <c r="C367" s="39"/>
      <c r="D367" s="40"/>
      <c r="E367" s="34" t="s">
        <v>323</v>
      </c>
      <c r="F367" s="75" t="s">
        <v>732</v>
      </c>
      <c r="G367" s="35" t="s">
        <v>79</v>
      </c>
      <c r="H367" s="41" t="s">
        <v>80</v>
      </c>
      <c r="I367" s="44" t="str">
        <f>"0x"&amp;AE_w_WORK!E110</f>
        <v>0x2222</v>
      </c>
      <c r="J367" s="36">
        <v>40577</v>
      </c>
      <c r="K367" s="74"/>
      <c r="L367" s="74">
        <f t="shared" si="5"/>
        <v>722</v>
      </c>
      <c r="M367" s="74"/>
      <c r="N367" s="74"/>
    </row>
    <row r="368" spans="2:14" ht="12" hidden="1" customHeight="1" outlineLevel="1">
      <c r="B368" s="73">
        <v>362</v>
      </c>
      <c r="C368" s="39"/>
      <c r="D368" s="40"/>
      <c r="E368" s="34" t="s">
        <v>323</v>
      </c>
      <c r="F368" s="75" t="s">
        <v>733</v>
      </c>
      <c r="G368" s="35" t="s">
        <v>79</v>
      </c>
      <c r="H368" s="41" t="s">
        <v>80</v>
      </c>
      <c r="I368" s="44" t="str">
        <f>"0x"&amp;AE_w_WORK!E111</f>
        <v>0x2222</v>
      </c>
      <c r="J368" s="36">
        <v>40578</v>
      </c>
      <c r="K368" s="74"/>
      <c r="L368" s="74">
        <f t="shared" si="5"/>
        <v>724</v>
      </c>
      <c r="M368" s="74"/>
      <c r="N368" s="74"/>
    </row>
    <row r="369" spans="2:14" ht="12" hidden="1" customHeight="1" outlineLevel="1">
      <c r="B369" s="73">
        <v>363</v>
      </c>
      <c r="C369" s="39"/>
      <c r="D369" s="40"/>
      <c r="E369" s="34" t="s">
        <v>323</v>
      </c>
      <c r="F369" s="75" t="s">
        <v>734</v>
      </c>
      <c r="G369" s="35" t="s">
        <v>79</v>
      </c>
      <c r="H369" s="41" t="s">
        <v>80</v>
      </c>
      <c r="I369" s="44" t="str">
        <f>"0x"&amp;AE_w_WORK!E112</f>
        <v>0x2222</v>
      </c>
      <c r="J369" s="36">
        <v>40579</v>
      </c>
      <c r="K369" s="74"/>
      <c r="L369" s="74">
        <f t="shared" si="5"/>
        <v>726</v>
      </c>
      <c r="M369" s="74"/>
      <c r="N369" s="74"/>
    </row>
    <row r="370" spans="2:14" ht="12" hidden="1" customHeight="1" outlineLevel="1">
      <c r="B370" s="73">
        <v>364</v>
      </c>
      <c r="C370" s="39"/>
      <c r="D370" s="40"/>
      <c r="E370" s="34" t="s">
        <v>323</v>
      </c>
      <c r="F370" s="75" t="s">
        <v>735</v>
      </c>
      <c r="G370" s="35" t="s">
        <v>79</v>
      </c>
      <c r="H370" s="41" t="s">
        <v>80</v>
      </c>
      <c r="I370" s="44" t="str">
        <f>"0x"&amp;AE_w_WORK!E113</f>
        <v>0x2222</v>
      </c>
      <c r="J370" s="36">
        <v>40580</v>
      </c>
      <c r="K370" s="74"/>
      <c r="L370" s="74">
        <f t="shared" si="5"/>
        <v>728</v>
      </c>
      <c r="M370" s="74"/>
      <c r="N370" s="74"/>
    </row>
    <row r="371" spans="2:14" ht="12" hidden="1" customHeight="1" outlineLevel="1">
      <c r="B371" s="73">
        <v>365</v>
      </c>
      <c r="C371" s="39"/>
      <c r="D371" s="40"/>
      <c r="E371" s="34" t="s">
        <v>323</v>
      </c>
      <c r="F371" s="75" t="s">
        <v>736</v>
      </c>
      <c r="G371" s="35" t="s">
        <v>79</v>
      </c>
      <c r="H371" s="41" t="s">
        <v>80</v>
      </c>
      <c r="I371" s="44" t="str">
        <f>"0x"&amp;AE_w_WORK!E114</f>
        <v>0x2222</v>
      </c>
      <c r="J371" s="36">
        <v>40581</v>
      </c>
      <c r="K371" s="74"/>
      <c r="L371" s="74">
        <f t="shared" si="5"/>
        <v>730</v>
      </c>
      <c r="M371" s="74"/>
      <c r="N371" s="74"/>
    </row>
    <row r="372" spans="2:14" ht="12" hidden="1" customHeight="1" outlineLevel="1">
      <c r="B372" s="73">
        <v>366</v>
      </c>
      <c r="C372" s="39"/>
      <c r="D372" s="40"/>
      <c r="E372" s="34" t="s">
        <v>323</v>
      </c>
      <c r="F372" s="75" t="s">
        <v>737</v>
      </c>
      <c r="G372" s="35" t="s">
        <v>79</v>
      </c>
      <c r="H372" s="41" t="s">
        <v>80</v>
      </c>
      <c r="I372" s="44" t="str">
        <f>"0x"&amp;AE_w_WORK!E115</f>
        <v>0x2222</v>
      </c>
      <c r="J372" s="36">
        <v>40582</v>
      </c>
      <c r="K372" s="74"/>
      <c r="L372" s="74">
        <f t="shared" si="5"/>
        <v>732</v>
      </c>
      <c r="M372" s="74"/>
      <c r="N372" s="74"/>
    </row>
    <row r="373" spans="2:14" ht="12" hidden="1" customHeight="1" outlineLevel="1">
      <c r="B373" s="73">
        <v>367</v>
      </c>
      <c r="C373" s="39"/>
      <c r="D373" s="40"/>
      <c r="E373" s="34" t="s">
        <v>323</v>
      </c>
      <c r="F373" s="75" t="s">
        <v>738</v>
      </c>
      <c r="G373" s="35" t="s">
        <v>79</v>
      </c>
      <c r="H373" s="41" t="s">
        <v>80</v>
      </c>
      <c r="I373" s="44" t="str">
        <f>"0x"&amp;AE_w_WORK!E116</f>
        <v>0x2222</v>
      </c>
      <c r="J373" s="36">
        <v>40583</v>
      </c>
      <c r="K373" s="74"/>
      <c r="L373" s="74">
        <f t="shared" si="5"/>
        <v>734</v>
      </c>
      <c r="M373" s="74"/>
      <c r="N373" s="74"/>
    </row>
    <row r="374" spans="2:14" ht="12" hidden="1" customHeight="1" outlineLevel="1">
      <c r="B374" s="73">
        <v>368</v>
      </c>
      <c r="C374" s="39"/>
      <c r="D374" s="40"/>
      <c r="E374" s="34" t="s">
        <v>323</v>
      </c>
      <c r="F374" s="75" t="s">
        <v>739</v>
      </c>
      <c r="G374" s="35" t="s">
        <v>79</v>
      </c>
      <c r="H374" s="41" t="s">
        <v>80</v>
      </c>
      <c r="I374" s="44" t="str">
        <f>"0x"&amp;AE_w_WORK!E117</f>
        <v>0x2222</v>
      </c>
      <c r="J374" s="36">
        <v>40584</v>
      </c>
      <c r="K374" s="74"/>
      <c r="L374" s="74">
        <f t="shared" si="5"/>
        <v>736</v>
      </c>
      <c r="M374" s="74"/>
      <c r="N374" s="74"/>
    </row>
    <row r="375" spans="2:14" ht="12" hidden="1" customHeight="1" outlineLevel="1">
      <c r="B375" s="73">
        <v>369</v>
      </c>
      <c r="C375" s="39"/>
      <c r="D375" s="40"/>
      <c r="E375" s="34" t="s">
        <v>323</v>
      </c>
      <c r="F375" s="75" t="s">
        <v>740</v>
      </c>
      <c r="G375" s="35" t="s">
        <v>79</v>
      </c>
      <c r="H375" s="41" t="s">
        <v>80</v>
      </c>
      <c r="I375" s="44" t="str">
        <f>"0x"&amp;AE_w_WORK!E118</f>
        <v>0x2222</v>
      </c>
      <c r="J375" s="36">
        <v>40585</v>
      </c>
      <c r="K375" s="74"/>
      <c r="L375" s="74">
        <f t="shared" si="5"/>
        <v>738</v>
      </c>
      <c r="M375" s="74"/>
      <c r="N375" s="74"/>
    </row>
    <row r="376" spans="2:14" ht="12" hidden="1" customHeight="1" outlineLevel="1">
      <c r="B376" s="73">
        <v>370</v>
      </c>
      <c r="C376" s="39"/>
      <c r="D376" s="40"/>
      <c r="E376" s="34" t="s">
        <v>323</v>
      </c>
      <c r="F376" s="75" t="s">
        <v>741</v>
      </c>
      <c r="G376" s="35" t="s">
        <v>79</v>
      </c>
      <c r="H376" s="41" t="s">
        <v>80</v>
      </c>
      <c r="I376" s="44" t="str">
        <f>"0x"&amp;AE_w_WORK!E119</f>
        <v>0x2222</v>
      </c>
      <c r="J376" s="36">
        <v>40586</v>
      </c>
      <c r="K376" s="74"/>
      <c r="L376" s="74">
        <f t="shared" si="5"/>
        <v>740</v>
      </c>
      <c r="M376" s="74"/>
      <c r="N376" s="74"/>
    </row>
    <row r="377" spans="2:14" ht="12" hidden="1" customHeight="1" outlineLevel="1">
      <c r="B377" s="73">
        <v>371</v>
      </c>
      <c r="C377" s="39"/>
      <c r="D377" s="40"/>
      <c r="E377" s="34" t="s">
        <v>323</v>
      </c>
      <c r="F377" s="75" t="s">
        <v>742</v>
      </c>
      <c r="G377" s="35" t="s">
        <v>79</v>
      </c>
      <c r="H377" s="41" t="s">
        <v>80</v>
      </c>
      <c r="I377" s="44" t="str">
        <f>"0x"&amp;AE_w_WORK!E120</f>
        <v>0x2222</v>
      </c>
      <c r="J377" s="36">
        <v>40587</v>
      </c>
      <c r="K377" s="74"/>
      <c r="L377" s="74">
        <f t="shared" si="5"/>
        <v>742</v>
      </c>
      <c r="M377" s="74"/>
      <c r="N377" s="74"/>
    </row>
    <row r="378" spans="2:14" ht="12" hidden="1" customHeight="1" outlineLevel="1">
      <c r="B378" s="73">
        <v>372</v>
      </c>
      <c r="C378" s="39"/>
      <c r="D378" s="40"/>
      <c r="E378" s="34" t="s">
        <v>323</v>
      </c>
      <c r="F378" s="75" t="s">
        <v>743</v>
      </c>
      <c r="G378" s="35" t="s">
        <v>79</v>
      </c>
      <c r="H378" s="41" t="s">
        <v>80</v>
      </c>
      <c r="I378" s="44" t="str">
        <f>"0x"&amp;AE_w_WORK!E121</f>
        <v>0x2222</v>
      </c>
      <c r="J378" s="36">
        <v>40588</v>
      </c>
      <c r="K378" s="74"/>
      <c r="L378" s="74">
        <f t="shared" si="5"/>
        <v>744</v>
      </c>
      <c r="M378" s="74"/>
      <c r="N378" s="74"/>
    </row>
    <row r="379" spans="2:14" ht="12" hidden="1" customHeight="1" outlineLevel="1">
      <c r="B379" s="73">
        <v>373</v>
      </c>
      <c r="C379" s="39"/>
      <c r="D379" s="40"/>
      <c r="E379" s="34" t="s">
        <v>323</v>
      </c>
      <c r="F379" s="75" t="s">
        <v>744</v>
      </c>
      <c r="G379" s="35" t="s">
        <v>79</v>
      </c>
      <c r="H379" s="41" t="s">
        <v>80</v>
      </c>
      <c r="I379" s="44" t="str">
        <f>"0x"&amp;AE_w_WORK!E122</f>
        <v>0x2222</v>
      </c>
      <c r="J379" s="36">
        <v>40589</v>
      </c>
      <c r="K379" s="74"/>
      <c r="L379" s="74">
        <f t="shared" si="5"/>
        <v>746</v>
      </c>
      <c r="M379" s="74"/>
      <c r="N379" s="74"/>
    </row>
    <row r="380" spans="2:14" ht="12" hidden="1" customHeight="1" outlineLevel="1">
      <c r="B380" s="73">
        <v>374</v>
      </c>
      <c r="C380" s="39"/>
      <c r="D380" s="40"/>
      <c r="E380" s="34" t="s">
        <v>323</v>
      </c>
      <c r="F380" s="75" t="s">
        <v>745</v>
      </c>
      <c r="G380" s="35" t="s">
        <v>79</v>
      </c>
      <c r="H380" s="41" t="s">
        <v>80</v>
      </c>
      <c r="I380" s="44" t="str">
        <f>"0x"&amp;AE_w_WORK!E123</f>
        <v>0x2222</v>
      </c>
      <c r="J380" s="36">
        <v>40590</v>
      </c>
      <c r="K380" s="74"/>
      <c r="L380" s="74">
        <f t="shared" si="5"/>
        <v>748</v>
      </c>
      <c r="M380" s="74"/>
      <c r="N380" s="74"/>
    </row>
    <row r="381" spans="2:14" ht="12" hidden="1" customHeight="1" outlineLevel="1">
      <c r="B381" s="73">
        <v>375</v>
      </c>
      <c r="C381" s="39"/>
      <c r="D381" s="40"/>
      <c r="E381" s="34" t="s">
        <v>323</v>
      </c>
      <c r="F381" s="75" t="s">
        <v>746</v>
      </c>
      <c r="G381" s="35" t="s">
        <v>79</v>
      </c>
      <c r="H381" s="41" t="s">
        <v>80</v>
      </c>
      <c r="I381" s="44" t="str">
        <f>"0x"&amp;AE_w_WORK!E124</f>
        <v>0x2222</v>
      </c>
      <c r="J381" s="36">
        <v>40591</v>
      </c>
      <c r="K381" s="74"/>
      <c r="L381" s="74">
        <f t="shared" si="5"/>
        <v>750</v>
      </c>
      <c r="M381" s="74"/>
      <c r="N381" s="74"/>
    </row>
    <row r="382" spans="2:14" ht="12" hidden="1" customHeight="1" outlineLevel="1">
      <c r="B382" s="73">
        <v>376</v>
      </c>
      <c r="C382" s="39"/>
      <c r="D382" s="40"/>
      <c r="E382" s="34" t="s">
        <v>323</v>
      </c>
      <c r="F382" s="75" t="s">
        <v>747</v>
      </c>
      <c r="G382" s="35" t="s">
        <v>79</v>
      </c>
      <c r="H382" s="41" t="s">
        <v>80</v>
      </c>
      <c r="I382" s="44" t="str">
        <f>"0x"&amp;AE_w_WORK!E125</f>
        <v>0x2222</v>
      </c>
      <c r="J382" s="36">
        <v>40592</v>
      </c>
      <c r="K382" s="74"/>
      <c r="L382" s="74">
        <f t="shared" si="5"/>
        <v>752</v>
      </c>
      <c r="M382" s="74"/>
      <c r="N382" s="74"/>
    </row>
    <row r="383" spans="2:14" ht="12" hidden="1" customHeight="1" outlineLevel="1">
      <c r="B383" s="73">
        <v>377</v>
      </c>
      <c r="C383" s="39"/>
      <c r="D383" s="40"/>
      <c r="E383" s="34" t="s">
        <v>323</v>
      </c>
      <c r="F383" s="75" t="s">
        <v>748</v>
      </c>
      <c r="G383" s="35" t="s">
        <v>79</v>
      </c>
      <c r="H383" s="41" t="s">
        <v>80</v>
      </c>
      <c r="I383" s="44" t="str">
        <f>"0x"&amp;AE_w_WORK!E126</f>
        <v>0x2222</v>
      </c>
      <c r="J383" s="36">
        <v>40593</v>
      </c>
      <c r="K383" s="74"/>
      <c r="L383" s="74">
        <f t="shared" si="5"/>
        <v>754</v>
      </c>
      <c r="M383" s="74"/>
      <c r="N383" s="74"/>
    </row>
    <row r="384" spans="2:14" ht="12" hidden="1" customHeight="1" outlineLevel="1">
      <c r="B384" s="73">
        <v>378</v>
      </c>
      <c r="C384" s="39"/>
      <c r="D384" s="40"/>
      <c r="E384" s="34" t="s">
        <v>323</v>
      </c>
      <c r="F384" s="75" t="s">
        <v>749</v>
      </c>
      <c r="G384" s="35" t="s">
        <v>79</v>
      </c>
      <c r="H384" s="41" t="s">
        <v>80</v>
      </c>
      <c r="I384" s="44" t="str">
        <f>"0x"&amp;AE_w_WORK!E127</f>
        <v>0x2222</v>
      </c>
      <c r="J384" s="36">
        <v>40594</v>
      </c>
      <c r="K384" s="74"/>
      <c r="L384" s="74">
        <f t="shared" si="5"/>
        <v>756</v>
      </c>
      <c r="M384" s="74"/>
      <c r="N384" s="74"/>
    </row>
    <row r="385" spans="2:14" ht="12" hidden="1" customHeight="1" outlineLevel="1">
      <c r="B385" s="73">
        <v>379</v>
      </c>
      <c r="C385" s="39"/>
      <c r="D385" s="40"/>
      <c r="E385" s="34" t="s">
        <v>323</v>
      </c>
      <c r="F385" s="75" t="s">
        <v>750</v>
      </c>
      <c r="G385" s="35" t="s">
        <v>79</v>
      </c>
      <c r="H385" s="41" t="s">
        <v>80</v>
      </c>
      <c r="I385" s="44" t="str">
        <f>"0x"&amp;AE_w_WORK!E128</f>
        <v>0x2222</v>
      </c>
      <c r="J385" s="36">
        <v>40595</v>
      </c>
      <c r="K385" s="74"/>
      <c r="L385" s="74">
        <f t="shared" si="5"/>
        <v>758</v>
      </c>
      <c r="M385" s="74"/>
      <c r="N385" s="74"/>
    </row>
    <row r="386" spans="2:14" ht="12" hidden="1" customHeight="1" outlineLevel="1">
      <c r="B386" s="73">
        <v>380</v>
      </c>
      <c r="C386" s="39"/>
      <c r="D386" s="40"/>
      <c r="E386" s="34" t="s">
        <v>323</v>
      </c>
      <c r="F386" s="75" t="s">
        <v>751</v>
      </c>
      <c r="G386" s="35" t="s">
        <v>79</v>
      </c>
      <c r="H386" s="41" t="s">
        <v>80</v>
      </c>
      <c r="I386" s="44" t="str">
        <f>"0x"&amp;AE_w_WORK!E129</f>
        <v>0x2222</v>
      </c>
      <c r="J386" s="36">
        <v>40596</v>
      </c>
      <c r="K386" s="74"/>
      <c r="L386" s="74">
        <f t="shared" si="5"/>
        <v>760</v>
      </c>
      <c r="M386" s="74"/>
      <c r="N386" s="74"/>
    </row>
    <row r="387" spans="2:14" ht="12" hidden="1" customHeight="1" outlineLevel="1">
      <c r="B387" s="73">
        <v>381</v>
      </c>
      <c r="C387" s="39"/>
      <c r="D387" s="40"/>
      <c r="E387" s="34" t="s">
        <v>323</v>
      </c>
      <c r="F387" s="75" t="s">
        <v>752</v>
      </c>
      <c r="G387" s="35" t="s">
        <v>79</v>
      </c>
      <c r="H387" s="41" t="s">
        <v>80</v>
      </c>
      <c r="I387" s="44" t="str">
        <f>"0x"&amp;AE_w_WORK!E130</f>
        <v>0x2222</v>
      </c>
      <c r="J387" s="36">
        <v>40597</v>
      </c>
      <c r="K387" s="74"/>
      <c r="L387" s="74">
        <f t="shared" si="5"/>
        <v>762</v>
      </c>
      <c r="M387" s="74"/>
      <c r="N387" s="74"/>
    </row>
    <row r="388" spans="2:14" ht="12" hidden="1" customHeight="1" outlineLevel="1">
      <c r="B388" s="73">
        <v>382</v>
      </c>
      <c r="C388" s="39"/>
      <c r="D388" s="40"/>
      <c r="E388" s="34" t="s">
        <v>323</v>
      </c>
      <c r="F388" s="75" t="s">
        <v>753</v>
      </c>
      <c r="G388" s="35" t="s">
        <v>79</v>
      </c>
      <c r="H388" s="41" t="s">
        <v>80</v>
      </c>
      <c r="I388" s="44" t="str">
        <f>"0x"&amp;AE_w_WORK!E131</f>
        <v>0x2222</v>
      </c>
      <c r="J388" s="36">
        <v>40598</v>
      </c>
      <c r="K388" s="74"/>
      <c r="L388" s="74">
        <f t="shared" si="5"/>
        <v>764</v>
      </c>
      <c r="M388" s="74"/>
      <c r="N388" s="74"/>
    </row>
    <row r="389" spans="2:14" ht="12" hidden="1" customHeight="1" outlineLevel="1">
      <c r="B389" s="73">
        <v>383</v>
      </c>
      <c r="C389" s="39"/>
      <c r="D389" s="40"/>
      <c r="E389" s="34" t="s">
        <v>323</v>
      </c>
      <c r="F389" s="75" t="s">
        <v>754</v>
      </c>
      <c r="G389" s="35" t="s">
        <v>79</v>
      </c>
      <c r="H389" s="41" t="s">
        <v>80</v>
      </c>
      <c r="I389" s="44" t="str">
        <f>"0x"&amp;AE_w_WORK!E132</f>
        <v>0x2222</v>
      </c>
      <c r="J389" s="36">
        <v>40599</v>
      </c>
      <c r="K389" s="74"/>
      <c r="L389" s="74">
        <f t="shared" si="5"/>
        <v>766</v>
      </c>
      <c r="M389" s="74"/>
      <c r="N389" s="74"/>
    </row>
    <row r="390" spans="2:14" ht="12" hidden="1" customHeight="1" outlineLevel="1">
      <c r="B390" s="73">
        <v>384</v>
      </c>
      <c r="C390" s="39"/>
      <c r="D390" s="40"/>
      <c r="E390" s="34" t="s">
        <v>323</v>
      </c>
      <c r="F390" s="75" t="s">
        <v>755</v>
      </c>
      <c r="G390" s="35" t="s">
        <v>79</v>
      </c>
      <c r="H390" s="41" t="s">
        <v>80</v>
      </c>
      <c r="I390" s="44" t="str">
        <f>"0x"&amp;AE_w_WORK!E133</f>
        <v>0x2222</v>
      </c>
      <c r="J390" s="36">
        <v>40600</v>
      </c>
      <c r="K390" s="74"/>
      <c r="L390" s="74">
        <f t="shared" si="5"/>
        <v>768</v>
      </c>
      <c r="M390" s="74"/>
      <c r="N390" s="74"/>
    </row>
    <row r="391" spans="2:14" hidden="1" outlineLevel="1" collapsed="1">
      <c r="B391" s="73">
        <v>385</v>
      </c>
      <c r="C391" s="39"/>
      <c r="D391" s="40"/>
      <c r="E391" s="34" t="s">
        <v>323</v>
      </c>
      <c r="F391" s="75" t="s">
        <v>756</v>
      </c>
      <c r="G391" s="35" t="s">
        <v>79</v>
      </c>
      <c r="H391" s="41" t="s">
        <v>80</v>
      </c>
      <c r="I391" s="44" t="str">
        <f>"0x"&amp;AE_w_WORK!E134</f>
        <v>0x2222</v>
      </c>
      <c r="J391" s="36">
        <v>40601</v>
      </c>
      <c r="K391" s="74"/>
      <c r="L391" s="74">
        <f t="shared" si="5"/>
        <v>770</v>
      </c>
      <c r="M391" s="74"/>
      <c r="N391" s="74"/>
    </row>
    <row r="392" spans="2:14" hidden="1" outlineLevel="1">
      <c r="B392" s="73">
        <v>386</v>
      </c>
      <c r="C392" s="39"/>
      <c r="D392" s="40"/>
      <c r="E392" s="34" t="s">
        <v>323</v>
      </c>
      <c r="F392" s="75" t="s">
        <v>757</v>
      </c>
      <c r="G392" s="35" t="s">
        <v>79</v>
      </c>
      <c r="H392" s="41" t="s">
        <v>80</v>
      </c>
      <c r="I392" s="44" t="str">
        <f>"0x"&amp;AE_w_WORK!E135</f>
        <v>0x2222</v>
      </c>
      <c r="J392" s="36">
        <v>40602</v>
      </c>
      <c r="K392" s="74"/>
      <c r="L392" s="74">
        <f t="shared" ref="L392:L455" si="6">L391+2</f>
        <v>772</v>
      </c>
      <c r="M392" s="74"/>
      <c r="N392" s="74"/>
    </row>
    <row r="393" spans="2:14" hidden="1" outlineLevel="1">
      <c r="B393" s="73">
        <v>387</v>
      </c>
      <c r="C393" s="39"/>
      <c r="D393" s="40"/>
      <c r="E393" s="34" t="s">
        <v>323</v>
      </c>
      <c r="F393" s="75" t="s">
        <v>758</v>
      </c>
      <c r="G393" s="35" t="s">
        <v>79</v>
      </c>
      <c r="H393" s="41" t="s">
        <v>80</v>
      </c>
      <c r="I393" s="44" t="str">
        <f>"0x"&amp;AE_w_WORK!E136</f>
        <v>0x2222</v>
      </c>
      <c r="J393" s="36">
        <v>40603</v>
      </c>
      <c r="K393" s="74"/>
      <c r="L393" s="74">
        <f t="shared" si="6"/>
        <v>774</v>
      </c>
      <c r="M393" s="74"/>
      <c r="N393" s="74"/>
    </row>
    <row r="394" spans="2:14" hidden="1" outlineLevel="1">
      <c r="B394" s="73">
        <v>388</v>
      </c>
      <c r="C394" s="39"/>
      <c r="D394" s="40"/>
      <c r="E394" s="34" t="s">
        <v>323</v>
      </c>
      <c r="F394" s="75" t="s">
        <v>759</v>
      </c>
      <c r="G394" s="35" t="s">
        <v>79</v>
      </c>
      <c r="H394" s="41" t="s">
        <v>80</v>
      </c>
      <c r="I394" s="44" t="str">
        <f>"0x"&amp;AE_w_WORK!E137</f>
        <v>0x2222</v>
      </c>
      <c r="J394" s="36">
        <v>40604</v>
      </c>
      <c r="K394" s="74"/>
      <c r="L394" s="74">
        <f t="shared" si="6"/>
        <v>776</v>
      </c>
      <c r="M394" s="74"/>
      <c r="N394" s="74"/>
    </row>
    <row r="395" spans="2:14" hidden="1" outlineLevel="1">
      <c r="B395" s="73">
        <v>389</v>
      </c>
      <c r="C395" s="39"/>
      <c r="D395" s="40"/>
      <c r="E395" s="34" t="s">
        <v>323</v>
      </c>
      <c r="F395" s="75" t="s">
        <v>760</v>
      </c>
      <c r="G395" s="35" t="s">
        <v>79</v>
      </c>
      <c r="H395" s="41" t="s">
        <v>80</v>
      </c>
      <c r="I395" s="44" t="str">
        <f>"0x"&amp;AE_w_WORK!E138</f>
        <v>0x2222</v>
      </c>
      <c r="J395" s="36">
        <v>40605</v>
      </c>
      <c r="K395" s="74"/>
      <c r="L395" s="74">
        <f t="shared" si="6"/>
        <v>778</v>
      </c>
      <c r="M395" s="74"/>
      <c r="N395" s="74"/>
    </row>
    <row r="396" spans="2:14" hidden="1" outlineLevel="1">
      <c r="B396" s="73">
        <v>390</v>
      </c>
      <c r="C396" s="39"/>
      <c r="D396" s="40"/>
      <c r="E396" s="34" t="s">
        <v>323</v>
      </c>
      <c r="F396" s="75" t="s">
        <v>761</v>
      </c>
      <c r="G396" s="35" t="s">
        <v>79</v>
      </c>
      <c r="H396" s="41" t="s">
        <v>80</v>
      </c>
      <c r="I396" s="44" t="str">
        <f>"0x"&amp;AE_w_WORK!E139</f>
        <v>0x2222</v>
      </c>
      <c r="J396" s="36">
        <v>40606</v>
      </c>
      <c r="K396" s="74"/>
      <c r="L396" s="74">
        <f t="shared" si="6"/>
        <v>780</v>
      </c>
      <c r="M396" s="74"/>
      <c r="N396" s="74"/>
    </row>
    <row r="397" spans="2:14" hidden="1" outlineLevel="1">
      <c r="B397" s="73">
        <v>391</v>
      </c>
      <c r="C397" s="39"/>
      <c r="D397" s="40"/>
      <c r="E397" s="34" t="s">
        <v>323</v>
      </c>
      <c r="F397" s="75" t="s">
        <v>762</v>
      </c>
      <c r="G397" s="35" t="s">
        <v>79</v>
      </c>
      <c r="H397" s="41" t="s">
        <v>80</v>
      </c>
      <c r="I397" s="44" t="str">
        <f>"0x"&amp;AE_w_WORK!E140</f>
        <v>0x2222</v>
      </c>
      <c r="J397" s="36">
        <v>40607</v>
      </c>
      <c r="K397" s="74"/>
      <c r="L397" s="74">
        <f t="shared" si="6"/>
        <v>782</v>
      </c>
      <c r="M397" s="74"/>
      <c r="N397" s="74"/>
    </row>
    <row r="398" spans="2:14" hidden="1" outlineLevel="1">
      <c r="B398" s="73">
        <v>392</v>
      </c>
      <c r="C398" s="39"/>
      <c r="D398" s="40"/>
      <c r="E398" s="34" t="s">
        <v>323</v>
      </c>
      <c r="F398" s="75" t="s">
        <v>763</v>
      </c>
      <c r="G398" s="35" t="s">
        <v>79</v>
      </c>
      <c r="H398" s="41" t="s">
        <v>80</v>
      </c>
      <c r="I398" s="44" t="str">
        <f>"0x"&amp;AE_w_WORK!E141</f>
        <v>0x2222</v>
      </c>
      <c r="J398" s="36">
        <v>40608</v>
      </c>
      <c r="K398" s="74"/>
      <c r="L398" s="74">
        <f t="shared" si="6"/>
        <v>784</v>
      </c>
      <c r="M398" s="74"/>
      <c r="N398" s="74"/>
    </row>
    <row r="399" spans="2:14" hidden="1" outlineLevel="1">
      <c r="B399" s="73">
        <v>393</v>
      </c>
      <c r="C399" s="39"/>
      <c r="D399" s="40"/>
      <c r="E399" s="34" t="s">
        <v>323</v>
      </c>
      <c r="F399" s="75" t="s">
        <v>764</v>
      </c>
      <c r="G399" s="35" t="s">
        <v>79</v>
      </c>
      <c r="H399" s="41" t="s">
        <v>80</v>
      </c>
      <c r="I399" s="44" t="str">
        <f>"0x"&amp;AE_w_WORK!E142</f>
        <v>0x2222</v>
      </c>
      <c r="J399" s="36">
        <v>40609</v>
      </c>
      <c r="K399" s="74"/>
      <c r="L399" s="74">
        <f t="shared" si="6"/>
        <v>786</v>
      </c>
      <c r="M399" s="74"/>
      <c r="N399" s="74"/>
    </row>
    <row r="400" spans="2:14" hidden="1" outlineLevel="1">
      <c r="B400" s="73">
        <v>394</v>
      </c>
      <c r="C400" s="39"/>
      <c r="D400" s="40"/>
      <c r="E400" s="34" t="s">
        <v>323</v>
      </c>
      <c r="F400" s="75" t="s">
        <v>765</v>
      </c>
      <c r="G400" s="35" t="s">
        <v>79</v>
      </c>
      <c r="H400" s="41" t="s">
        <v>80</v>
      </c>
      <c r="I400" s="44" t="str">
        <f>"0x"&amp;AE_w_WORK!E143</f>
        <v>0x2222</v>
      </c>
      <c r="J400" s="36">
        <v>40610</v>
      </c>
      <c r="K400" s="74"/>
      <c r="L400" s="74">
        <f t="shared" si="6"/>
        <v>788</v>
      </c>
      <c r="M400" s="74"/>
      <c r="N400" s="74"/>
    </row>
    <row r="401" spans="2:14" hidden="1" outlineLevel="1">
      <c r="B401" s="73">
        <v>395</v>
      </c>
      <c r="C401" s="39"/>
      <c r="D401" s="40"/>
      <c r="E401" s="34" t="s">
        <v>323</v>
      </c>
      <c r="F401" s="75" t="s">
        <v>766</v>
      </c>
      <c r="G401" s="35" t="s">
        <v>79</v>
      </c>
      <c r="H401" s="41" t="s">
        <v>80</v>
      </c>
      <c r="I401" s="44" t="str">
        <f>"0x"&amp;AE_w_WORK!E144</f>
        <v>0x2222</v>
      </c>
      <c r="J401" s="36">
        <v>40611</v>
      </c>
      <c r="K401" s="74"/>
      <c r="L401" s="74">
        <f t="shared" si="6"/>
        <v>790</v>
      </c>
      <c r="M401" s="74"/>
      <c r="N401" s="74"/>
    </row>
    <row r="402" spans="2:14" hidden="1" outlineLevel="1">
      <c r="B402" s="73">
        <v>396</v>
      </c>
      <c r="C402" s="39"/>
      <c r="D402" s="40"/>
      <c r="E402" s="34" t="s">
        <v>323</v>
      </c>
      <c r="F402" s="75" t="s">
        <v>767</v>
      </c>
      <c r="G402" s="35" t="s">
        <v>79</v>
      </c>
      <c r="H402" s="41" t="s">
        <v>80</v>
      </c>
      <c r="I402" s="44" t="str">
        <f>"0x"&amp;AE_w_WORK!E145</f>
        <v>0x2222</v>
      </c>
      <c r="J402" s="36">
        <v>40612</v>
      </c>
      <c r="K402" s="74"/>
      <c r="L402" s="74">
        <f t="shared" si="6"/>
        <v>792</v>
      </c>
      <c r="M402" s="74"/>
      <c r="N402" s="74"/>
    </row>
    <row r="403" spans="2:14" hidden="1" outlineLevel="1">
      <c r="B403" s="73">
        <v>397</v>
      </c>
      <c r="C403" s="39"/>
      <c r="D403" s="40"/>
      <c r="E403" s="34" t="s">
        <v>323</v>
      </c>
      <c r="F403" s="75" t="s">
        <v>768</v>
      </c>
      <c r="G403" s="35" t="s">
        <v>79</v>
      </c>
      <c r="H403" s="41" t="s">
        <v>80</v>
      </c>
      <c r="I403" s="44" t="str">
        <f>"0x"&amp;AE_w_WORK!E146</f>
        <v>0x2222</v>
      </c>
      <c r="J403" s="36">
        <v>40613</v>
      </c>
      <c r="K403" s="74"/>
      <c r="L403" s="74">
        <f t="shared" si="6"/>
        <v>794</v>
      </c>
      <c r="M403" s="74"/>
      <c r="N403" s="74"/>
    </row>
    <row r="404" spans="2:14" hidden="1" outlineLevel="1">
      <c r="B404" s="73">
        <v>398</v>
      </c>
      <c r="C404" s="39"/>
      <c r="D404" s="40"/>
      <c r="E404" s="34" t="s">
        <v>323</v>
      </c>
      <c r="F404" s="75" t="s">
        <v>769</v>
      </c>
      <c r="G404" s="35" t="s">
        <v>79</v>
      </c>
      <c r="H404" s="41" t="s">
        <v>80</v>
      </c>
      <c r="I404" s="44" t="str">
        <f>"0x"&amp;AE_w_WORK!E147</f>
        <v>0x2222</v>
      </c>
      <c r="J404" s="36">
        <v>40614</v>
      </c>
      <c r="K404" s="74"/>
      <c r="L404" s="74">
        <f t="shared" si="6"/>
        <v>796</v>
      </c>
      <c r="M404" s="74"/>
      <c r="N404" s="74"/>
    </row>
    <row r="405" spans="2:14" hidden="1" outlineLevel="1">
      <c r="B405" s="73">
        <v>399</v>
      </c>
      <c r="C405" s="39"/>
      <c r="D405" s="40"/>
      <c r="E405" s="34" t="s">
        <v>323</v>
      </c>
      <c r="F405" s="75" t="s">
        <v>770</v>
      </c>
      <c r="G405" s="35" t="s">
        <v>79</v>
      </c>
      <c r="H405" s="41" t="s">
        <v>80</v>
      </c>
      <c r="I405" s="44" t="str">
        <f>"0x"&amp;AE_w_WORK!E148</f>
        <v>0x2222</v>
      </c>
      <c r="J405" s="36">
        <v>40615</v>
      </c>
      <c r="K405" s="74"/>
      <c r="L405" s="74">
        <f t="shared" si="6"/>
        <v>798</v>
      </c>
      <c r="M405" s="74"/>
      <c r="N405" s="74"/>
    </row>
    <row r="406" spans="2:14" hidden="1" outlineLevel="1">
      <c r="B406" s="73">
        <v>400</v>
      </c>
      <c r="C406" s="39"/>
      <c r="D406" s="40"/>
      <c r="E406" s="34" t="s">
        <v>323</v>
      </c>
      <c r="F406" s="75" t="s">
        <v>771</v>
      </c>
      <c r="G406" s="35" t="s">
        <v>79</v>
      </c>
      <c r="H406" s="41" t="s">
        <v>80</v>
      </c>
      <c r="I406" s="44" t="str">
        <f>"0x"&amp;AE_w_WORK!E149</f>
        <v>0x2222</v>
      </c>
      <c r="J406" s="36">
        <v>40616</v>
      </c>
      <c r="K406" s="74"/>
      <c r="L406" s="74">
        <f t="shared" si="6"/>
        <v>800</v>
      </c>
      <c r="M406" s="74"/>
      <c r="N406" s="74"/>
    </row>
    <row r="407" spans="2:14" hidden="1" outlineLevel="1">
      <c r="B407" s="73">
        <v>401</v>
      </c>
      <c r="C407" s="39"/>
      <c r="D407" s="40"/>
      <c r="E407" s="34" t="s">
        <v>323</v>
      </c>
      <c r="F407" s="75" t="s">
        <v>772</v>
      </c>
      <c r="G407" s="35" t="s">
        <v>79</v>
      </c>
      <c r="H407" s="41" t="s">
        <v>80</v>
      </c>
      <c r="I407" s="44" t="str">
        <f>"0x"&amp;AE_w_WORK!E150</f>
        <v>0x2222</v>
      </c>
      <c r="J407" s="36">
        <v>40617</v>
      </c>
      <c r="K407" s="74"/>
      <c r="L407" s="74">
        <f t="shared" si="6"/>
        <v>802</v>
      </c>
      <c r="M407" s="74"/>
      <c r="N407" s="74"/>
    </row>
    <row r="408" spans="2:14" hidden="1" outlineLevel="1">
      <c r="B408" s="73">
        <v>402</v>
      </c>
      <c r="C408" s="39"/>
      <c r="D408" s="40"/>
      <c r="E408" s="34" t="s">
        <v>323</v>
      </c>
      <c r="F408" s="75" t="s">
        <v>773</v>
      </c>
      <c r="G408" s="35" t="s">
        <v>79</v>
      </c>
      <c r="H408" s="41" t="s">
        <v>80</v>
      </c>
      <c r="I408" s="44" t="str">
        <f>"0x"&amp;AE_w_WORK!E151</f>
        <v>0x2222</v>
      </c>
      <c r="J408" s="36">
        <v>40618</v>
      </c>
      <c r="K408" s="74"/>
      <c r="L408" s="74">
        <f t="shared" si="6"/>
        <v>804</v>
      </c>
      <c r="M408" s="74"/>
      <c r="N408" s="74"/>
    </row>
    <row r="409" spans="2:14" hidden="1" outlineLevel="1">
      <c r="B409" s="73">
        <v>403</v>
      </c>
      <c r="C409" s="39"/>
      <c r="D409" s="40"/>
      <c r="E409" s="34" t="s">
        <v>323</v>
      </c>
      <c r="F409" s="75" t="s">
        <v>774</v>
      </c>
      <c r="G409" s="35" t="s">
        <v>79</v>
      </c>
      <c r="H409" s="41" t="s">
        <v>80</v>
      </c>
      <c r="I409" s="44" t="str">
        <f>"0x"&amp;AE_w_WORK!E152</f>
        <v>0x2222</v>
      </c>
      <c r="J409" s="36">
        <v>40619</v>
      </c>
      <c r="K409" s="74"/>
      <c r="L409" s="74">
        <f t="shared" si="6"/>
        <v>806</v>
      </c>
      <c r="M409" s="74"/>
      <c r="N409" s="74"/>
    </row>
    <row r="410" spans="2:14" hidden="1" outlineLevel="1">
      <c r="B410" s="73">
        <v>404</v>
      </c>
      <c r="C410" s="39"/>
      <c r="D410" s="40"/>
      <c r="E410" s="34" t="s">
        <v>323</v>
      </c>
      <c r="F410" s="75" t="s">
        <v>775</v>
      </c>
      <c r="G410" s="35" t="s">
        <v>79</v>
      </c>
      <c r="H410" s="41" t="s">
        <v>80</v>
      </c>
      <c r="I410" s="44" t="str">
        <f>"0x"&amp;AE_w_WORK!E153</f>
        <v>0x2222</v>
      </c>
      <c r="J410" s="36">
        <v>40620</v>
      </c>
      <c r="K410" s="74"/>
      <c r="L410" s="74">
        <f t="shared" si="6"/>
        <v>808</v>
      </c>
      <c r="M410" s="74"/>
      <c r="N410" s="74"/>
    </row>
    <row r="411" spans="2:14" hidden="1" outlineLevel="1">
      <c r="B411" s="73">
        <v>405</v>
      </c>
      <c r="C411" s="39"/>
      <c r="D411" s="40"/>
      <c r="E411" s="34" t="s">
        <v>323</v>
      </c>
      <c r="F411" s="75" t="s">
        <v>776</v>
      </c>
      <c r="G411" s="35" t="s">
        <v>79</v>
      </c>
      <c r="H411" s="41" t="s">
        <v>80</v>
      </c>
      <c r="I411" s="44" t="str">
        <f>"0x"&amp;AE_w_WORK!E154</f>
        <v>0x2222</v>
      </c>
      <c r="J411" s="36">
        <v>40621</v>
      </c>
      <c r="K411" s="74"/>
      <c r="L411" s="74">
        <f t="shared" si="6"/>
        <v>810</v>
      </c>
      <c r="M411" s="74"/>
      <c r="N411" s="74"/>
    </row>
    <row r="412" spans="2:14" hidden="1" outlineLevel="1">
      <c r="B412" s="73">
        <v>406</v>
      </c>
      <c r="C412" s="39"/>
      <c r="D412" s="40"/>
      <c r="E412" s="34" t="s">
        <v>323</v>
      </c>
      <c r="F412" s="75" t="s">
        <v>777</v>
      </c>
      <c r="G412" s="35" t="s">
        <v>79</v>
      </c>
      <c r="H412" s="41" t="s">
        <v>80</v>
      </c>
      <c r="I412" s="44" t="str">
        <f>"0x"&amp;AE_w_WORK!E155</f>
        <v>0x2222</v>
      </c>
      <c r="J412" s="36">
        <v>40622</v>
      </c>
      <c r="K412" s="74"/>
      <c r="L412" s="74">
        <f t="shared" si="6"/>
        <v>812</v>
      </c>
      <c r="M412" s="74"/>
      <c r="N412" s="74"/>
    </row>
    <row r="413" spans="2:14" hidden="1" outlineLevel="1">
      <c r="B413" s="73">
        <v>407</v>
      </c>
      <c r="C413" s="39"/>
      <c r="D413" s="40"/>
      <c r="E413" s="34" t="s">
        <v>323</v>
      </c>
      <c r="F413" s="75" t="s">
        <v>778</v>
      </c>
      <c r="G413" s="35" t="s">
        <v>79</v>
      </c>
      <c r="H413" s="41" t="s">
        <v>80</v>
      </c>
      <c r="I413" s="44" t="str">
        <f>"0x"&amp;AE_w_WORK!E156</f>
        <v>0x2222</v>
      </c>
      <c r="J413" s="36">
        <v>40623</v>
      </c>
      <c r="K413" s="74"/>
      <c r="L413" s="74">
        <f t="shared" si="6"/>
        <v>814</v>
      </c>
      <c r="M413" s="74"/>
      <c r="N413" s="74"/>
    </row>
    <row r="414" spans="2:14" hidden="1" outlineLevel="1">
      <c r="B414" s="73">
        <v>408</v>
      </c>
      <c r="C414" s="39"/>
      <c r="D414" s="40"/>
      <c r="E414" s="34" t="s">
        <v>323</v>
      </c>
      <c r="F414" s="75" t="s">
        <v>779</v>
      </c>
      <c r="G414" s="35" t="s">
        <v>79</v>
      </c>
      <c r="H414" s="41" t="s">
        <v>80</v>
      </c>
      <c r="I414" s="44" t="str">
        <f>"0x"&amp;AE_w_WORK!E157</f>
        <v>0x2222</v>
      </c>
      <c r="J414" s="36">
        <v>40624</v>
      </c>
      <c r="K414" s="74"/>
      <c r="L414" s="74">
        <f t="shared" si="6"/>
        <v>816</v>
      </c>
      <c r="M414" s="74"/>
      <c r="N414" s="74"/>
    </row>
    <row r="415" spans="2:14" hidden="1" outlineLevel="1">
      <c r="B415" s="73">
        <v>409</v>
      </c>
      <c r="C415" s="39"/>
      <c r="D415" s="40"/>
      <c r="E415" s="34" t="s">
        <v>323</v>
      </c>
      <c r="F415" s="75" t="s">
        <v>780</v>
      </c>
      <c r="G415" s="35" t="s">
        <v>79</v>
      </c>
      <c r="H415" s="41" t="s">
        <v>80</v>
      </c>
      <c r="I415" s="44" t="str">
        <f>"0x"&amp;AE_w_WORK!E158</f>
        <v>0x2222</v>
      </c>
      <c r="J415" s="36">
        <v>40625</v>
      </c>
      <c r="K415" s="74"/>
      <c r="L415" s="74">
        <f t="shared" si="6"/>
        <v>818</v>
      </c>
      <c r="M415" s="74"/>
      <c r="N415" s="74"/>
    </row>
    <row r="416" spans="2:14" hidden="1" outlineLevel="1">
      <c r="B416" s="73">
        <v>410</v>
      </c>
      <c r="C416" s="39"/>
      <c r="D416" s="40"/>
      <c r="E416" s="34" t="s">
        <v>323</v>
      </c>
      <c r="F416" s="75" t="s">
        <v>781</v>
      </c>
      <c r="G416" s="35" t="s">
        <v>79</v>
      </c>
      <c r="H416" s="41" t="s">
        <v>80</v>
      </c>
      <c r="I416" s="44" t="str">
        <f>"0x"&amp;AE_w_WORK!E159</f>
        <v>0x2222</v>
      </c>
      <c r="J416" s="36">
        <v>40626</v>
      </c>
      <c r="K416" s="74"/>
      <c r="L416" s="74">
        <f t="shared" si="6"/>
        <v>820</v>
      </c>
      <c r="M416" s="74"/>
      <c r="N416" s="74"/>
    </row>
    <row r="417" spans="2:14" hidden="1" outlineLevel="1">
      <c r="B417" s="73">
        <v>411</v>
      </c>
      <c r="C417" s="39"/>
      <c r="D417" s="40"/>
      <c r="E417" s="34" t="s">
        <v>323</v>
      </c>
      <c r="F417" s="75" t="s">
        <v>782</v>
      </c>
      <c r="G417" s="35" t="s">
        <v>79</v>
      </c>
      <c r="H417" s="41" t="s">
        <v>80</v>
      </c>
      <c r="I417" s="44" t="str">
        <f>"0x"&amp;AE_w_WORK!E160</f>
        <v>0x2222</v>
      </c>
      <c r="J417" s="36">
        <v>40627</v>
      </c>
      <c r="K417" s="74"/>
      <c r="L417" s="74">
        <f t="shared" si="6"/>
        <v>822</v>
      </c>
      <c r="M417" s="74"/>
      <c r="N417" s="74"/>
    </row>
    <row r="418" spans="2:14" hidden="1" outlineLevel="1">
      <c r="B418" s="73">
        <v>412</v>
      </c>
      <c r="C418" s="39"/>
      <c r="D418" s="40"/>
      <c r="E418" s="34" t="s">
        <v>323</v>
      </c>
      <c r="F418" s="75" t="s">
        <v>783</v>
      </c>
      <c r="G418" s="35" t="s">
        <v>79</v>
      </c>
      <c r="H418" s="41" t="s">
        <v>80</v>
      </c>
      <c r="I418" s="44" t="str">
        <f>"0x"&amp;AE_w_WORK!E161</f>
        <v>0x2222</v>
      </c>
      <c r="J418" s="36">
        <v>40628</v>
      </c>
      <c r="K418" s="74"/>
      <c r="L418" s="74">
        <f t="shared" si="6"/>
        <v>824</v>
      </c>
      <c r="M418" s="74"/>
      <c r="N418" s="74"/>
    </row>
    <row r="419" spans="2:14" hidden="1" outlineLevel="1">
      <c r="B419" s="73">
        <v>413</v>
      </c>
      <c r="C419" s="39"/>
      <c r="D419" s="40"/>
      <c r="E419" s="34" t="s">
        <v>323</v>
      </c>
      <c r="F419" s="75" t="s">
        <v>784</v>
      </c>
      <c r="G419" s="35" t="s">
        <v>79</v>
      </c>
      <c r="H419" s="41" t="s">
        <v>80</v>
      </c>
      <c r="I419" s="44" t="str">
        <f>"0x"&amp;AE_w_WORK!E162</f>
        <v>0x2222</v>
      </c>
      <c r="J419" s="36">
        <v>40629</v>
      </c>
      <c r="K419" s="74"/>
      <c r="L419" s="74">
        <f t="shared" si="6"/>
        <v>826</v>
      </c>
      <c r="M419" s="74"/>
      <c r="N419" s="74"/>
    </row>
    <row r="420" spans="2:14" hidden="1" outlineLevel="1">
      <c r="B420" s="73">
        <v>414</v>
      </c>
      <c r="C420" s="39"/>
      <c r="D420" s="40"/>
      <c r="E420" s="34" t="s">
        <v>323</v>
      </c>
      <c r="F420" s="75" t="s">
        <v>785</v>
      </c>
      <c r="G420" s="35" t="s">
        <v>79</v>
      </c>
      <c r="H420" s="41" t="s">
        <v>80</v>
      </c>
      <c r="I420" s="44" t="str">
        <f>"0x"&amp;AE_w_WORK!E163</f>
        <v>0x2222</v>
      </c>
      <c r="J420" s="36">
        <v>40630</v>
      </c>
      <c r="K420" s="74"/>
      <c r="L420" s="74">
        <f t="shared" si="6"/>
        <v>828</v>
      </c>
      <c r="M420" s="74"/>
      <c r="N420" s="74"/>
    </row>
    <row r="421" spans="2:14" hidden="1" outlineLevel="1">
      <c r="B421" s="73">
        <v>415</v>
      </c>
      <c r="C421" s="39"/>
      <c r="D421" s="40"/>
      <c r="E421" s="34" t="s">
        <v>323</v>
      </c>
      <c r="F421" s="75" t="s">
        <v>786</v>
      </c>
      <c r="G421" s="35" t="s">
        <v>79</v>
      </c>
      <c r="H421" s="41" t="s">
        <v>80</v>
      </c>
      <c r="I421" s="44" t="str">
        <f>"0x"&amp;AE_w_WORK!E164</f>
        <v>0x2222</v>
      </c>
      <c r="J421" s="36">
        <v>40631</v>
      </c>
      <c r="K421" s="74"/>
      <c r="L421" s="74">
        <f t="shared" si="6"/>
        <v>830</v>
      </c>
      <c r="M421" s="74"/>
      <c r="N421" s="74"/>
    </row>
    <row r="422" spans="2:14" hidden="1" outlineLevel="1">
      <c r="B422" s="73">
        <v>416</v>
      </c>
      <c r="C422" s="39"/>
      <c r="D422" s="40"/>
      <c r="E422" s="34" t="s">
        <v>323</v>
      </c>
      <c r="F422" s="75" t="s">
        <v>787</v>
      </c>
      <c r="G422" s="35" t="s">
        <v>79</v>
      </c>
      <c r="H422" s="41" t="s">
        <v>80</v>
      </c>
      <c r="I422" s="44" t="str">
        <f>"0x"&amp;AE_w_WORK!E165</f>
        <v>0x2222</v>
      </c>
      <c r="J422" s="36">
        <v>40632</v>
      </c>
      <c r="K422" s="74"/>
      <c r="L422" s="74">
        <f t="shared" si="6"/>
        <v>832</v>
      </c>
      <c r="M422" s="74"/>
      <c r="N422" s="74"/>
    </row>
    <row r="423" spans="2:14" hidden="1" outlineLevel="1">
      <c r="B423" s="73">
        <v>417</v>
      </c>
      <c r="C423" s="39"/>
      <c r="D423" s="40"/>
      <c r="E423" s="34" t="s">
        <v>323</v>
      </c>
      <c r="F423" s="75" t="s">
        <v>788</v>
      </c>
      <c r="G423" s="35" t="s">
        <v>79</v>
      </c>
      <c r="H423" s="41" t="s">
        <v>80</v>
      </c>
      <c r="I423" s="44" t="str">
        <f>"0x"&amp;AE_w_WORK!E166</f>
        <v>0x2222</v>
      </c>
      <c r="J423" s="36">
        <v>40633</v>
      </c>
      <c r="K423" s="74"/>
      <c r="L423" s="74">
        <f t="shared" si="6"/>
        <v>834</v>
      </c>
      <c r="M423" s="74"/>
      <c r="N423" s="74"/>
    </row>
    <row r="424" spans="2:14" hidden="1" outlineLevel="1">
      <c r="B424" s="73">
        <v>418</v>
      </c>
      <c r="C424" s="39"/>
      <c r="D424" s="40"/>
      <c r="E424" s="34" t="s">
        <v>323</v>
      </c>
      <c r="F424" s="75" t="s">
        <v>789</v>
      </c>
      <c r="G424" s="35" t="s">
        <v>79</v>
      </c>
      <c r="H424" s="41" t="s">
        <v>80</v>
      </c>
      <c r="I424" s="44" t="str">
        <f>"0x"&amp;AE_w_WORK!E167</f>
        <v>0x2222</v>
      </c>
      <c r="J424" s="36">
        <v>40634</v>
      </c>
      <c r="K424" s="74"/>
      <c r="L424" s="74">
        <f t="shared" si="6"/>
        <v>836</v>
      </c>
      <c r="M424" s="74"/>
      <c r="N424" s="74"/>
    </row>
    <row r="425" spans="2:14" hidden="1" outlineLevel="1">
      <c r="B425" s="73">
        <v>419</v>
      </c>
      <c r="C425" s="39"/>
      <c r="D425" s="40"/>
      <c r="E425" s="34" t="s">
        <v>323</v>
      </c>
      <c r="F425" s="75" t="s">
        <v>790</v>
      </c>
      <c r="G425" s="35" t="s">
        <v>79</v>
      </c>
      <c r="H425" s="41" t="s">
        <v>80</v>
      </c>
      <c r="I425" s="44" t="str">
        <f>"0x"&amp;AE_w_WORK!E168</f>
        <v>0x2222</v>
      </c>
      <c r="J425" s="36">
        <v>40635</v>
      </c>
      <c r="K425" s="74"/>
      <c r="L425" s="74">
        <f t="shared" si="6"/>
        <v>838</v>
      </c>
      <c r="M425" s="74"/>
      <c r="N425" s="74"/>
    </row>
    <row r="426" spans="2:14" hidden="1" outlineLevel="1">
      <c r="B426" s="73">
        <v>420</v>
      </c>
      <c r="C426" s="39"/>
      <c r="D426" s="40"/>
      <c r="E426" s="34" t="s">
        <v>323</v>
      </c>
      <c r="F426" s="75" t="s">
        <v>791</v>
      </c>
      <c r="G426" s="35" t="s">
        <v>79</v>
      </c>
      <c r="H426" s="41" t="s">
        <v>80</v>
      </c>
      <c r="I426" s="44" t="str">
        <f>"0x"&amp;AE_w_WORK!E169</f>
        <v>0x2222</v>
      </c>
      <c r="J426" s="36">
        <v>40636</v>
      </c>
      <c r="K426" s="74"/>
      <c r="L426" s="74">
        <f t="shared" si="6"/>
        <v>840</v>
      </c>
      <c r="M426" s="74"/>
      <c r="N426" s="74"/>
    </row>
    <row r="427" spans="2:14" hidden="1" outlineLevel="1">
      <c r="B427" s="73">
        <v>421</v>
      </c>
      <c r="C427" s="39"/>
      <c r="D427" s="40"/>
      <c r="E427" s="34" t="s">
        <v>323</v>
      </c>
      <c r="F427" s="75" t="s">
        <v>792</v>
      </c>
      <c r="G427" s="35" t="s">
        <v>79</v>
      </c>
      <c r="H427" s="41" t="s">
        <v>80</v>
      </c>
      <c r="I427" s="44" t="str">
        <f>"0x"&amp;AE_w_WORK!E170</f>
        <v>0x2222</v>
      </c>
      <c r="J427" s="36">
        <v>40637</v>
      </c>
      <c r="K427" s="74"/>
      <c r="L427" s="74">
        <f t="shared" si="6"/>
        <v>842</v>
      </c>
      <c r="M427" s="74"/>
      <c r="N427" s="74"/>
    </row>
    <row r="428" spans="2:14" hidden="1" outlineLevel="1">
      <c r="B428" s="73">
        <v>422</v>
      </c>
      <c r="C428" s="39"/>
      <c r="D428" s="40"/>
      <c r="E428" s="34" t="s">
        <v>323</v>
      </c>
      <c r="F428" s="75" t="s">
        <v>793</v>
      </c>
      <c r="G428" s="35" t="s">
        <v>79</v>
      </c>
      <c r="H428" s="41" t="s">
        <v>80</v>
      </c>
      <c r="I428" s="44" t="str">
        <f>"0x"&amp;AE_w_WORK!E171</f>
        <v>0x2222</v>
      </c>
      <c r="J428" s="36">
        <v>40638</v>
      </c>
      <c r="K428" s="74"/>
      <c r="L428" s="74">
        <f t="shared" si="6"/>
        <v>844</v>
      </c>
      <c r="M428" s="74"/>
      <c r="N428" s="74"/>
    </row>
    <row r="429" spans="2:14" hidden="1" outlineLevel="1">
      <c r="B429" s="73">
        <v>423</v>
      </c>
      <c r="C429" s="39"/>
      <c r="D429" s="40"/>
      <c r="E429" s="34" t="s">
        <v>323</v>
      </c>
      <c r="F429" s="75" t="s">
        <v>794</v>
      </c>
      <c r="G429" s="35" t="s">
        <v>79</v>
      </c>
      <c r="H429" s="41" t="s">
        <v>80</v>
      </c>
      <c r="I429" s="44" t="str">
        <f>"0x"&amp;AE_w_WORK!E172</f>
        <v>0x2222</v>
      </c>
      <c r="J429" s="36">
        <v>40639</v>
      </c>
      <c r="K429" s="74"/>
      <c r="L429" s="74">
        <f t="shared" si="6"/>
        <v>846</v>
      </c>
      <c r="M429" s="74"/>
      <c r="N429" s="74"/>
    </row>
    <row r="430" spans="2:14" hidden="1" outlineLevel="1">
      <c r="B430" s="73">
        <v>424</v>
      </c>
      <c r="C430" s="39"/>
      <c r="D430" s="40"/>
      <c r="E430" s="34" t="s">
        <v>323</v>
      </c>
      <c r="F430" s="75" t="s">
        <v>795</v>
      </c>
      <c r="G430" s="35" t="s">
        <v>79</v>
      </c>
      <c r="H430" s="41" t="s">
        <v>80</v>
      </c>
      <c r="I430" s="44" t="str">
        <f>"0x"&amp;AE_w_WORK!E173</f>
        <v>0x2222</v>
      </c>
      <c r="J430" s="36">
        <v>40640</v>
      </c>
      <c r="K430" s="74"/>
      <c r="L430" s="74">
        <f t="shared" si="6"/>
        <v>848</v>
      </c>
      <c r="M430" s="74"/>
      <c r="N430" s="74"/>
    </row>
    <row r="431" spans="2:14" hidden="1" outlineLevel="1">
      <c r="B431" s="73">
        <v>425</v>
      </c>
      <c r="C431" s="39"/>
      <c r="D431" s="40"/>
      <c r="E431" s="34" t="s">
        <v>323</v>
      </c>
      <c r="F431" s="75" t="s">
        <v>796</v>
      </c>
      <c r="G431" s="35" t="s">
        <v>79</v>
      </c>
      <c r="H431" s="41" t="s">
        <v>80</v>
      </c>
      <c r="I431" s="44" t="str">
        <f>"0x"&amp;AE_w_WORK!E174</f>
        <v>0x2222</v>
      </c>
      <c r="J431" s="36">
        <v>40641</v>
      </c>
      <c r="K431" s="74"/>
      <c r="L431" s="74">
        <f t="shared" si="6"/>
        <v>850</v>
      </c>
      <c r="M431" s="74"/>
      <c r="N431" s="74"/>
    </row>
    <row r="432" spans="2:14" hidden="1" outlineLevel="1">
      <c r="B432" s="73">
        <v>426</v>
      </c>
      <c r="C432" s="39"/>
      <c r="D432" s="40"/>
      <c r="E432" s="34" t="s">
        <v>323</v>
      </c>
      <c r="F432" s="75" t="s">
        <v>797</v>
      </c>
      <c r="G432" s="35" t="s">
        <v>79</v>
      </c>
      <c r="H432" s="41" t="s">
        <v>80</v>
      </c>
      <c r="I432" s="44" t="str">
        <f>"0x"&amp;AE_w_WORK!E175</f>
        <v>0x2222</v>
      </c>
      <c r="J432" s="36">
        <v>40642</v>
      </c>
      <c r="K432" s="74"/>
      <c r="L432" s="74">
        <f t="shared" si="6"/>
        <v>852</v>
      </c>
      <c r="M432" s="74"/>
      <c r="N432" s="74"/>
    </row>
    <row r="433" spans="2:14" hidden="1" outlineLevel="1">
      <c r="B433" s="73">
        <v>427</v>
      </c>
      <c r="C433" s="39"/>
      <c r="D433" s="40"/>
      <c r="E433" s="34" t="s">
        <v>323</v>
      </c>
      <c r="F433" s="75" t="s">
        <v>798</v>
      </c>
      <c r="G433" s="35" t="s">
        <v>79</v>
      </c>
      <c r="H433" s="41" t="s">
        <v>80</v>
      </c>
      <c r="I433" s="44" t="str">
        <f>"0x"&amp;AE_w_WORK!E176</f>
        <v>0x2222</v>
      </c>
      <c r="J433" s="36">
        <v>40643</v>
      </c>
      <c r="K433" s="74"/>
      <c r="L433" s="74">
        <f t="shared" si="6"/>
        <v>854</v>
      </c>
      <c r="M433" s="74"/>
      <c r="N433" s="74"/>
    </row>
    <row r="434" spans="2:14" hidden="1" outlineLevel="1">
      <c r="B434" s="73">
        <v>428</v>
      </c>
      <c r="C434" s="39"/>
      <c r="D434" s="40"/>
      <c r="E434" s="34" t="s">
        <v>323</v>
      </c>
      <c r="F434" s="75" t="s">
        <v>799</v>
      </c>
      <c r="G434" s="35" t="s">
        <v>79</v>
      </c>
      <c r="H434" s="41" t="s">
        <v>80</v>
      </c>
      <c r="I434" s="44" t="str">
        <f>"0x"&amp;AE_w_WORK!E177</f>
        <v>0x2222</v>
      </c>
      <c r="J434" s="36">
        <v>40644</v>
      </c>
      <c r="K434" s="74"/>
      <c r="L434" s="74">
        <f t="shared" si="6"/>
        <v>856</v>
      </c>
      <c r="M434" s="74"/>
      <c r="N434" s="74"/>
    </row>
    <row r="435" spans="2:14" hidden="1" outlineLevel="1">
      <c r="B435" s="73">
        <v>429</v>
      </c>
      <c r="C435" s="39"/>
      <c r="D435" s="40"/>
      <c r="E435" s="34" t="s">
        <v>323</v>
      </c>
      <c r="F435" s="75" t="s">
        <v>800</v>
      </c>
      <c r="G435" s="35" t="s">
        <v>79</v>
      </c>
      <c r="H435" s="41" t="s">
        <v>80</v>
      </c>
      <c r="I435" s="44" t="str">
        <f>"0x"&amp;AE_w_WORK!E178</f>
        <v>0x2222</v>
      </c>
      <c r="J435" s="36">
        <v>40645</v>
      </c>
      <c r="K435" s="74"/>
      <c r="L435" s="74">
        <f t="shared" si="6"/>
        <v>858</v>
      </c>
      <c r="M435" s="74"/>
      <c r="N435" s="74"/>
    </row>
    <row r="436" spans="2:14" hidden="1" outlineLevel="1">
      <c r="B436" s="73">
        <v>430</v>
      </c>
      <c r="C436" s="39"/>
      <c r="D436" s="40"/>
      <c r="E436" s="34" t="s">
        <v>323</v>
      </c>
      <c r="F436" s="75" t="s">
        <v>801</v>
      </c>
      <c r="G436" s="35" t="s">
        <v>79</v>
      </c>
      <c r="H436" s="41" t="s">
        <v>80</v>
      </c>
      <c r="I436" s="44" t="str">
        <f>"0x"&amp;AE_w_WORK!E179</f>
        <v>0x2222</v>
      </c>
      <c r="J436" s="36">
        <v>40646</v>
      </c>
      <c r="K436" s="74"/>
      <c r="L436" s="74">
        <f t="shared" si="6"/>
        <v>860</v>
      </c>
      <c r="M436" s="74"/>
      <c r="N436" s="74"/>
    </row>
    <row r="437" spans="2:14" hidden="1" outlineLevel="1">
      <c r="B437" s="73">
        <v>431</v>
      </c>
      <c r="C437" s="39"/>
      <c r="D437" s="40"/>
      <c r="E437" s="34" t="s">
        <v>323</v>
      </c>
      <c r="F437" s="75" t="s">
        <v>802</v>
      </c>
      <c r="G437" s="35" t="s">
        <v>79</v>
      </c>
      <c r="H437" s="41" t="s">
        <v>80</v>
      </c>
      <c r="I437" s="44" t="str">
        <f>"0x"&amp;AE_w_WORK!E180</f>
        <v>0x2222</v>
      </c>
      <c r="J437" s="36">
        <v>40647</v>
      </c>
      <c r="K437" s="74"/>
      <c r="L437" s="74">
        <f t="shared" si="6"/>
        <v>862</v>
      </c>
      <c r="M437" s="74"/>
      <c r="N437" s="74"/>
    </row>
    <row r="438" spans="2:14" hidden="1" outlineLevel="1">
      <c r="B438" s="73">
        <v>432</v>
      </c>
      <c r="C438" s="39"/>
      <c r="D438" s="40"/>
      <c r="E438" s="34" t="s">
        <v>323</v>
      </c>
      <c r="F438" s="75" t="s">
        <v>803</v>
      </c>
      <c r="G438" s="35" t="s">
        <v>79</v>
      </c>
      <c r="H438" s="41" t="s">
        <v>80</v>
      </c>
      <c r="I438" s="44" t="str">
        <f>"0x"&amp;AE_w_WORK!E181</f>
        <v>0x2222</v>
      </c>
      <c r="J438" s="36">
        <v>40648</v>
      </c>
      <c r="K438" s="74"/>
      <c r="L438" s="74">
        <f t="shared" si="6"/>
        <v>864</v>
      </c>
      <c r="M438" s="74"/>
      <c r="N438" s="74"/>
    </row>
    <row r="439" spans="2:14" hidden="1" outlineLevel="1">
      <c r="B439" s="73">
        <v>433</v>
      </c>
      <c r="C439" s="39"/>
      <c r="D439" s="40"/>
      <c r="E439" s="34" t="s">
        <v>323</v>
      </c>
      <c r="F439" s="75" t="s">
        <v>804</v>
      </c>
      <c r="G439" s="35" t="s">
        <v>79</v>
      </c>
      <c r="H439" s="41" t="s">
        <v>80</v>
      </c>
      <c r="I439" s="44" t="str">
        <f>"0x"&amp;AE_w_WORK!E182</f>
        <v>0x2222</v>
      </c>
      <c r="J439" s="36">
        <v>40649</v>
      </c>
      <c r="K439" s="74"/>
      <c r="L439" s="74">
        <f t="shared" si="6"/>
        <v>866</v>
      </c>
      <c r="M439" s="74"/>
      <c r="N439" s="74"/>
    </row>
    <row r="440" spans="2:14" hidden="1" outlineLevel="1">
      <c r="B440" s="73">
        <v>434</v>
      </c>
      <c r="C440" s="39"/>
      <c r="D440" s="40"/>
      <c r="E440" s="34" t="s">
        <v>323</v>
      </c>
      <c r="F440" s="75" t="s">
        <v>805</v>
      </c>
      <c r="G440" s="35" t="s">
        <v>79</v>
      </c>
      <c r="H440" s="41" t="s">
        <v>80</v>
      </c>
      <c r="I440" s="44" t="str">
        <f>"0x"&amp;AE_w_WORK!E183</f>
        <v>0x2222</v>
      </c>
      <c r="J440" s="36">
        <v>40650</v>
      </c>
      <c r="K440" s="74"/>
      <c r="L440" s="74">
        <f t="shared" si="6"/>
        <v>868</v>
      </c>
      <c r="M440" s="74"/>
      <c r="N440" s="74"/>
    </row>
    <row r="441" spans="2:14" hidden="1" outlineLevel="1">
      <c r="B441" s="73">
        <v>435</v>
      </c>
      <c r="C441" s="39"/>
      <c r="D441" s="40"/>
      <c r="E441" s="34" t="s">
        <v>323</v>
      </c>
      <c r="F441" s="75" t="s">
        <v>806</v>
      </c>
      <c r="G441" s="35" t="s">
        <v>79</v>
      </c>
      <c r="H441" s="41" t="s">
        <v>80</v>
      </c>
      <c r="I441" s="44" t="str">
        <f>"0x"&amp;AE_w_WORK!E184</f>
        <v>0x2222</v>
      </c>
      <c r="J441" s="36">
        <v>40651</v>
      </c>
      <c r="K441" s="74"/>
      <c r="L441" s="74">
        <f t="shared" si="6"/>
        <v>870</v>
      </c>
      <c r="M441" s="74"/>
      <c r="N441" s="74"/>
    </row>
    <row r="442" spans="2:14" hidden="1" outlineLevel="1">
      <c r="B442" s="73">
        <v>436</v>
      </c>
      <c r="C442" s="39"/>
      <c r="D442" s="40"/>
      <c r="E442" s="34" t="s">
        <v>323</v>
      </c>
      <c r="F442" s="75" t="s">
        <v>807</v>
      </c>
      <c r="G442" s="35" t="s">
        <v>79</v>
      </c>
      <c r="H442" s="41" t="s">
        <v>80</v>
      </c>
      <c r="I442" s="44" t="str">
        <f>"0x"&amp;AE_w_WORK!E185</f>
        <v>0x2222</v>
      </c>
      <c r="J442" s="36">
        <v>40652</v>
      </c>
      <c r="K442" s="74"/>
      <c r="L442" s="74">
        <f t="shared" si="6"/>
        <v>872</v>
      </c>
      <c r="M442" s="74"/>
      <c r="N442" s="74"/>
    </row>
    <row r="443" spans="2:14" hidden="1" outlineLevel="1">
      <c r="B443" s="73">
        <v>437</v>
      </c>
      <c r="C443" s="39"/>
      <c r="D443" s="40"/>
      <c r="E443" s="34" t="s">
        <v>323</v>
      </c>
      <c r="F443" s="75" t="s">
        <v>808</v>
      </c>
      <c r="G443" s="35" t="s">
        <v>79</v>
      </c>
      <c r="H443" s="41" t="s">
        <v>80</v>
      </c>
      <c r="I443" s="44" t="str">
        <f>"0x"&amp;AE_w_WORK!E186</f>
        <v>0x2222</v>
      </c>
      <c r="J443" s="36">
        <v>40653</v>
      </c>
      <c r="K443" s="74"/>
      <c r="L443" s="74">
        <f t="shared" si="6"/>
        <v>874</v>
      </c>
      <c r="M443" s="74"/>
      <c r="N443" s="74"/>
    </row>
    <row r="444" spans="2:14" hidden="1" outlineLevel="1">
      <c r="B444" s="73">
        <v>438</v>
      </c>
      <c r="C444" s="39"/>
      <c r="D444" s="40"/>
      <c r="E444" s="34" t="s">
        <v>323</v>
      </c>
      <c r="F444" s="75" t="s">
        <v>809</v>
      </c>
      <c r="G444" s="35" t="s">
        <v>79</v>
      </c>
      <c r="H444" s="41" t="s">
        <v>80</v>
      </c>
      <c r="I444" s="44" t="str">
        <f>"0x"&amp;AE_w_WORK!E187</f>
        <v>0x2222</v>
      </c>
      <c r="J444" s="36">
        <v>40654</v>
      </c>
      <c r="K444" s="74"/>
      <c r="L444" s="74">
        <f t="shared" si="6"/>
        <v>876</v>
      </c>
      <c r="M444" s="74"/>
      <c r="N444" s="74"/>
    </row>
    <row r="445" spans="2:14" hidden="1" outlineLevel="1">
      <c r="B445" s="73">
        <v>439</v>
      </c>
      <c r="C445" s="39"/>
      <c r="D445" s="40"/>
      <c r="E445" s="34" t="s">
        <v>323</v>
      </c>
      <c r="F445" s="75" t="s">
        <v>810</v>
      </c>
      <c r="G445" s="35" t="s">
        <v>79</v>
      </c>
      <c r="H445" s="41" t="s">
        <v>80</v>
      </c>
      <c r="I445" s="44" t="str">
        <f>"0x"&amp;AE_w_WORK!E188</f>
        <v>0x2222</v>
      </c>
      <c r="J445" s="36">
        <v>40655</v>
      </c>
      <c r="K445" s="74"/>
      <c r="L445" s="74">
        <f t="shared" si="6"/>
        <v>878</v>
      </c>
      <c r="M445" s="74"/>
      <c r="N445" s="74"/>
    </row>
    <row r="446" spans="2:14" hidden="1" outlineLevel="1">
      <c r="B446" s="73">
        <v>440</v>
      </c>
      <c r="C446" s="39"/>
      <c r="D446" s="40"/>
      <c r="E446" s="34" t="s">
        <v>323</v>
      </c>
      <c r="F446" s="75" t="s">
        <v>811</v>
      </c>
      <c r="G446" s="35" t="s">
        <v>79</v>
      </c>
      <c r="H446" s="41" t="s">
        <v>80</v>
      </c>
      <c r="I446" s="44" t="str">
        <f>"0x"&amp;AE_w_WORK!E189</f>
        <v>0x2222</v>
      </c>
      <c r="J446" s="36">
        <v>40656</v>
      </c>
      <c r="K446" s="74"/>
      <c r="L446" s="74">
        <f t="shared" si="6"/>
        <v>880</v>
      </c>
      <c r="M446" s="74"/>
      <c r="N446" s="74"/>
    </row>
    <row r="447" spans="2:14" hidden="1" outlineLevel="1">
      <c r="B447" s="73">
        <v>441</v>
      </c>
      <c r="C447" s="39"/>
      <c r="D447" s="40"/>
      <c r="E447" s="34" t="s">
        <v>323</v>
      </c>
      <c r="F447" s="75" t="s">
        <v>812</v>
      </c>
      <c r="G447" s="35" t="s">
        <v>79</v>
      </c>
      <c r="H447" s="41" t="s">
        <v>80</v>
      </c>
      <c r="I447" s="44" t="str">
        <f>"0x"&amp;AE_w_WORK!E190</f>
        <v>0x2222</v>
      </c>
      <c r="J447" s="36">
        <v>40657</v>
      </c>
      <c r="K447" s="74"/>
      <c r="L447" s="74">
        <f t="shared" si="6"/>
        <v>882</v>
      </c>
      <c r="M447" s="74"/>
      <c r="N447" s="74"/>
    </row>
    <row r="448" spans="2:14" hidden="1" outlineLevel="1">
      <c r="B448" s="73">
        <v>442</v>
      </c>
      <c r="C448" s="39"/>
      <c r="D448" s="40"/>
      <c r="E448" s="34" t="s">
        <v>323</v>
      </c>
      <c r="F448" s="75" t="s">
        <v>813</v>
      </c>
      <c r="G448" s="35" t="s">
        <v>79</v>
      </c>
      <c r="H448" s="41" t="s">
        <v>80</v>
      </c>
      <c r="I448" s="44" t="str">
        <f>"0x"&amp;AE_w_WORK!E191</f>
        <v>0x2222</v>
      </c>
      <c r="J448" s="36">
        <v>40658</v>
      </c>
      <c r="K448" s="74"/>
      <c r="L448" s="74">
        <f t="shared" si="6"/>
        <v>884</v>
      </c>
      <c r="M448" s="74"/>
      <c r="N448" s="74"/>
    </row>
    <row r="449" spans="2:14" hidden="1" outlineLevel="1">
      <c r="B449" s="73">
        <v>443</v>
      </c>
      <c r="C449" s="39"/>
      <c r="D449" s="40"/>
      <c r="E449" s="34" t="s">
        <v>323</v>
      </c>
      <c r="F449" s="75" t="s">
        <v>814</v>
      </c>
      <c r="G449" s="35" t="s">
        <v>79</v>
      </c>
      <c r="H449" s="41" t="s">
        <v>80</v>
      </c>
      <c r="I449" s="44" t="str">
        <f>"0x"&amp;AE_w_WORK!E192</f>
        <v>0x2222</v>
      </c>
      <c r="J449" s="36">
        <v>40659</v>
      </c>
      <c r="K449" s="74"/>
      <c r="L449" s="74">
        <f t="shared" si="6"/>
        <v>886</v>
      </c>
      <c r="M449" s="74"/>
      <c r="N449" s="74"/>
    </row>
    <row r="450" spans="2:14" hidden="1" outlineLevel="1">
      <c r="B450" s="73">
        <v>444</v>
      </c>
      <c r="C450" s="39"/>
      <c r="D450" s="40"/>
      <c r="E450" s="34" t="s">
        <v>323</v>
      </c>
      <c r="F450" s="75" t="s">
        <v>815</v>
      </c>
      <c r="G450" s="35" t="s">
        <v>79</v>
      </c>
      <c r="H450" s="41" t="s">
        <v>80</v>
      </c>
      <c r="I450" s="44" t="str">
        <f>"0x"&amp;AE_w_WORK!E193</f>
        <v>0x2222</v>
      </c>
      <c r="J450" s="36">
        <v>40660</v>
      </c>
      <c r="K450" s="74"/>
      <c r="L450" s="74">
        <f t="shared" si="6"/>
        <v>888</v>
      </c>
      <c r="M450" s="74"/>
      <c r="N450" s="74"/>
    </row>
    <row r="451" spans="2:14" hidden="1" outlineLevel="1">
      <c r="B451" s="73">
        <v>445</v>
      </c>
      <c r="C451" s="39"/>
      <c r="D451" s="40"/>
      <c r="E451" s="34" t="s">
        <v>323</v>
      </c>
      <c r="F451" s="75" t="s">
        <v>816</v>
      </c>
      <c r="G451" s="35" t="s">
        <v>79</v>
      </c>
      <c r="H451" s="41" t="s">
        <v>80</v>
      </c>
      <c r="I451" s="44" t="str">
        <f>"0x"&amp;AE_w_WORK!E194</f>
        <v>0x2222</v>
      </c>
      <c r="J451" s="36">
        <v>40661</v>
      </c>
      <c r="K451" s="74"/>
      <c r="L451" s="74">
        <f t="shared" si="6"/>
        <v>890</v>
      </c>
      <c r="M451" s="74"/>
      <c r="N451" s="74"/>
    </row>
    <row r="452" spans="2:14" hidden="1" outlineLevel="1">
      <c r="B452" s="73">
        <v>446</v>
      </c>
      <c r="C452" s="39"/>
      <c r="D452" s="40"/>
      <c r="E452" s="34" t="s">
        <v>323</v>
      </c>
      <c r="F452" s="75" t="s">
        <v>817</v>
      </c>
      <c r="G452" s="35" t="s">
        <v>79</v>
      </c>
      <c r="H452" s="41" t="s">
        <v>80</v>
      </c>
      <c r="I452" s="44" t="str">
        <f>"0x"&amp;AE_w_WORK!E195</f>
        <v>0x2222</v>
      </c>
      <c r="J452" s="36">
        <v>40662</v>
      </c>
      <c r="K452" s="74"/>
      <c r="L452" s="74">
        <f t="shared" si="6"/>
        <v>892</v>
      </c>
      <c r="M452" s="74"/>
      <c r="N452" s="74"/>
    </row>
    <row r="453" spans="2:14" hidden="1" outlineLevel="1">
      <c r="B453" s="73">
        <v>447</v>
      </c>
      <c r="C453" s="39"/>
      <c r="D453" s="40"/>
      <c r="E453" s="34" t="s">
        <v>323</v>
      </c>
      <c r="F453" s="75" t="s">
        <v>818</v>
      </c>
      <c r="G453" s="35" t="s">
        <v>79</v>
      </c>
      <c r="H453" s="41" t="s">
        <v>80</v>
      </c>
      <c r="I453" s="44" t="str">
        <f>"0x"&amp;AE_w_WORK!E196</f>
        <v>0x2222</v>
      </c>
      <c r="J453" s="36">
        <v>40663</v>
      </c>
      <c r="K453" s="74"/>
      <c r="L453" s="74">
        <f t="shared" si="6"/>
        <v>894</v>
      </c>
      <c r="M453" s="74"/>
      <c r="N453" s="74"/>
    </row>
    <row r="454" spans="2:14" hidden="1" outlineLevel="1">
      <c r="B454" s="73">
        <v>448</v>
      </c>
      <c r="C454" s="39"/>
      <c r="D454" s="40"/>
      <c r="E454" s="34" t="s">
        <v>323</v>
      </c>
      <c r="F454" s="75" t="s">
        <v>819</v>
      </c>
      <c r="G454" s="35" t="s">
        <v>79</v>
      </c>
      <c r="H454" s="41" t="s">
        <v>80</v>
      </c>
      <c r="I454" s="44" t="str">
        <f>"0x"&amp;AE_w_WORK!E197</f>
        <v>0x2222</v>
      </c>
      <c r="J454" s="36">
        <v>40664</v>
      </c>
      <c r="K454" s="74"/>
      <c r="L454" s="74">
        <f t="shared" si="6"/>
        <v>896</v>
      </c>
      <c r="M454" s="74"/>
      <c r="N454" s="74"/>
    </row>
    <row r="455" spans="2:14" hidden="1" outlineLevel="1">
      <c r="B455" s="73">
        <v>449</v>
      </c>
      <c r="C455" s="39"/>
      <c r="D455" s="40"/>
      <c r="E455" s="34" t="s">
        <v>323</v>
      </c>
      <c r="F455" s="75" t="s">
        <v>820</v>
      </c>
      <c r="G455" s="35" t="s">
        <v>79</v>
      </c>
      <c r="H455" s="41" t="s">
        <v>80</v>
      </c>
      <c r="I455" s="44" t="str">
        <f>"0x"&amp;AE_w_WORK!E198</f>
        <v>0x2222</v>
      </c>
      <c r="J455" s="36">
        <v>40665</v>
      </c>
      <c r="K455" s="74"/>
      <c r="L455" s="74">
        <f t="shared" si="6"/>
        <v>898</v>
      </c>
      <c r="M455" s="74"/>
      <c r="N455" s="74"/>
    </row>
    <row r="456" spans="2:14" hidden="1" outlineLevel="1">
      <c r="B456" s="73">
        <v>450</v>
      </c>
      <c r="C456" s="39"/>
      <c r="D456" s="40"/>
      <c r="E456" s="34" t="s">
        <v>323</v>
      </c>
      <c r="F456" s="75" t="s">
        <v>821</v>
      </c>
      <c r="G456" s="35" t="s">
        <v>79</v>
      </c>
      <c r="H456" s="41" t="s">
        <v>80</v>
      </c>
      <c r="I456" s="44" t="str">
        <f>"0x"&amp;AE_w_WORK!E199</f>
        <v>0x2222</v>
      </c>
      <c r="J456" s="36">
        <v>40666</v>
      </c>
      <c r="K456" s="74"/>
      <c r="L456" s="74">
        <f t="shared" ref="L456:L518" si="7">L455+2</f>
        <v>900</v>
      </c>
      <c r="M456" s="74"/>
      <c r="N456" s="74"/>
    </row>
    <row r="457" spans="2:14" hidden="1" outlineLevel="1">
      <c r="B457" s="73">
        <v>451</v>
      </c>
      <c r="C457" s="39"/>
      <c r="D457" s="40"/>
      <c r="E457" s="34" t="s">
        <v>323</v>
      </c>
      <c r="F457" s="75" t="s">
        <v>822</v>
      </c>
      <c r="G457" s="35" t="s">
        <v>79</v>
      </c>
      <c r="H457" s="41" t="s">
        <v>80</v>
      </c>
      <c r="I457" s="44" t="str">
        <f>"0x"&amp;AE_w_WORK!E200</f>
        <v>0x2222</v>
      </c>
      <c r="J457" s="36">
        <v>40667</v>
      </c>
      <c r="K457" s="74"/>
      <c r="L457" s="74">
        <f t="shared" si="7"/>
        <v>902</v>
      </c>
      <c r="M457" s="74"/>
      <c r="N457" s="74"/>
    </row>
    <row r="458" spans="2:14" hidden="1" outlineLevel="1">
      <c r="B458" s="73">
        <v>452</v>
      </c>
      <c r="C458" s="39"/>
      <c r="D458" s="40"/>
      <c r="E458" s="34" t="s">
        <v>323</v>
      </c>
      <c r="F458" s="75" t="s">
        <v>823</v>
      </c>
      <c r="G458" s="35" t="s">
        <v>79</v>
      </c>
      <c r="H458" s="41" t="s">
        <v>80</v>
      </c>
      <c r="I458" s="44" t="str">
        <f>"0x"&amp;AE_w_WORK!E201</f>
        <v>0x2222</v>
      </c>
      <c r="J458" s="36">
        <v>40668</v>
      </c>
      <c r="K458" s="74"/>
      <c r="L458" s="74">
        <f t="shared" si="7"/>
        <v>904</v>
      </c>
      <c r="M458" s="74"/>
      <c r="N458" s="74"/>
    </row>
    <row r="459" spans="2:14" hidden="1" outlineLevel="1">
      <c r="B459" s="73">
        <v>453</v>
      </c>
      <c r="C459" s="39"/>
      <c r="D459" s="40"/>
      <c r="E459" s="34" t="s">
        <v>323</v>
      </c>
      <c r="F459" s="75" t="s">
        <v>824</v>
      </c>
      <c r="G459" s="35" t="s">
        <v>79</v>
      </c>
      <c r="H459" s="41" t="s">
        <v>80</v>
      </c>
      <c r="I459" s="44" t="str">
        <f>"0x"&amp;AE_w_WORK!E202</f>
        <v>0x2222</v>
      </c>
      <c r="J459" s="36">
        <v>40669</v>
      </c>
      <c r="K459" s="74"/>
      <c r="L459" s="74">
        <f t="shared" si="7"/>
        <v>906</v>
      </c>
      <c r="M459" s="74"/>
      <c r="N459" s="74"/>
    </row>
    <row r="460" spans="2:14" hidden="1" outlineLevel="1">
      <c r="B460" s="73">
        <v>454</v>
      </c>
      <c r="C460" s="39"/>
      <c r="D460" s="40"/>
      <c r="E460" s="34" t="s">
        <v>323</v>
      </c>
      <c r="F460" s="75" t="s">
        <v>825</v>
      </c>
      <c r="G460" s="35" t="s">
        <v>79</v>
      </c>
      <c r="H460" s="41" t="s">
        <v>80</v>
      </c>
      <c r="I460" s="44" t="str">
        <f>"0x"&amp;AE_w_WORK!E203</f>
        <v>0x2222</v>
      </c>
      <c r="J460" s="36">
        <v>40670</v>
      </c>
      <c r="K460" s="74"/>
      <c r="L460" s="74">
        <f t="shared" si="7"/>
        <v>908</v>
      </c>
      <c r="M460" s="74"/>
      <c r="N460" s="74"/>
    </row>
    <row r="461" spans="2:14" hidden="1" outlineLevel="1">
      <c r="B461" s="73">
        <v>455</v>
      </c>
      <c r="C461" s="39"/>
      <c r="D461" s="40"/>
      <c r="E461" s="34" t="s">
        <v>323</v>
      </c>
      <c r="F461" s="75" t="s">
        <v>826</v>
      </c>
      <c r="G461" s="35" t="s">
        <v>79</v>
      </c>
      <c r="H461" s="41" t="s">
        <v>80</v>
      </c>
      <c r="I461" s="44" t="str">
        <f>"0x"&amp;AE_w_WORK!E204</f>
        <v>0x2222</v>
      </c>
      <c r="J461" s="36">
        <v>40671</v>
      </c>
      <c r="K461" s="74"/>
      <c r="L461" s="74">
        <f t="shared" si="7"/>
        <v>910</v>
      </c>
      <c r="M461" s="74"/>
      <c r="N461" s="74"/>
    </row>
    <row r="462" spans="2:14" hidden="1" outlineLevel="1">
      <c r="B462" s="73">
        <v>456</v>
      </c>
      <c r="C462" s="39"/>
      <c r="D462" s="40"/>
      <c r="E462" s="34" t="s">
        <v>323</v>
      </c>
      <c r="F462" s="75" t="s">
        <v>827</v>
      </c>
      <c r="G462" s="35" t="s">
        <v>79</v>
      </c>
      <c r="H462" s="41" t="s">
        <v>80</v>
      </c>
      <c r="I462" s="44" t="str">
        <f>"0x"&amp;AE_w_WORK!E205</f>
        <v>0x2222</v>
      </c>
      <c r="J462" s="36">
        <v>40672</v>
      </c>
      <c r="K462" s="74"/>
      <c r="L462" s="74">
        <f t="shared" si="7"/>
        <v>912</v>
      </c>
      <c r="M462" s="74"/>
      <c r="N462" s="74"/>
    </row>
    <row r="463" spans="2:14" hidden="1" outlineLevel="1">
      <c r="B463" s="73">
        <v>457</v>
      </c>
      <c r="C463" s="39"/>
      <c r="D463" s="40"/>
      <c r="E463" s="34" t="s">
        <v>323</v>
      </c>
      <c r="F463" s="75" t="s">
        <v>828</v>
      </c>
      <c r="G463" s="35" t="s">
        <v>79</v>
      </c>
      <c r="H463" s="41" t="s">
        <v>80</v>
      </c>
      <c r="I463" s="44" t="str">
        <f>"0x"&amp;AE_w_WORK!E206</f>
        <v>0x2222</v>
      </c>
      <c r="J463" s="36">
        <v>40673</v>
      </c>
      <c r="K463" s="74"/>
      <c r="L463" s="74">
        <f t="shared" si="7"/>
        <v>914</v>
      </c>
      <c r="M463" s="74"/>
      <c r="N463" s="74"/>
    </row>
    <row r="464" spans="2:14" hidden="1" outlineLevel="1">
      <c r="B464" s="73">
        <v>458</v>
      </c>
      <c r="C464" s="39"/>
      <c r="D464" s="40"/>
      <c r="E464" s="34" t="s">
        <v>323</v>
      </c>
      <c r="F464" s="75" t="s">
        <v>829</v>
      </c>
      <c r="G464" s="35" t="s">
        <v>79</v>
      </c>
      <c r="H464" s="41" t="s">
        <v>80</v>
      </c>
      <c r="I464" s="44" t="str">
        <f>"0x"&amp;AE_w_WORK!E207</f>
        <v>0x2222</v>
      </c>
      <c r="J464" s="36">
        <v>40674</v>
      </c>
      <c r="K464" s="74"/>
      <c r="L464" s="74">
        <f t="shared" si="7"/>
        <v>916</v>
      </c>
      <c r="M464" s="74"/>
      <c r="N464" s="74"/>
    </row>
    <row r="465" spans="2:14" hidden="1" outlineLevel="1">
      <c r="B465" s="73">
        <v>459</v>
      </c>
      <c r="C465" s="39"/>
      <c r="D465" s="40"/>
      <c r="E465" s="34" t="s">
        <v>323</v>
      </c>
      <c r="F465" s="75" t="s">
        <v>830</v>
      </c>
      <c r="G465" s="35" t="s">
        <v>79</v>
      </c>
      <c r="H465" s="41" t="s">
        <v>80</v>
      </c>
      <c r="I465" s="44" t="str">
        <f>"0x"&amp;AE_w_WORK!E208</f>
        <v>0x2222</v>
      </c>
      <c r="J465" s="36">
        <v>40675</v>
      </c>
      <c r="K465" s="74"/>
      <c r="L465" s="74">
        <f t="shared" si="7"/>
        <v>918</v>
      </c>
      <c r="M465" s="74"/>
      <c r="N465" s="74"/>
    </row>
    <row r="466" spans="2:14" hidden="1" outlineLevel="1">
      <c r="B466" s="73">
        <v>460</v>
      </c>
      <c r="C466" s="39"/>
      <c r="D466" s="40"/>
      <c r="E466" s="34" t="s">
        <v>323</v>
      </c>
      <c r="F466" s="75" t="s">
        <v>831</v>
      </c>
      <c r="G466" s="35" t="s">
        <v>79</v>
      </c>
      <c r="H466" s="41" t="s">
        <v>80</v>
      </c>
      <c r="I466" s="44" t="str">
        <f>"0x"&amp;AE_w_WORK!E209</f>
        <v>0x2222</v>
      </c>
      <c r="J466" s="36">
        <v>40676</v>
      </c>
      <c r="K466" s="74"/>
      <c r="L466" s="74">
        <f t="shared" si="7"/>
        <v>920</v>
      </c>
      <c r="M466" s="74"/>
      <c r="N466" s="74"/>
    </row>
    <row r="467" spans="2:14" hidden="1" outlineLevel="1">
      <c r="B467" s="73">
        <v>461</v>
      </c>
      <c r="C467" s="39"/>
      <c r="D467" s="40"/>
      <c r="E467" s="34" t="s">
        <v>323</v>
      </c>
      <c r="F467" s="75" t="s">
        <v>832</v>
      </c>
      <c r="G467" s="35" t="s">
        <v>79</v>
      </c>
      <c r="H467" s="41" t="s">
        <v>80</v>
      </c>
      <c r="I467" s="44" t="str">
        <f>"0x"&amp;AE_w_WORK!E210</f>
        <v>0x2222</v>
      </c>
      <c r="J467" s="36">
        <v>40677</v>
      </c>
      <c r="K467" s="74"/>
      <c r="L467" s="74">
        <f t="shared" si="7"/>
        <v>922</v>
      </c>
      <c r="M467" s="74"/>
      <c r="N467" s="74"/>
    </row>
    <row r="468" spans="2:14" hidden="1" outlineLevel="1">
      <c r="B468" s="73">
        <v>462</v>
      </c>
      <c r="C468" s="39"/>
      <c r="D468" s="40"/>
      <c r="E468" s="34" t="s">
        <v>323</v>
      </c>
      <c r="F468" s="75" t="s">
        <v>833</v>
      </c>
      <c r="G468" s="35" t="s">
        <v>79</v>
      </c>
      <c r="H468" s="41" t="s">
        <v>80</v>
      </c>
      <c r="I468" s="44" t="str">
        <f>"0x"&amp;AE_w_WORK!E211</f>
        <v>0x2222</v>
      </c>
      <c r="J468" s="36">
        <v>40678</v>
      </c>
      <c r="K468" s="74"/>
      <c r="L468" s="74">
        <f t="shared" si="7"/>
        <v>924</v>
      </c>
      <c r="M468" s="74"/>
      <c r="N468" s="74"/>
    </row>
    <row r="469" spans="2:14" hidden="1" outlineLevel="1">
      <c r="B469" s="73">
        <v>463</v>
      </c>
      <c r="C469" s="39"/>
      <c r="D469" s="40"/>
      <c r="E469" s="34" t="s">
        <v>323</v>
      </c>
      <c r="F469" s="75" t="s">
        <v>834</v>
      </c>
      <c r="G469" s="35" t="s">
        <v>79</v>
      </c>
      <c r="H469" s="41" t="s">
        <v>80</v>
      </c>
      <c r="I469" s="44" t="str">
        <f>"0x"&amp;AE_w_WORK!E212</f>
        <v>0x2222</v>
      </c>
      <c r="J469" s="36">
        <v>40679</v>
      </c>
      <c r="K469" s="74"/>
      <c r="L469" s="74">
        <f t="shared" si="7"/>
        <v>926</v>
      </c>
      <c r="M469" s="74"/>
      <c r="N469" s="74"/>
    </row>
    <row r="470" spans="2:14" hidden="1" outlineLevel="1">
      <c r="B470" s="73">
        <v>464</v>
      </c>
      <c r="C470" s="39"/>
      <c r="D470" s="40"/>
      <c r="E470" s="34" t="s">
        <v>323</v>
      </c>
      <c r="F470" s="75" t="s">
        <v>835</v>
      </c>
      <c r="G470" s="35" t="s">
        <v>79</v>
      </c>
      <c r="H470" s="41" t="s">
        <v>80</v>
      </c>
      <c r="I470" s="44" t="str">
        <f>"0x"&amp;AE_w_WORK!E213</f>
        <v>0x2222</v>
      </c>
      <c r="J470" s="36">
        <v>40680</v>
      </c>
      <c r="K470" s="74"/>
      <c r="L470" s="74">
        <f t="shared" si="7"/>
        <v>928</v>
      </c>
      <c r="M470" s="74"/>
      <c r="N470" s="74"/>
    </row>
    <row r="471" spans="2:14" hidden="1" outlineLevel="1">
      <c r="B471" s="73">
        <v>465</v>
      </c>
      <c r="C471" s="39"/>
      <c r="D471" s="40"/>
      <c r="E471" s="34" t="s">
        <v>323</v>
      </c>
      <c r="F471" s="75" t="s">
        <v>836</v>
      </c>
      <c r="G471" s="35" t="s">
        <v>79</v>
      </c>
      <c r="H471" s="41" t="s">
        <v>80</v>
      </c>
      <c r="I471" s="44" t="str">
        <f>"0x"&amp;AE_w_WORK!E214</f>
        <v>0x2222</v>
      </c>
      <c r="J471" s="36">
        <v>40681</v>
      </c>
      <c r="K471" s="74"/>
      <c r="L471" s="74">
        <f t="shared" si="7"/>
        <v>930</v>
      </c>
      <c r="M471" s="74"/>
      <c r="N471" s="74"/>
    </row>
    <row r="472" spans="2:14" hidden="1" outlineLevel="1">
      <c r="B472" s="73">
        <v>466</v>
      </c>
      <c r="C472" s="39"/>
      <c r="D472" s="40"/>
      <c r="E472" s="34" t="s">
        <v>323</v>
      </c>
      <c r="F472" s="75" t="s">
        <v>837</v>
      </c>
      <c r="G472" s="35" t="s">
        <v>79</v>
      </c>
      <c r="H472" s="41" t="s">
        <v>80</v>
      </c>
      <c r="I472" s="44" t="str">
        <f>"0x"&amp;AE_w_WORK!E215</f>
        <v>0x2222</v>
      </c>
      <c r="J472" s="36">
        <v>40682</v>
      </c>
      <c r="K472" s="74"/>
      <c r="L472" s="74">
        <f t="shared" si="7"/>
        <v>932</v>
      </c>
      <c r="M472" s="74"/>
      <c r="N472" s="74"/>
    </row>
    <row r="473" spans="2:14" hidden="1" outlineLevel="1">
      <c r="B473" s="73">
        <v>467</v>
      </c>
      <c r="C473" s="39"/>
      <c r="D473" s="40"/>
      <c r="E473" s="34" t="s">
        <v>323</v>
      </c>
      <c r="F473" s="75" t="s">
        <v>838</v>
      </c>
      <c r="G473" s="35" t="s">
        <v>79</v>
      </c>
      <c r="H473" s="41" t="s">
        <v>80</v>
      </c>
      <c r="I473" s="44" t="str">
        <f>"0x"&amp;AE_w_WORK!E216</f>
        <v>0x2222</v>
      </c>
      <c r="J473" s="36">
        <v>40683</v>
      </c>
      <c r="K473" s="74"/>
      <c r="L473" s="74">
        <f t="shared" si="7"/>
        <v>934</v>
      </c>
      <c r="M473" s="74"/>
      <c r="N473" s="74"/>
    </row>
    <row r="474" spans="2:14" hidden="1" outlineLevel="1">
      <c r="B474" s="73">
        <v>468</v>
      </c>
      <c r="C474" s="39"/>
      <c r="D474" s="40"/>
      <c r="E474" s="34" t="s">
        <v>323</v>
      </c>
      <c r="F474" s="75" t="s">
        <v>839</v>
      </c>
      <c r="G474" s="35" t="s">
        <v>79</v>
      </c>
      <c r="H474" s="41" t="s">
        <v>80</v>
      </c>
      <c r="I474" s="44" t="str">
        <f>"0x"&amp;AE_w_WORK!E217</f>
        <v>0x2222</v>
      </c>
      <c r="J474" s="36">
        <v>40684</v>
      </c>
      <c r="K474" s="74"/>
      <c r="L474" s="74">
        <f t="shared" si="7"/>
        <v>936</v>
      </c>
      <c r="M474" s="74"/>
      <c r="N474" s="74"/>
    </row>
    <row r="475" spans="2:14" hidden="1" outlineLevel="1">
      <c r="B475" s="73">
        <v>469</v>
      </c>
      <c r="C475" s="39"/>
      <c r="D475" s="40"/>
      <c r="E475" s="34" t="s">
        <v>323</v>
      </c>
      <c r="F475" s="75" t="s">
        <v>840</v>
      </c>
      <c r="G475" s="35" t="s">
        <v>79</v>
      </c>
      <c r="H475" s="41" t="s">
        <v>80</v>
      </c>
      <c r="I475" s="44" t="str">
        <f>"0x"&amp;AE_w_WORK!E218</f>
        <v>0x2222</v>
      </c>
      <c r="J475" s="36">
        <v>40685</v>
      </c>
      <c r="K475" s="74"/>
      <c r="L475" s="74">
        <f t="shared" si="7"/>
        <v>938</v>
      </c>
      <c r="M475" s="74"/>
      <c r="N475" s="74"/>
    </row>
    <row r="476" spans="2:14" hidden="1" outlineLevel="1">
      <c r="B476" s="73">
        <v>470</v>
      </c>
      <c r="C476" s="39"/>
      <c r="D476" s="40"/>
      <c r="E476" s="34" t="s">
        <v>323</v>
      </c>
      <c r="F476" s="75" t="s">
        <v>841</v>
      </c>
      <c r="G476" s="35" t="s">
        <v>79</v>
      </c>
      <c r="H476" s="41" t="s">
        <v>80</v>
      </c>
      <c r="I476" s="44" t="str">
        <f>"0x"&amp;AE_w_WORK!E219</f>
        <v>0x2222</v>
      </c>
      <c r="J476" s="36">
        <v>40686</v>
      </c>
      <c r="K476" s="74"/>
      <c r="L476" s="74">
        <f t="shared" si="7"/>
        <v>940</v>
      </c>
      <c r="M476" s="74"/>
      <c r="N476" s="74"/>
    </row>
    <row r="477" spans="2:14" hidden="1" outlineLevel="1">
      <c r="B477" s="73">
        <v>471</v>
      </c>
      <c r="C477" s="39"/>
      <c r="D477" s="40"/>
      <c r="E477" s="34" t="s">
        <v>323</v>
      </c>
      <c r="F477" s="75" t="s">
        <v>842</v>
      </c>
      <c r="G477" s="35" t="s">
        <v>79</v>
      </c>
      <c r="H477" s="41" t="s">
        <v>80</v>
      </c>
      <c r="I477" s="44" t="str">
        <f>"0x"&amp;AE_w_WORK!E220</f>
        <v>0x2222</v>
      </c>
      <c r="J477" s="36">
        <v>40687</v>
      </c>
      <c r="K477" s="74"/>
      <c r="L477" s="74">
        <f t="shared" si="7"/>
        <v>942</v>
      </c>
      <c r="M477" s="74"/>
      <c r="N477" s="74"/>
    </row>
    <row r="478" spans="2:14" hidden="1" outlineLevel="1">
      <c r="B478" s="73">
        <v>472</v>
      </c>
      <c r="C478" s="39"/>
      <c r="D478" s="40"/>
      <c r="E478" s="34" t="s">
        <v>323</v>
      </c>
      <c r="F478" s="75" t="s">
        <v>843</v>
      </c>
      <c r="G478" s="35" t="s">
        <v>79</v>
      </c>
      <c r="H478" s="41" t="s">
        <v>80</v>
      </c>
      <c r="I478" s="44" t="str">
        <f>"0x"&amp;AE_w_WORK!E221</f>
        <v>0x2222</v>
      </c>
      <c r="J478" s="36">
        <v>40688</v>
      </c>
      <c r="K478" s="74"/>
      <c r="L478" s="74">
        <f t="shared" si="7"/>
        <v>944</v>
      </c>
      <c r="M478" s="74"/>
      <c r="N478" s="74"/>
    </row>
    <row r="479" spans="2:14" hidden="1" outlineLevel="1">
      <c r="B479" s="73">
        <v>473</v>
      </c>
      <c r="C479" s="39"/>
      <c r="D479" s="40"/>
      <c r="E479" s="34" t="s">
        <v>323</v>
      </c>
      <c r="F479" s="75" t="s">
        <v>844</v>
      </c>
      <c r="G479" s="35" t="s">
        <v>79</v>
      </c>
      <c r="H479" s="41" t="s">
        <v>80</v>
      </c>
      <c r="I479" s="44" t="str">
        <f>"0x"&amp;AE_w_WORK!E222</f>
        <v>0x2222</v>
      </c>
      <c r="J479" s="36">
        <v>40689</v>
      </c>
      <c r="K479" s="74"/>
      <c r="L479" s="74">
        <f t="shared" si="7"/>
        <v>946</v>
      </c>
      <c r="M479" s="74"/>
      <c r="N479" s="74"/>
    </row>
    <row r="480" spans="2:14" hidden="1" outlineLevel="1">
      <c r="B480" s="73">
        <v>474</v>
      </c>
      <c r="C480" s="39"/>
      <c r="D480" s="40"/>
      <c r="E480" s="34" t="s">
        <v>323</v>
      </c>
      <c r="F480" s="75" t="s">
        <v>845</v>
      </c>
      <c r="G480" s="35" t="s">
        <v>79</v>
      </c>
      <c r="H480" s="41" t="s">
        <v>80</v>
      </c>
      <c r="I480" s="44" t="str">
        <f>"0x"&amp;AE_w_WORK!E223</f>
        <v>0x2222</v>
      </c>
      <c r="J480" s="36">
        <v>40690</v>
      </c>
      <c r="K480" s="74"/>
      <c r="L480" s="74">
        <f t="shared" si="7"/>
        <v>948</v>
      </c>
      <c r="M480" s="74"/>
      <c r="N480" s="74"/>
    </row>
    <row r="481" spans="2:14" hidden="1" outlineLevel="1">
      <c r="B481" s="73">
        <v>475</v>
      </c>
      <c r="C481" s="39"/>
      <c r="D481" s="40"/>
      <c r="E481" s="34" t="s">
        <v>323</v>
      </c>
      <c r="F481" s="75" t="s">
        <v>846</v>
      </c>
      <c r="G481" s="35" t="s">
        <v>79</v>
      </c>
      <c r="H481" s="41" t="s">
        <v>80</v>
      </c>
      <c r="I481" s="44" t="str">
        <f>"0x"&amp;AE_w_WORK!E224</f>
        <v>0x2222</v>
      </c>
      <c r="J481" s="36">
        <v>40691</v>
      </c>
      <c r="K481" s="74"/>
      <c r="L481" s="74">
        <f t="shared" si="7"/>
        <v>950</v>
      </c>
      <c r="M481" s="74"/>
      <c r="N481" s="74"/>
    </row>
    <row r="482" spans="2:14" hidden="1" outlineLevel="1">
      <c r="B482" s="73">
        <v>476</v>
      </c>
      <c r="C482" s="39"/>
      <c r="D482" s="40"/>
      <c r="E482" s="34" t="s">
        <v>323</v>
      </c>
      <c r="F482" s="75" t="s">
        <v>847</v>
      </c>
      <c r="G482" s="35" t="s">
        <v>79</v>
      </c>
      <c r="H482" s="41" t="s">
        <v>80</v>
      </c>
      <c r="I482" s="44" t="str">
        <f>"0x"&amp;AE_w_WORK!E225</f>
        <v>0x2222</v>
      </c>
      <c r="J482" s="36">
        <v>40692</v>
      </c>
      <c r="K482" s="74"/>
      <c r="L482" s="74">
        <f t="shared" si="7"/>
        <v>952</v>
      </c>
      <c r="M482" s="74"/>
      <c r="N482" s="74"/>
    </row>
    <row r="483" spans="2:14" hidden="1" outlineLevel="1">
      <c r="B483" s="73">
        <v>477</v>
      </c>
      <c r="C483" s="39"/>
      <c r="D483" s="40"/>
      <c r="E483" s="34" t="s">
        <v>323</v>
      </c>
      <c r="F483" s="75" t="s">
        <v>848</v>
      </c>
      <c r="G483" s="35" t="s">
        <v>79</v>
      </c>
      <c r="H483" s="41" t="s">
        <v>80</v>
      </c>
      <c r="I483" s="44" t="str">
        <f>"0x"&amp;AE_w_WORK!E226</f>
        <v>0x2222</v>
      </c>
      <c r="J483" s="36">
        <v>40693</v>
      </c>
      <c r="K483" s="74"/>
      <c r="L483" s="74">
        <f t="shared" si="7"/>
        <v>954</v>
      </c>
      <c r="M483" s="74"/>
      <c r="N483" s="74"/>
    </row>
    <row r="484" spans="2:14" hidden="1" outlineLevel="1">
      <c r="B484" s="73">
        <v>478</v>
      </c>
      <c r="C484" s="39"/>
      <c r="D484" s="40"/>
      <c r="E484" s="34" t="s">
        <v>323</v>
      </c>
      <c r="F484" s="75" t="s">
        <v>849</v>
      </c>
      <c r="G484" s="35" t="s">
        <v>79</v>
      </c>
      <c r="H484" s="41" t="s">
        <v>80</v>
      </c>
      <c r="I484" s="44" t="str">
        <f>"0x"&amp;AE_w_WORK!E227</f>
        <v>0x2222</v>
      </c>
      <c r="J484" s="36">
        <v>40694</v>
      </c>
      <c r="K484" s="74"/>
      <c r="L484" s="74">
        <f t="shared" si="7"/>
        <v>956</v>
      </c>
      <c r="M484" s="74"/>
      <c r="N484" s="74"/>
    </row>
    <row r="485" spans="2:14" hidden="1" outlineLevel="1">
      <c r="B485" s="73">
        <v>479</v>
      </c>
      <c r="C485" s="39"/>
      <c r="D485" s="40"/>
      <c r="E485" s="34" t="s">
        <v>323</v>
      </c>
      <c r="F485" s="75" t="s">
        <v>850</v>
      </c>
      <c r="G485" s="35" t="s">
        <v>79</v>
      </c>
      <c r="H485" s="41" t="s">
        <v>80</v>
      </c>
      <c r="I485" s="44" t="str">
        <f>"0x"&amp;AE_w_WORK!E228</f>
        <v>0x2222</v>
      </c>
      <c r="J485" s="36">
        <v>40695</v>
      </c>
      <c r="K485" s="74"/>
      <c r="L485" s="74">
        <f t="shared" si="7"/>
        <v>958</v>
      </c>
      <c r="M485" s="74"/>
      <c r="N485" s="74"/>
    </row>
    <row r="486" spans="2:14" hidden="1" outlineLevel="1">
      <c r="B486" s="73">
        <v>480</v>
      </c>
      <c r="C486" s="39"/>
      <c r="D486" s="40"/>
      <c r="E486" s="34" t="s">
        <v>323</v>
      </c>
      <c r="F486" s="75" t="s">
        <v>851</v>
      </c>
      <c r="G486" s="35" t="s">
        <v>79</v>
      </c>
      <c r="H486" s="41" t="s">
        <v>80</v>
      </c>
      <c r="I486" s="44" t="str">
        <f>"0x"&amp;AE_w_WORK!E229</f>
        <v>0x2222</v>
      </c>
      <c r="J486" s="36">
        <v>40696</v>
      </c>
      <c r="K486" s="74"/>
      <c r="L486" s="74">
        <f t="shared" si="7"/>
        <v>960</v>
      </c>
      <c r="M486" s="74"/>
      <c r="N486" s="74"/>
    </row>
    <row r="487" spans="2:14" hidden="1" outlineLevel="1">
      <c r="B487" s="73">
        <v>481</v>
      </c>
      <c r="C487" s="39"/>
      <c r="D487" s="40"/>
      <c r="E487" s="34" t="s">
        <v>323</v>
      </c>
      <c r="F487" s="75" t="s">
        <v>852</v>
      </c>
      <c r="G487" s="35" t="s">
        <v>79</v>
      </c>
      <c r="H487" s="41" t="s">
        <v>80</v>
      </c>
      <c r="I487" s="44" t="str">
        <f>"0x"&amp;AE_w_WORK!E230</f>
        <v>0x2222</v>
      </c>
      <c r="J487" s="36">
        <v>40697</v>
      </c>
      <c r="K487" s="74"/>
      <c r="L487" s="74">
        <f t="shared" si="7"/>
        <v>962</v>
      </c>
      <c r="M487" s="74"/>
      <c r="N487" s="74"/>
    </row>
    <row r="488" spans="2:14" hidden="1" outlineLevel="1">
      <c r="B488" s="73">
        <v>482</v>
      </c>
      <c r="C488" s="39"/>
      <c r="D488" s="40"/>
      <c r="E488" s="34" t="s">
        <v>323</v>
      </c>
      <c r="F488" s="75" t="s">
        <v>853</v>
      </c>
      <c r="G488" s="35" t="s">
        <v>79</v>
      </c>
      <c r="H488" s="41" t="s">
        <v>80</v>
      </c>
      <c r="I488" s="44" t="str">
        <f>"0x"&amp;AE_w_WORK!E231</f>
        <v>0x2222</v>
      </c>
      <c r="J488" s="36">
        <v>40698</v>
      </c>
      <c r="K488" s="74"/>
      <c r="L488" s="74">
        <f t="shared" si="7"/>
        <v>964</v>
      </c>
      <c r="M488" s="74"/>
      <c r="N488" s="74"/>
    </row>
    <row r="489" spans="2:14" hidden="1" outlineLevel="1">
      <c r="B489" s="73">
        <v>483</v>
      </c>
      <c r="C489" s="39"/>
      <c r="D489" s="40"/>
      <c r="E489" s="34" t="s">
        <v>323</v>
      </c>
      <c r="F489" s="75" t="s">
        <v>854</v>
      </c>
      <c r="G489" s="35" t="s">
        <v>79</v>
      </c>
      <c r="H489" s="41" t="s">
        <v>80</v>
      </c>
      <c r="I489" s="44" t="str">
        <f>"0x"&amp;AE_w_WORK!E232</f>
        <v>0x2222</v>
      </c>
      <c r="J489" s="36">
        <v>40699</v>
      </c>
      <c r="K489" s="74"/>
      <c r="L489" s="74">
        <f t="shared" si="7"/>
        <v>966</v>
      </c>
      <c r="M489" s="74"/>
      <c r="N489" s="74"/>
    </row>
    <row r="490" spans="2:14" hidden="1" outlineLevel="1">
      <c r="B490" s="73">
        <v>484</v>
      </c>
      <c r="C490" s="39"/>
      <c r="D490" s="40"/>
      <c r="E490" s="34" t="s">
        <v>323</v>
      </c>
      <c r="F490" s="75" t="s">
        <v>855</v>
      </c>
      <c r="G490" s="35" t="s">
        <v>79</v>
      </c>
      <c r="H490" s="41" t="s">
        <v>80</v>
      </c>
      <c r="I490" s="44" t="str">
        <f>"0x"&amp;AE_w_WORK!E233</f>
        <v>0x2222</v>
      </c>
      <c r="J490" s="36">
        <v>40700</v>
      </c>
      <c r="K490" s="74"/>
      <c r="L490" s="74">
        <f t="shared" si="7"/>
        <v>968</v>
      </c>
      <c r="M490" s="74"/>
      <c r="N490" s="74"/>
    </row>
    <row r="491" spans="2:14" hidden="1" outlineLevel="1">
      <c r="B491" s="73">
        <v>485</v>
      </c>
      <c r="C491" s="39"/>
      <c r="D491" s="40"/>
      <c r="E491" s="34" t="s">
        <v>323</v>
      </c>
      <c r="F491" s="75" t="s">
        <v>856</v>
      </c>
      <c r="G491" s="35" t="s">
        <v>79</v>
      </c>
      <c r="H491" s="41" t="s">
        <v>80</v>
      </c>
      <c r="I491" s="44" t="str">
        <f>"0x"&amp;AE_w_WORK!E234</f>
        <v>0x2222</v>
      </c>
      <c r="J491" s="36">
        <v>40701</v>
      </c>
      <c r="K491" s="74"/>
      <c r="L491" s="74">
        <f t="shared" si="7"/>
        <v>970</v>
      </c>
      <c r="M491" s="74"/>
      <c r="N491" s="74"/>
    </row>
    <row r="492" spans="2:14" hidden="1" outlineLevel="1">
      <c r="B492" s="73">
        <v>486</v>
      </c>
      <c r="C492" s="39"/>
      <c r="D492" s="40"/>
      <c r="E492" s="34" t="s">
        <v>323</v>
      </c>
      <c r="F492" s="75" t="s">
        <v>857</v>
      </c>
      <c r="G492" s="35" t="s">
        <v>79</v>
      </c>
      <c r="H492" s="41" t="s">
        <v>80</v>
      </c>
      <c r="I492" s="44" t="str">
        <f>"0x"&amp;AE_w_WORK!E235</f>
        <v>0x2222</v>
      </c>
      <c r="J492" s="36">
        <v>40702</v>
      </c>
      <c r="K492" s="74"/>
      <c r="L492" s="74">
        <f t="shared" si="7"/>
        <v>972</v>
      </c>
      <c r="M492" s="74"/>
      <c r="N492" s="74"/>
    </row>
    <row r="493" spans="2:14" hidden="1" outlineLevel="1">
      <c r="B493" s="73">
        <v>487</v>
      </c>
      <c r="C493" s="39"/>
      <c r="D493" s="40"/>
      <c r="E493" s="34" t="s">
        <v>323</v>
      </c>
      <c r="F493" s="75" t="s">
        <v>858</v>
      </c>
      <c r="G493" s="35" t="s">
        <v>79</v>
      </c>
      <c r="H493" s="41" t="s">
        <v>80</v>
      </c>
      <c r="I493" s="44" t="str">
        <f>"0x"&amp;AE_w_WORK!E236</f>
        <v>0x2222</v>
      </c>
      <c r="J493" s="36">
        <v>40703</v>
      </c>
      <c r="K493" s="74"/>
      <c r="L493" s="74">
        <f t="shared" si="7"/>
        <v>974</v>
      </c>
      <c r="M493" s="74"/>
      <c r="N493" s="74"/>
    </row>
    <row r="494" spans="2:14" hidden="1" outlineLevel="1">
      <c r="B494" s="73">
        <v>488</v>
      </c>
      <c r="C494" s="39"/>
      <c r="D494" s="40"/>
      <c r="E494" s="34" t="s">
        <v>323</v>
      </c>
      <c r="F494" s="75" t="s">
        <v>859</v>
      </c>
      <c r="G494" s="35" t="s">
        <v>79</v>
      </c>
      <c r="H494" s="41" t="s">
        <v>80</v>
      </c>
      <c r="I494" s="44" t="str">
        <f>"0x"&amp;AE_w_WORK!E237</f>
        <v>0x2222</v>
      </c>
      <c r="J494" s="36">
        <v>40704</v>
      </c>
      <c r="K494" s="74"/>
      <c r="L494" s="74">
        <f t="shared" si="7"/>
        <v>976</v>
      </c>
      <c r="M494" s="74"/>
      <c r="N494" s="74"/>
    </row>
    <row r="495" spans="2:14" hidden="1" outlineLevel="1">
      <c r="B495" s="73">
        <v>489</v>
      </c>
      <c r="C495" s="39"/>
      <c r="D495" s="40"/>
      <c r="E495" s="34" t="s">
        <v>323</v>
      </c>
      <c r="F495" s="75" t="s">
        <v>860</v>
      </c>
      <c r="G495" s="35" t="s">
        <v>79</v>
      </c>
      <c r="H495" s="41" t="s">
        <v>80</v>
      </c>
      <c r="I495" s="44" t="str">
        <f>"0x"&amp;AE_w_WORK!E238</f>
        <v>0x2222</v>
      </c>
      <c r="J495" s="36">
        <v>40705</v>
      </c>
      <c r="K495" s="74"/>
      <c r="L495" s="74">
        <f t="shared" si="7"/>
        <v>978</v>
      </c>
      <c r="M495" s="74"/>
      <c r="N495" s="74"/>
    </row>
    <row r="496" spans="2:14" hidden="1" outlineLevel="1">
      <c r="B496" s="73">
        <v>490</v>
      </c>
      <c r="C496" s="39"/>
      <c r="D496" s="40"/>
      <c r="E496" s="34" t="s">
        <v>323</v>
      </c>
      <c r="F496" s="75" t="s">
        <v>861</v>
      </c>
      <c r="G496" s="35" t="s">
        <v>79</v>
      </c>
      <c r="H496" s="41" t="s">
        <v>80</v>
      </c>
      <c r="I496" s="44" t="str">
        <f>"0x"&amp;AE_w_WORK!E239</f>
        <v>0x2222</v>
      </c>
      <c r="J496" s="36">
        <v>40706</v>
      </c>
      <c r="K496" s="74"/>
      <c r="L496" s="74">
        <f t="shared" si="7"/>
        <v>980</v>
      </c>
      <c r="M496" s="74"/>
      <c r="N496" s="74"/>
    </row>
    <row r="497" spans="2:14" hidden="1" outlineLevel="1">
      <c r="B497" s="73">
        <v>491</v>
      </c>
      <c r="C497" s="39"/>
      <c r="D497" s="40"/>
      <c r="E497" s="34" t="s">
        <v>323</v>
      </c>
      <c r="F497" s="75" t="s">
        <v>862</v>
      </c>
      <c r="G497" s="35" t="s">
        <v>79</v>
      </c>
      <c r="H497" s="41" t="s">
        <v>80</v>
      </c>
      <c r="I497" s="44" t="str">
        <f>"0x"&amp;AE_w_WORK!E240</f>
        <v>0x2222</v>
      </c>
      <c r="J497" s="36">
        <v>40707</v>
      </c>
      <c r="K497" s="74"/>
      <c r="L497" s="74">
        <f t="shared" si="7"/>
        <v>982</v>
      </c>
      <c r="M497" s="74"/>
      <c r="N497" s="74"/>
    </row>
    <row r="498" spans="2:14" hidden="1" outlineLevel="1">
      <c r="B498" s="73">
        <v>492</v>
      </c>
      <c r="C498" s="39"/>
      <c r="D498" s="40"/>
      <c r="E498" s="34" t="s">
        <v>323</v>
      </c>
      <c r="F498" s="75" t="s">
        <v>863</v>
      </c>
      <c r="G498" s="35" t="s">
        <v>79</v>
      </c>
      <c r="H498" s="41" t="s">
        <v>80</v>
      </c>
      <c r="I498" s="44" t="str">
        <f>"0x"&amp;AE_w_WORK!E241</f>
        <v>0x2222</v>
      </c>
      <c r="J498" s="36">
        <v>40708</v>
      </c>
      <c r="K498" s="74"/>
      <c r="L498" s="74">
        <f t="shared" si="7"/>
        <v>984</v>
      </c>
      <c r="M498" s="74"/>
      <c r="N498" s="74"/>
    </row>
    <row r="499" spans="2:14" hidden="1" outlineLevel="1">
      <c r="B499" s="73">
        <v>493</v>
      </c>
      <c r="C499" s="39"/>
      <c r="D499" s="40"/>
      <c r="E499" s="34" t="s">
        <v>323</v>
      </c>
      <c r="F499" s="75" t="s">
        <v>864</v>
      </c>
      <c r="G499" s="35" t="s">
        <v>79</v>
      </c>
      <c r="H499" s="41" t="s">
        <v>80</v>
      </c>
      <c r="I499" s="44" t="str">
        <f>"0x"&amp;AE_w_WORK!E242</f>
        <v>0x2222</v>
      </c>
      <c r="J499" s="36">
        <v>40709</v>
      </c>
      <c r="K499" s="74"/>
      <c r="L499" s="74">
        <f t="shared" si="7"/>
        <v>986</v>
      </c>
      <c r="M499" s="74"/>
      <c r="N499" s="74"/>
    </row>
    <row r="500" spans="2:14" hidden="1" outlineLevel="1">
      <c r="B500" s="73">
        <v>494</v>
      </c>
      <c r="C500" s="39"/>
      <c r="D500" s="40"/>
      <c r="E500" s="34" t="s">
        <v>323</v>
      </c>
      <c r="F500" s="75" t="s">
        <v>865</v>
      </c>
      <c r="G500" s="35" t="s">
        <v>79</v>
      </c>
      <c r="H500" s="41" t="s">
        <v>80</v>
      </c>
      <c r="I500" s="44" t="str">
        <f>"0x"&amp;AE_w_WORK!E243</f>
        <v>0x2222</v>
      </c>
      <c r="J500" s="36">
        <v>40710</v>
      </c>
      <c r="K500" s="74"/>
      <c r="L500" s="74">
        <f t="shared" si="7"/>
        <v>988</v>
      </c>
      <c r="M500" s="74"/>
      <c r="N500" s="74"/>
    </row>
    <row r="501" spans="2:14" hidden="1" outlineLevel="1">
      <c r="B501" s="73">
        <v>495</v>
      </c>
      <c r="C501" s="39"/>
      <c r="D501" s="40"/>
      <c r="E501" s="34" t="s">
        <v>323</v>
      </c>
      <c r="F501" s="75" t="s">
        <v>866</v>
      </c>
      <c r="G501" s="35" t="s">
        <v>79</v>
      </c>
      <c r="H501" s="41" t="s">
        <v>80</v>
      </c>
      <c r="I501" s="44" t="str">
        <f>"0x"&amp;AE_w_WORK!E244</f>
        <v>0x2222</v>
      </c>
      <c r="J501" s="36">
        <v>40711</v>
      </c>
      <c r="K501" s="74"/>
      <c r="L501" s="74">
        <f t="shared" si="7"/>
        <v>990</v>
      </c>
      <c r="M501" s="74"/>
      <c r="N501" s="74"/>
    </row>
    <row r="502" spans="2:14" hidden="1" outlineLevel="1">
      <c r="B502" s="73">
        <v>496</v>
      </c>
      <c r="C502" s="39"/>
      <c r="D502" s="40"/>
      <c r="E502" s="34" t="s">
        <v>323</v>
      </c>
      <c r="F502" s="75" t="s">
        <v>867</v>
      </c>
      <c r="G502" s="35" t="s">
        <v>79</v>
      </c>
      <c r="H502" s="41" t="s">
        <v>80</v>
      </c>
      <c r="I502" s="44" t="str">
        <f>"0x"&amp;AE_w_WORK!E245</f>
        <v>0x2222</v>
      </c>
      <c r="J502" s="36">
        <v>40712</v>
      </c>
      <c r="K502" s="74"/>
      <c r="L502" s="74">
        <f t="shared" si="7"/>
        <v>992</v>
      </c>
      <c r="M502" s="74"/>
      <c r="N502" s="74"/>
    </row>
    <row r="503" spans="2:14" hidden="1" outlineLevel="1">
      <c r="B503" s="73">
        <v>497</v>
      </c>
      <c r="C503" s="39"/>
      <c r="D503" s="40"/>
      <c r="E503" s="34" t="s">
        <v>323</v>
      </c>
      <c r="F503" s="75" t="s">
        <v>868</v>
      </c>
      <c r="G503" s="35" t="s">
        <v>79</v>
      </c>
      <c r="H503" s="41" t="s">
        <v>80</v>
      </c>
      <c r="I503" s="44" t="str">
        <f>"0x"&amp;AE_w_WORK!E246</f>
        <v>0x2222</v>
      </c>
      <c r="J503" s="36">
        <v>40713</v>
      </c>
      <c r="K503" s="74"/>
      <c r="L503" s="74">
        <f t="shared" si="7"/>
        <v>994</v>
      </c>
      <c r="M503" s="74"/>
      <c r="N503" s="74"/>
    </row>
    <row r="504" spans="2:14" hidden="1" outlineLevel="1">
      <c r="B504" s="73">
        <v>498</v>
      </c>
      <c r="C504" s="39"/>
      <c r="D504" s="40"/>
      <c r="E504" s="34" t="s">
        <v>323</v>
      </c>
      <c r="F504" s="75" t="s">
        <v>869</v>
      </c>
      <c r="G504" s="35" t="s">
        <v>79</v>
      </c>
      <c r="H504" s="41" t="s">
        <v>80</v>
      </c>
      <c r="I504" s="44" t="str">
        <f>"0x"&amp;AE_w_WORK!E247</f>
        <v>0x2222</v>
      </c>
      <c r="J504" s="36">
        <v>40714</v>
      </c>
      <c r="K504" s="74"/>
      <c r="L504" s="74">
        <f t="shared" si="7"/>
        <v>996</v>
      </c>
      <c r="M504" s="74"/>
      <c r="N504" s="74"/>
    </row>
    <row r="505" spans="2:14" hidden="1" outlineLevel="1">
      <c r="B505" s="73">
        <v>499</v>
      </c>
      <c r="C505" s="39"/>
      <c r="D505" s="40"/>
      <c r="E505" s="34" t="s">
        <v>323</v>
      </c>
      <c r="F505" s="75" t="s">
        <v>870</v>
      </c>
      <c r="G505" s="35" t="s">
        <v>79</v>
      </c>
      <c r="H505" s="41" t="s">
        <v>80</v>
      </c>
      <c r="I505" s="44" t="str">
        <f>"0x"&amp;AE_w_WORK!E248</f>
        <v>0x2222</v>
      </c>
      <c r="J505" s="36">
        <v>40715</v>
      </c>
      <c r="K505" s="74"/>
      <c r="L505" s="74">
        <f t="shared" si="7"/>
        <v>998</v>
      </c>
      <c r="M505" s="74"/>
      <c r="N505" s="74"/>
    </row>
    <row r="506" spans="2:14" hidden="1" outlineLevel="1">
      <c r="B506" s="73">
        <v>500</v>
      </c>
      <c r="C506" s="39"/>
      <c r="D506" s="40"/>
      <c r="E506" s="34" t="s">
        <v>323</v>
      </c>
      <c r="F506" s="75" t="s">
        <v>871</v>
      </c>
      <c r="G506" s="35" t="s">
        <v>79</v>
      </c>
      <c r="H506" s="41" t="s">
        <v>80</v>
      </c>
      <c r="I506" s="44" t="str">
        <f>"0x"&amp;AE_w_WORK!E249</f>
        <v>0x2222</v>
      </c>
      <c r="J506" s="36">
        <v>40716</v>
      </c>
      <c r="K506" s="74"/>
      <c r="L506" s="74">
        <f t="shared" si="7"/>
        <v>1000</v>
      </c>
      <c r="M506" s="74"/>
      <c r="N506" s="74"/>
    </row>
    <row r="507" spans="2:14" hidden="1" outlineLevel="1">
      <c r="B507" s="73">
        <v>501</v>
      </c>
      <c r="C507" s="39"/>
      <c r="D507" s="40"/>
      <c r="E507" s="34" t="s">
        <v>323</v>
      </c>
      <c r="F507" s="75" t="s">
        <v>872</v>
      </c>
      <c r="G507" s="35" t="s">
        <v>79</v>
      </c>
      <c r="H507" s="41" t="s">
        <v>80</v>
      </c>
      <c r="I507" s="44" t="str">
        <f>"0x"&amp;AE_w_WORK!E250</f>
        <v>0x2222</v>
      </c>
      <c r="J507" s="36">
        <v>40717</v>
      </c>
      <c r="K507" s="74"/>
      <c r="L507" s="74">
        <f t="shared" si="7"/>
        <v>1002</v>
      </c>
      <c r="M507" s="74"/>
      <c r="N507" s="74"/>
    </row>
    <row r="508" spans="2:14" hidden="1" outlineLevel="1">
      <c r="B508" s="73">
        <v>502</v>
      </c>
      <c r="C508" s="39"/>
      <c r="D508" s="40"/>
      <c r="E508" s="34" t="s">
        <v>323</v>
      </c>
      <c r="F508" s="75" t="s">
        <v>873</v>
      </c>
      <c r="G508" s="35" t="s">
        <v>79</v>
      </c>
      <c r="H508" s="41" t="s">
        <v>80</v>
      </c>
      <c r="I508" s="44" t="str">
        <f>"0x"&amp;AE_w_WORK!E251</f>
        <v>0x2222</v>
      </c>
      <c r="J508" s="36">
        <v>40718</v>
      </c>
      <c r="K508" s="74"/>
      <c r="L508" s="74">
        <f t="shared" si="7"/>
        <v>1004</v>
      </c>
      <c r="M508" s="74"/>
      <c r="N508" s="74"/>
    </row>
    <row r="509" spans="2:14" hidden="1" outlineLevel="1">
      <c r="B509" s="73">
        <v>503</v>
      </c>
      <c r="C509" s="39"/>
      <c r="D509" s="40"/>
      <c r="E509" s="34" t="s">
        <v>323</v>
      </c>
      <c r="F509" s="75" t="s">
        <v>874</v>
      </c>
      <c r="G509" s="35" t="s">
        <v>79</v>
      </c>
      <c r="H509" s="41" t="s">
        <v>80</v>
      </c>
      <c r="I509" s="44" t="str">
        <f>"0x"&amp;AE_w_WORK!E252</f>
        <v>0x2222</v>
      </c>
      <c r="J509" s="36">
        <v>40719</v>
      </c>
      <c r="K509" s="74"/>
      <c r="L509" s="74">
        <f t="shared" si="7"/>
        <v>1006</v>
      </c>
      <c r="M509" s="74"/>
      <c r="N509" s="74"/>
    </row>
    <row r="510" spans="2:14" hidden="1" outlineLevel="1">
      <c r="B510" s="73">
        <v>504</v>
      </c>
      <c r="C510" s="39"/>
      <c r="D510" s="40"/>
      <c r="E510" s="34" t="s">
        <v>323</v>
      </c>
      <c r="F510" s="75" t="s">
        <v>875</v>
      </c>
      <c r="G510" s="35" t="s">
        <v>79</v>
      </c>
      <c r="H510" s="41" t="s">
        <v>80</v>
      </c>
      <c r="I510" s="44" t="str">
        <f>"0x"&amp;AE_w_WORK!E253</f>
        <v>0x2222</v>
      </c>
      <c r="J510" s="36">
        <v>40720</v>
      </c>
      <c r="K510" s="74"/>
      <c r="L510" s="74">
        <f t="shared" si="7"/>
        <v>1008</v>
      </c>
      <c r="M510" s="74"/>
      <c r="N510" s="74"/>
    </row>
    <row r="511" spans="2:14" hidden="1" outlineLevel="1">
      <c r="B511" s="73">
        <v>505</v>
      </c>
      <c r="C511" s="39"/>
      <c r="D511" s="40"/>
      <c r="E511" s="34" t="s">
        <v>323</v>
      </c>
      <c r="F511" s="75" t="s">
        <v>876</v>
      </c>
      <c r="G511" s="35" t="s">
        <v>79</v>
      </c>
      <c r="H511" s="41" t="s">
        <v>80</v>
      </c>
      <c r="I511" s="44" t="str">
        <f>"0x"&amp;AE_w_WORK!E254</f>
        <v>0x2222</v>
      </c>
      <c r="J511" s="36">
        <v>40721</v>
      </c>
      <c r="K511" s="74"/>
      <c r="L511" s="74">
        <f t="shared" si="7"/>
        <v>1010</v>
      </c>
      <c r="M511" s="74"/>
      <c r="N511" s="74"/>
    </row>
    <row r="512" spans="2:14" hidden="1" outlineLevel="1">
      <c r="B512" s="73">
        <v>506</v>
      </c>
      <c r="C512" s="39"/>
      <c r="D512" s="40"/>
      <c r="E512" s="34" t="s">
        <v>323</v>
      </c>
      <c r="F512" s="75" t="s">
        <v>877</v>
      </c>
      <c r="G512" s="35" t="s">
        <v>79</v>
      </c>
      <c r="H512" s="41" t="s">
        <v>80</v>
      </c>
      <c r="I512" s="44" t="str">
        <f>"0x"&amp;AE_w_WORK!E255</f>
        <v>0x2222</v>
      </c>
      <c r="J512" s="36">
        <v>40722</v>
      </c>
      <c r="K512" s="74"/>
      <c r="L512" s="74">
        <f t="shared" si="7"/>
        <v>1012</v>
      </c>
      <c r="M512" s="74"/>
      <c r="N512" s="74"/>
    </row>
    <row r="513" spans="2:14" hidden="1" outlineLevel="1">
      <c r="B513" s="73">
        <v>507</v>
      </c>
      <c r="C513" s="39"/>
      <c r="D513" s="40"/>
      <c r="E513" s="34" t="s">
        <v>323</v>
      </c>
      <c r="F513" s="75" t="s">
        <v>878</v>
      </c>
      <c r="G513" s="35" t="s">
        <v>79</v>
      </c>
      <c r="H513" s="41" t="s">
        <v>80</v>
      </c>
      <c r="I513" s="44" t="str">
        <f>"0x"&amp;AE_w_WORK!E256</f>
        <v>0x2222</v>
      </c>
      <c r="J513" s="36">
        <v>40723</v>
      </c>
      <c r="K513" s="74"/>
      <c r="L513" s="74">
        <f t="shared" si="7"/>
        <v>1014</v>
      </c>
      <c r="M513" s="74"/>
      <c r="N513" s="74"/>
    </row>
    <row r="514" spans="2:14" hidden="1" outlineLevel="1">
      <c r="B514" s="73">
        <v>508</v>
      </c>
      <c r="C514" s="39"/>
      <c r="D514" s="40"/>
      <c r="E514" s="34" t="s">
        <v>323</v>
      </c>
      <c r="F514" s="75" t="s">
        <v>879</v>
      </c>
      <c r="G514" s="35" t="s">
        <v>79</v>
      </c>
      <c r="H514" s="41" t="s">
        <v>80</v>
      </c>
      <c r="I514" s="44" t="str">
        <f>"0x"&amp;AE_w_WORK!E257</f>
        <v>0x2222</v>
      </c>
      <c r="J514" s="36">
        <v>40724</v>
      </c>
      <c r="K514" s="74"/>
      <c r="L514" s="74">
        <f t="shared" si="7"/>
        <v>1016</v>
      </c>
      <c r="M514" s="74"/>
      <c r="N514" s="74"/>
    </row>
    <row r="515" spans="2:14" hidden="1" outlineLevel="1">
      <c r="B515" s="73">
        <v>509</v>
      </c>
      <c r="C515" s="39"/>
      <c r="D515" s="40"/>
      <c r="E515" s="34" t="s">
        <v>323</v>
      </c>
      <c r="F515" s="75" t="s">
        <v>880</v>
      </c>
      <c r="G515" s="35" t="s">
        <v>79</v>
      </c>
      <c r="H515" s="41" t="s">
        <v>80</v>
      </c>
      <c r="I515" s="44" t="str">
        <f>"0x"&amp;AE_w_WORK!E258</f>
        <v>0x2222</v>
      </c>
      <c r="J515" s="36">
        <v>40725</v>
      </c>
      <c r="K515" s="74"/>
      <c r="L515" s="74">
        <f t="shared" si="7"/>
        <v>1018</v>
      </c>
      <c r="M515" s="74"/>
      <c r="N515" s="74"/>
    </row>
    <row r="516" spans="2:14" hidden="1" outlineLevel="1">
      <c r="B516" s="73">
        <v>510</v>
      </c>
      <c r="C516" s="39"/>
      <c r="D516" s="40"/>
      <c r="E516" s="34" t="s">
        <v>323</v>
      </c>
      <c r="F516" s="75" t="s">
        <v>881</v>
      </c>
      <c r="G516" s="35" t="s">
        <v>79</v>
      </c>
      <c r="H516" s="41" t="s">
        <v>80</v>
      </c>
      <c r="I516" s="44" t="str">
        <f>"0x"&amp;AE_w_WORK!E259</f>
        <v>0x2222</v>
      </c>
      <c r="J516" s="36">
        <v>40726</v>
      </c>
      <c r="K516" s="74"/>
      <c r="L516" s="74">
        <f t="shared" si="7"/>
        <v>1020</v>
      </c>
      <c r="M516" s="74"/>
      <c r="N516" s="74"/>
    </row>
    <row r="517" spans="2:14" hidden="1" outlineLevel="1">
      <c r="B517" s="73">
        <v>511</v>
      </c>
      <c r="C517" s="39"/>
      <c r="D517" s="40"/>
      <c r="E517" s="34" t="s">
        <v>323</v>
      </c>
      <c r="F517" s="75" t="s">
        <v>882</v>
      </c>
      <c r="G517" s="35" t="s">
        <v>79</v>
      </c>
      <c r="H517" s="41" t="s">
        <v>80</v>
      </c>
      <c r="I517" s="44" t="str">
        <f>"0x"&amp;AE_w_WORK!E260</f>
        <v>0x2222</v>
      </c>
      <c r="J517" s="36">
        <v>40727</v>
      </c>
      <c r="K517" s="74"/>
      <c r="L517" s="74">
        <f t="shared" si="7"/>
        <v>1022</v>
      </c>
      <c r="M517" s="74"/>
      <c r="N517" s="74"/>
    </row>
    <row r="518" spans="2:14" hidden="1" outlineLevel="1">
      <c r="B518" s="73">
        <v>512</v>
      </c>
      <c r="C518" s="39"/>
      <c r="D518" s="40"/>
      <c r="E518" s="34" t="s">
        <v>323</v>
      </c>
      <c r="F518" s="75" t="s">
        <v>883</v>
      </c>
      <c r="G518" s="35" t="s">
        <v>79</v>
      </c>
      <c r="H518" s="41" t="s">
        <v>80</v>
      </c>
      <c r="I518" s="44" t="str">
        <f>"0x"&amp;AE_w_WORK!E261</f>
        <v>0x2222</v>
      </c>
      <c r="J518" s="36">
        <v>40728</v>
      </c>
      <c r="K518" s="74"/>
      <c r="L518" s="74">
        <f t="shared" si="7"/>
        <v>1024</v>
      </c>
      <c r="M518" s="74"/>
      <c r="N518" s="74"/>
    </row>
    <row r="519" spans="2:14" collapsed="1">
      <c r="B519" s="73">
        <v>513</v>
      </c>
      <c r="C519" s="39"/>
      <c r="D519" s="40"/>
      <c r="E519" s="34" t="s">
        <v>323</v>
      </c>
      <c r="F519" s="75" t="s">
        <v>884</v>
      </c>
      <c r="G519" s="35" t="s">
        <v>79</v>
      </c>
      <c r="H519" s="41" t="s">
        <v>80</v>
      </c>
      <c r="I519" s="44" t="str">
        <f>"0x"&amp;AE_w_WORK!F6</f>
        <v>0x0000</v>
      </c>
      <c r="J519" s="36">
        <v>40729</v>
      </c>
      <c r="K519" s="37" t="s">
        <v>325</v>
      </c>
      <c r="L519" s="74">
        <f t="shared" ref="L519:L520" si="8">L518+2</f>
        <v>1026</v>
      </c>
      <c r="M519" s="74"/>
      <c r="N519" s="74"/>
    </row>
    <row r="520" spans="2:14" hidden="1" outlineLevel="1">
      <c r="B520" s="73">
        <v>514</v>
      </c>
      <c r="C520" s="39"/>
      <c r="D520" s="40"/>
      <c r="E520" s="34" t="s">
        <v>323</v>
      </c>
      <c r="F520" s="75" t="s">
        <v>885</v>
      </c>
      <c r="G520" s="35" t="s">
        <v>79</v>
      </c>
      <c r="H520" s="41" t="s">
        <v>80</v>
      </c>
      <c r="I520" s="44" t="str">
        <f>"0x"&amp;AE_w_WORK!F7</f>
        <v>0x0000</v>
      </c>
      <c r="J520" s="36">
        <v>40730</v>
      </c>
      <c r="K520" s="37"/>
      <c r="L520" s="74">
        <f t="shared" si="8"/>
        <v>1028</v>
      </c>
      <c r="M520" s="74"/>
      <c r="N520" s="74"/>
    </row>
    <row r="521" spans="2:14" hidden="1" outlineLevel="1">
      <c r="B521" s="73">
        <v>515</v>
      </c>
      <c r="C521" s="39"/>
      <c r="D521" s="40"/>
      <c r="E521" s="34" t="s">
        <v>323</v>
      </c>
      <c r="F521" s="75" t="s">
        <v>886</v>
      </c>
      <c r="G521" s="35" t="s">
        <v>79</v>
      </c>
      <c r="H521" s="41" t="s">
        <v>80</v>
      </c>
      <c r="I521" s="44" t="str">
        <f>"0x"&amp;AE_w_WORK!F8</f>
        <v>0x0000</v>
      </c>
      <c r="J521" s="36">
        <v>40731</v>
      </c>
      <c r="K521" s="37"/>
      <c r="L521" s="74">
        <f t="shared" ref="L521:L584" si="9">L520+2</f>
        <v>1030</v>
      </c>
      <c r="M521" s="74"/>
      <c r="N521" s="74"/>
    </row>
    <row r="522" spans="2:14" hidden="1" outlineLevel="1">
      <c r="B522" s="73">
        <v>516</v>
      </c>
      <c r="C522" s="39"/>
      <c r="D522" s="40"/>
      <c r="E522" s="34" t="s">
        <v>323</v>
      </c>
      <c r="F522" s="75" t="s">
        <v>887</v>
      </c>
      <c r="G522" s="35" t="s">
        <v>79</v>
      </c>
      <c r="H522" s="41" t="s">
        <v>80</v>
      </c>
      <c r="I522" s="44" t="str">
        <f>"0x"&amp;AE_w_WORK!F9</f>
        <v>0x0000</v>
      </c>
      <c r="J522" s="36">
        <v>40732</v>
      </c>
      <c r="K522" s="37"/>
      <c r="L522" s="74">
        <f t="shared" si="9"/>
        <v>1032</v>
      </c>
      <c r="M522" s="74"/>
      <c r="N522" s="74"/>
    </row>
    <row r="523" spans="2:14" hidden="1" outlineLevel="1">
      <c r="B523" s="73">
        <v>517</v>
      </c>
      <c r="C523" s="39"/>
      <c r="D523" s="40"/>
      <c r="E523" s="34" t="s">
        <v>323</v>
      </c>
      <c r="F523" s="75" t="s">
        <v>888</v>
      </c>
      <c r="G523" s="35" t="s">
        <v>79</v>
      </c>
      <c r="H523" s="41" t="s">
        <v>80</v>
      </c>
      <c r="I523" s="44" t="str">
        <f>"0x"&amp;AE_w_WORK!F10</f>
        <v>0x0000</v>
      </c>
      <c r="J523" s="36">
        <v>40733</v>
      </c>
      <c r="K523" s="37"/>
      <c r="L523" s="74">
        <f t="shared" si="9"/>
        <v>1034</v>
      </c>
      <c r="M523" s="74"/>
      <c r="N523" s="74"/>
    </row>
    <row r="524" spans="2:14" hidden="1" outlineLevel="1">
      <c r="B524" s="73">
        <v>518</v>
      </c>
      <c r="C524" s="39"/>
      <c r="D524" s="40"/>
      <c r="E524" s="34" t="s">
        <v>323</v>
      </c>
      <c r="F524" s="75" t="s">
        <v>889</v>
      </c>
      <c r="G524" s="35" t="s">
        <v>79</v>
      </c>
      <c r="H524" s="41" t="s">
        <v>80</v>
      </c>
      <c r="I524" s="44" t="str">
        <f>"0x"&amp;AE_w_WORK!F11</f>
        <v>0x0000</v>
      </c>
      <c r="J524" s="36">
        <v>40734</v>
      </c>
      <c r="K524" s="37"/>
      <c r="L524" s="74">
        <f t="shared" si="9"/>
        <v>1036</v>
      </c>
      <c r="M524" s="74"/>
      <c r="N524" s="74"/>
    </row>
    <row r="525" spans="2:14" hidden="1" outlineLevel="1">
      <c r="B525" s="73">
        <v>519</v>
      </c>
      <c r="C525" s="39"/>
      <c r="D525" s="40"/>
      <c r="E525" s="34" t="s">
        <v>323</v>
      </c>
      <c r="F525" s="75" t="s">
        <v>890</v>
      </c>
      <c r="G525" s="35" t="s">
        <v>79</v>
      </c>
      <c r="H525" s="41" t="s">
        <v>80</v>
      </c>
      <c r="I525" s="44" t="str">
        <f>"0x"&amp;AE_w_WORK!F12</f>
        <v>0x0000</v>
      </c>
      <c r="J525" s="36">
        <v>40735</v>
      </c>
      <c r="K525" s="37"/>
      <c r="L525" s="74">
        <f t="shared" si="9"/>
        <v>1038</v>
      </c>
      <c r="M525" s="74"/>
      <c r="N525" s="74"/>
    </row>
    <row r="526" spans="2:14" hidden="1" outlineLevel="1">
      <c r="B526" s="73">
        <v>520</v>
      </c>
      <c r="C526" s="39"/>
      <c r="D526" s="40"/>
      <c r="E526" s="34" t="s">
        <v>323</v>
      </c>
      <c r="F526" s="75" t="s">
        <v>891</v>
      </c>
      <c r="G526" s="35" t="s">
        <v>79</v>
      </c>
      <c r="H526" s="41" t="s">
        <v>80</v>
      </c>
      <c r="I526" s="44" t="str">
        <f>"0x"&amp;AE_w_WORK!F13</f>
        <v>0x0000</v>
      </c>
      <c r="J526" s="36">
        <v>40736</v>
      </c>
      <c r="K526" s="37"/>
      <c r="L526" s="74">
        <f t="shared" si="9"/>
        <v>1040</v>
      </c>
      <c r="M526" s="74"/>
      <c r="N526" s="74"/>
    </row>
    <row r="527" spans="2:14" hidden="1" outlineLevel="1">
      <c r="B527" s="73">
        <v>521</v>
      </c>
      <c r="C527" s="39"/>
      <c r="D527" s="40"/>
      <c r="E527" s="34" t="s">
        <v>323</v>
      </c>
      <c r="F527" s="75" t="s">
        <v>892</v>
      </c>
      <c r="G527" s="35" t="s">
        <v>79</v>
      </c>
      <c r="H527" s="41" t="s">
        <v>80</v>
      </c>
      <c r="I527" s="44" t="str">
        <f>"0x"&amp;AE_w_WORK!F14</f>
        <v>0x0000</v>
      </c>
      <c r="J527" s="36">
        <v>40737</v>
      </c>
      <c r="K527" s="37"/>
      <c r="L527" s="74">
        <f t="shared" si="9"/>
        <v>1042</v>
      </c>
      <c r="M527" s="74"/>
      <c r="N527" s="74"/>
    </row>
    <row r="528" spans="2:14" hidden="1" outlineLevel="1">
      <c r="B528" s="73">
        <v>522</v>
      </c>
      <c r="C528" s="39"/>
      <c r="D528" s="40"/>
      <c r="E528" s="34" t="s">
        <v>323</v>
      </c>
      <c r="F528" s="75" t="s">
        <v>893</v>
      </c>
      <c r="G528" s="35" t="s">
        <v>79</v>
      </c>
      <c r="H528" s="41" t="s">
        <v>80</v>
      </c>
      <c r="I528" s="44" t="str">
        <f>"0x"&amp;AE_w_WORK!F15</f>
        <v>0x0000</v>
      </c>
      <c r="J528" s="36">
        <v>40738</v>
      </c>
      <c r="K528" s="37"/>
      <c r="L528" s="74">
        <f t="shared" si="9"/>
        <v>1044</v>
      </c>
      <c r="M528" s="74"/>
      <c r="N528" s="74"/>
    </row>
    <row r="529" spans="2:14" hidden="1" outlineLevel="1">
      <c r="B529" s="73">
        <v>523</v>
      </c>
      <c r="C529" s="39"/>
      <c r="D529" s="40"/>
      <c r="E529" s="34" t="s">
        <v>323</v>
      </c>
      <c r="F529" s="75" t="s">
        <v>894</v>
      </c>
      <c r="G529" s="35" t="s">
        <v>79</v>
      </c>
      <c r="H529" s="41" t="s">
        <v>80</v>
      </c>
      <c r="I529" s="44" t="str">
        <f>"0x"&amp;AE_w_WORK!F16</f>
        <v>0x0000</v>
      </c>
      <c r="J529" s="36">
        <v>40739</v>
      </c>
      <c r="K529" s="37"/>
      <c r="L529" s="74">
        <f t="shared" si="9"/>
        <v>1046</v>
      </c>
      <c r="M529" s="74"/>
      <c r="N529" s="74"/>
    </row>
    <row r="530" spans="2:14" hidden="1" outlineLevel="1">
      <c r="B530" s="73">
        <v>524</v>
      </c>
      <c r="C530" s="39"/>
      <c r="D530" s="40"/>
      <c r="E530" s="34" t="s">
        <v>323</v>
      </c>
      <c r="F530" s="75" t="s">
        <v>895</v>
      </c>
      <c r="G530" s="35" t="s">
        <v>79</v>
      </c>
      <c r="H530" s="41" t="s">
        <v>80</v>
      </c>
      <c r="I530" s="44" t="str">
        <f>"0x"&amp;AE_w_WORK!F17</f>
        <v>0x0000</v>
      </c>
      <c r="J530" s="36">
        <v>40740</v>
      </c>
      <c r="K530" s="37"/>
      <c r="L530" s="74">
        <f t="shared" si="9"/>
        <v>1048</v>
      </c>
      <c r="M530" s="74"/>
      <c r="N530" s="74"/>
    </row>
    <row r="531" spans="2:14" hidden="1" outlineLevel="1">
      <c r="B531" s="73">
        <v>525</v>
      </c>
      <c r="C531" s="39"/>
      <c r="D531" s="40"/>
      <c r="E531" s="34" t="s">
        <v>323</v>
      </c>
      <c r="F531" s="75" t="s">
        <v>896</v>
      </c>
      <c r="G531" s="35" t="s">
        <v>79</v>
      </c>
      <c r="H531" s="41" t="s">
        <v>80</v>
      </c>
      <c r="I531" s="44" t="str">
        <f>"0x"&amp;AE_w_WORK!F18</f>
        <v>0x0000</v>
      </c>
      <c r="J531" s="36">
        <v>40741</v>
      </c>
      <c r="K531" s="37"/>
      <c r="L531" s="74">
        <f t="shared" si="9"/>
        <v>1050</v>
      </c>
      <c r="M531" s="74"/>
      <c r="N531" s="74"/>
    </row>
    <row r="532" spans="2:14" hidden="1" outlineLevel="1">
      <c r="B532" s="73">
        <v>526</v>
      </c>
      <c r="C532" s="39"/>
      <c r="D532" s="40"/>
      <c r="E532" s="34" t="s">
        <v>323</v>
      </c>
      <c r="F532" s="75" t="s">
        <v>897</v>
      </c>
      <c r="G532" s="35" t="s">
        <v>79</v>
      </c>
      <c r="H532" s="41" t="s">
        <v>80</v>
      </c>
      <c r="I532" s="44" t="str">
        <f>"0x"&amp;AE_w_WORK!F19</f>
        <v>0x0000</v>
      </c>
      <c r="J532" s="36">
        <v>40742</v>
      </c>
      <c r="K532" s="37"/>
      <c r="L532" s="74">
        <f t="shared" si="9"/>
        <v>1052</v>
      </c>
      <c r="M532" s="74"/>
      <c r="N532" s="74"/>
    </row>
    <row r="533" spans="2:14" hidden="1" outlineLevel="1">
      <c r="B533" s="73">
        <v>527</v>
      </c>
      <c r="C533" s="39"/>
      <c r="D533" s="40"/>
      <c r="E533" s="34" t="s">
        <v>323</v>
      </c>
      <c r="F533" s="75" t="s">
        <v>898</v>
      </c>
      <c r="G533" s="35" t="s">
        <v>79</v>
      </c>
      <c r="H533" s="41" t="s">
        <v>80</v>
      </c>
      <c r="I533" s="44" t="str">
        <f>"0x"&amp;AE_w_WORK!F20</f>
        <v>0x0000</v>
      </c>
      <c r="J533" s="36">
        <v>40743</v>
      </c>
      <c r="K533" s="37"/>
      <c r="L533" s="74">
        <f t="shared" si="9"/>
        <v>1054</v>
      </c>
      <c r="M533" s="74"/>
      <c r="N533" s="74"/>
    </row>
    <row r="534" spans="2:14" hidden="1" outlineLevel="1">
      <c r="B534" s="73">
        <v>528</v>
      </c>
      <c r="C534" s="39"/>
      <c r="D534" s="40"/>
      <c r="E534" s="34" t="s">
        <v>323</v>
      </c>
      <c r="F534" s="75" t="s">
        <v>899</v>
      </c>
      <c r="G534" s="35" t="s">
        <v>79</v>
      </c>
      <c r="H534" s="41" t="s">
        <v>80</v>
      </c>
      <c r="I534" s="44" t="str">
        <f>"0x"&amp;AE_w_WORK!F21</f>
        <v>0x0000</v>
      </c>
      <c r="J534" s="36">
        <v>40744</v>
      </c>
      <c r="K534" s="37"/>
      <c r="L534" s="74">
        <f t="shared" si="9"/>
        <v>1056</v>
      </c>
      <c r="M534" s="74"/>
      <c r="N534" s="74"/>
    </row>
    <row r="535" spans="2:14" hidden="1" outlineLevel="1">
      <c r="B535" s="73">
        <v>529</v>
      </c>
      <c r="C535" s="39"/>
      <c r="D535" s="40"/>
      <c r="E535" s="34" t="s">
        <v>323</v>
      </c>
      <c r="F535" s="75" t="s">
        <v>900</v>
      </c>
      <c r="G535" s="35" t="s">
        <v>79</v>
      </c>
      <c r="H535" s="41" t="s">
        <v>80</v>
      </c>
      <c r="I535" s="44" t="str">
        <f>"0x"&amp;AE_w_WORK!F22</f>
        <v>0x0000</v>
      </c>
      <c r="J535" s="36">
        <v>40745</v>
      </c>
      <c r="K535" s="37"/>
      <c r="L535" s="74">
        <f t="shared" si="9"/>
        <v>1058</v>
      </c>
      <c r="M535" s="74"/>
      <c r="N535" s="74"/>
    </row>
    <row r="536" spans="2:14" hidden="1" outlineLevel="1">
      <c r="B536" s="73">
        <v>530</v>
      </c>
      <c r="C536" s="39"/>
      <c r="D536" s="40"/>
      <c r="E536" s="34" t="s">
        <v>323</v>
      </c>
      <c r="F536" s="75" t="s">
        <v>901</v>
      </c>
      <c r="G536" s="35" t="s">
        <v>79</v>
      </c>
      <c r="H536" s="41" t="s">
        <v>80</v>
      </c>
      <c r="I536" s="44" t="str">
        <f>"0x"&amp;AE_w_WORK!F23</f>
        <v>0x0000</v>
      </c>
      <c r="J536" s="36">
        <v>40746</v>
      </c>
      <c r="K536" s="37"/>
      <c r="L536" s="74">
        <f t="shared" si="9"/>
        <v>1060</v>
      </c>
      <c r="M536" s="74"/>
      <c r="N536" s="74"/>
    </row>
    <row r="537" spans="2:14" hidden="1" outlineLevel="1">
      <c r="B537" s="73">
        <v>531</v>
      </c>
      <c r="C537" s="39"/>
      <c r="D537" s="40"/>
      <c r="E537" s="34" t="s">
        <v>323</v>
      </c>
      <c r="F537" s="75" t="s">
        <v>902</v>
      </c>
      <c r="G537" s="35" t="s">
        <v>79</v>
      </c>
      <c r="H537" s="41" t="s">
        <v>80</v>
      </c>
      <c r="I537" s="44" t="str">
        <f>"0x"&amp;AE_w_WORK!F24</f>
        <v>0x0000</v>
      </c>
      <c r="J537" s="36">
        <v>40747</v>
      </c>
      <c r="K537" s="37"/>
      <c r="L537" s="74">
        <f t="shared" si="9"/>
        <v>1062</v>
      </c>
      <c r="M537" s="74"/>
      <c r="N537" s="74"/>
    </row>
    <row r="538" spans="2:14" hidden="1" outlineLevel="1">
      <c r="B538" s="73">
        <v>532</v>
      </c>
      <c r="C538" s="39"/>
      <c r="D538" s="40"/>
      <c r="E538" s="34" t="s">
        <v>323</v>
      </c>
      <c r="F538" s="75" t="s">
        <v>903</v>
      </c>
      <c r="G538" s="35" t="s">
        <v>79</v>
      </c>
      <c r="H538" s="41" t="s">
        <v>80</v>
      </c>
      <c r="I538" s="44" t="str">
        <f>"0x"&amp;AE_w_WORK!F25</f>
        <v>0x0000</v>
      </c>
      <c r="J538" s="36">
        <v>40748</v>
      </c>
      <c r="K538" s="37"/>
      <c r="L538" s="74">
        <f t="shared" si="9"/>
        <v>1064</v>
      </c>
      <c r="M538" s="74"/>
      <c r="N538" s="74"/>
    </row>
    <row r="539" spans="2:14" hidden="1" outlineLevel="1">
      <c r="B539" s="73">
        <v>533</v>
      </c>
      <c r="C539" s="39"/>
      <c r="D539" s="40"/>
      <c r="E539" s="34" t="s">
        <v>323</v>
      </c>
      <c r="F539" s="75" t="s">
        <v>904</v>
      </c>
      <c r="G539" s="35" t="s">
        <v>79</v>
      </c>
      <c r="H539" s="41" t="s">
        <v>80</v>
      </c>
      <c r="I539" s="44" t="str">
        <f>"0x"&amp;AE_w_WORK!F26</f>
        <v>0x0000</v>
      </c>
      <c r="J539" s="36">
        <v>40749</v>
      </c>
      <c r="K539" s="37"/>
      <c r="L539" s="74">
        <f t="shared" si="9"/>
        <v>1066</v>
      </c>
      <c r="M539" s="74"/>
      <c r="N539" s="74"/>
    </row>
    <row r="540" spans="2:14" hidden="1" outlineLevel="1">
      <c r="B540" s="73">
        <v>534</v>
      </c>
      <c r="C540" s="39"/>
      <c r="D540" s="40"/>
      <c r="E540" s="34" t="s">
        <v>323</v>
      </c>
      <c r="F540" s="75" t="s">
        <v>905</v>
      </c>
      <c r="G540" s="35" t="s">
        <v>79</v>
      </c>
      <c r="H540" s="41" t="s">
        <v>80</v>
      </c>
      <c r="I540" s="44" t="str">
        <f>"0x"&amp;AE_w_WORK!F27</f>
        <v>0x0000</v>
      </c>
      <c r="J540" s="36">
        <v>40750</v>
      </c>
      <c r="K540" s="37"/>
      <c r="L540" s="74">
        <f t="shared" si="9"/>
        <v>1068</v>
      </c>
      <c r="M540" s="74"/>
      <c r="N540" s="74"/>
    </row>
    <row r="541" spans="2:14" hidden="1" outlineLevel="1">
      <c r="B541" s="73">
        <v>535</v>
      </c>
      <c r="C541" s="39"/>
      <c r="D541" s="40"/>
      <c r="E541" s="34" t="s">
        <v>323</v>
      </c>
      <c r="F541" s="75" t="s">
        <v>906</v>
      </c>
      <c r="G541" s="35" t="s">
        <v>79</v>
      </c>
      <c r="H541" s="41" t="s">
        <v>80</v>
      </c>
      <c r="I541" s="44" t="str">
        <f>"0x"&amp;AE_w_WORK!F28</f>
        <v>0x0000</v>
      </c>
      <c r="J541" s="36">
        <v>40751</v>
      </c>
      <c r="K541" s="37"/>
      <c r="L541" s="74">
        <f t="shared" si="9"/>
        <v>1070</v>
      </c>
      <c r="M541" s="74"/>
      <c r="N541" s="74"/>
    </row>
    <row r="542" spans="2:14" hidden="1" outlineLevel="1">
      <c r="B542" s="73">
        <v>536</v>
      </c>
      <c r="C542" s="39"/>
      <c r="D542" s="40"/>
      <c r="E542" s="34" t="s">
        <v>323</v>
      </c>
      <c r="F542" s="75" t="s">
        <v>907</v>
      </c>
      <c r="G542" s="35" t="s">
        <v>79</v>
      </c>
      <c r="H542" s="41" t="s">
        <v>80</v>
      </c>
      <c r="I542" s="44" t="str">
        <f>"0x"&amp;AE_w_WORK!F29</f>
        <v>0x0000</v>
      </c>
      <c r="J542" s="36">
        <v>40752</v>
      </c>
      <c r="K542" s="37"/>
      <c r="L542" s="74">
        <f t="shared" si="9"/>
        <v>1072</v>
      </c>
      <c r="M542" s="74"/>
      <c r="N542" s="74"/>
    </row>
    <row r="543" spans="2:14" hidden="1" outlineLevel="1">
      <c r="B543" s="73">
        <v>537</v>
      </c>
      <c r="C543" s="39"/>
      <c r="D543" s="40"/>
      <c r="E543" s="34" t="s">
        <v>323</v>
      </c>
      <c r="F543" s="75" t="s">
        <v>908</v>
      </c>
      <c r="G543" s="35" t="s">
        <v>79</v>
      </c>
      <c r="H543" s="41" t="s">
        <v>80</v>
      </c>
      <c r="I543" s="44" t="str">
        <f>"0x"&amp;AE_w_WORK!F30</f>
        <v>0x0000</v>
      </c>
      <c r="J543" s="36">
        <v>40753</v>
      </c>
      <c r="K543" s="37"/>
      <c r="L543" s="74">
        <f t="shared" si="9"/>
        <v>1074</v>
      </c>
      <c r="M543" s="74"/>
      <c r="N543" s="74"/>
    </row>
    <row r="544" spans="2:14" hidden="1" outlineLevel="1">
      <c r="B544" s="73">
        <v>538</v>
      </c>
      <c r="C544" s="39"/>
      <c r="D544" s="40"/>
      <c r="E544" s="34" t="s">
        <v>323</v>
      </c>
      <c r="F544" s="75" t="s">
        <v>909</v>
      </c>
      <c r="G544" s="35" t="s">
        <v>79</v>
      </c>
      <c r="H544" s="41" t="s">
        <v>80</v>
      </c>
      <c r="I544" s="44" t="str">
        <f>"0x"&amp;AE_w_WORK!F31</f>
        <v>0x0000</v>
      </c>
      <c r="J544" s="36">
        <v>40754</v>
      </c>
      <c r="K544" s="37"/>
      <c r="L544" s="74">
        <f t="shared" si="9"/>
        <v>1076</v>
      </c>
      <c r="M544" s="74"/>
      <c r="N544" s="74"/>
    </row>
    <row r="545" spans="2:14" hidden="1" outlineLevel="1">
      <c r="B545" s="73">
        <v>539</v>
      </c>
      <c r="C545" s="39"/>
      <c r="D545" s="40"/>
      <c r="E545" s="34" t="s">
        <v>323</v>
      </c>
      <c r="F545" s="75" t="s">
        <v>910</v>
      </c>
      <c r="G545" s="35" t="s">
        <v>79</v>
      </c>
      <c r="H545" s="41" t="s">
        <v>80</v>
      </c>
      <c r="I545" s="44" t="str">
        <f>"0x"&amp;AE_w_WORK!F32</f>
        <v>0x0000</v>
      </c>
      <c r="J545" s="36">
        <v>40755</v>
      </c>
      <c r="K545" s="37"/>
      <c r="L545" s="74">
        <f t="shared" si="9"/>
        <v>1078</v>
      </c>
      <c r="M545" s="74"/>
      <c r="N545" s="74"/>
    </row>
    <row r="546" spans="2:14" hidden="1" outlineLevel="1">
      <c r="B546" s="73">
        <v>540</v>
      </c>
      <c r="C546" s="39"/>
      <c r="D546" s="40"/>
      <c r="E546" s="34" t="s">
        <v>323</v>
      </c>
      <c r="F546" s="75" t="s">
        <v>911</v>
      </c>
      <c r="G546" s="35" t="s">
        <v>79</v>
      </c>
      <c r="H546" s="41" t="s">
        <v>80</v>
      </c>
      <c r="I546" s="44" t="str">
        <f>"0x"&amp;AE_w_WORK!F33</f>
        <v>0x0000</v>
      </c>
      <c r="J546" s="36">
        <v>40756</v>
      </c>
      <c r="K546" s="37"/>
      <c r="L546" s="74">
        <f t="shared" si="9"/>
        <v>1080</v>
      </c>
      <c r="M546" s="74"/>
      <c r="N546" s="74"/>
    </row>
    <row r="547" spans="2:14" hidden="1" outlineLevel="1">
      <c r="B547" s="73">
        <v>541</v>
      </c>
      <c r="C547" s="39"/>
      <c r="D547" s="40"/>
      <c r="E547" s="34" t="s">
        <v>323</v>
      </c>
      <c r="F547" s="75" t="s">
        <v>912</v>
      </c>
      <c r="G547" s="35" t="s">
        <v>79</v>
      </c>
      <c r="H547" s="41" t="s">
        <v>80</v>
      </c>
      <c r="I547" s="44" t="str">
        <f>"0x"&amp;AE_w_WORK!F34</f>
        <v>0x0000</v>
      </c>
      <c r="J547" s="36">
        <v>40757</v>
      </c>
      <c r="K547" s="37"/>
      <c r="L547" s="74">
        <f t="shared" si="9"/>
        <v>1082</v>
      </c>
      <c r="M547" s="74"/>
      <c r="N547" s="74"/>
    </row>
    <row r="548" spans="2:14" hidden="1" outlineLevel="1">
      <c r="B548" s="73">
        <v>542</v>
      </c>
      <c r="C548" s="39"/>
      <c r="D548" s="40"/>
      <c r="E548" s="34" t="s">
        <v>323</v>
      </c>
      <c r="F548" s="75" t="s">
        <v>913</v>
      </c>
      <c r="G548" s="35" t="s">
        <v>79</v>
      </c>
      <c r="H548" s="41" t="s">
        <v>80</v>
      </c>
      <c r="I548" s="44" t="str">
        <f>"0x"&amp;AE_w_WORK!F35</f>
        <v>0x0000</v>
      </c>
      <c r="J548" s="36">
        <v>40758</v>
      </c>
      <c r="K548" s="37"/>
      <c r="L548" s="74">
        <f t="shared" si="9"/>
        <v>1084</v>
      </c>
      <c r="M548" s="74"/>
      <c r="N548" s="74"/>
    </row>
    <row r="549" spans="2:14" hidden="1" outlineLevel="1">
      <c r="B549" s="73">
        <v>543</v>
      </c>
      <c r="C549" s="39"/>
      <c r="D549" s="40"/>
      <c r="E549" s="34" t="s">
        <v>323</v>
      </c>
      <c r="F549" s="75" t="s">
        <v>914</v>
      </c>
      <c r="G549" s="35" t="s">
        <v>79</v>
      </c>
      <c r="H549" s="41" t="s">
        <v>80</v>
      </c>
      <c r="I549" s="44" t="str">
        <f>"0x"&amp;AE_w_WORK!F36</f>
        <v>0x0000</v>
      </c>
      <c r="J549" s="36">
        <v>40759</v>
      </c>
      <c r="K549" s="37"/>
      <c r="L549" s="74">
        <f t="shared" si="9"/>
        <v>1086</v>
      </c>
      <c r="M549" s="74"/>
      <c r="N549" s="74"/>
    </row>
    <row r="550" spans="2:14" hidden="1" outlineLevel="1">
      <c r="B550" s="73">
        <v>544</v>
      </c>
      <c r="C550" s="39"/>
      <c r="D550" s="40"/>
      <c r="E550" s="34" t="s">
        <v>323</v>
      </c>
      <c r="F550" s="75" t="s">
        <v>915</v>
      </c>
      <c r="G550" s="35" t="s">
        <v>79</v>
      </c>
      <c r="H550" s="41" t="s">
        <v>80</v>
      </c>
      <c r="I550" s="44" t="str">
        <f>"0x"&amp;AE_w_WORK!F37</f>
        <v>0x0000</v>
      </c>
      <c r="J550" s="36">
        <v>40760</v>
      </c>
      <c r="K550" s="37"/>
      <c r="L550" s="74">
        <f t="shared" si="9"/>
        <v>1088</v>
      </c>
      <c r="M550" s="74"/>
      <c r="N550" s="74"/>
    </row>
    <row r="551" spans="2:14" hidden="1" outlineLevel="1">
      <c r="B551" s="73">
        <v>545</v>
      </c>
      <c r="C551" s="39"/>
      <c r="D551" s="40"/>
      <c r="E551" s="34" t="s">
        <v>323</v>
      </c>
      <c r="F551" s="75" t="s">
        <v>916</v>
      </c>
      <c r="G551" s="35" t="s">
        <v>79</v>
      </c>
      <c r="H551" s="41" t="s">
        <v>80</v>
      </c>
      <c r="I551" s="44" t="str">
        <f>"0x"&amp;AE_w_WORK!F38</f>
        <v>0x0000</v>
      </c>
      <c r="J551" s="36">
        <v>40761</v>
      </c>
      <c r="K551" s="37"/>
      <c r="L551" s="74">
        <f t="shared" si="9"/>
        <v>1090</v>
      </c>
      <c r="M551" s="74"/>
      <c r="N551" s="74"/>
    </row>
    <row r="552" spans="2:14" hidden="1" outlineLevel="1">
      <c r="B552" s="73">
        <v>546</v>
      </c>
      <c r="C552" s="39"/>
      <c r="D552" s="40"/>
      <c r="E552" s="34" t="s">
        <v>323</v>
      </c>
      <c r="F552" s="75" t="s">
        <v>917</v>
      </c>
      <c r="G552" s="35" t="s">
        <v>79</v>
      </c>
      <c r="H552" s="41" t="s">
        <v>80</v>
      </c>
      <c r="I552" s="44" t="str">
        <f>"0x"&amp;AE_w_WORK!F39</f>
        <v>0x0000</v>
      </c>
      <c r="J552" s="36">
        <v>40762</v>
      </c>
      <c r="K552" s="37"/>
      <c r="L552" s="74">
        <f t="shared" si="9"/>
        <v>1092</v>
      </c>
      <c r="M552" s="74"/>
      <c r="N552" s="74"/>
    </row>
    <row r="553" spans="2:14" hidden="1" outlineLevel="1">
      <c r="B553" s="73">
        <v>547</v>
      </c>
      <c r="C553" s="39"/>
      <c r="D553" s="40"/>
      <c r="E553" s="34" t="s">
        <v>323</v>
      </c>
      <c r="F553" s="75" t="s">
        <v>918</v>
      </c>
      <c r="G553" s="35" t="s">
        <v>79</v>
      </c>
      <c r="H553" s="41" t="s">
        <v>80</v>
      </c>
      <c r="I553" s="44" t="str">
        <f>"0x"&amp;AE_w_WORK!F40</f>
        <v>0x0000</v>
      </c>
      <c r="J553" s="36">
        <v>40763</v>
      </c>
      <c r="K553" s="37"/>
      <c r="L553" s="74">
        <f t="shared" si="9"/>
        <v>1094</v>
      </c>
      <c r="M553" s="74"/>
      <c r="N553" s="74"/>
    </row>
    <row r="554" spans="2:14" hidden="1" outlineLevel="1">
      <c r="B554" s="73">
        <v>548</v>
      </c>
      <c r="C554" s="39"/>
      <c r="D554" s="40"/>
      <c r="E554" s="34" t="s">
        <v>323</v>
      </c>
      <c r="F554" s="75" t="s">
        <v>919</v>
      </c>
      <c r="G554" s="35" t="s">
        <v>79</v>
      </c>
      <c r="H554" s="41" t="s">
        <v>80</v>
      </c>
      <c r="I554" s="44" t="str">
        <f>"0x"&amp;AE_w_WORK!F41</f>
        <v>0x2222</v>
      </c>
      <c r="J554" s="36">
        <v>40764</v>
      </c>
      <c r="K554" s="37"/>
      <c r="L554" s="74">
        <f t="shared" si="9"/>
        <v>1096</v>
      </c>
      <c r="M554" s="74"/>
      <c r="N554" s="74"/>
    </row>
    <row r="555" spans="2:14" hidden="1" outlineLevel="1">
      <c r="B555" s="73">
        <v>549</v>
      </c>
      <c r="C555" s="39"/>
      <c r="D555" s="40"/>
      <c r="E555" s="34" t="s">
        <v>323</v>
      </c>
      <c r="F555" s="75" t="s">
        <v>920</v>
      </c>
      <c r="G555" s="35" t="s">
        <v>79</v>
      </c>
      <c r="H555" s="41" t="s">
        <v>80</v>
      </c>
      <c r="I555" s="44" t="str">
        <f>"0x"&amp;AE_w_WORK!F42</f>
        <v>0x2222</v>
      </c>
      <c r="J555" s="36">
        <v>40765</v>
      </c>
      <c r="K555" s="37"/>
      <c r="L555" s="74">
        <f t="shared" si="9"/>
        <v>1098</v>
      </c>
      <c r="M555" s="74"/>
      <c r="N555" s="74"/>
    </row>
    <row r="556" spans="2:14" hidden="1" outlineLevel="1">
      <c r="B556" s="73">
        <v>550</v>
      </c>
      <c r="C556" s="39"/>
      <c r="D556" s="40"/>
      <c r="E556" s="34" t="s">
        <v>323</v>
      </c>
      <c r="F556" s="75" t="s">
        <v>921</v>
      </c>
      <c r="G556" s="35" t="s">
        <v>79</v>
      </c>
      <c r="H556" s="41" t="s">
        <v>80</v>
      </c>
      <c r="I556" s="44" t="str">
        <f>"0x"&amp;AE_w_WORK!F43</f>
        <v>0x0000</v>
      </c>
      <c r="J556" s="36">
        <v>40766</v>
      </c>
      <c r="K556" s="37"/>
      <c r="L556" s="74">
        <f t="shared" si="9"/>
        <v>1100</v>
      </c>
      <c r="M556" s="74"/>
      <c r="N556" s="74"/>
    </row>
    <row r="557" spans="2:14" hidden="1" outlineLevel="1">
      <c r="B557" s="73">
        <v>551</v>
      </c>
      <c r="C557" s="39"/>
      <c r="D557" s="40"/>
      <c r="E557" s="34" t="s">
        <v>323</v>
      </c>
      <c r="F557" s="75" t="s">
        <v>922</v>
      </c>
      <c r="G557" s="35" t="s">
        <v>79</v>
      </c>
      <c r="H557" s="41" t="s">
        <v>80</v>
      </c>
      <c r="I557" s="44" t="str">
        <f>"0x"&amp;AE_w_WORK!F44</f>
        <v>0x0000</v>
      </c>
      <c r="J557" s="36">
        <v>40767</v>
      </c>
      <c r="K557" s="37"/>
      <c r="L557" s="74">
        <f t="shared" si="9"/>
        <v>1102</v>
      </c>
      <c r="M557" s="74"/>
      <c r="N557" s="74"/>
    </row>
    <row r="558" spans="2:14" hidden="1" outlineLevel="1">
      <c r="B558" s="73">
        <v>552</v>
      </c>
      <c r="C558" s="39"/>
      <c r="D558" s="40"/>
      <c r="E558" s="34" t="s">
        <v>323</v>
      </c>
      <c r="F558" s="75" t="s">
        <v>923</v>
      </c>
      <c r="G558" s="35" t="s">
        <v>79</v>
      </c>
      <c r="H558" s="41" t="s">
        <v>80</v>
      </c>
      <c r="I558" s="44" t="str">
        <f>"0x"&amp;AE_w_WORK!F45</f>
        <v>0x0000</v>
      </c>
      <c r="J558" s="36">
        <v>40768</v>
      </c>
      <c r="K558" s="37"/>
      <c r="L558" s="74">
        <f t="shared" si="9"/>
        <v>1104</v>
      </c>
      <c r="M558" s="74"/>
      <c r="N558" s="74"/>
    </row>
    <row r="559" spans="2:14" hidden="1" outlineLevel="1">
      <c r="B559" s="73">
        <v>553</v>
      </c>
      <c r="C559" s="39"/>
      <c r="D559" s="40"/>
      <c r="E559" s="34" t="s">
        <v>323</v>
      </c>
      <c r="F559" s="75" t="s">
        <v>924</v>
      </c>
      <c r="G559" s="35" t="s">
        <v>79</v>
      </c>
      <c r="H559" s="41" t="s">
        <v>80</v>
      </c>
      <c r="I559" s="44" t="str">
        <f>"0x"&amp;AE_w_WORK!F46</f>
        <v>0x0000</v>
      </c>
      <c r="J559" s="36">
        <v>40769</v>
      </c>
      <c r="K559" s="37"/>
      <c r="L559" s="74">
        <f t="shared" si="9"/>
        <v>1106</v>
      </c>
      <c r="M559" s="74"/>
      <c r="N559" s="74"/>
    </row>
    <row r="560" spans="2:14" hidden="1" outlineLevel="1">
      <c r="B560" s="73">
        <v>554</v>
      </c>
      <c r="C560" s="39"/>
      <c r="D560" s="40"/>
      <c r="E560" s="34" t="s">
        <v>323</v>
      </c>
      <c r="F560" s="75" t="s">
        <v>925</v>
      </c>
      <c r="G560" s="35" t="s">
        <v>79</v>
      </c>
      <c r="H560" s="41" t="s">
        <v>80</v>
      </c>
      <c r="I560" s="44" t="str">
        <f>"0x"&amp;AE_w_WORK!F47</f>
        <v>0x0000</v>
      </c>
      <c r="J560" s="36">
        <v>40770</v>
      </c>
      <c r="K560" s="37"/>
      <c r="L560" s="74">
        <f t="shared" si="9"/>
        <v>1108</v>
      </c>
      <c r="M560" s="74"/>
      <c r="N560" s="74"/>
    </row>
    <row r="561" spans="2:14" hidden="1" outlineLevel="1">
      <c r="B561" s="73">
        <v>555</v>
      </c>
      <c r="C561" s="39"/>
      <c r="D561" s="40"/>
      <c r="E561" s="34" t="s">
        <v>323</v>
      </c>
      <c r="F561" s="75" t="s">
        <v>926</v>
      </c>
      <c r="G561" s="35" t="s">
        <v>79</v>
      </c>
      <c r="H561" s="41" t="s">
        <v>80</v>
      </c>
      <c r="I561" s="44" t="str">
        <f>"0x"&amp;AE_w_WORK!F48</f>
        <v>0x0000</v>
      </c>
      <c r="J561" s="36">
        <v>40771</v>
      </c>
      <c r="K561" s="37"/>
      <c r="L561" s="74">
        <f t="shared" si="9"/>
        <v>1110</v>
      </c>
      <c r="M561" s="74"/>
      <c r="N561" s="74"/>
    </row>
    <row r="562" spans="2:14" hidden="1" outlineLevel="1">
      <c r="B562" s="73">
        <v>556</v>
      </c>
      <c r="C562" s="39"/>
      <c r="D562" s="40"/>
      <c r="E562" s="34" t="s">
        <v>323</v>
      </c>
      <c r="F562" s="75" t="s">
        <v>927</v>
      </c>
      <c r="G562" s="35" t="s">
        <v>79</v>
      </c>
      <c r="H562" s="41" t="s">
        <v>80</v>
      </c>
      <c r="I562" s="44" t="str">
        <f>"0x"&amp;AE_w_WORK!F49</f>
        <v>0x2222</v>
      </c>
      <c r="J562" s="36">
        <v>40772</v>
      </c>
      <c r="K562" s="37"/>
      <c r="L562" s="74">
        <f t="shared" si="9"/>
        <v>1112</v>
      </c>
      <c r="M562" s="74"/>
      <c r="N562" s="74"/>
    </row>
    <row r="563" spans="2:14" hidden="1" outlineLevel="1">
      <c r="B563" s="73">
        <v>557</v>
      </c>
      <c r="C563" s="39"/>
      <c r="D563" s="40"/>
      <c r="E563" s="34" t="s">
        <v>323</v>
      </c>
      <c r="F563" s="75" t="s">
        <v>928</v>
      </c>
      <c r="G563" s="35" t="s">
        <v>79</v>
      </c>
      <c r="H563" s="41" t="s">
        <v>80</v>
      </c>
      <c r="I563" s="44" t="str">
        <f>"0x"&amp;AE_w_WORK!F50</f>
        <v>0x2222</v>
      </c>
      <c r="J563" s="36">
        <v>40773</v>
      </c>
      <c r="K563" s="37"/>
      <c r="L563" s="74">
        <f t="shared" si="9"/>
        <v>1114</v>
      </c>
      <c r="M563" s="74"/>
      <c r="N563" s="74"/>
    </row>
    <row r="564" spans="2:14" hidden="1" outlineLevel="1">
      <c r="B564" s="73">
        <v>558</v>
      </c>
      <c r="C564" s="39"/>
      <c r="D564" s="40"/>
      <c r="E564" s="34" t="s">
        <v>323</v>
      </c>
      <c r="F564" s="75" t="s">
        <v>929</v>
      </c>
      <c r="G564" s="35" t="s">
        <v>79</v>
      </c>
      <c r="H564" s="41" t="s">
        <v>80</v>
      </c>
      <c r="I564" s="44" t="str">
        <f>"0x"&amp;AE_w_WORK!F51</f>
        <v>0x0000</v>
      </c>
      <c r="J564" s="36">
        <v>40774</v>
      </c>
      <c r="K564" s="37"/>
      <c r="L564" s="74">
        <f t="shared" si="9"/>
        <v>1116</v>
      </c>
      <c r="M564" s="74"/>
      <c r="N564" s="74"/>
    </row>
    <row r="565" spans="2:14" hidden="1" outlineLevel="1">
      <c r="B565" s="73">
        <v>559</v>
      </c>
      <c r="C565" s="39"/>
      <c r="D565" s="40"/>
      <c r="E565" s="34" t="s">
        <v>323</v>
      </c>
      <c r="F565" s="75" t="s">
        <v>930</v>
      </c>
      <c r="G565" s="35" t="s">
        <v>79</v>
      </c>
      <c r="H565" s="41" t="s">
        <v>80</v>
      </c>
      <c r="I565" s="44" t="str">
        <f>"0x"&amp;AE_w_WORK!F52</f>
        <v>0x0000</v>
      </c>
      <c r="J565" s="36">
        <v>40775</v>
      </c>
      <c r="K565" s="37"/>
      <c r="L565" s="74">
        <f t="shared" si="9"/>
        <v>1118</v>
      </c>
      <c r="M565" s="74"/>
      <c r="N565" s="74"/>
    </row>
    <row r="566" spans="2:14" hidden="1" outlineLevel="1">
      <c r="B566" s="73">
        <v>560</v>
      </c>
      <c r="C566" s="39"/>
      <c r="D566" s="40"/>
      <c r="E566" s="34" t="s">
        <v>323</v>
      </c>
      <c r="F566" s="75" t="s">
        <v>931</v>
      </c>
      <c r="G566" s="35" t="s">
        <v>79</v>
      </c>
      <c r="H566" s="41" t="s">
        <v>80</v>
      </c>
      <c r="I566" s="44" t="str">
        <f>"0x"&amp;AE_w_WORK!F53</f>
        <v>0x0000</v>
      </c>
      <c r="J566" s="36">
        <v>40776</v>
      </c>
      <c r="K566" s="37"/>
      <c r="L566" s="74">
        <f t="shared" si="9"/>
        <v>1120</v>
      </c>
      <c r="M566" s="74"/>
      <c r="N566" s="74"/>
    </row>
    <row r="567" spans="2:14" hidden="1" outlineLevel="1">
      <c r="B567" s="73">
        <v>561</v>
      </c>
      <c r="C567" s="39"/>
      <c r="D567" s="40"/>
      <c r="E567" s="34" t="s">
        <v>323</v>
      </c>
      <c r="F567" s="75" t="s">
        <v>932</v>
      </c>
      <c r="G567" s="35" t="s">
        <v>79</v>
      </c>
      <c r="H567" s="41" t="s">
        <v>80</v>
      </c>
      <c r="I567" s="44" t="str">
        <f>"0x"&amp;AE_w_WORK!F54</f>
        <v>0x0000</v>
      </c>
      <c r="J567" s="36">
        <v>40777</v>
      </c>
      <c r="K567" s="37"/>
      <c r="L567" s="74">
        <f t="shared" si="9"/>
        <v>1122</v>
      </c>
      <c r="M567" s="74"/>
      <c r="N567" s="74"/>
    </row>
    <row r="568" spans="2:14" hidden="1" outlineLevel="1">
      <c r="B568" s="73">
        <v>562</v>
      </c>
      <c r="C568" s="39"/>
      <c r="D568" s="40"/>
      <c r="E568" s="34" t="s">
        <v>323</v>
      </c>
      <c r="F568" s="75" t="s">
        <v>933</v>
      </c>
      <c r="G568" s="35" t="s">
        <v>79</v>
      </c>
      <c r="H568" s="41" t="s">
        <v>80</v>
      </c>
      <c r="I568" s="44" t="str">
        <f>"0x"&amp;AE_w_WORK!F55</f>
        <v>0x0000</v>
      </c>
      <c r="J568" s="36">
        <v>40778</v>
      </c>
      <c r="K568" s="37"/>
      <c r="L568" s="74">
        <f t="shared" si="9"/>
        <v>1124</v>
      </c>
      <c r="M568" s="74"/>
      <c r="N568" s="74"/>
    </row>
    <row r="569" spans="2:14" hidden="1" outlineLevel="1">
      <c r="B569" s="73">
        <v>563</v>
      </c>
      <c r="C569" s="39"/>
      <c r="D569" s="40"/>
      <c r="E569" s="34" t="s">
        <v>323</v>
      </c>
      <c r="F569" s="75" t="s">
        <v>934</v>
      </c>
      <c r="G569" s="35" t="s">
        <v>79</v>
      </c>
      <c r="H569" s="41" t="s">
        <v>80</v>
      </c>
      <c r="I569" s="44" t="str">
        <f>"0x"&amp;AE_w_WORK!F56</f>
        <v>0x2222</v>
      </c>
      <c r="J569" s="36">
        <v>40779</v>
      </c>
      <c r="K569" s="37"/>
      <c r="L569" s="74">
        <f t="shared" si="9"/>
        <v>1126</v>
      </c>
      <c r="M569" s="74"/>
      <c r="N569" s="74"/>
    </row>
    <row r="570" spans="2:14" hidden="1" outlineLevel="1">
      <c r="B570" s="73">
        <v>564</v>
      </c>
      <c r="C570" s="39"/>
      <c r="D570" s="40"/>
      <c r="E570" s="34" t="s">
        <v>323</v>
      </c>
      <c r="F570" s="75" t="s">
        <v>935</v>
      </c>
      <c r="G570" s="35" t="s">
        <v>79</v>
      </c>
      <c r="H570" s="41" t="s">
        <v>80</v>
      </c>
      <c r="I570" s="44" t="str">
        <f>"0x"&amp;AE_w_WORK!F57</f>
        <v>0x2233</v>
      </c>
      <c r="J570" s="36">
        <v>40780</v>
      </c>
      <c r="K570" s="37"/>
      <c r="L570" s="74">
        <f t="shared" si="9"/>
        <v>1128</v>
      </c>
      <c r="M570" s="74"/>
      <c r="N570" s="74"/>
    </row>
    <row r="571" spans="2:14" hidden="1" outlineLevel="1">
      <c r="B571" s="73">
        <v>565</v>
      </c>
      <c r="C571" s="39"/>
      <c r="D571" s="40"/>
      <c r="E571" s="34" t="s">
        <v>323</v>
      </c>
      <c r="F571" s="75" t="s">
        <v>936</v>
      </c>
      <c r="G571" s="35" t="s">
        <v>79</v>
      </c>
      <c r="H571" s="41" t="s">
        <v>80</v>
      </c>
      <c r="I571" s="44" t="str">
        <f>"0x"&amp;AE_w_WORK!F58</f>
        <v>0x3322</v>
      </c>
      <c r="J571" s="36">
        <v>40781</v>
      </c>
      <c r="K571" s="37"/>
      <c r="L571" s="74">
        <f t="shared" si="9"/>
        <v>1130</v>
      </c>
      <c r="M571" s="74"/>
      <c r="N571" s="74"/>
    </row>
    <row r="572" spans="2:14" hidden="1" outlineLevel="1">
      <c r="B572" s="73">
        <v>566</v>
      </c>
      <c r="C572" s="39"/>
      <c r="D572" s="40"/>
      <c r="E572" s="34" t="s">
        <v>323</v>
      </c>
      <c r="F572" s="75" t="s">
        <v>937</v>
      </c>
      <c r="G572" s="35" t="s">
        <v>79</v>
      </c>
      <c r="H572" s="41" t="s">
        <v>80</v>
      </c>
      <c r="I572" s="44" t="str">
        <f>"0x"&amp;AE_w_WORK!F59</f>
        <v>0x2222</v>
      </c>
      <c r="J572" s="36">
        <v>40782</v>
      </c>
      <c r="K572" s="37"/>
      <c r="L572" s="74">
        <f t="shared" si="9"/>
        <v>1132</v>
      </c>
      <c r="M572" s="74"/>
      <c r="N572" s="74"/>
    </row>
    <row r="573" spans="2:14" hidden="1" outlineLevel="1">
      <c r="B573" s="73">
        <v>567</v>
      </c>
      <c r="C573" s="39"/>
      <c r="D573" s="40"/>
      <c r="E573" s="34" t="s">
        <v>323</v>
      </c>
      <c r="F573" s="75" t="s">
        <v>938</v>
      </c>
      <c r="G573" s="35" t="s">
        <v>79</v>
      </c>
      <c r="H573" s="41" t="s">
        <v>80</v>
      </c>
      <c r="I573" s="44" t="str">
        <f>"0x"&amp;AE_w_WORK!F60</f>
        <v>0x0000</v>
      </c>
      <c r="J573" s="36">
        <v>40783</v>
      </c>
      <c r="K573" s="37"/>
      <c r="L573" s="74">
        <f t="shared" si="9"/>
        <v>1134</v>
      </c>
      <c r="M573" s="74"/>
      <c r="N573" s="74"/>
    </row>
    <row r="574" spans="2:14" hidden="1" outlineLevel="1">
      <c r="B574" s="73">
        <v>568</v>
      </c>
      <c r="C574" s="39"/>
      <c r="D574" s="40"/>
      <c r="E574" s="34" t="s">
        <v>323</v>
      </c>
      <c r="F574" s="75" t="s">
        <v>939</v>
      </c>
      <c r="G574" s="35" t="s">
        <v>79</v>
      </c>
      <c r="H574" s="41" t="s">
        <v>80</v>
      </c>
      <c r="I574" s="44" t="str">
        <f>"0x"&amp;AE_w_WORK!F61</f>
        <v>0x0000</v>
      </c>
      <c r="J574" s="36">
        <v>40784</v>
      </c>
      <c r="K574" s="37"/>
      <c r="L574" s="74">
        <f t="shared" si="9"/>
        <v>1136</v>
      </c>
      <c r="M574" s="74"/>
      <c r="N574" s="74"/>
    </row>
    <row r="575" spans="2:14" hidden="1" outlineLevel="1">
      <c r="B575" s="73">
        <v>569</v>
      </c>
      <c r="C575" s="39"/>
      <c r="D575" s="40"/>
      <c r="E575" s="34" t="s">
        <v>323</v>
      </c>
      <c r="F575" s="75" t="s">
        <v>940</v>
      </c>
      <c r="G575" s="35" t="s">
        <v>79</v>
      </c>
      <c r="H575" s="41" t="s">
        <v>80</v>
      </c>
      <c r="I575" s="44" t="str">
        <f>"0x"&amp;AE_w_WORK!F62</f>
        <v>0x0000</v>
      </c>
      <c r="J575" s="36">
        <v>40785</v>
      </c>
      <c r="K575" s="37"/>
      <c r="L575" s="74">
        <f t="shared" si="9"/>
        <v>1138</v>
      </c>
      <c r="M575" s="74"/>
      <c r="N575" s="74"/>
    </row>
    <row r="576" spans="2:14" hidden="1" outlineLevel="1">
      <c r="B576" s="73">
        <v>570</v>
      </c>
      <c r="C576" s="39"/>
      <c r="D576" s="40"/>
      <c r="E576" s="34" t="s">
        <v>323</v>
      </c>
      <c r="F576" s="75" t="s">
        <v>941</v>
      </c>
      <c r="G576" s="35" t="s">
        <v>79</v>
      </c>
      <c r="H576" s="41" t="s">
        <v>80</v>
      </c>
      <c r="I576" s="44" t="str">
        <f>"0x"&amp;AE_w_WORK!F63</f>
        <v>0x0000</v>
      </c>
      <c r="J576" s="36">
        <v>40786</v>
      </c>
      <c r="K576" s="37"/>
      <c r="L576" s="74">
        <f t="shared" si="9"/>
        <v>1140</v>
      </c>
      <c r="M576" s="74"/>
      <c r="N576" s="74"/>
    </row>
    <row r="577" spans="2:14" hidden="1" outlineLevel="1">
      <c r="B577" s="73">
        <v>571</v>
      </c>
      <c r="C577" s="39"/>
      <c r="D577" s="40"/>
      <c r="E577" s="34" t="s">
        <v>323</v>
      </c>
      <c r="F577" s="75" t="s">
        <v>942</v>
      </c>
      <c r="G577" s="35" t="s">
        <v>79</v>
      </c>
      <c r="H577" s="41" t="s">
        <v>80</v>
      </c>
      <c r="I577" s="44" t="str">
        <f>"0x"&amp;AE_w_WORK!F64</f>
        <v>0x2222</v>
      </c>
      <c r="J577" s="36">
        <v>40787</v>
      </c>
      <c r="K577" s="37"/>
      <c r="L577" s="74">
        <f t="shared" si="9"/>
        <v>1142</v>
      </c>
      <c r="M577" s="74"/>
      <c r="N577" s="74"/>
    </row>
    <row r="578" spans="2:14" hidden="1" outlineLevel="1">
      <c r="B578" s="73">
        <v>572</v>
      </c>
      <c r="C578" s="39"/>
      <c r="D578" s="40"/>
      <c r="E578" s="34" t="s">
        <v>323</v>
      </c>
      <c r="F578" s="75" t="s">
        <v>943</v>
      </c>
      <c r="G578" s="35" t="s">
        <v>79</v>
      </c>
      <c r="H578" s="41" t="s">
        <v>80</v>
      </c>
      <c r="I578" s="44" t="str">
        <f>"0x"&amp;AE_w_WORK!F65</f>
        <v>0x2233</v>
      </c>
      <c r="J578" s="36">
        <v>40788</v>
      </c>
      <c r="K578" s="37"/>
      <c r="L578" s="74">
        <f t="shared" si="9"/>
        <v>1144</v>
      </c>
      <c r="M578" s="74"/>
      <c r="N578" s="74"/>
    </row>
    <row r="579" spans="2:14" hidden="1" outlineLevel="1">
      <c r="B579" s="73">
        <v>573</v>
      </c>
      <c r="C579" s="39"/>
      <c r="D579" s="40"/>
      <c r="E579" s="34" t="s">
        <v>323</v>
      </c>
      <c r="F579" s="75" t="s">
        <v>944</v>
      </c>
      <c r="G579" s="35" t="s">
        <v>79</v>
      </c>
      <c r="H579" s="41" t="s">
        <v>80</v>
      </c>
      <c r="I579" s="44" t="str">
        <f>"0x"&amp;AE_w_WORK!F66</f>
        <v>0x3322</v>
      </c>
      <c r="J579" s="36">
        <v>40789</v>
      </c>
      <c r="K579" s="37"/>
      <c r="L579" s="74">
        <f t="shared" si="9"/>
        <v>1146</v>
      </c>
      <c r="M579" s="74"/>
      <c r="N579" s="74"/>
    </row>
    <row r="580" spans="2:14" hidden="1" outlineLevel="1">
      <c r="B580" s="73">
        <v>574</v>
      </c>
      <c r="C580" s="39"/>
      <c r="D580" s="40"/>
      <c r="E580" s="34" t="s">
        <v>323</v>
      </c>
      <c r="F580" s="75" t="s">
        <v>945</v>
      </c>
      <c r="G580" s="35" t="s">
        <v>79</v>
      </c>
      <c r="H580" s="41" t="s">
        <v>80</v>
      </c>
      <c r="I580" s="44" t="str">
        <f>"0x"&amp;AE_w_WORK!F67</f>
        <v>0x2222</v>
      </c>
      <c r="J580" s="36">
        <v>40790</v>
      </c>
      <c r="K580" s="37"/>
      <c r="L580" s="74">
        <f t="shared" si="9"/>
        <v>1148</v>
      </c>
      <c r="M580" s="74"/>
      <c r="N580" s="74"/>
    </row>
    <row r="581" spans="2:14" hidden="1" outlineLevel="1">
      <c r="B581" s="73">
        <v>575</v>
      </c>
      <c r="C581" s="39"/>
      <c r="D581" s="40"/>
      <c r="E581" s="34" t="s">
        <v>323</v>
      </c>
      <c r="F581" s="75" t="s">
        <v>946</v>
      </c>
      <c r="G581" s="35" t="s">
        <v>79</v>
      </c>
      <c r="H581" s="41" t="s">
        <v>80</v>
      </c>
      <c r="I581" s="44" t="str">
        <f>"0x"&amp;AE_w_WORK!F68</f>
        <v>0x0000</v>
      </c>
      <c r="J581" s="36">
        <v>40791</v>
      </c>
      <c r="K581" s="37"/>
      <c r="L581" s="74">
        <f t="shared" si="9"/>
        <v>1150</v>
      </c>
      <c r="M581" s="74"/>
      <c r="N581" s="74"/>
    </row>
    <row r="582" spans="2:14" hidden="1" outlineLevel="1">
      <c r="B582" s="73">
        <v>576</v>
      </c>
      <c r="C582" s="39"/>
      <c r="D582" s="40"/>
      <c r="E582" s="34" t="s">
        <v>323</v>
      </c>
      <c r="F582" s="75" t="s">
        <v>947</v>
      </c>
      <c r="G582" s="35" t="s">
        <v>79</v>
      </c>
      <c r="H582" s="41" t="s">
        <v>80</v>
      </c>
      <c r="I582" s="44" t="str">
        <f>"0x"&amp;AE_w_WORK!F69</f>
        <v>0x0000</v>
      </c>
      <c r="J582" s="36">
        <v>40792</v>
      </c>
      <c r="K582" s="37"/>
      <c r="L582" s="74">
        <f t="shared" si="9"/>
        <v>1152</v>
      </c>
      <c r="M582" s="74"/>
      <c r="N582" s="74"/>
    </row>
    <row r="583" spans="2:14" hidden="1" outlineLevel="1">
      <c r="B583" s="73">
        <v>577</v>
      </c>
      <c r="C583" s="39"/>
      <c r="D583" s="40"/>
      <c r="E583" s="34" t="s">
        <v>323</v>
      </c>
      <c r="F583" s="75" t="s">
        <v>948</v>
      </c>
      <c r="G583" s="35" t="s">
        <v>79</v>
      </c>
      <c r="H583" s="41" t="s">
        <v>80</v>
      </c>
      <c r="I583" s="44" t="str">
        <f>"0x"&amp;AE_w_WORK!F70</f>
        <v>0x0000</v>
      </c>
      <c r="J583" s="36">
        <v>40793</v>
      </c>
      <c r="K583" s="37"/>
      <c r="L583" s="74">
        <f t="shared" si="9"/>
        <v>1154</v>
      </c>
      <c r="M583" s="74"/>
      <c r="N583" s="74"/>
    </row>
    <row r="584" spans="2:14" hidden="1" outlineLevel="1">
      <c r="B584" s="73">
        <v>578</v>
      </c>
      <c r="C584" s="39"/>
      <c r="D584" s="40"/>
      <c r="E584" s="34" t="s">
        <v>323</v>
      </c>
      <c r="F584" s="75" t="s">
        <v>949</v>
      </c>
      <c r="G584" s="35" t="s">
        <v>79</v>
      </c>
      <c r="H584" s="41" t="s">
        <v>80</v>
      </c>
      <c r="I584" s="44" t="str">
        <f>"0x"&amp;AE_w_WORK!F71</f>
        <v>0x0022</v>
      </c>
      <c r="J584" s="36">
        <v>40794</v>
      </c>
      <c r="K584" s="37"/>
      <c r="L584" s="74">
        <f t="shared" si="9"/>
        <v>1156</v>
      </c>
      <c r="M584" s="74"/>
      <c r="N584" s="74"/>
    </row>
    <row r="585" spans="2:14" hidden="1" outlineLevel="1">
      <c r="B585" s="73">
        <v>579</v>
      </c>
      <c r="C585" s="39"/>
      <c r="D585" s="40"/>
      <c r="E585" s="34" t="s">
        <v>323</v>
      </c>
      <c r="F585" s="75" t="s">
        <v>950</v>
      </c>
      <c r="G585" s="35" t="s">
        <v>79</v>
      </c>
      <c r="H585" s="41" t="s">
        <v>80</v>
      </c>
      <c r="I585" s="44" t="str">
        <f>"0x"&amp;AE_w_WORK!F72</f>
        <v>0x2233</v>
      </c>
      <c r="J585" s="36">
        <v>40795</v>
      </c>
      <c r="K585" s="37"/>
      <c r="L585" s="74">
        <f t="shared" ref="L585:L648" si="10">L584+2</f>
        <v>1158</v>
      </c>
      <c r="M585" s="74"/>
      <c r="N585" s="74"/>
    </row>
    <row r="586" spans="2:14" hidden="1" outlineLevel="1">
      <c r="B586" s="73">
        <v>580</v>
      </c>
      <c r="C586" s="39"/>
      <c r="D586" s="40"/>
      <c r="E586" s="34" t="s">
        <v>323</v>
      </c>
      <c r="F586" s="75" t="s">
        <v>951</v>
      </c>
      <c r="G586" s="35" t="s">
        <v>79</v>
      </c>
      <c r="H586" s="41" t="s">
        <v>80</v>
      </c>
      <c r="I586" s="44" t="str">
        <f>"0x"&amp;AE_w_WORK!F73</f>
        <v>0x3344</v>
      </c>
      <c r="J586" s="36">
        <v>40796</v>
      </c>
      <c r="K586" s="37"/>
      <c r="L586" s="74">
        <f t="shared" si="10"/>
        <v>1160</v>
      </c>
      <c r="M586" s="74"/>
      <c r="N586" s="74"/>
    </row>
    <row r="587" spans="2:14" hidden="1" outlineLevel="1">
      <c r="B587" s="73">
        <v>581</v>
      </c>
      <c r="C587" s="39"/>
      <c r="D587" s="40"/>
      <c r="E587" s="34" t="s">
        <v>323</v>
      </c>
      <c r="F587" s="75" t="s">
        <v>952</v>
      </c>
      <c r="G587" s="35" t="s">
        <v>79</v>
      </c>
      <c r="H587" s="41" t="s">
        <v>80</v>
      </c>
      <c r="I587" s="44" t="str">
        <f>"0x"&amp;AE_w_WORK!F74</f>
        <v>0x4433</v>
      </c>
      <c r="J587" s="36">
        <v>40797</v>
      </c>
      <c r="K587" s="37"/>
      <c r="L587" s="74">
        <f t="shared" si="10"/>
        <v>1162</v>
      </c>
      <c r="M587" s="74"/>
      <c r="N587" s="74"/>
    </row>
    <row r="588" spans="2:14" hidden="1" outlineLevel="1">
      <c r="B588" s="73">
        <v>582</v>
      </c>
      <c r="C588" s="39"/>
      <c r="D588" s="40"/>
      <c r="E588" s="34" t="s">
        <v>323</v>
      </c>
      <c r="F588" s="75" t="s">
        <v>953</v>
      </c>
      <c r="G588" s="35" t="s">
        <v>79</v>
      </c>
      <c r="H588" s="41" t="s">
        <v>80</v>
      </c>
      <c r="I588" s="44" t="str">
        <f>"0x"&amp;AE_w_WORK!F75</f>
        <v>0x3322</v>
      </c>
      <c r="J588" s="36">
        <v>40798</v>
      </c>
      <c r="K588" s="37"/>
      <c r="L588" s="74">
        <f t="shared" si="10"/>
        <v>1164</v>
      </c>
      <c r="M588" s="74"/>
      <c r="N588" s="74"/>
    </row>
    <row r="589" spans="2:14" hidden="1" outlineLevel="1">
      <c r="B589" s="73">
        <v>583</v>
      </c>
      <c r="C589" s="39"/>
      <c r="D589" s="40"/>
      <c r="E589" s="34" t="s">
        <v>323</v>
      </c>
      <c r="F589" s="75" t="s">
        <v>954</v>
      </c>
      <c r="G589" s="35" t="s">
        <v>79</v>
      </c>
      <c r="H589" s="41" t="s">
        <v>80</v>
      </c>
      <c r="I589" s="44" t="str">
        <f>"0x"&amp;AE_w_WORK!F76</f>
        <v>0x2200</v>
      </c>
      <c r="J589" s="36">
        <v>40799</v>
      </c>
      <c r="K589" s="37"/>
      <c r="L589" s="74">
        <f t="shared" si="10"/>
        <v>1166</v>
      </c>
      <c r="M589" s="74"/>
      <c r="N589" s="74"/>
    </row>
    <row r="590" spans="2:14" hidden="1" outlineLevel="1">
      <c r="B590" s="73">
        <v>584</v>
      </c>
      <c r="C590" s="39"/>
      <c r="D590" s="40"/>
      <c r="E590" s="34" t="s">
        <v>323</v>
      </c>
      <c r="F590" s="75" t="s">
        <v>955</v>
      </c>
      <c r="G590" s="35" t="s">
        <v>79</v>
      </c>
      <c r="H590" s="41" t="s">
        <v>80</v>
      </c>
      <c r="I590" s="44" t="str">
        <f>"0x"&amp;AE_w_WORK!F77</f>
        <v>0x0000</v>
      </c>
      <c r="J590" s="36">
        <v>40800</v>
      </c>
      <c r="K590" s="37"/>
      <c r="L590" s="74">
        <f t="shared" si="10"/>
        <v>1168</v>
      </c>
      <c r="M590" s="74"/>
      <c r="N590" s="74"/>
    </row>
    <row r="591" spans="2:14" hidden="1" outlineLevel="1">
      <c r="B591" s="73">
        <v>585</v>
      </c>
      <c r="C591" s="39"/>
      <c r="D591" s="40"/>
      <c r="E591" s="34" t="s">
        <v>323</v>
      </c>
      <c r="F591" s="75" t="s">
        <v>956</v>
      </c>
      <c r="G591" s="35" t="s">
        <v>79</v>
      </c>
      <c r="H591" s="41" t="s">
        <v>80</v>
      </c>
      <c r="I591" s="44" t="str">
        <f>"0x"&amp;AE_w_WORK!F78</f>
        <v>0x0000</v>
      </c>
      <c r="J591" s="36">
        <v>40801</v>
      </c>
      <c r="K591" s="37"/>
      <c r="L591" s="74">
        <f t="shared" si="10"/>
        <v>1170</v>
      </c>
      <c r="M591" s="74"/>
      <c r="N591" s="74"/>
    </row>
    <row r="592" spans="2:14" hidden="1" outlineLevel="1">
      <c r="B592" s="73">
        <v>586</v>
      </c>
      <c r="C592" s="39"/>
      <c r="D592" s="40"/>
      <c r="E592" s="34" t="s">
        <v>323</v>
      </c>
      <c r="F592" s="75" t="s">
        <v>957</v>
      </c>
      <c r="G592" s="35" t="s">
        <v>79</v>
      </c>
      <c r="H592" s="41" t="s">
        <v>80</v>
      </c>
      <c r="I592" s="44" t="str">
        <f>"0x"&amp;AE_w_WORK!F79</f>
        <v>0x0022</v>
      </c>
      <c r="J592" s="36">
        <v>40802</v>
      </c>
      <c r="K592" s="37"/>
      <c r="L592" s="74">
        <f t="shared" si="10"/>
        <v>1172</v>
      </c>
      <c r="M592" s="74"/>
      <c r="N592" s="74"/>
    </row>
    <row r="593" spans="2:14" hidden="1" outlineLevel="1">
      <c r="B593" s="73">
        <v>587</v>
      </c>
      <c r="C593" s="39"/>
      <c r="D593" s="40"/>
      <c r="E593" s="34" t="s">
        <v>323</v>
      </c>
      <c r="F593" s="75" t="s">
        <v>958</v>
      </c>
      <c r="G593" s="35" t="s">
        <v>79</v>
      </c>
      <c r="H593" s="41" t="s">
        <v>80</v>
      </c>
      <c r="I593" s="44" t="str">
        <f>"0x"&amp;AE_w_WORK!F80</f>
        <v>0x2233</v>
      </c>
      <c r="J593" s="36">
        <v>40803</v>
      </c>
      <c r="K593" s="37"/>
      <c r="L593" s="74">
        <f t="shared" si="10"/>
        <v>1174</v>
      </c>
      <c r="M593" s="74"/>
      <c r="N593" s="74"/>
    </row>
    <row r="594" spans="2:14" hidden="1" outlineLevel="1">
      <c r="B594" s="73">
        <v>588</v>
      </c>
      <c r="C594" s="39"/>
      <c r="D594" s="40"/>
      <c r="E594" s="34" t="s">
        <v>323</v>
      </c>
      <c r="F594" s="75" t="s">
        <v>959</v>
      </c>
      <c r="G594" s="35" t="s">
        <v>79</v>
      </c>
      <c r="H594" s="41" t="s">
        <v>80</v>
      </c>
      <c r="I594" s="44" t="str">
        <f>"0x"&amp;AE_w_WORK!F81</f>
        <v>0x3344</v>
      </c>
      <c r="J594" s="36">
        <v>40804</v>
      </c>
      <c r="K594" s="37"/>
      <c r="L594" s="74">
        <f t="shared" si="10"/>
        <v>1176</v>
      </c>
      <c r="M594" s="74"/>
      <c r="N594" s="74"/>
    </row>
    <row r="595" spans="2:14" hidden="1" outlineLevel="1">
      <c r="B595" s="73">
        <v>589</v>
      </c>
      <c r="C595" s="39"/>
      <c r="D595" s="40"/>
      <c r="E595" s="34" t="s">
        <v>323</v>
      </c>
      <c r="F595" s="75" t="s">
        <v>960</v>
      </c>
      <c r="G595" s="35" t="s">
        <v>79</v>
      </c>
      <c r="H595" s="41" t="s">
        <v>80</v>
      </c>
      <c r="I595" s="44" t="str">
        <f>"0x"&amp;AE_w_WORK!F82</f>
        <v>0x4433</v>
      </c>
      <c r="J595" s="36">
        <v>40805</v>
      </c>
      <c r="K595" s="37"/>
      <c r="L595" s="74">
        <f t="shared" si="10"/>
        <v>1178</v>
      </c>
      <c r="M595" s="74"/>
      <c r="N595" s="74"/>
    </row>
    <row r="596" spans="2:14" hidden="1" outlineLevel="1">
      <c r="B596" s="73">
        <v>590</v>
      </c>
      <c r="C596" s="39"/>
      <c r="D596" s="40"/>
      <c r="E596" s="34" t="s">
        <v>323</v>
      </c>
      <c r="F596" s="75" t="s">
        <v>961</v>
      </c>
      <c r="G596" s="35" t="s">
        <v>79</v>
      </c>
      <c r="H596" s="41" t="s">
        <v>80</v>
      </c>
      <c r="I596" s="44" t="str">
        <f>"0x"&amp;AE_w_WORK!F83</f>
        <v>0x3322</v>
      </c>
      <c r="J596" s="36">
        <v>40806</v>
      </c>
      <c r="K596" s="37"/>
      <c r="L596" s="74">
        <f t="shared" si="10"/>
        <v>1180</v>
      </c>
      <c r="M596" s="74"/>
      <c r="N596" s="74"/>
    </row>
    <row r="597" spans="2:14" hidden="1" outlineLevel="1">
      <c r="B597" s="73">
        <v>591</v>
      </c>
      <c r="C597" s="39"/>
      <c r="D597" s="40"/>
      <c r="E597" s="34" t="s">
        <v>323</v>
      </c>
      <c r="F597" s="75" t="s">
        <v>962</v>
      </c>
      <c r="G597" s="35" t="s">
        <v>79</v>
      </c>
      <c r="H597" s="41" t="s">
        <v>80</v>
      </c>
      <c r="I597" s="44" t="str">
        <f>"0x"&amp;AE_w_WORK!F84</f>
        <v>0x2200</v>
      </c>
      <c r="J597" s="36">
        <v>40807</v>
      </c>
      <c r="K597" s="37"/>
      <c r="L597" s="74">
        <f t="shared" si="10"/>
        <v>1182</v>
      </c>
      <c r="M597" s="74"/>
      <c r="N597" s="74"/>
    </row>
    <row r="598" spans="2:14" hidden="1" outlineLevel="1">
      <c r="B598" s="73">
        <v>592</v>
      </c>
      <c r="C598" s="39"/>
      <c r="D598" s="40"/>
      <c r="E598" s="34" t="s">
        <v>323</v>
      </c>
      <c r="F598" s="75" t="s">
        <v>963</v>
      </c>
      <c r="G598" s="35" t="s">
        <v>79</v>
      </c>
      <c r="H598" s="41" t="s">
        <v>80</v>
      </c>
      <c r="I598" s="44" t="str">
        <f>"0x"&amp;AE_w_WORK!F85</f>
        <v>0x0000</v>
      </c>
      <c r="J598" s="36">
        <v>40808</v>
      </c>
      <c r="K598" s="37"/>
      <c r="L598" s="74">
        <f t="shared" si="10"/>
        <v>1184</v>
      </c>
      <c r="M598" s="74"/>
      <c r="N598" s="74"/>
    </row>
    <row r="599" spans="2:14" hidden="1" outlineLevel="1">
      <c r="B599" s="73">
        <v>593</v>
      </c>
      <c r="C599" s="39"/>
      <c r="D599" s="40"/>
      <c r="E599" s="34" t="s">
        <v>323</v>
      </c>
      <c r="F599" s="75" t="s">
        <v>964</v>
      </c>
      <c r="G599" s="35" t="s">
        <v>79</v>
      </c>
      <c r="H599" s="41" t="s">
        <v>80</v>
      </c>
      <c r="I599" s="44" t="str">
        <f>"0x"&amp;AE_w_WORK!F86</f>
        <v>0x0000</v>
      </c>
      <c r="J599" s="36">
        <v>40809</v>
      </c>
      <c r="K599" s="37"/>
      <c r="L599" s="74">
        <f t="shared" si="10"/>
        <v>1186</v>
      </c>
      <c r="M599" s="74"/>
      <c r="N599" s="74"/>
    </row>
    <row r="600" spans="2:14" hidden="1" outlineLevel="1">
      <c r="B600" s="73">
        <v>594</v>
      </c>
      <c r="C600" s="39"/>
      <c r="D600" s="40"/>
      <c r="E600" s="34" t="s">
        <v>323</v>
      </c>
      <c r="F600" s="75" t="s">
        <v>965</v>
      </c>
      <c r="G600" s="35" t="s">
        <v>79</v>
      </c>
      <c r="H600" s="41" t="s">
        <v>80</v>
      </c>
      <c r="I600" s="44" t="str">
        <f>"0x"&amp;AE_w_WORK!F87</f>
        <v>0x0022</v>
      </c>
      <c r="J600" s="36">
        <v>40810</v>
      </c>
      <c r="K600" s="37"/>
      <c r="L600" s="74">
        <f t="shared" si="10"/>
        <v>1188</v>
      </c>
      <c r="M600" s="74"/>
      <c r="N600" s="74"/>
    </row>
    <row r="601" spans="2:14" hidden="1" outlineLevel="1">
      <c r="B601" s="73">
        <v>595</v>
      </c>
      <c r="C601" s="39"/>
      <c r="D601" s="40"/>
      <c r="E601" s="34" t="s">
        <v>323</v>
      </c>
      <c r="F601" s="75" t="s">
        <v>966</v>
      </c>
      <c r="G601" s="35" t="s">
        <v>79</v>
      </c>
      <c r="H601" s="41" t="s">
        <v>80</v>
      </c>
      <c r="I601" s="44" t="str">
        <f>"0x"&amp;AE_w_WORK!F88</f>
        <v>0x3344</v>
      </c>
      <c r="J601" s="36">
        <v>40811</v>
      </c>
      <c r="K601" s="37"/>
      <c r="L601" s="74">
        <f t="shared" si="10"/>
        <v>1190</v>
      </c>
      <c r="M601" s="74"/>
      <c r="N601" s="74"/>
    </row>
    <row r="602" spans="2:14" hidden="1" outlineLevel="1">
      <c r="B602" s="73">
        <v>596</v>
      </c>
      <c r="C602" s="39"/>
      <c r="D602" s="40"/>
      <c r="E602" s="34" t="s">
        <v>323</v>
      </c>
      <c r="F602" s="75" t="s">
        <v>967</v>
      </c>
      <c r="G602" s="35" t="s">
        <v>79</v>
      </c>
      <c r="H602" s="41" t="s">
        <v>80</v>
      </c>
      <c r="I602" s="44" t="str">
        <f>"0x"&amp;AE_w_WORK!F89</f>
        <v>0x4455</v>
      </c>
      <c r="J602" s="36">
        <v>40812</v>
      </c>
      <c r="K602" s="37"/>
      <c r="L602" s="74">
        <f t="shared" si="10"/>
        <v>1192</v>
      </c>
      <c r="M602" s="74"/>
      <c r="N602" s="74"/>
    </row>
    <row r="603" spans="2:14" hidden="1" outlineLevel="1">
      <c r="B603" s="73">
        <v>597</v>
      </c>
      <c r="C603" s="39"/>
      <c r="D603" s="40"/>
      <c r="E603" s="34" t="s">
        <v>323</v>
      </c>
      <c r="F603" s="75" t="s">
        <v>968</v>
      </c>
      <c r="G603" s="35" t="s">
        <v>79</v>
      </c>
      <c r="H603" s="41" t="s">
        <v>80</v>
      </c>
      <c r="I603" s="44" t="str">
        <f>"0x"&amp;AE_w_WORK!F90</f>
        <v>0x5544</v>
      </c>
      <c r="J603" s="36">
        <v>40813</v>
      </c>
      <c r="K603" s="37"/>
      <c r="L603" s="74">
        <f t="shared" si="10"/>
        <v>1194</v>
      </c>
      <c r="M603" s="74"/>
      <c r="N603" s="74"/>
    </row>
    <row r="604" spans="2:14" hidden="1" outlineLevel="1">
      <c r="B604" s="73">
        <v>598</v>
      </c>
      <c r="C604" s="39"/>
      <c r="D604" s="40"/>
      <c r="E604" s="34" t="s">
        <v>323</v>
      </c>
      <c r="F604" s="75" t="s">
        <v>969</v>
      </c>
      <c r="G604" s="35" t="s">
        <v>79</v>
      </c>
      <c r="H604" s="41" t="s">
        <v>80</v>
      </c>
      <c r="I604" s="44" t="str">
        <f>"0x"&amp;AE_w_WORK!F91</f>
        <v>0x4433</v>
      </c>
      <c r="J604" s="36">
        <v>40814</v>
      </c>
      <c r="K604" s="37"/>
      <c r="L604" s="74">
        <f t="shared" si="10"/>
        <v>1196</v>
      </c>
      <c r="M604" s="74"/>
      <c r="N604" s="74"/>
    </row>
    <row r="605" spans="2:14" hidden="1" outlineLevel="1">
      <c r="B605" s="73">
        <v>599</v>
      </c>
      <c r="C605" s="39"/>
      <c r="D605" s="40"/>
      <c r="E605" s="34" t="s">
        <v>323</v>
      </c>
      <c r="F605" s="75" t="s">
        <v>970</v>
      </c>
      <c r="G605" s="35" t="s">
        <v>79</v>
      </c>
      <c r="H605" s="41" t="s">
        <v>80</v>
      </c>
      <c r="I605" s="44" t="str">
        <f>"0x"&amp;AE_w_WORK!F92</f>
        <v>0x2200</v>
      </c>
      <c r="J605" s="36">
        <v>40815</v>
      </c>
      <c r="K605" s="37"/>
      <c r="L605" s="74">
        <f t="shared" si="10"/>
        <v>1198</v>
      </c>
      <c r="M605" s="74"/>
      <c r="N605" s="74"/>
    </row>
    <row r="606" spans="2:14" hidden="1" outlineLevel="1">
      <c r="B606" s="73">
        <v>600</v>
      </c>
      <c r="C606" s="39"/>
      <c r="D606" s="40"/>
      <c r="E606" s="34" t="s">
        <v>323</v>
      </c>
      <c r="F606" s="75" t="s">
        <v>971</v>
      </c>
      <c r="G606" s="35" t="s">
        <v>79</v>
      </c>
      <c r="H606" s="41" t="s">
        <v>80</v>
      </c>
      <c r="I606" s="44" t="str">
        <f>"0x"&amp;AE_w_WORK!F93</f>
        <v>0x0000</v>
      </c>
      <c r="J606" s="36">
        <v>40816</v>
      </c>
      <c r="K606" s="37"/>
      <c r="L606" s="74">
        <f t="shared" si="10"/>
        <v>1200</v>
      </c>
      <c r="M606" s="74"/>
      <c r="N606" s="74"/>
    </row>
    <row r="607" spans="2:14" hidden="1" outlineLevel="1">
      <c r="B607" s="73">
        <v>601</v>
      </c>
      <c r="C607" s="39"/>
      <c r="D607" s="40"/>
      <c r="E607" s="34" t="s">
        <v>323</v>
      </c>
      <c r="F607" s="75" t="s">
        <v>972</v>
      </c>
      <c r="G607" s="35" t="s">
        <v>79</v>
      </c>
      <c r="H607" s="41" t="s">
        <v>80</v>
      </c>
      <c r="I607" s="44" t="str">
        <f>"0x"&amp;AE_w_WORK!F94</f>
        <v>0x0000</v>
      </c>
      <c r="J607" s="36">
        <v>40817</v>
      </c>
      <c r="K607" s="37"/>
      <c r="L607" s="74">
        <f t="shared" si="10"/>
        <v>1202</v>
      </c>
      <c r="M607" s="74"/>
      <c r="N607" s="74"/>
    </row>
    <row r="608" spans="2:14" hidden="1" outlineLevel="1">
      <c r="B608" s="73">
        <v>602</v>
      </c>
      <c r="C608" s="39"/>
      <c r="D608" s="40"/>
      <c r="E608" s="34" t="s">
        <v>323</v>
      </c>
      <c r="F608" s="75" t="s">
        <v>973</v>
      </c>
      <c r="G608" s="35" t="s">
        <v>79</v>
      </c>
      <c r="H608" s="41" t="s">
        <v>80</v>
      </c>
      <c r="I608" s="44" t="str">
        <f>"0x"&amp;AE_w_WORK!F95</f>
        <v>0x2222</v>
      </c>
      <c r="J608" s="36">
        <v>40818</v>
      </c>
      <c r="K608" s="37"/>
      <c r="L608" s="74">
        <f t="shared" si="10"/>
        <v>1204</v>
      </c>
      <c r="M608" s="74"/>
      <c r="N608" s="74"/>
    </row>
    <row r="609" spans="2:14" hidden="1" outlineLevel="1">
      <c r="B609" s="73">
        <v>603</v>
      </c>
      <c r="C609" s="39"/>
      <c r="D609" s="40"/>
      <c r="E609" s="34" t="s">
        <v>323</v>
      </c>
      <c r="F609" s="75" t="s">
        <v>974</v>
      </c>
      <c r="G609" s="35" t="s">
        <v>79</v>
      </c>
      <c r="H609" s="41" t="s">
        <v>80</v>
      </c>
      <c r="I609" s="44" t="str">
        <f>"0x"&amp;AE_w_WORK!F96</f>
        <v>0x3344</v>
      </c>
      <c r="J609" s="36">
        <v>40819</v>
      </c>
      <c r="K609" s="37"/>
      <c r="L609" s="74">
        <f t="shared" si="10"/>
        <v>1206</v>
      </c>
      <c r="M609" s="74"/>
      <c r="N609" s="74"/>
    </row>
    <row r="610" spans="2:14" hidden="1" outlineLevel="1">
      <c r="B610" s="73">
        <v>604</v>
      </c>
      <c r="C610" s="39"/>
      <c r="D610" s="40"/>
      <c r="E610" s="34" t="s">
        <v>323</v>
      </c>
      <c r="F610" s="75" t="s">
        <v>975</v>
      </c>
      <c r="G610" s="35" t="s">
        <v>79</v>
      </c>
      <c r="H610" s="41" t="s">
        <v>80</v>
      </c>
      <c r="I610" s="44" t="str">
        <f>"0x"&amp;AE_w_WORK!F97</f>
        <v>0x4455</v>
      </c>
      <c r="J610" s="36">
        <v>40820</v>
      </c>
      <c r="K610" s="37"/>
      <c r="L610" s="74">
        <f t="shared" si="10"/>
        <v>1208</v>
      </c>
      <c r="M610" s="74"/>
      <c r="N610" s="74"/>
    </row>
    <row r="611" spans="2:14" hidden="1" outlineLevel="1">
      <c r="B611" s="73">
        <v>605</v>
      </c>
      <c r="C611" s="39"/>
      <c r="D611" s="40"/>
      <c r="E611" s="34" t="s">
        <v>323</v>
      </c>
      <c r="F611" s="75" t="s">
        <v>976</v>
      </c>
      <c r="G611" s="35" t="s">
        <v>79</v>
      </c>
      <c r="H611" s="41" t="s">
        <v>80</v>
      </c>
      <c r="I611" s="44" t="str">
        <f>"0x"&amp;AE_w_WORK!F98</f>
        <v>0x5544</v>
      </c>
      <c r="J611" s="36">
        <v>40821</v>
      </c>
      <c r="K611" s="37"/>
      <c r="L611" s="74">
        <f t="shared" si="10"/>
        <v>1210</v>
      </c>
      <c r="M611" s="74"/>
      <c r="N611" s="74"/>
    </row>
    <row r="612" spans="2:14" hidden="1" outlineLevel="1">
      <c r="B612" s="73">
        <v>606</v>
      </c>
      <c r="C612" s="39"/>
      <c r="D612" s="40"/>
      <c r="E612" s="34" t="s">
        <v>323</v>
      </c>
      <c r="F612" s="75" t="s">
        <v>977</v>
      </c>
      <c r="G612" s="35" t="s">
        <v>79</v>
      </c>
      <c r="H612" s="41" t="s">
        <v>80</v>
      </c>
      <c r="I612" s="44" t="str">
        <f>"0x"&amp;AE_w_WORK!F99</f>
        <v>0x4433</v>
      </c>
      <c r="J612" s="36">
        <v>40822</v>
      </c>
      <c r="K612" s="37"/>
      <c r="L612" s="74">
        <f t="shared" si="10"/>
        <v>1212</v>
      </c>
      <c r="M612" s="74"/>
      <c r="N612" s="74"/>
    </row>
    <row r="613" spans="2:14" hidden="1" outlineLevel="1">
      <c r="B613" s="73">
        <v>607</v>
      </c>
      <c r="C613" s="39"/>
      <c r="D613" s="40"/>
      <c r="E613" s="34" t="s">
        <v>323</v>
      </c>
      <c r="F613" s="75" t="s">
        <v>978</v>
      </c>
      <c r="G613" s="35" t="s">
        <v>79</v>
      </c>
      <c r="H613" s="41" t="s">
        <v>80</v>
      </c>
      <c r="I613" s="44" t="str">
        <f>"0x"&amp;AE_w_WORK!F100</f>
        <v>0x2200</v>
      </c>
      <c r="J613" s="36">
        <v>40823</v>
      </c>
      <c r="K613" s="37"/>
      <c r="L613" s="74">
        <f t="shared" si="10"/>
        <v>1214</v>
      </c>
      <c r="M613" s="74"/>
      <c r="N613" s="74"/>
    </row>
    <row r="614" spans="2:14" hidden="1" outlineLevel="1">
      <c r="B614" s="73">
        <v>608</v>
      </c>
      <c r="C614" s="39"/>
      <c r="D614" s="40"/>
      <c r="E614" s="34" t="s">
        <v>323</v>
      </c>
      <c r="F614" s="75" t="s">
        <v>979</v>
      </c>
      <c r="G614" s="35" t="s">
        <v>79</v>
      </c>
      <c r="H614" s="41" t="s">
        <v>80</v>
      </c>
      <c r="I614" s="44" t="str">
        <f>"0x"&amp;AE_w_WORK!F101</f>
        <v>0x0000</v>
      </c>
      <c r="J614" s="36">
        <v>40824</v>
      </c>
      <c r="K614" s="37"/>
      <c r="L614" s="74">
        <f t="shared" si="10"/>
        <v>1216</v>
      </c>
      <c r="M614" s="74"/>
      <c r="N614" s="74"/>
    </row>
    <row r="615" spans="2:14" hidden="1" outlineLevel="1">
      <c r="B615" s="73">
        <v>609</v>
      </c>
      <c r="C615" s="39"/>
      <c r="D615" s="40"/>
      <c r="E615" s="34" t="s">
        <v>323</v>
      </c>
      <c r="F615" s="75" t="s">
        <v>980</v>
      </c>
      <c r="G615" s="35" t="s">
        <v>79</v>
      </c>
      <c r="H615" s="41" t="s">
        <v>80</v>
      </c>
      <c r="I615" s="44" t="str">
        <f>"0x"&amp;AE_w_WORK!F102</f>
        <v>0x0000</v>
      </c>
      <c r="J615" s="36">
        <v>40825</v>
      </c>
      <c r="K615" s="37"/>
      <c r="L615" s="74">
        <f t="shared" si="10"/>
        <v>1218</v>
      </c>
      <c r="M615" s="74"/>
      <c r="N615" s="74"/>
    </row>
    <row r="616" spans="2:14" hidden="1" outlineLevel="1">
      <c r="B616" s="73">
        <v>610</v>
      </c>
      <c r="C616" s="39"/>
      <c r="D616" s="40"/>
      <c r="E616" s="34" t="s">
        <v>323</v>
      </c>
      <c r="F616" s="75" t="s">
        <v>981</v>
      </c>
      <c r="G616" s="35" t="s">
        <v>79</v>
      </c>
      <c r="H616" s="41" t="s">
        <v>80</v>
      </c>
      <c r="I616" s="44" t="str">
        <f>"0x"&amp;AE_w_WORK!F103</f>
        <v>0x2233</v>
      </c>
      <c r="J616" s="36">
        <v>40826</v>
      </c>
      <c r="K616" s="37"/>
      <c r="L616" s="74">
        <f t="shared" si="10"/>
        <v>1220</v>
      </c>
      <c r="M616" s="74"/>
      <c r="N616" s="74"/>
    </row>
    <row r="617" spans="2:14" hidden="1" outlineLevel="1">
      <c r="B617" s="73">
        <v>611</v>
      </c>
      <c r="C617" s="39"/>
      <c r="D617" s="40"/>
      <c r="E617" s="34" t="s">
        <v>323</v>
      </c>
      <c r="F617" s="75" t="s">
        <v>982</v>
      </c>
      <c r="G617" s="35" t="s">
        <v>79</v>
      </c>
      <c r="H617" s="41" t="s">
        <v>80</v>
      </c>
      <c r="I617" s="44" t="str">
        <f>"0x"&amp;AE_w_WORK!F104</f>
        <v>0x3344</v>
      </c>
      <c r="J617" s="36">
        <v>40827</v>
      </c>
      <c r="K617" s="37"/>
      <c r="L617" s="74">
        <f t="shared" si="10"/>
        <v>1222</v>
      </c>
      <c r="M617" s="74"/>
      <c r="N617" s="74"/>
    </row>
    <row r="618" spans="2:14" hidden="1" outlineLevel="1">
      <c r="B618" s="73">
        <v>612</v>
      </c>
      <c r="C618" s="39"/>
      <c r="D618" s="40"/>
      <c r="E618" s="34" t="s">
        <v>323</v>
      </c>
      <c r="F618" s="75" t="s">
        <v>983</v>
      </c>
      <c r="G618" s="35" t="s">
        <v>79</v>
      </c>
      <c r="H618" s="41" t="s">
        <v>80</v>
      </c>
      <c r="I618" s="44" t="str">
        <f>"0x"&amp;AE_w_WORK!F105</f>
        <v>0xDDDD</v>
      </c>
      <c r="J618" s="36">
        <v>40828</v>
      </c>
      <c r="K618" s="37"/>
      <c r="L618" s="74">
        <f t="shared" si="10"/>
        <v>1224</v>
      </c>
      <c r="M618" s="74"/>
      <c r="N618" s="74"/>
    </row>
    <row r="619" spans="2:14" hidden="1" outlineLevel="1">
      <c r="B619" s="73">
        <v>613</v>
      </c>
      <c r="C619" s="39"/>
      <c r="D619" s="40"/>
      <c r="E619" s="34" t="s">
        <v>323</v>
      </c>
      <c r="F619" s="75" t="s">
        <v>984</v>
      </c>
      <c r="G619" s="35" t="s">
        <v>79</v>
      </c>
      <c r="H619" s="41" t="s">
        <v>80</v>
      </c>
      <c r="I619" s="44" t="str">
        <f>"0x"&amp;AE_w_WORK!F106</f>
        <v>0xDDDD</v>
      </c>
      <c r="J619" s="36">
        <v>40829</v>
      </c>
      <c r="K619" s="37"/>
      <c r="L619" s="74">
        <f t="shared" si="10"/>
        <v>1226</v>
      </c>
      <c r="M619" s="74"/>
      <c r="N619" s="74"/>
    </row>
    <row r="620" spans="2:14" hidden="1" outlineLevel="1">
      <c r="B620" s="73">
        <v>614</v>
      </c>
      <c r="C620" s="39"/>
      <c r="D620" s="40"/>
      <c r="E620" s="34" t="s">
        <v>323</v>
      </c>
      <c r="F620" s="75" t="s">
        <v>985</v>
      </c>
      <c r="G620" s="35" t="s">
        <v>79</v>
      </c>
      <c r="H620" s="41" t="s">
        <v>80</v>
      </c>
      <c r="I620" s="44" t="str">
        <f>"0x"&amp;AE_w_WORK!F107</f>
        <v>0x4433</v>
      </c>
      <c r="J620" s="36">
        <v>40830</v>
      </c>
      <c r="K620" s="37"/>
      <c r="L620" s="74">
        <f t="shared" si="10"/>
        <v>1228</v>
      </c>
      <c r="M620" s="74"/>
      <c r="N620" s="74"/>
    </row>
    <row r="621" spans="2:14" hidden="1" outlineLevel="1">
      <c r="B621" s="73">
        <v>615</v>
      </c>
      <c r="C621" s="39"/>
      <c r="D621" s="40"/>
      <c r="E621" s="34" t="s">
        <v>323</v>
      </c>
      <c r="F621" s="75" t="s">
        <v>986</v>
      </c>
      <c r="G621" s="35" t="s">
        <v>79</v>
      </c>
      <c r="H621" s="41" t="s">
        <v>80</v>
      </c>
      <c r="I621" s="44" t="str">
        <f>"0x"&amp;AE_w_WORK!F108</f>
        <v>0x3322</v>
      </c>
      <c r="J621" s="36">
        <v>40831</v>
      </c>
      <c r="K621" s="37"/>
      <c r="L621" s="74">
        <f t="shared" si="10"/>
        <v>1230</v>
      </c>
      <c r="M621" s="74"/>
      <c r="N621" s="74"/>
    </row>
    <row r="622" spans="2:14" hidden="1" outlineLevel="1">
      <c r="B622" s="73">
        <v>616</v>
      </c>
      <c r="C622" s="39"/>
      <c r="D622" s="40"/>
      <c r="E622" s="34" t="s">
        <v>323</v>
      </c>
      <c r="F622" s="75" t="s">
        <v>987</v>
      </c>
      <c r="G622" s="35" t="s">
        <v>79</v>
      </c>
      <c r="H622" s="41" t="s">
        <v>80</v>
      </c>
      <c r="I622" s="44" t="str">
        <f>"0x"&amp;AE_w_WORK!F109</f>
        <v>0x0000</v>
      </c>
      <c r="J622" s="36">
        <v>40832</v>
      </c>
      <c r="K622" s="37"/>
      <c r="L622" s="74">
        <f t="shared" si="10"/>
        <v>1232</v>
      </c>
      <c r="M622" s="74"/>
      <c r="N622" s="74"/>
    </row>
    <row r="623" spans="2:14" hidden="1" outlineLevel="1">
      <c r="B623" s="73">
        <v>617</v>
      </c>
      <c r="C623" s="39"/>
      <c r="D623" s="40"/>
      <c r="E623" s="34" t="s">
        <v>323</v>
      </c>
      <c r="F623" s="75" t="s">
        <v>988</v>
      </c>
      <c r="G623" s="35" t="s">
        <v>79</v>
      </c>
      <c r="H623" s="41" t="s">
        <v>80</v>
      </c>
      <c r="I623" s="44" t="str">
        <f>"0x"&amp;AE_w_WORK!F110</f>
        <v>0x0000</v>
      </c>
      <c r="J623" s="36">
        <v>40833</v>
      </c>
      <c r="K623" s="37"/>
      <c r="L623" s="74">
        <f t="shared" si="10"/>
        <v>1234</v>
      </c>
      <c r="M623" s="74"/>
      <c r="N623" s="74"/>
    </row>
    <row r="624" spans="2:14" hidden="1" outlineLevel="1">
      <c r="B624" s="73">
        <v>618</v>
      </c>
      <c r="C624" s="39"/>
      <c r="D624" s="40"/>
      <c r="E624" s="34" t="s">
        <v>323</v>
      </c>
      <c r="F624" s="75" t="s">
        <v>989</v>
      </c>
      <c r="G624" s="35" t="s">
        <v>79</v>
      </c>
      <c r="H624" s="41" t="s">
        <v>80</v>
      </c>
      <c r="I624" s="44" t="str">
        <f>"0x"&amp;AE_w_WORK!F111</f>
        <v>0x2233</v>
      </c>
      <c r="J624" s="36">
        <v>40834</v>
      </c>
      <c r="K624" s="37"/>
      <c r="L624" s="74">
        <f t="shared" si="10"/>
        <v>1236</v>
      </c>
      <c r="M624" s="74"/>
      <c r="N624" s="74"/>
    </row>
    <row r="625" spans="2:14" hidden="1" outlineLevel="1">
      <c r="B625" s="73">
        <v>619</v>
      </c>
      <c r="C625" s="39"/>
      <c r="D625" s="40"/>
      <c r="E625" s="34" t="s">
        <v>323</v>
      </c>
      <c r="F625" s="75" t="s">
        <v>990</v>
      </c>
      <c r="G625" s="35" t="s">
        <v>79</v>
      </c>
      <c r="H625" s="41" t="s">
        <v>80</v>
      </c>
      <c r="I625" s="44" t="str">
        <f>"0x"&amp;AE_w_WORK!F112</f>
        <v>0x3344</v>
      </c>
      <c r="J625" s="36">
        <v>40835</v>
      </c>
      <c r="K625" s="37"/>
      <c r="L625" s="74">
        <f t="shared" si="10"/>
        <v>1238</v>
      </c>
      <c r="M625" s="74"/>
      <c r="N625" s="74"/>
    </row>
    <row r="626" spans="2:14" hidden="1" outlineLevel="1">
      <c r="B626" s="73">
        <v>620</v>
      </c>
      <c r="C626" s="39"/>
      <c r="D626" s="40"/>
      <c r="E626" s="34" t="s">
        <v>323</v>
      </c>
      <c r="F626" s="75" t="s">
        <v>991</v>
      </c>
      <c r="G626" s="35" t="s">
        <v>79</v>
      </c>
      <c r="H626" s="41" t="s">
        <v>80</v>
      </c>
      <c r="I626" s="44" t="str">
        <f>"0x"&amp;AE_w_WORK!F113</f>
        <v>0xDDDD</v>
      </c>
      <c r="J626" s="36">
        <v>40836</v>
      </c>
      <c r="K626" s="37"/>
      <c r="L626" s="74">
        <f t="shared" si="10"/>
        <v>1240</v>
      </c>
      <c r="M626" s="74"/>
      <c r="N626" s="74"/>
    </row>
    <row r="627" spans="2:14" hidden="1" outlineLevel="1">
      <c r="B627" s="73">
        <v>621</v>
      </c>
      <c r="C627" s="39"/>
      <c r="D627" s="40"/>
      <c r="E627" s="34" t="s">
        <v>323</v>
      </c>
      <c r="F627" s="75" t="s">
        <v>992</v>
      </c>
      <c r="G627" s="35" t="s">
        <v>79</v>
      </c>
      <c r="H627" s="41" t="s">
        <v>80</v>
      </c>
      <c r="I627" s="44" t="str">
        <f>"0x"&amp;AE_w_WORK!F114</f>
        <v>0xDDDD</v>
      </c>
      <c r="J627" s="36">
        <v>40837</v>
      </c>
      <c r="K627" s="37"/>
      <c r="L627" s="74">
        <f t="shared" si="10"/>
        <v>1242</v>
      </c>
      <c r="M627" s="74"/>
      <c r="N627" s="74"/>
    </row>
    <row r="628" spans="2:14" hidden="1" outlineLevel="1">
      <c r="B628" s="73">
        <v>622</v>
      </c>
      <c r="C628" s="39"/>
      <c r="D628" s="40"/>
      <c r="E628" s="34" t="s">
        <v>323</v>
      </c>
      <c r="F628" s="75" t="s">
        <v>993</v>
      </c>
      <c r="G628" s="35" t="s">
        <v>79</v>
      </c>
      <c r="H628" s="41" t="s">
        <v>80</v>
      </c>
      <c r="I628" s="44" t="str">
        <f>"0x"&amp;AE_w_WORK!F115</f>
        <v>0x4433</v>
      </c>
      <c r="J628" s="36">
        <v>40838</v>
      </c>
      <c r="K628" s="37"/>
      <c r="L628" s="74">
        <f t="shared" si="10"/>
        <v>1244</v>
      </c>
      <c r="M628" s="74"/>
      <c r="N628" s="74"/>
    </row>
    <row r="629" spans="2:14" hidden="1" outlineLevel="1">
      <c r="B629" s="73">
        <v>623</v>
      </c>
      <c r="C629" s="39"/>
      <c r="D629" s="40"/>
      <c r="E629" s="34" t="s">
        <v>323</v>
      </c>
      <c r="F629" s="75" t="s">
        <v>994</v>
      </c>
      <c r="G629" s="35" t="s">
        <v>79</v>
      </c>
      <c r="H629" s="41" t="s">
        <v>80</v>
      </c>
      <c r="I629" s="44" t="str">
        <f>"0x"&amp;AE_w_WORK!F116</f>
        <v>0x3322</v>
      </c>
      <c r="J629" s="36">
        <v>40839</v>
      </c>
      <c r="K629" s="37"/>
      <c r="L629" s="74">
        <f t="shared" si="10"/>
        <v>1246</v>
      </c>
      <c r="M629" s="74"/>
      <c r="N629" s="74"/>
    </row>
    <row r="630" spans="2:14" hidden="1" outlineLevel="1">
      <c r="B630" s="73">
        <v>624</v>
      </c>
      <c r="C630" s="39"/>
      <c r="D630" s="40"/>
      <c r="E630" s="34" t="s">
        <v>323</v>
      </c>
      <c r="F630" s="75" t="s">
        <v>995</v>
      </c>
      <c r="G630" s="35" t="s">
        <v>79</v>
      </c>
      <c r="H630" s="41" t="s">
        <v>80</v>
      </c>
      <c r="I630" s="44" t="str">
        <f>"0x"&amp;AE_w_WORK!F117</f>
        <v>0x0000</v>
      </c>
      <c r="J630" s="36">
        <v>40840</v>
      </c>
      <c r="K630" s="37"/>
      <c r="L630" s="74">
        <f t="shared" si="10"/>
        <v>1248</v>
      </c>
      <c r="M630" s="74"/>
      <c r="N630" s="74"/>
    </row>
    <row r="631" spans="2:14" hidden="1" outlineLevel="1">
      <c r="B631" s="73">
        <v>625</v>
      </c>
      <c r="C631" s="39"/>
      <c r="D631" s="40"/>
      <c r="E631" s="34" t="s">
        <v>323</v>
      </c>
      <c r="F631" s="75" t="s">
        <v>996</v>
      </c>
      <c r="G631" s="35" t="s">
        <v>79</v>
      </c>
      <c r="H631" s="41" t="s">
        <v>80</v>
      </c>
      <c r="I631" s="44" t="str">
        <f>"0x"&amp;AE_w_WORK!F118</f>
        <v>0x0000</v>
      </c>
      <c r="J631" s="36">
        <v>40841</v>
      </c>
      <c r="K631" s="37"/>
      <c r="L631" s="74">
        <f t="shared" si="10"/>
        <v>1250</v>
      </c>
      <c r="M631" s="74"/>
      <c r="N631" s="74"/>
    </row>
    <row r="632" spans="2:14" hidden="1" outlineLevel="1">
      <c r="B632" s="73">
        <v>626</v>
      </c>
      <c r="C632" s="39"/>
      <c r="D632" s="40"/>
      <c r="E632" s="34" t="s">
        <v>323</v>
      </c>
      <c r="F632" s="75" t="s">
        <v>997</v>
      </c>
      <c r="G632" s="35" t="s">
        <v>79</v>
      </c>
      <c r="H632" s="41" t="s">
        <v>80</v>
      </c>
      <c r="I632" s="44" t="str">
        <f>"0x"&amp;AE_w_WORK!F119</f>
        <v>0x2233</v>
      </c>
      <c r="J632" s="36">
        <v>40842</v>
      </c>
      <c r="K632" s="37"/>
      <c r="L632" s="74">
        <f t="shared" si="10"/>
        <v>1252</v>
      </c>
      <c r="M632" s="74"/>
      <c r="N632" s="74"/>
    </row>
    <row r="633" spans="2:14" hidden="1" outlineLevel="1">
      <c r="B633" s="73">
        <v>627</v>
      </c>
      <c r="C633" s="39"/>
      <c r="D633" s="40"/>
      <c r="E633" s="34" t="s">
        <v>323</v>
      </c>
      <c r="F633" s="75" t="s">
        <v>998</v>
      </c>
      <c r="G633" s="35" t="s">
        <v>79</v>
      </c>
      <c r="H633" s="41" t="s">
        <v>80</v>
      </c>
      <c r="I633" s="44" t="str">
        <f>"0x"&amp;AE_w_WORK!F120</f>
        <v>0x4455</v>
      </c>
      <c r="J633" s="36">
        <v>40843</v>
      </c>
      <c r="K633" s="37"/>
      <c r="L633" s="74">
        <f t="shared" si="10"/>
        <v>1254</v>
      </c>
      <c r="M633" s="74"/>
      <c r="N633" s="74"/>
    </row>
    <row r="634" spans="2:14" hidden="1" outlineLevel="1">
      <c r="B634" s="73">
        <v>628</v>
      </c>
      <c r="C634" s="39"/>
      <c r="D634" s="40"/>
      <c r="E634" s="34" t="s">
        <v>323</v>
      </c>
      <c r="F634" s="75" t="s">
        <v>999</v>
      </c>
      <c r="G634" s="35" t="s">
        <v>79</v>
      </c>
      <c r="H634" s="41" t="s">
        <v>80</v>
      </c>
      <c r="I634" s="44" t="str">
        <f>"0x"&amp;AE_w_WORK!F121</f>
        <v>0xDDDD</v>
      </c>
      <c r="J634" s="36">
        <v>40844</v>
      </c>
      <c r="K634" s="37"/>
      <c r="L634" s="74">
        <f t="shared" si="10"/>
        <v>1256</v>
      </c>
      <c r="M634" s="74"/>
      <c r="N634" s="74"/>
    </row>
    <row r="635" spans="2:14" hidden="1" outlineLevel="1">
      <c r="B635" s="73">
        <v>629</v>
      </c>
      <c r="C635" s="39"/>
      <c r="D635" s="40"/>
      <c r="E635" s="34" t="s">
        <v>323</v>
      </c>
      <c r="F635" s="75" t="s">
        <v>1000</v>
      </c>
      <c r="G635" s="35" t="s">
        <v>79</v>
      </c>
      <c r="H635" s="41" t="s">
        <v>80</v>
      </c>
      <c r="I635" s="44" t="str">
        <f>"0x"&amp;AE_w_WORK!F122</f>
        <v>0xDDDD</v>
      </c>
      <c r="J635" s="36">
        <v>40845</v>
      </c>
      <c r="K635" s="37"/>
      <c r="L635" s="74">
        <f t="shared" si="10"/>
        <v>1258</v>
      </c>
      <c r="M635" s="74"/>
      <c r="N635" s="74"/>
    </row>
    <row r="636" spans="2:14" hidden="1" outlineLevel="1">
      <c r="B636" s="73">
        <v>630</v>
      </c>
      <c r="C636" s="39"/>
      <c r="D636" s="40"/>
      <c r="E636" s="34" t="s">
        <v>323</v>
      </c>
      <c r="F636" s="75" t="s">
        <v>1001</v>
      </c>
      <c r="G636" s="35" t="s">
        <v>79</v>
      </c>
      <c r="H636" s="41" t="s">
        <v>80</v>
      </c>
      <c r="I636" s="44" t="str">
        <f>"0x"&amp;AE_w_WORK!F123</f>
        <v>0x5544</v>
      </c>
      <c r="J636" s="36">
        <v>40846</v>
      </c>
      <c r="K636" s="37"/>
      <c r="L636" s="74">
        <f t="shared" si="10"/>
        <v>1260</v>
      </c>
      <c r="M636" s="74"/>
      <c r="N636" s="74"/>
    </row>
    <row r="637" spans="2:14" hidden="1" outlineLevel="1">
      <c r="B637" s="73">
        <v>631</v>
      </c>
      <c r="C637" s="39"/>
      <c r="D637" s="40"/>
      <c r="E637" s="34" t="s">
        <v>323</v>
      </c>
      <c r="F637" s="75" t="s">
        <v>1002</v>
      </c>
      <c r="G637" s="35" t="s">
        <v>79</v>
      </c>
      <c r="H637" s="41" t="s">
        <v>80</v>
      </c>
      <c r="I637" s="44" t="str">
        <f>"0x"&amp;AE_w_WORK!F124</f>
        <v>0x3322</v>
      </c>
      <c r="J637" s="36">
        <v>40847</v>
      </c>
      <c r="K637" s="37"/>
      <c r="L637" s="74">
        <f t="shared" si="10"/>
        <v>1262</v>
      </c>
      <c r="M637" s="74"/>
      <c r="N637" s="74"/>
    </row>
    <row r="638" spans="2:14" hidden="1" outlineLevel="1">
      <c r="B638" s="73">
        <v>632</v>
      </c>
      <c r="C638" s="39"/>
      <c r="D638" s="40"/>
      <c r="E638" s="34" t="s">
        <v>323</v>
      </c>
      <c r="F638" s="75" t="s">
        <v>1003</v>
      </c>
      <c r="G638" s="35" t="s">
        <v>79</v>
      </c>
      <c r="H638" s="41" t="s">
        <v>80</v>
      </c>
      <c r="I638" s="44" t="str">
        <f>"0x"&amp;AE_w_WORK!F125</f>
        <v>0x0000</v>
      </c>
      <c r="J638" s="36">
        <v>40848</v>
      </c>
      <c r="K638" s="37"/>
      <c r="L638" s="74">
        <f t="shared" si="10"/>
        <v>1264</v>
      </c>
      <c r="M638" s="74"/>
      <c r="N638" s="74"/>
    </row>
    <row r="639" spans="2:14" hidden="1" outlineLevel="1">
      <c r="B639" s="73">
        <v>633</v>
      </c>
      <c r="C639" s="39"/>
      <c r="D639" s="40"/>
      <c r="E639" s="34" t="s">
        <v>323</v>
      </c>
      <c r="F639" s="75" t="s">
        <v>1004</v>
      </c>
      <c r="G639" s="35" t="s">
        <v>79</v>
      </c>
      <c r="H639" s="41" t="s">
        <v>80</v>
      </c>
      <c r="I639" s="44" t="str">
        <f>"0x"&amp;AE_w_WORK!F126</f>
        <v>0x0000</v>
      </c>
      <c r="J639" s="36">
        <v>40849</v>
      </c>
      <c r="K639" s="37"/>
      <c r="L639" s="74">
        <f t="shared" si="10"/>
        <v>1266</v>
      </c>
      <c r="M639" s="74"/>
      <c r="N639" s="74"/>
    </row>
    <row r="640" spans="2:14" hidden="1" outlineLevel="1">
      <c r="B640" s="73">
        <v>634</v>
      </c>
      <c r="C640" s="39"/>
      <c r="D640" s="40"/>
      <c r="E640" s="34" t="s">
        <v>323</v>
      </c>
      <c r="F640" s="75" t="s">
        <v>1005</v>
      </c>
      <c r="G640" s="35" t="s">
        <v>79</v>
      </c>
      <c r="H640" s="41" t="s">
        <v>80</v>
      </c>
      <c r="I640" s="44" t="str">
        <f>"0x"&amp;AE_w_WORK!F127</f>
        <v>0x2233</v>
      </c>
      <c r="J640" s="36">
        <v>40850</v>
      </c>
      <c r="K640" s="37"/>
      <c r="L640" s="74">
        <f t="shared" si="10"/>
        <v>1268</v>
      </c>
      <c r="M640" s="74"/>
      <c r="N640" s="74"/>
    </row>
    <row r="641" spans="2:14" hidden="1" outlineLevel="1">
      <c r="B641" s="73">
        <v>635</v>
      </c>
      <c r="C641" s="39"/>
      <c r="D641" s="40"/>
      <c r="E641" s="34" t="s">
        <v>323</v>
      </c>
      <c r="F641" s="75" t="s">
        <v>1006</v>
      </c>
      <c r="G641" s="35" t="s">
        <v>79</v>
      </c>
      <c r="H641" s="41" t="s">
        <v>80</v>
      </c>
      <c r="I641" s="44" t="str">
        <f>"0x"&amp;AE_w_WORK!F128</f>
        <v>0x4455</v>
      </c>
      <c r="J641" s="36">
        <v>40851</v>
      </c>
      <c r="K641" s="37"/>
      <c r="L641" s="74">
        <f t="shared" si="10"/>
        <v>1270</v>
      </c>
      <c r="M641" s="74"/>
      <c r="N641" s="74"/>
    </row>
    <row r="642" spans="2:14" hidden="1" outlineLevel="1">
      <c r="B642" s="73">
        <v>636</v>
      </c>
      <c r="C642" s="39"/>
      <c r="D642" s="40"/>
      <c r="E642" s="34" t="s">
        <v>323</v>
      </c>
      <c r="F642" s="75" t="s">
        <v>1007</v>
      </c>
      <c r="G642" s="35" t="s">
        <v>79</v>
      </c>
      <c r="H642" s="41" t="s">
        <v>80</v>
      </c>
      <c r="I642" s="44" t="str">
        <f>"0x"&amp;AE_w_WORK!F129</f>
        <v>0xDDDD</v>
      </c>
      <c r="J642" s="36">
        <v>40852</v>
      </c>
      <c r="K642" s="37"/>
      <c r="L642" s="74">
        <f t="shared" si="10"/>
        <v>1272</v>
      </c>
      <c r="M642" s="74"/>
      <c r="N642" s="74"/>
    </row>
    <row r="643" spans="2:14" hidden="1" outlineLevel="1">
      <c r="B643" s="73">
        <v>637</v>
      </c>
      <c r="C643" s="39"/>
      <c r="D643" s="40"/>
      <c r="E643" s="34" t="s">
        <v>323</v>
      </c>
      <c r="F643" s="75" t="s">
        <v>1008</v>
      </c>
      <c r="G643" s="35" t="s">
        <v>79</v>
      </c>
      <c r="H643" s="41" t="s">
        <v>80</v>
      </c>
      <c r="I643" s="44" t="str">
        <f>"0x"&amp;AE_w_WORK!F130</f>
        <v>0xDDDD</v>
      </c>
      <c r="J643" s="36">
        <v>40853</v>
      </c>
      <c r="K643" s="37"/>
      <c r="L643" s="74">
        <f t="shared" si="10"/>
        <v>1274</v>
      </c>
      <c r="M643" s="74"/>
      <c r="N643" s="74"/>
    </row>
    <row r="644" spans="2:14" hidden="1" outlineLevel="1">
      <c r="B644" s="73">
        <v>638</v>
      </c>
      <c r="C644" s="39"/>
      <c r="D644" s="40"/>
      <c r="E644" s="34" t="s">
        <v>323</v>
      </c>
      <c r="F644" s="75" t="s">
        <v>1009</v>
      </c>
      <c r="G644" s="35" t="s">
        <v>79</v>
      </c>
      <c r="H644" s="41" t="s">
        <v>80</v>
      </c>
      <c r="I644" s="44" t="str">
        <f>"0x"&amp;AE_w_WORK!F131</f>
        <v>0x5544</v>
      </c>
      <c r="J644" s="36">
        <v>40854</v>
      </c>
      <c r="K644" s="37"/>
      <c r="L644" s="74">
        <f t="shared" si="10"/>
        <v>1276</v>
      </c>
      <c r="M644" s="74"/>
      <c r="N644" s="74"/>
    </row>
    <row r="645" spans="2:14" hidden="1" outlineLevel="1">
      <c r="B645" s="73">
        <v>639</v>
      </c>
      <c r="C645" s="39"/>
      <c r="D645" s="40"/>
      <c r="E645" s="34" t="s">
        <v>323</v>
      </c>
      <c r="F645" s="75" t="s">
        <v>1010</v>
      </c>
      <c r="G645" s="35" t="s">
        <v>79</v>
      </c>
      <c r="H645" s="41" t="s">
        <v>80</v>
      </c>
      <c r="I645" s="44" t="str">
        <f>"0x"&amp;AE_w_WORK!F132</f>
        <v>0x3322</v>
      </c>
      <c r="J645" s="36">
        <v>40855</v>
      </c>
      <c r="K645" s="37"/>
      <c r="L645" s="74">
        <f t="shared" si="10"/>
        <v>1278</v>
      </c>
      <c r="M645" s="74"/>
      <c r="N645" s="74"/>
    </row>
    <row r="646" spans="2:14" hidden="1" outlineLevel="1">
      <c r="B646" s="73">
        <v>640</v>
      </c>
      <c r="C646" s="39"/>
      <c r="D646" s="40"/>
      <c r="E646" s="34" t="s">
        <v>323</v>
      </c>
      <c r="F646" s="75" t="s">
        <v>1011</v>
      </c>
      <c r="G646" s="35" t="s">
        <v>79</v>
      </c>
      <c r="H646" s="41" t="s">
        <v>80</v>
      </c>
      <c r="I646" s="44" t="str">
        <f>"0x"&amp;AE_w_WORK!F133</f>
        <v>0x0000</v>
      </c>
      <c r="J646" s="36">
        <v>40856</v>
      </c>
      <c r="K646" s="37"/>
      <c r="L646" s="74">
        <f t="shared" si="10"/>
        <v>1280</v>
      </c>
      <c r="M646" s="74"/>
      <c r="N646" s="74"/>
    </row>
    <row r="647" spans="2:14" hidden="1" outlineLevel="1" collapsed="1">
      <c r="B647" s="73">
        <v>641</v>
      </c>
      <c r="C647" s="39"/>
      <c r="D647" s="40"/>
      <c r="E647" s="34" t="s">
        <v>323</v>
      </c>
      <c r="F647" s="75" t="s">
        <v>1012</v>
      </c>
      <c r="G647" s="35" t="s">
        <v>79</v>
      </c>
      <c r="H647" s="41" t="s">
        <v>80</v>
      </c>
      <c r="I647" s="44" t="str">
        <f>"0x"&amp;AE_w_WORK!F134</f>
        <v>0x0000</v>
      </c>
      <c r="J647" s="36">
        <v>40857</v>
      </c>
      <c r="K647" s="37"/>
      <c r="L647" s="74">
        <f t="shared" si="10"/>
        <v>1282</v>
      </c>
      <c r="M647" s="74"/>
      <c r="N647" s="74"/>
    </row>
    <row r="648" spans="2:14" hidden="1" outlineLevel="1">
      <c r="B648" s="73">
        <v>642</v>
      </c>
      <c r="C648" s="39"/>
      <c r="D648" s="40"/>
      <c r="E648" s="34" t="s">
        <v>323</v>
      </c>
      <c r="F648" s="75" t="s">
        <v>1013</v>
      </c>
      <c r="G648" s="35" t="s">
        <v>79</v>
      </c>
      <c r="H648" s="41" t="s">
        <v>80</v>
      </c>
      <c r="I648" s="44" t="str">
        <f>"0x"&amp;AE_w_WORK!F135</f>
        <v>0x2233</v>
      </c>
      <c r="J648" s="36">
        <v>40858</v>
      </c>
      <c r="K648" s="37"/>
      <c r="L648" s="74">
        <f t="shared" si="10"/>
        <v>1284</v>
      </c>
      <c r="M648" s="74"/>
      <c r="N648" s="74"/>
    </row>
    <row r="649" spans="2:14" hidden="1" outlineLevel="1">
      <c r="B649" s="73">
        <v>643</v>
      </c>
      <c r="C649" s="39"/>
      <c r="D649" s="40"/>
      <c r="E649" s="34" t="s">
        <v>323</v>
      </c>
      <c r="F649" s="75" t="s">
        <v>1014</v>
      </c>
      <c r="G649" s="35" t="s">
        <v>79</v>
      </c>
      <c r="H649" s="41" t="s">
        <v>80</v>
      </c>
      <c r="I649" s="44" t="str">
        <f>"0x"&amp;AE_w_WORK!F136</f>
        <v>0x4455</v>
      </c>
      <c r="J649" s="36">
        <v>40859</v>
      </c>
      <c r="K649" s="37"/>
      <c r="L649" s="74">
        <f t="shared" ref="L649:L712" si="11">L648+2</f>
        <v>1286</v>
      </c>
      <c r="M649" s="74"/>
      <c r="N649" s="74"/>
    </row>
    <row r="650" spans="2:14" hidden="1" outlineLevel="1">
      <c r="B650" s="73">
        <v>644</v>
      </c>
      <c r="C650" s="39"/>
      <c r="D650" s="40"/>
      <c r="E650" s="34" t="s">
        <v>323</v>
      </c>
      <c r="F650" s="75" t="s">
        <v>1015</v>
      </c>
      <c r="G650" s="35" t="s">
        <v>79</v>
      </c>
      <c r="H650" s="41" t="s">
        <v>80</v>
      </c>
      <c r="I650" s="44" t="str">
        <f>"0x"&amp;AE_w_WORK!F137</f>
        <v>0xDDDD</v>
      </c>
      <c r="J650" s="36">
        <v>40860</v>
      </c>
      <c r="K650" s="37"/>
      <c r="L650" s="74">
        <f t="shared" si="11"/>
        <v>1288</v>
      </c>
      <c r="M650" s="74"/>
      <c r="N650" s="74"/>
    </row>
    <row r="651" spans="2:14" hidden="1" outlineLevel="1">
      <c r="B651" s="73">
        <v>645</v>
      </c>
      <c r="C651" s="39"/>
      <c r="D651" s="40"/>
      <c r="E651" s="34" t="s">
        <v>323</v>
      </c>
      <c r="F651" s="75" t="s">
        <v>1016</v>
      </c>
      <c r="G651" s="35" t="s">
        <v>79</v>
      </c>
      <c r="H651" s="41" t="s">
        <v>80</v>
      </c>
      <c r="I651" s="44" t="str">
        <f>"0x"&amp;AE_w_WORK!F138</f>
        <v>0xDDDD</v>
      </c>
      <c r="J651" s="36">
        <v>40861</v>
      </c>
      <c r="K651" s="37"/>
      <c r="L651" s="74">
        <f t="shared" si="11"/>
        <v>1290</v>
      </c>
      <c r="M651" s="74"/>
      <c r="N651" s="74"/>
    </row>
    <row r="652" spans="2:14" hidden="1" outlineLevel="1">
      <c r="B652" s="73">
        <v>646</v>
      </c>
      <c r="C652" s="39"/>
      <c r="D652" s="40"/>
      <c r="E652" s="34" t="s">
        <v>323</v>
      </c>
      <c r="F652" s="75" t="s">
        <v>1017</v>
      </c>
      <c r="G652" s="35" t="s">
        <v>79</v>
      </c>
      <c r="H652" s="41" t="s">
        <v>80</v>
      </c>
      <c r="I652" s="44" t="str">
        <f>"0x"&amp;AE_w_WORK!F139</f>
        <v>0x5544</v>
      </c>
      <c r="J652" s="36">
        <v>40862</v>
      </c>
      <c r="K652" s="37"/>
      <c r="L652" s="74">
        <f t="shared" si="11"/>
        <v>1292</v>
      </c>
      <c r="M652" s="74"/>
      <c r="N652" s="74"/>
    </row>
    <row r="653" spans="2:14" hidden="1" outlineLevel="1">
      <c r="B653" s="73">
        <v>647</v>
      </c>
      <c r="C653" s="39"/>
      <c r="D653" s="40"/>
      <c r="E653" s="34" t="s">
        <v>323</v>
      </c>
      <c r="F653" s="75" t="s">
        <v>1018</v>
      </c>
      <c r="G653" s="35" t="s">
        <v>79</v>
      </c>
      <c r="H653" s="41" t="s">
        <v>80</v>
      </c>
      <c r="I653" s="44" t="str">
        <f>"0x"&amp;AE_w_WORK!F140</f>
        <v>0x3322</v>
      </c>
      <c r="J653" s="36">
        <v>40863</v>
      </c>
      <c r="K653" s="37"/>
      <c r="L653" s="74">
        <f t="shared" si="11"/>
        <v>1294</v>
      </c>
      <c r="M653" s="74"/>
      <c r="N653" s="74"/>
    </row>
    <row r="654" spans="2:14" hidden="1" outlineLevel="1">
      <c r="B654" s="73">
        <v>648</v>
      </c>
      <c r="C654" s="39"/>
      <c r="D654" s="40"/>
      <c r="E654" s="34" t="s">
        <v>323</v>
      </c>
      <c r="F654" s="75" t="s">
        <v>1019</v>
      </c>
      <c r="G654" s="35" t="s">
        <v>79</v>
      </c>
      <c r="H654" s="41" t="s">
        <v>80</v>
      </c>
      <c r="I654" s="44" t="str">
        <f>"0x"&amp;AE_w_WORK!F141</f>
        <v>0x0000</v>
      </c>
      <c r="J654" s="36">
        <v>40864</v>
      </c>
      <c r="K654" s="37"/>
      <c r="L654" s="74">
        <f t="shared" si="11"/>
        <v>1296</v>
      </c>
      <c r="M654" s="74"/>
      <c r="N654" s="74"/>
    </row>
    <row r="655" spans="2:14" hidden="1" outlineLevel="1">
      <c r="B655" s="73">
        <v>649</v>
      </c>
      <c r="C655" s="39"/>
      <c r="D655" s="40"/>
      <c r="E655" s="34" t="s">
        <v>323</v>
      </c>
      <c r="F655" s="75" t="s">
        <v>1020</v>
      </c>
      <c r="G655" s="35" t="s">
        <v>79</v>
      </c>
      <c r="H655" s="41" t="s">
        <v>80</v>
      </c>
      <c r="I655" s="44" t="str">
        <f>"0x"&amp;AE_w_WORK!F142</f>
        <v>0x0000</v>
      </c>
      <c r="J655" s="36">
        <v>40865</v>
      </c>
      <c r="K655" s="37"/>
      <c r="L655" s="74">
        <f t="shared" si="11"/>
        <v>1298</v>
      </c>
      <c r="M655" s="74"/>
      <c r="N655" s="74"/>
    </row>
    <row r="656" spans="2:14" hidden="1" outlineLevel="1">
      <c r="B656" s="73">
        <v>650</v>
      </c>
      <c r="C656" s="39"/>
      <c r="D656" s="40"/>
      <c r="E656" s="34" t="s">
        <v>323</v>
      </c>
      <c r="F656" s="75" t="s">
        <v>1021</v>
      </c>
      <c r="G656" s="35" t="s">
        <v>79</v>
      </c>
      <c r="H656" s="41" t="s">
        <v>80</v>
      </c>
      <c r="I656" s="44" t="str">
        <f>"0x"&amp;AE_w_WORK!F143</f>
        <v>0x2233</v>
      </c>
      <c r="J656" s="36">
        <v>40866</v>
      </c>
      <c r="K656" s="37"/>
      <c r="L656" s="74">
        <f t="shared" si="11"/>
        <v>1300</v>
      </c>
      <c r="M656" s="74"/>
      <c r="N656" s="74"/>
    </row>
    <row r="657" spans="2:14" hidden="1" outlineLevel="1">
      <c r="B657" s="73">
        <v>651</v>
      </c>
      <c r="C657" s="39"/>
      <c r="D657" s="40"/>
      <c r="E657" s="34" t="s">
        <v>323</v>
      </c>
      <c r="F657" s="75" t="s">
        <v>1022</v>
      </c>
      <c r="G657" s="35" t="s">
        <v>79</v>
      </c>
      <c r="H657" s="41" t="s">
        <v>80</v>
      </c>
      <c r="I657" s="44" t="str">
        <f>"0x"&amp;AE_w_WORK!F144</f>
        <v>0x4455</v>
      </c>
      <c r="J657" s="36">
        <v>40867</v>
      </c>
      <c r="K657" s="37"/>
      <c r="L657" s="74">
        <f t="shared" si="11"/>
        <v>1302</v>
      </c>
      <c r="M657" s="74"/>
      <c r="N657" s="74"/>
    </row>
    <row r="658" spans="2:14" hidden="1" outlineLevel="1">
      <c r="B658" s="73">
        <v>652</v>
      </c>
      <c r="C658" s="39"/>
      <c r="D658" s="40"/>
      <c r="E658" s="34" t="s">
        <v>323</v>
      </c>
      <c r="F658" s="75" t="s">
        <v>1023</v>
      </c>
      <c r="G658" s="35" t="s">
        <v>79</v>
      </c>
      <c r="H658" s="41" t="s">
        <v>80</v>
      </c>
      <c r="I658" s="44" t="str">
        <f>"0x"&amp;AE_w_WORK!F145</f>
        <v>0xDDDD</v>
      </c>
      <c r="J658" s="36">
        <v>40868</v>
      </c>
      <c r="K658" s="37"/>
      <c r="L658" s="74">
        <f t="shared" si="11"/>
        <v>1304</v>
      </c>
      <c r="M658" s="74"/>
      <c r="N658" s="74"/>
    </row>
    <row r="659" spans="2:14" hidden="1" outlineLevel="1">
      <c r="B659" s="73">
        <v>653</v>
      </c>
      <c r="C659" s="39"/>
      <c r="D659" s="40"/>
      <c r="E659" s="34" t="s">
        <v>323</v>
      </c>
      <c r="F659" s="75" t="s">
        <v>1024</v>
      </c>
      <c r="G659" s="35" t="s">
        <v>79</v>
      </c>
      <c r="H659" s="41" t="s">
        <v>80</v>
      </c>
      <c r="I659" s="44" t="str">
        <f>"0x"&amp;AE_w_WORK!F146</f>
        <v>0xDDDD</v>
      </c>
      <c r="J659" s="36">
        <v>40869</v>
      </c>
      <c r="K659" s="37"/>
      <c r="L659" s="74">
        <f t="shared" si="11"/>
        <v>1306</v>
      </c>
      <c r="M659" s="74"/>
      <c r="N659" s="74"/>
    </row>
    <row r="660" spans="2:14" hidden="1" outlineLevel="1">
      <c r="B660" s="73">
        <v>654</v>
      </c>
      <c r="C660" s="39"/>
      <c r="D660" s="40"/>
      <c r="E660" s="34" t="s">
        <v>323</v>
      </c>
      <c r="F660" s="75" t="s">
        <v>1025</v>
      </c>
      <c r="G660" s="35" t="s">
        <v>79</v>
      </c>
      <c r="H660" s="41" t="s">
        <v>80</v>
      </c>
      <c r="I660" s="44" t="str">
        <f>"0x"&amp;AE_w_WORK!F147</f>
        <v>0x5544</v>
      </c>
      <c r="J660" s="36">
        <v>40870</v>
      </c>
      <c r="K660" s="37"/>
      <c r="L660" s="74">
        <f t="shared" si="11"/>
        <v>1308</v>
      </c>
      <c r="M660" s="74"/>
      <c r="N660" s="74"/>
    </row>
    <row r="661" spans="2:14" hidden="1" outlineLevel="1">
      <c r="B661" s="73">
        <v>655</v>
      </c>
      <c r="C661" s="39"/>
      <c r="D661" s="40"/>
      <c r="E661" s="34" t="s">
        <v>323</v>
      </c>
      <c r="F661" s="75" t="s">
        <v>1026</v>
      </c>
      <c r="G661" s="35" t="s">
        <v>79</v>
      </c>
      <c r="H661" s="41" t="s">
        <v>80</v>
      </c>
      <c r="I661" s="44" t="str">
        <f>"0x"&amp;AE_w_WORK!F148</f>
        <v>0x3322</v>
      </c>
      <c r="J661" s="36">
        <v>40871</v>
      </c>
      <c r="K661" s="37"/>
      <c r="L661" s="74">
        <f t="shared" si="11"/>
        <v>1310</v>
      </c>
      <c r="M661" s="74"/>
      <c r="N661" s="74"/>
    </row>
    <row r="662" spans="2:14" hidden="1" outlineLevel="1">
      <c r="B662" s="73">
        <v>656</v>
      </c>
      <c r="C662" s="39"/>
      <c r="D662" s="40"/>
      <c r="E662" s="34" t="s">
        <v>323</v>
      </c>
      <c r="F662" s="75" t="s">
        <v>1027</v>
      </c>
      <c r="G662" s="35" t="s">
        <v>79</v>
      </c>
      <c r="H662" s="41" t="s">
        <v>80</v>
      </c>
      <c r="I662" s="44" t="str">
        <f>"0x"&amp;AE_w_WORK!F149</f>
        <v>0x0000</v>
      </c>
      <c r="J662" s="36">
        <v>40872</v>
      </c>
      <c r="K662" s="37"/>
      <c r="L662" s="74">
        <f t="shared" si="11"/>
        <v>1312</v>
      </c>
      <c r="M662" s="74"/>
      <c r="N662" s="74"/>
    </row>
    <row r="663" spans="2:14" hidden="1" outlineLevel="1">
      <c r="B663" s="73">
        <v>657</v>
      </c>
      <c r="C663" s="39"/>
      <c r="D663" s="40"/>
      <c r="E663" s="34" t="s">
        <v>323</v>
      </c>
      <c r="F663" s="75" t="s">
        <v>1028</v>
      </c>
      <c r="G663" s="35" t="s">
        <v>79</v>
      </c>
      <c r="H663" s="41" t="s">
        <v>80</v>
      </c>
      <c r="I663" s="44" t="str">
        <f>"0x"&amp;AE_w_WORK!F150</f>
        <v>0x0000</v>
      </c>
      <c r="J663" s="36">
        <v>40873</v>
      </c>
      <c r="K663" s="37"/>
      <c r="L663" s="74">
        <f t="shared" si="11"/>
        <v>1314</v>
      </c>
      <c r="M663" s="74"/>
      <c r="N663" s="74"/>
    </row>
    <row r="664" spans="2:14" hidden="1" outlineLevel="1">
      <c r="B664" s="73">
        <v>658</v>
      </c>
      <c r="C664" s="39"/>
      <c r="D664" s="40"/>
      <c r="E664" s="34" t="s">
        <v>323</v>
      </c>
      <c r="F664" s="75" t="s">
        <v>1029</v>
      </c>
      <c r="G664" s="35" t="s">
        <v>79</v>
      </c>
      <c r="H664" s="41" t="s">
        <v>80</v>
      </c>
      <c r="I664" s="44" t="str">
        <f>"0x"&amp;AE_w_WORK!F151</f>
        <v>0x2233</v>
      </c>
      <c r="J664" s="36">
        <v>40874</v>
      </c>
      <c r="K664" s="37"/>
      <c r="L664" s="74">
        <f t="shared" si="11"/>
        <v>1316</v>
      </c>
      <c r="M664" s="74"/>
      <c r="N664" s="74"/>
    </row>
    <row r="665" spans="2:14" hidden="1" outlineLevel="1">
      <c r="B665" s="73">
        <v>659</v>
      </c>
      <c r="C665" s="39"/>
      <c r="D665" s="40"/>
      <c r="E665" s="34" t="s">
        <v>323</v>
      </c>
      <c r="F665" s="75" t="s">
        <v>1030</v>
      </c>
      <c r="G665" s="35" t="s">
        <v>79</v>
      </c>
      <c r="H665" s="41" t="s">
        <v>80</v>
      </c>
      <c r="I665" s="44" t="str">
        <f>"0x"&amp;AE_w_WORK!F152</f>
        <v>0x3344</v>
      </c>
      <c r="J665" s="36">
        <v>40875</v>
      </c>
      <c r="K665" s="37"/>
      <c r="L665" s="74">
        <f t="shared" si="11"/>
        <v>1318</v>
      </c>
      <c r="M665" s="74"/>
      <c r="N665" s="74"/>
    </row>
    <row r="666" spans="2:14" hidden="1" outlineLevel="1">
      <c r="B666" s="73">
        <v>660</v>
      </c>
      <c r="C666" s="39"/>
      <c r="D666" s="40"/>
      <c r="E666" s="34" t="s">
        <v>323</v>
      </c>
      <c r="F666" s="75" t="s">
        <v>1031</v>
      </c>
      <c r="G666" s="35" t="s">
        <v>79</v>
      </c>
      <c r="H666" s="41" t="s">
        <v>80</v>
      </c>
      <c r="I666" s="44" t="str">
        <f>"0x"&amp;AE_w_WORK!F153</f>
        <v>0x6666</v>
      </c>
      <c r="J666" s="36">
        <v>40876</v>
      </c>
      <c r="K666" s="37"/>
      <c r="L666" s="74">
        <f t="shared" si="11"/>
        <v>1320</v>
      </c>
      <c r="M666" s="74"/>
      <c r="N666" s="74"/>
    </row>
    <row r="667" spans="2:14" hidden="1" outlineLevel="1">
      <c r="B667" s="73">
        <v>661</v>
      </c>
      <c r="C667" s="39"/>
      <c r="D667" s="40"/>
      <c r="E667" s="34" t="s">
        <v>323</v>
      </c>
      <c r="F667" s="75" t="s">
        <v>1032</v>
      </c>
      <c r="G667" s="35" t="s">
        <v>79</v>
      </c>
      <c r="H667" s="41" t="s">
        <v>80</v>
      </c>
      <c r="I667" s="44" t="str">
        <f>"0x"&amp;AE_w_WORK!F154</f>
        <v>0x6666</v>
      </c>
      <c r="J667" s="36">
        <v>40877</v>
      </c>
      <c r="K667" s="37"/>
      <c r="L667" s="74">
        <f t="shared" si="11"/>
        <v>1322</v>
      </c>
      <c r="M667" s="74"/>
      <c r="N667" s="74"/>
    </row>
    <row r="668" spans="2:14" hidden="1" outlineLevel="1">
      <c r="B668" s="73">
        <v>662</v>
      </c>
      <c r="C668" s="39"/>
      <c r="D668" s="40"/>
      <c r="E668" s="34" t="s">
        <v>323</v>
      </c>
      <c r="F668" s="75" t="s">
        <v>1033</v>
      </c>
      <c r="G668" s="35" t="s">
        <v>79</v>
      </c>
      <c r="H668" s="41" t="s">
        <v>80</v>
      </c>
      <c r="I668" s="44" t="str">
        <f>"0x"&amp;AE_w_WORK!F155</f>
        <v>0x4433</v>
      </c>
      <c r="J668" s="36">
        <v>40878</v>
      </c>
      <c r="K668" s="37"/>
      <c r="L668" s="74">
        <f t="shared" si="11"/>
        <v>1324</v>
      </c>
      <c r="M668" s="74"/>
      <c r="N668" s="74"/>
    </row>
    <row r="669" spans="2:14" hidden="1" outlineLevel="1">
      <c r="B669" s="73">
        <v>663</v>
      </c>
      <c r="C669" s="39"/>
      <c r="D669" s="40"/>
      <c r="E669" s="34" t="s">
        <v>323</v>
      </c>
      <c r="F669" s="75" t="s">
        <v>1034</v>
      </c>
      <c r="G669" s="35" t="s">
        <v>79</v>
      </c>
      <c r="H669" s="41" t="s">
        <v>80</v>
      </c>
      <c r="I669" s="44" t="str">
        <f>"0x"&amp;AE_w_WORK!F156</f>
        <v>0x3322</v>
      </c>
      <c r="J669" s="36">
        <v>40879</v>
      </c>
      <c r="K669" s="37"/>
      <c r="L669" s="74">
        <f t="shared" si="11"/>
        <v>1326</v>
      </c>
      <c r="M669" s="74"/>
      <c r="N669" s="74"/>
    </row>
    <row r="670" spans="2:14" hidden="1" outlineLevel="1">
      <c r="B670" s="73">
        <v>664</v>
      </c>
      <c r="C670" s="39"/>
      <c r="D670" s="40"/>
      <c r="E670" s="34" t="s">
        <v>323</v>
      </c>
      <c r="F670" s="75" t="s">
        <v>1035</v>
      </c>
      <c r="G670" s="35" t="s">
        <v>79</v>
      </c>
      <c r="H670" s="41" t="s">
        <v>80</v>
      </c>
      <c r="I670" s="44" t="str">
        <f>"0x"&amp;AE_w_WORK!F157</f>
        <v>0x0000</v>
      </c>
      <c r="J670" s="36">
        <v>40880</v>
      </c>
      <c r="K670" s="37"/>
      <c r="L670" s="74">
        <f t="shared" si="11"/>
        <v>1328</v>
      </c>
      <c r="M670" s="74"/>
      <c r="N670" s="74"/>
    </row>
    <row r="671" spans="2:14" hidden="1" outlineLevel="1">
      <c r="B671" s="73">
        <v>665</v>
      </c>
      <c r="C671" s="39"/>
      <c r="D671" s="40"/>
      <c r="E671" s="34" t="s">
        <v>323</v>
      </c>
      <c r="F671" s="75" t="s">
        <v>1036</v>
      </c>
      <c r="G671" s="35" t="s">
        <v>79</v>
      </c>
      <c r="H671" s="41" t="s">
        <v>80</v>
      </c>
      <c r="I671" s="44" t="str">
        <f>"0x"&amp;AE_w_WORK!F158</f>
        <v>0x0000</v>
      </c>
      <c r="J671" s="36">
        <v>40881</v>
      </c>
      <c r="K671" s="37"/>
      <c r="L671" s="74">
        <f t="shared" si="11"/>
        <v>1330</v>
      </c>
      <c r="M671" s="74"/>
      <c r="N671" s="74"/>
    </row>
    <row r="672" spans="2:14" hidden="1" outlineLevel="1">
      <c r="B672" s="73">
        <v>666</v>
      </c>
      <c r="C672" s="39"/>
      <c r="D672" s="40"/>
      <c r="E672" s="34" t="s">
        <v>323</v>
      </c>
      <c r="F672" s="75" t="s">
        <v>1037</v>
      </c>
      <c r="G672" s="35" t="s">
        <v>79</v>
      </c>
      <c r="H672" s="41" t="s">
        <v>80</v>
      </c>
      <c r="I672" s="44" t="str">
        <f>"0x"&amp;AE_w_WORK!F159</f>
        <v>0x2233</v>
      </c>
      <c r="J672" s="36">
        <v>40882</v>
      </c>
      <c r="K672" s="37"/>
      <c r="L672" s="74">
        <f t="shared" si="11"/>
        <v>1332</v>
      </c>
      <c r="M672" s="74"/>
      <c r="N672" s="74"/>
    </row>
    <row r="673" spans="2:14" hidden="1" outlineLevel="1">
      <c r="B673" s="73">
        <v>667</v>
      </c>
      <c r="C673" s="39"/>
      <c r="D673" s="40"/>
      <c r="E673" s="34" t="s">
        <v>323</v>
      </c>
      <c r="F673" s="75" t="s">
        <v>1038</v>
      </c>
      <c r="G673" s="35" t="s">
        <v>79</v>
      </c>
      <c r="H673" s="41" t="s">
        <v>80</v>
      </c>
      <c r="I673" s="44" t="str">
        <f>"0x"&amp;AE_w_WORK!F160</f>
        <v>0x3344</v>
      </c>
      <c r="J673" s="36">
        <v>40883</v>
      </c>
      <c r="K673" s="37"/>
      <c r="L673" s="74">
        <f t="shared" si="11"/>
        <v>1334</v>
      </c>
      <c r="M673" s="74"/>
      <c r="N673" s="74"/>
    </row>
    <row r="674" spans="2:14" hidden="1" outlineLevel="1">
      <c r="B674" s="73">
        <v>668</v>
      </c>
      <c r="C674" s="39"/>
      <c r="D674" s="40"/>
      <c r="E674" s="34" t="s">
        <v>323</v>
      </c>
      <c r="F674" s="75" t="s">
        <v>1039</v>
      </c>
      <c r="G674" s="35" t="s">
        <v>79</v>
      </c>
      <c r="H674" s="41" t="s">
        <v>80</v>
      </c>
      <c r="I674" s="44" t="str">
        <f>"0x"&amp;AE_w_WORK!F161</f>
        <v>0x6666</v>
      </c>
      <c r="J674" s="36">
        <v>40884</v>
      </c>
      <c r="K674" s="37"/>
      <c r="L674" s="74">
        <f t="shared" si="11"/>
        <v>1336</v>
      </c>
      <c r="M674" s="74"/>
      <c r="N674" s="74"/>
    </row>
    <row r="675" spans="2:14" hidden="1" outlineLevel="1">
      <c r="B675" s="73">
        <v>669</v>
      </c>
      <c r="C675" s="39"/>
      <c r="D675" s="40"/>
      <c r="E675" s="34" t="s">
        <v>323</v>
      </c>
      <c r="F675" s="75" t="s">
        <v>1040</v>
      </c>
      <c r="G675" s="35" t="s">
        <v>79</v>
      </c>
      <c r="H675" s="41" t="s">
        <v>80</v>
      </c>
      <c r="I675" s="44" t="str">
        <f>"0x"&amp;AE_w_WORK!F162</f>
        <v>0x6666</v>
      </c>
      <c r="J675" s="36">
        <v>40885</v>
      </c>
      <c r="K675" s="37"/>
      <c r="L675" s="74">
        <f t="shared" si="11"/>
        <v>1338</v>
      </c>
      <c r="M675" s="74"/>
      <c r="N675" s="74"/>
    </row>
    <row r="676" spans="2:14" hidden="1" outlineLevel="1">
      <c r="B676" s="73">
        <v>670</v>
      </c>
      <c r="C676" s="39"/>
      <c r="D676" s="40"/>
      <c r="E676" s="34" t="s">
        <v>323</v>
      </c>
      <c r="F676" s="75" t="s">
        <v>1041</v>
      </c>
      <c r="G676" s="35" t="s">
        <v>79</v>
      </c>
      <c r="H676" s="41" t="s">
        <v>80</v>
      </c>
      <c r="I676" s="44" t="str">
        <f>"0x"&amp;AE_w_WORK!F163</f>
        <v>0x4433</v>
      </c>
      <c r="J676" s="36">
        <v>40886</v>
      </c>
      <c r="K676" s="37"/>
      <c r="L676" s="74">
        <f t="shared" si="11"/>
        <v>1340</v>
      </c>
      <c r="M676" s="74"/>
      <c r="N676" s="74"/>
    </row>
    <row r="677" spans="2:14" hidden="1" outlineLevel="1">
      <c r="B677" s="73">
        <v>671</v>
      </c>
      <c r="C677" s="39"/>
      <c r="D677" s="40"/>
      <c r="E677" s="34" t="s">
        <v>323</v>
      </c>
      <c r="F677" s="75" t="s">
        <v>1042</v>
      </c>
      <c r="G677" s="35" t="s">
        <v>79</v>
      </c>
      <c r="H677" s="41" t="s">
        <v>80</v>
      </c>
      <c r="I677" s="44" t="str">
        <f>"0x"&amp;AE_w_WORK!F164</f>
        <v>0x3322</v>
      </c>
      <c r="J677" s="36">
        <v>40887</v>
      </c>
      <c r="K677" s="37"/>
      <c r="L677" s="74">
        <f t="shared" si="11"/>
        <v>1342</v>
      </c>
      <c r="M677" s="74"/>
      <c r="N677" s="74"/>
    </row>
    <row r="678" spans="2:14" hidden="1" outlineLevel="1">
      <c r="B678" s="73">
        <v>672</v>
      </c>
      <c r="C678" s="39"/>
      <c r="D678" s="40"/>
      <c r="E678" s="34" t="s">
        <v>323</v>
      </c>
      <c r="F678" s="75" t="s">
        <v>1043</v>
      </c>
      <c r="G678" s="35" t="s">
        <v>79</v>
      </c>
      <c r="H678" s="41" t="s">
        <v>80</v>
      </c>
      <c r="I678" s="44" t="str">
        <f>"0x"&amp;AE_w_WORK!F165</f>
        <v>0x0000</v>
      </c>
      <c r="J678" s="36">
        <v>40888</v>
      </c>
      <c r="K678" s="37"/>
      <c r="L678" s="74">
        <f t="shared" si="11"/>
        <v>1344</v>
      </c>
      <c r="M678" s="74"/>
      <c r="N678" s="74"/>
    </row>
    <row r="679" spans="2:14" hidden="1" outlineLevel="1">
      <c r="B679" s="73">
        <v>673</v>
      </c>
      <c r="C679" s="39"/>
      <c r="D679" s="40"/>
      <c r="E679" s="34" t="s">
        <v>323</v>
      </c>
      <c r="F679" s="75" t="s">
        <v>1044</v>
      </c>
      <c r="G679" s="35" t="s">
        <v>79</v>
      </c>
      <c r="H679" s="41" t="s">
        <v>80</v>
      </c>
      <c r="I679" s="44" t="str">
        <f>"0x"&amp;AE_w_WORK!F166</f>
        <v>0x0000</v>
      </c>
      <c r="J679" s="36">
        <v>40889</v>
      </c>
      <c r="K679" s="37"/>
      <c r="L679" s="74">
        <f t="shared" si="11"/>
        <v>1346</v>
      </c>
      <c r="M679" s="74"/>
      <c r="N679" s="74"/>
    </row>
    <row r="680" spans="2:14" hidden="1" outlineLevel="1">
      <c r="B680" s="73">
        <v>674</v>
      </c>
      <c r="C680" s="39"/>
      <c r="D680" s="40"/>
      <c r="E680" s="34" t="s">
        <v>323</v>
      </c>
      <c r="F680" s="75" t="s">
        <v>1045</v>
      </c>
      <c r="G680" s="35" t="s">
        <v>79</v>
      </c>
      <c r="H680" s="41" t="s">
        <v>80</v>
      </c>
      <c r="I680" s="44" t="str">
        <f>"0x"&amp;AE_w_WORK!F167</f>
        <v>0x0022</v>
      </c>
      <c r="J680" s="36">
        <v>40890</v>
      </c>
      <c r="K680" s="37"/>
      <c r="L680" s="74">
        <f t="shared" si="11"/>
        <v>1348</v>
      </c>
      <c r="M680" s="74"/>
      <c r="N680" s="74"/>
    </row>
    <row r="681" spans="2:14" hidden="1" outlineLevel="1">
      <c r="B681" s="73">
        <v>675</v>
      </c>
      <c r="C681" s="39"/>
      <c r="D681" s="40"/>
      <c r="E681" s="34" t="s">
        <v>323</v>
      </c>
      <c r="F681" s="75" t="s">
        <v>1046</v>
      </c>
      <c r="G681" s="35" t="s">
        <v>79</v>
      </c>
      <c r="H681" s="41" t="s">
        <v>80</v>
      </c>
      <c r="I681" s="44" t="str">
        <f>"0x"&amp;AE_w_WORK!F168</f>
        <v>0x3344</v>
      </c>
      <c r="J681" s="36">
        <v>40891</v>
      </c>
      <c r="K681" s="37"/>
      <c r="L681" s="74">
        <f t="shared" si="11"/>
        <v>1350</v>
      </c>
      <c r="M681" s="74"/>
      <c r="N681" s="74"/>
    </row>
    <row r="682" spans="2:14" hidden="1" outlineLevel="1">
      <c r="B682" s="73">
        <v>676</v>
      </c>
      <c r="C682" s="39"/>
      <c r="D682" s="40"/>
      <c r="E682" s="34" t="s">
        <v>323</v>
      </c>
      <c r="F682" s="75" t="s">
        <v>1047</v>
      </c>
      <c r="G682" s="35" t="s">
        <v>79</v>
      </c>
      <c r="H682" s="41" t="s">
        <v>80</v>
      </c>
      <c r="I682" s="44" t="str">
        <f>"0x"&amp;AE_w_WORK!F169</f>
        <v>0x5555</v>
      </c>
      <c r="J682" s="36">
        <v>40892</v>
      </c>
      <c r="K682" s="37"/>
      <c r="L682" s="74">
        <f t="shared" si="11"/>
        <v>1352</v>
      </c>
      <c r="M682" s="74"/>
      <c r="N682" s="74"/>
    </row>
    <row r="683" spans="2:14" hidden="1" outlineLevel="1">
      <c r="B683" s="73">
        <v>677</v>
      </c>
      <c r="C683" s="39"/>
      <c r="D683" s="40"/>
      <c r="E683" s="34" t="s">
        <v>323</v>
      </c>
      <c r="F683" s="75" t="s">
        <v>1048</v>
      </c>
      <c r="G683" s="35" t="s">
        <v>79</v>
      </c>
      <c r="H683" s="41" t="s">
        <v>80</v>
      </c>
      <c r="I683" s="44" t="str">
        <f>"0x"&amp;AE_w_WORK!F170</f>
        <v>0x5555</v>
      </c>
      <c r="J683" s="36">
        <v>40893</v>
      </c>
      <c r="K683" s="37"/>
      <c r="L683" s="74">
        <f t="shared" si="11"/>
        <v>1354</v>
      </c>
      <c r="M683" s="74"/>
      <c r="N683" s="74"/>
    </row>
    <row r="684" spans="2:14" hidden="1" outlineLevel="1">
      <c r="B684" s="73">
        <v>678</v>
      </c>
      <c r="C684" s="39"/>
      <c r="D684" s="40"/>
      <c r="E684" s="34" t="s">
        <v>323</v>
      </c>
      <c r="F684" s="75" t="s">
        <v>1049</v>
      </c>
      <c r="G684" s="35" t="s">
        <v>79</v>
      </c>
      <c r="H684" s="41" t="s">
        <v>80</v>
      </c>
      <c r="I684" s="44" t="str">
        <f>"0x"&amp;AE_w_WORK!F171</f>
        <v>0x4433</v>
      </c>
      <c r="J684" s="36">
        <v>40894</v>
      </c>
      <c r="K684" s="37"/>
      <c r="L684" s="74">
        <f t="shared" si="11"/>
        <v>1356</v>
      </c>
      <c r="M684" s="74"/>
      <c r="N684" s="74"/>
    </row>
    <row r="685" spans="2:14" hidden="1" outlineLevel="1">
      <c r="B685" s="73">
        <v>679</v>
      </c>
      <c r="C685" s="39"/>
      <c r="D685" s="40"/>
      <c r="E685" s="34" t="s">
        <v>323</v>
      </c>
      <c r="F685" s="75" t="s">
        <v>1050</v>
      </c>
      <c r="G685" s="35" t="s">
        <v>79</v>
      </c>
      <c r="H685" s="41" t="s">
        <v>80</v>
      </c>
      <c r="I685" s="44" t="str">
        <f>"0x"&amp;AE_w_WORK!F172</f>
        <v>0x2200</v>
      </c>
      <c r="J685" s="36">
        <v>40895</v>
      </c>
      <c r="K685" s="37"/>
      <c r="L685" s="74">
        <f t="shared" si="11"/>
        <v>1358</v>
      </c>
      <c r="M685" s="74"/>
      <c r="N685" s="74"/>
    </row>
    <row r="686" spans="2:14" hidden="1" outlineLevel="1">
      <c r="B686" s="73">
        <v>680</v>
      </c>
      <c r="C686" s="39"/>
      <c r="D686" s="40"/>
      <c r="E686" s="34" t="s">
        <v>323</v>
      </c>
      <c r="F686" s="75" t="s">
        <v>1051</v>
      </c>
      <c r="G686" s="35" t="s">
        <v>79</v>
      </c>
      <c r="H686" s="41" t="s">
        <v>80</v>
      </c>
      <c r="I686" s="44" t="str">
        <f>"0x"&amp;AE_w_WORK!F173</f>
        <v>0x0000</v>
      </c>
      <c r="J686" s="36">
        <v>40896</v>
      </c>
      <c r="K686" s="37"/>
      <c r="L686" s="74">
        <f t="shared" si="11"/>
        <v>1360</v>
      </c>
      <c r="M686" s="74"/>
      <c r="N686" s="74"/>
    </row>
    <row r="687" spans="2:14" hidden="1" outlineLevel="1">
      <c r="B687" s="73">
        <v>681</v>
      </c>
      <c r="C687" s="39"/>
      <c r="D687" s="40"/>
      <c r="E687" s="34" t="s">
        <v>323</v>
      </c>
      <c r="F687" s="75" t="s">
        <v>1052</v>
      </c>
      <c r="G687" s="35" t="s">
        <v>79</v>
      </c>
      <c r="H687" s="41" t="s">
        <v>80</v>
      </c>
      <c r="I687" s="44" t="str">
        <f>"0x"&amp;AE_w_WORK!F174</f>
        <v>0x0000</v>
      </c>
      <c r="J687" s="36">
        <v>40897</v>
      </c>
      <c r="K687" s="37"/>
      <c r="L687" s="74">
        <f t="shared" si="11"/>
        <v>1362</v>
      </c>
      <c r="M687" s="74"/>
      <c r="N687" s="74"/>
    </row>
    <row r="688" spans="2:14" hidden="1" outlineLevel="1">
      <c r="B688" s="73">
        <v>682</v>
      </c>
      <c r="C688" s="39"/>
      <c r="D688" s="40"/>
      <c r="E688" s="34" t="s">
        <v>323</v>
      </c>
      <c r="F688" s="75" t="s">
        <v>1053</v>
      </c>
      <c r="G688" s="35" t="s">
        <v>79</v>
      </c>
      <c r="H688" s="41" t="s">
        <v>80</v>
      </c>
      <c r="I688" s="44" t="str">
        <f>"0x"&amp;AE_w_WORK!F175</f>
        <v>0x0022</v>
      </c>
      <c r="J688" s="36">
        <v>40898</v>
      </c>
      <c r="K688" s="37"/>
      <c r="L688" s="74">
        <f t="shared" si="11"/>
        <v>1364</v>
      </c>
      <c r="M688" s="74"/>
      <c r="N688" s="74"/>
    </row>
    <row r="689" spans="2:14" hidden="1" outlineLevel="1">
      <c r="B689" s="73">
        <v>683</v>
      </c>
      <c r="C689" s="39"/>
      <c r="D689" s="40"/>
      <c r="E689" s="34" t="s">
        <v>323</v>
      </c>
      <c r="F689" s="75" t="s">
        <v>1054</v>
      </c>
      <c r="G689" s="35" t="s">
        <v>79</v>
      </c>
      <c r="H689" s="41" t="s">
        <v>80</v>
      </c>
      <c r="I689" s="44" t="str">
        <f>"0x"&amp;AE_w_WORK!F176</f>
        <v>0x3344</v>
      </c>
      <c r="J689" s="36">
        <v>40899</v>
      </c>
      <c r="K689" s="37"/>
      <c r="L689" s="74">
        <f t="shared" si="11"/>
        <v>1366</v>
      </c>
      <c r="M689" s="74"/>
      <c r="N689" s="74"/>
    </row>
    <row r="690" spans="2:14" hidden="1" outlineLevel="1">
      <c r="B690" s="73">
        <v>684</v>
      </c>
      <c r="C690" s="39"/>
      <c r="D690" s="40"/>
      <c r="E690" s="34" t="s">
        <v>323</v>
      </c>
      <c r="F690" s="75" t="s">
        <v>1055</v>
      </c>
      <c r="G690" s="35" t="s">
        <v>79</v>
      </c>
      <c r="H690" s="41" t="s">
        <v>80</v>
      </c>
      <c r="I690" s="44" t="str">
        <f>"0x"&amp;AE_w_WORK!F177</f>
        <v>0x5555</v>
      </c>
      <c r="J690" s="36">
        <v>40900</v>
      </c>
      <c r="K690" s="37"/>
      <c r="L690" s="74">
        <f t="shared" si="11"/>
        <v>1368</v>
      </c>
      <c r="M690" s="74"/>
      <c r="N690" s="74"/>
    </row>
    <row r="691" spans="2:14" hidden="1" outlineLevel="1">
      <c r="B691" s="73">
        <v>685</v>
      </c>
      <c r="C691" s="39"/>
      <c r="D691" s="40"/>
      <c r="E691" s="34" t="s">
        <v>323</v>
      </c>
      <c r="F691" s="75" t="s">
        <v>1056</v>
      </c>
      <c r="G691" s="35" t="s">
        <v>79</v>
      </c>
      <c r="H691" s="41" t="s">
        <v>80</v>
      </c>
      <c r="I691" s="44" t="str">
        <f>"0x"&amp;AE_w_WORK!F178</f>
        <v>0x5555</v>
      </c>
      <c r="J691" s="36">
        <v>40901</v>
      </c>
      <c r="K691" s="37"/>
      <c r="L691" s="74">
        <f t="shared" si="11"/>
        <v>1370</v>
      </c>
      <c r="M691" s="74"/>
      <c r="N691" s="74"/>
    </row>
    <row r="692" spans="2:14" hidden="1" outlineLevel="1">
      <c r="B692" s="73">
        <v>686</v>
      </c>
      <c r="C692" s="39"/>
      <c r="D692" s="40"/>
      <c r="E692" s="34" t="s">
        <v>323</v>
      </c>
      <c r="F692" s="75" t="s">
        <v>1057</v>
      </c>
      <c r="G692" s="35" t="s">
        <v>79</v>
      </c>
      <c r="H692" s="41" t="s">
        <v>80</v>
      </c>
      <c r="I692" s="44" t="str">
        <f>"0x"&amp;AE_w_WORK!F179</f>
        <v>0x4433</v>
      </c>
      <c r="J692" s="36">
        <v>40902</v>
      </c>
      <c r="K692" s="37"/>
      <c r="L692" s="74">
        <f t="shared" si="11"/>
        <v>1372</v>
      </c>
      <c r="M692" s="74"/>
      <c r="N692" s="74"/>
    </row>
    <row r="693" spans="2:14" hidden="1" outlineLevel="1">
      <c r="B693" s="73">
        <v>687</v>
      </c>
      <c r="C693" s="39"/>
      <c r="D693" s="40"/>
      <c r="E693" s="34" t="s">
        <v>323</v>
      </c>
      <c r="F693" s="75" t="s">
        <v>1058</v>
      </c>
      <c r="G693" s="35" t="s">
        <v>79</v>
      </c>
      <c r="H693" s="41" t="s">
        <v>80</v>
      </c>
      <c r="I693" s="44" t="str">
        <f>"0x"&amp;AE_w_WORK!F180</f>
        <v>0x2200</v>
      </c>
      <c r="J693" s="36">
        <v>40903</v>
      </c>
      <c r="K693" s="37"/>
      <c r="L693" s="74">
        <f t="shared" si="11"/>
        <v>1374</v>
      </c>
      <c r="M693" s="74"/>
      <c r="N693" s="74"/>
    </row>
    <row r="694" spans="2:14" hidden="1" outlineLevel="1">
      <c r="B694" s="73">
        <v>688</v>
      </c>
      <c r="C694" s="39"/>
      <c r="D694" s="40"/>
      <c r="E694" s="34" t="s">
        <v>323</v>
      </c>
      <c r="F694" s="75" t="s">
        <v>1059</v>
      </c>
      <c r="G694" s="35" t="s">
        <v>79</v>
      </c>
      <c r="H694" s="41" t="s">
        <v>80</v>
      </c>
      <c r="I694" s="44" t="str">
        <f>"0x"&amp;AE_w_WORK!F181</f>
        <v>0x0000</v>
      </c>
      <c r="J694" s="36">
        <v>40904</v>
      </c>
      <c r="K694" s="37"/>
      <c r="L694" s="74">
        <f t="shared" si="11"/>
        <v>1376</v>
      </c>
      <c r="M694" s="74"/>
      <c r="N694" s="74"/>
    </row>
    <row r="695" spans="2:14" hidden="1" outlineLevel="1">
      <c r="B695" s="73">
        <v>689</v>
      </c>
      <c r="C695" s="39"/>
      <c r="D695" s="40"/>
      <c r="E695" s="34" t="s">
        <v>323</v>
      </c>
      <c r="F695" s="75" t="s">
        <v>1060</v>
      </c>
      <c r="G695" s="35" t="s">
        <v>79</v>
      </c>
      <c r="H695" s="41" t="s">
        <v>80</v>
      </c>
      <c r="I695" s="44" t="str">
        <f>"0x"&amp;AE_w_WORK!F182</f>
        <v>0x0000</v>
      </c>
      <c r="J695" s="36">
        <v>40905</v>
      </c>
      <c r="K695" s="37"/>
      <c r="L695" s="74">
        <f t="shared" si="11"/>
        <v>1378</v>
      </c>
      <c r="M695" s="74"/>
      <c r="N695" s="74"/>
    </row>
    <row r="696" spans="2:14" hidden="1" outlineLevel="1">
      <c r="B696" s="73">
        <v>690</v>
      </c>
      <c r="C696" s="39"/>
      <c r="D696" s="40"/>
      <c r="E696" s="34" t="s">
        <v>323</v>
      </c>
      <c r="F696" s="75" t="s">
        <v>1061</v>
      </c>
      <c r="G696" s="35" t="s">
        <v>79</v>
      </c>
      <c r="H696" s="41" t="s">
        <v>80</v>
      </c>
      <c r="I696" s="44" t="str">
        <f>"0x"&amp;AE_w_WORK!F183</f>
        <v>0x0022</v>
      </c>
      <c r="J696" s="36">
        <v>40906</v>
      </c>
      <c r="K696" s="37"/>
      <c r="L696" s="74">
        <f t="shared" si="11"/>
        <v>1380</v>
      </c>
      <c r="M696" s="74"/>
      <c r="N696" s="74"/>
    </row>
    <row r="697" spans="2:14" hidden="1" outlineLevel="1">
      <c r="B697" s="73">
        <v>691</v>
      </c>
      <c r="C697" s="39"/>
      <c r="D697" s="40"/>
      <c r="E697" s="34" t="s">
        <v>323</v>
      </c>
      <c r="F697" s="75" t="s">
        <v>1062</v>
      </c>
      <c r="G697" s="35" t="s">
        <v>79</v>
      </c>
      <c r="H697" s="41" t="s">
        <v>80</v>
      </c>
      <c r="I697" s="44" t="str">
        <f>"0x"&amp;AE_w_WORK!F184</f>
        <v>0x3333</v>
      </c>
      <c r="J697" s="36">
        <v>40907</v>
      </c>
      <c r="K697" s="37"/>
      <c r="L697" s="74">
        <f t="shared" si="11"/>
        <v>1382</v>
      </c>
      <c r="M697" s="74"/>
      <c r="N697" s="74"/>
    </row>
    <row r="698" spans="2:14" hidden="1" outlineLevel="1">
      <c r="B698" s="73">
        <v>692</v>
      </c>
      <c r="C698" s="39"/>
      <c r="D698" s="40"/>
      <c r="E698" s="34" t="s">
        <v>323</v>
      </c>
      <c r="F698" s="75" t="s">
        <v>1063</v>
      </c>
      <c r="G698" s="35" t="s">
        <v>79</v>
      </c>
      <c r="H698" s="41" t="s">
        <v>80</v>
      </c>
      <c r="I698" s="44" t="str">
        <f>"0x"&amp;AE_w_WORK!F185</f>
        <v>0x4444</v>
      </c>
      <c r="J698" s="36">
        <v>40908</v>
      </c>
      <c r="K698" s="37"/>
      <c r="L698" s="74">
        <f t="shared" si="11"/>
        <v>1384</v>
      </c>
      <c r="M698" s="74"/>
      <c r="N698" s="74"/>
    </row>
    <row r="699" spans="2:14" hidden="1" outlineLevel="1">
      <c r="B699" s="73">
        <v>693</v>
      </c>
      <c r="C699" s="39"/>
      <c r="D699" s="40"/>
      <c r="E699" s="34" t="s">
        <v>323</v>
      </c>
      <c r="F699" s="75" t="s">
        <v>1064</v>
      </c>
      <c r="G699" s="35" t="s">
        <v>79</v>
      </c>
      <c r="H699" s="41" t="s">
        <v>80</v>
      </c>
      <c r="I699" s="44" t="str">
        <f>"0x"&amp;AE_w_WORK!F186</f>
        <v>0x4444</v>
      </c>
      <c r="J699" s="36">
        <v>40909</v>
      </c>
      <c r="K699" s="37"/>
      <c r="L699" s="74">
        <f t="shared" si="11"/>
        <v>1386</v>
      </c>
      <c r="M699" s="74"/>
      <c r="N699" s="74"/>
    </row>
    <row r="700" spans="2:14" hidden="1" outlineLevel="1">
      <c r="B700" s="73">
        <v>694</v>
      </c>
      <c r="C700" s="39"/>
      <c r="D700" s="40"/>
      <c r="E700" s="34" t="s">
        <v>323</v>
      </c>
      <c r="F700" s="75" t="s">
        <v>1065</v>
      </c>
      <c r="G700" s="35" t="s">
        <v>79</v>
      </c>
      <c r="H700" s="41" t="s">
        <v>80</v>
      </c>
      <c r="I700" s="44" t="str">
        <f>"0x"&amp;AE_w_WORK!F187</f>
        <v>0x3333</v>
      </c>
      <c r="J700" s="36">
        <v>40910</v>
      </c>
      <c r="K700" s="37"/>
      <c r="L700" s="74">
        <f t="shared" si="11"/>
        <v>1388</v>
      </c>
      <c r="M700" s="74"/>
      <c r="N700" s="74"/>
    </row>
    <row r="701" spans="2:14" hidden="1" outlineLevel="1">
      <c r="B701" s="73">
        <v>695</v>
      </c>
      <c r="C701" s="39"/>
      <c r="D701" s="40"/>
      <c r="E701" s="34" t="s">
        <v>323</v>
      </c>
      <c r="F701" s="75" t="s">
        <v>1066</v>
      </c>
      <c r="G701" s="35" t="s">
        <v>79</v>
      </c>
      <c r="H701" s="41" t="s">
        <v>80</v>
      </c>
      <c r="I701" s="44" t="str">
        <f>"0x"&amp;AE_w_WORK!F188</f>
        <v>0x2200</v>
      </c>
      <c r="J701" s="36">
        <v>40911</v>
      </c>
      <c r="K701" s="37"/>
      <c r="L701" s="74">
        <f t="shared" si="11"/>
        <v>1390</v>
      </c>
      <c r="M701" s="74"/>
      <c r="N701" s="74"/>
    </row>
    <row r="702" spans="2:14" hidden="1" outlineLevel="1">
      <c r="B702" s="73">
        <v>696</v>
      </c>
      <c r="C702" s="39"/>
      <c r="D702" s="40"/>
      <c r="E702" s="34" t="s">
        <v>323</v>
      </c>
      <c r="F702" s="75" t="s">
        <v>1067</v>
      </c>
      <c r="G702" s="35" t="s">
        <v>79</v>
      </c>
      <c r="H702" s="41" t="s">
        <v>80</v>
      </c>
      <c r="I702" s="44" t="str">
        <f>"0x"&amp;AE_w_WORK!F189</f>
        <v>0x0000</v>
      </c>
      <c r="J702" s="36">
        <v>40912</v>
      </c>
      <c r="K702" s="37"/>
      <c r="L702" s="74">
        <f t="shared" si="11"/>
        <v>1392</v>
      </c>
      <c r="M702" s="74"/>
      <c r="N702" s="74"/>
    </row>
    <row r="703" spans="2:14" hidden="1" outlineLevel="1">
      <c r="B703" s="73">
        <v>697</v>
      </c>
      <c r="C703" s="39"/>
      <c r="D703" s="40"/>
      <c r="E703" s="34" t="s">
        <v>323</v>
      </c>
      <c r="F703" s="75" t="s">
        <v>1068</v>
      </c>
      <c r="G703" s="35" t="s">
        <v>79</v>
      </c>
      <c r="H703" s="41" t="s">
        <v>80</v>
      </c>
      <c r="I703" s="44" t="str">
        <f>"0x"&amp;AE_w_WORK!F190</f>
        <v>0x0000</v>
      </c>
      <c r="J703" s="36">
        <v>40913</v>
      </c>
      <c r="K703" s="37"/>
      <c r="L703" s="74">
        <f t="shared" si="11"/>
        <v>1394</v>
      </c>
      <c r="M703" s="74"/>
      <c r="N703" s="74"/>
    </row>
    <row r="704" spans="2:14" hidden="1" outlineLevel="1">
      <c r="B704" s="73">
        <v>698</v>
      </c>
      <c r="C704" s="39"/>
      <c r="D704" s="40"/>
      <c r="E704" s="34" t="s">
        <v>323</v>
      </c>
      <c r="F704" s="75" t="s">
        <v>1069</v>
      </c>
      <c r="G704" s="35" t="s">
        <v>79</v>
      </c>
      <c r="H704" s="41" t="s">
        <v>80</v>
      </c>
      <c r="I704" s="44" t="str">
        <f>"0x"&amp;AE_w_WORK!F191</f>
        <v>0x0022</v>
      </c>
      <c r="J704" s="36">
        <v>40914</v>
      </c>
      <c r="K704" s="37"/>
      <c r="L704" s="74">
        <f t="shared" si="11"/>
        <v>1396</v>
      </c>
      <c r="M704" s="74"/>
      <c r="N704" s="74"/>
    </row>
    <row r="705" spans="2:14" hidden="1" outlineLevel="1">
      <c r="B705" s="73">
        <v>699</v>
      </c>
      <c r="C705" s="39"/>
      <c r="D705" s="40"/>
      <c r="E705" s="34" t="s">
        <v>323</v>
      </c>
      <c r="F705" s="75" t="s">
        <v>1070</v>
      </c>
      <c r="G705" s="35" t="s">
        <v>79</v>
      </c>
      <c r="H705" s="41" t="s">
        <v>80</v>
      </c>
      <c r="I705" s="44" t="str">
        <f>"0x"&amp;AE_w_WORK!F192</f>
        <v>0x3333</v>
      </c>
      <c r="J705" s="36">
        <v>40915</v>
      </c>
      <c r="K705" s="37"/>
      <c r="L705" s="74">
        <f t="shared" si="11"/>
        <v>1398</v>
      </c>
      <c r="M705" s="74"/>
      <c r="N705" s="74"/>
    </row>
    <row r="706" spans="2:14" hidden="1" outlineLevel="1">
      <c r="B706" s="73">
        <v>700</v>
      </c>
      <c r="C706" s="39"/>
      <c r="D706" s="40"/>
      <c r="E706" s="34" t="s">
        <v>323</v>
      </c>
      <c r="F706" s="75" t="s">
        <v>1071</v>
      </c>
      <c r="G706" s="35" t="s">
        <v>79</v>
      </c>
      <c r="H706" s="41" t="s">
        <v>80</v>
      </c>
      <c r="I706" s="44" t="str">
        <f>"0x"&amp;AE_w_WORK!F193</f>
        <v>0x4444</v>
      </c>
      <c r="J706" s="36">
        <v>40916</v>
      </c>
      <c r="K706" s="37"/>
      <c r="L706" s="74">
        <f t="shared" si="11"/>
        <v>1400</v>
      </c>
      <c r="M706" s="74"/>
      <c r="N706" s="74"/>
    </row>
    <row r="707" spans="2:14" hidden="1" outlineLevel="1">
      <c r="B707" s="73">
        <v>701</v>
      </c>
      <c r="C707" s="39"/>
      <c r="D707" s="40"/>
      <c r="E707" s="34" t="s">
        <v>323</v>
      </c>
      <c r="F707" s="75" t="s">
        <v>1072</v>
      </c>
      <c r="G707" s="35" t="s">
        <v>79</v>
      </c>
      <c r="H707" s="41" t="s">
        <v>80</v>
      </c>
      <c r="I707" s="44" t="str">
        <f>"0x"&amp;AE_w_WORK!F194</f>
        <v>0x4444</v>
      </c>
      <c r="J707" s="36">
        <v>40917</v>
      </c>
      <c r="K707" s="37"/>
      <c r="L707" s="74">
        <f t="shared" si="11"/>
        <v>1402</v>
      </c>
      <c r="M707" s="74"/>
      <c r="N707" s="74"/>
    </row>
    <row r="708" spans="2:14" hidden="1" outlineLevel="1">
      <c r="B708" s="73">
        <v>702</v>
      </c>
      <c r="C708" s="39"/>
      <c r="D708" s="40"/>
      <c r="E708" s="34" t="s">
        <v>323</v>
      </c>
      <c r="F708" s="75" t="s">
        <v>1073</v>
      </c>
      <c r="G708" s="35" t="s">
        <v>79</v>
      </c>
      <c r="H708" s="41" t="s">
        <v>80</v>
      </c>
      <c r="I708" s="44" t="str">
        <f>"0x"&amp;AE_w_WORK!F195</f>
        <v>0x3333</v>
      </c>
      <c r="J708" s="36">
        <v>40918</v>
      </c>
      <c r="K708" s="37"/>
      <c r="L708" s="74">
        <f t="shared" si="11"/>
        <v>1404</v>
      </c>
      <c r="M708" s="74"/>
      <c r="N708" s="74"/>
    </row>
    <row r="709" spans="2:14" hidden="1" outlineLevel="1">
      <c r="B709" s="73">
        <v>703</v>
      </c>
      <c r="C709" s="39"/>
      <c r="D709" s="40"/>
      <c r="E709" s="34" t="s">
        <v>323</v>
      </c>
      <c r="F709" s="75" t="s">
        <v>1074</v>
      </c>
      <c r="G709" s="35" t="s">
        <v>79</v>
      </c>
      <c r="H709" s="41" t="s">
        <v>80</v>
      </c>
      <c r="I709" s="44" t="str">
        <f>"0x"&amp;AE_w_WORK!F196</f>
        <v>0x2200</v>
      </c>
      <c r="J709" s="36">
        <v>40919</v>
      </c>
      <c r="K709" s="37"/>
      <c r="L709" s="74">
        <f t="shared" si="11"/>
        <v>1406</v>
      </c>
      <c r="M709" s="74"/>
      <c r="N709" s="74"/>
    </row>
    <row r="710" spans="2:14" hidden="1" outlineLevel="1">
      <c r="B710" s="73">
        <v>704</v>
      </c>
      <c r="C710" s="39"/>
      <c r="D710" s="40"/>
      <c r="E710" s="34" t="s">
        <v>323</v>
      </c>
      <c r="F710" s="75" t="s">
        <v>1075</v>
      </c>
      <c r="G710" s="35" t="s">
        <v>79</v>
      </c>
      <c r="H710" s="41" t="s">
        <v>80</v>
      </c>
      <c r="I710" s="44" t="str">
        <f>"0x"&amp;AE_w_WORK!F197</f>
        <v>0x0000</v>
      </c>
      <c r="J710" s="36">
        <v>40920</v>
      </c>
      <c r="K710" s="37"/>
      <c r="L710" s="74">
        <f t="shared" si="11"/>
        <v>1408</v>
      </c>
      <c r="M710" s="74"/>
      <c r="N710" s="74"/>
    </row>
    <row r="711" spans="2:14" hidden="1" outlineLevel="1">
      <c r="B711" s="73">
        <v>705</v>
      </c>
      <c r="C711" s="39"/>
      <c r="D711" s="40"/>
      <c r="E711" s="34" t="s">
        <v>323</v>
      </c>
      <c r="F711" s="75" t="s">
        <v>1076</v>
      </c>
      <c r="G711" s="35" t="s">
        <v>79</v>
      </c>
      <c r="H711" s="41" t="s">
        <v>80</v>
      </c>
      <c r="I711" s="44" t="str">
        <f>"0x"&amp;AE_w_WORK!F198</f>
        <v>0x0000</v>
      </c>
      <c r="J711" s="36">
        <v>40921</v>
      </c>
      <c r="K711" s="37"/>
      <c r="L711" s="74">
        <f t="shared" si="11"/>
        <v>1410</v>
      </c>
      <c r="M711" s="74"/>
      <c r="N711" s="74"/>
    </row>
    <row r="712" spans="2:14" hidden="1" outlineLevel="1">
      <c r="B712" s="73">
        <v>706</v>
      </c>
      <c r="C712" s="39"/>
      <c r="D712" s="40"/>
      <c r="E712" s="34" t="s">
        <v>323</v>
      </c>
      <c r="F712" s="75" t="s">
        <v>1077</v>
      </c>
      <c r="G712" s="35" t="s">
        <v>79</v>
      </c>
      <c r="H712" s="41" t="s">
        <v>80</v>
      </c>
      <c r="I712" s="44" t="str">
        <f>"0x"&amp;AE_w_WORK!F199</f>
        <v>0x0022</v>
      </c>
      <c r="J712" s="36">
        <v>40922</v>
      </c>
      <c r="K712" s="37"/>
      <c r="L712" s="74">
        <f t="shared" si="11"/>
        <v>1412</v>
      </c>
      <c r="M712" s="74"/>
      <c r="N712" s="74"/>
    </row>
    <row r="713" spans="2:14" hidden="1" outlineLevel="1">
      <c r="B713" s="73">
        <v>707</v>
      </c>
      <c r="C713" s="39"/>
      <c r="D713" s="40"/>
      <c r="E713" s="34" t="s">
        <v>323</v>
      </c>
      <c r="F713" s="75" t="s">
        <v>1078</v>
      </c>
      <c r="G713" s="35" t="s">
        <v>79</v>
      </c>
      <c r="H713" s="41" t="s">
        <v>80</v>
      </c>
      <c r="I713" s="44" t="str">
        <f>"0x"&amp;AE_w_WORK!F200</f>
        <v>0x2233</v>
      </c>
      <c r="J713" s="36">
        <v>40923</v>
      </c>
      <c r="K713" s="37"/>
      <c r="L713" s="74">
        <f t="shared" ref="L713:L774" si="12">L712+2</f>
        <v>1414</v>
      </c>
      <c r="M713" s="74"/>
      <c r="N713" s="74"/>
    </row>
    <row r="714" spans="2:14" hidden="1" outlineLevel="1">
      <c r="B714" s="73">
        <v>708</v>
      </c>
      <c r="C714" s="39"/>
      <c r="D714" s="40"/>
      <c r="E714" s="34" t="s">
        <v>323</v>
      </c>
      <c r="F714" s="75" t="s">
        <v>1079</v>
      </c>
      <c r="G714" s="35" t="s">
        <v>79</v>
      </c>
      <c r="H714" s="41" t="s">
        <v>80</v>
      </c>
      <c r="I714" s="44" t="str">
        <f>"0x"&amp;AE_w_WORK!F201</f>
        <v>0x3333</v>
      </c>
      <c r="J714" s="36">
        <v>40924</v>
      </c>
      <c r="K714" s="37"/>
      <c r="L714" s="74">
        <f t="shared" si="12"/>
        <v>1416</v>
      </c>
      <c r="M714" s="74"/>
      <c r="N714" s="74"/>
    </row>
    <row r="715" spans="2:14" hidden="1" outlineLevel="1">
      <c r="B715" s="73">
        <v>709</v>
      </c>
      <c r="C715" s="39"/>
      <c r="D715" s="40"/>
      <c r="E715" s="34" t="s">
        <v>323</v>
      </c>
      <c r="F715" s="75" t="s">
        <v>1080</v>
      </c>
      <c r="G715" s="35" t="s">
        <v>79</v>
      </c>
      <c r="H715" s="41" t="s">
        <v>80</v>
      </c>
      <c r="I715" s="44" t="str">
        <f>"0x"&amp;AE_w_WORK!F202</f>
        <v>0x3333</v>
      </c>
      <c r="J715" s="36">
        <v>40925</v>
      </c>
      <c r="K715" s="37"/>
      <c r="L715" s="74">
        <f t="shared" si="12"/>
        <v>1418</v>
      </c>
      <c r="M715" s="74"/>
      <c r="N715" s="74"/>
    </row>
    <row r="716" spans="2:14" hidden="1" outlineLevel="1">
      <c r="B716" s="73">
        <v>710</v>
      </c>
      <c r="C716" s="39"/>
      <c r="D716" s="40"/>
      <c r="E716" s="34" t="s">
        <v>323</v>
      </c>
      <c r="F716" s="75" t="s">
        <v>1081</v>
      </c>
      <c r="G716" s="35" t="s">
        <v>79</v>
      </c>
      <c r="H716" s="41" t="s">
        <v>80</v>
      </c>
      <c r="I716" s="44" t="str">
        <f>"0x"&amp;AE_w_WORK!F203</f>
        <v>0x3322</v>
      </c>
      <c r="J716" s="36">
        <v>40926</v>
      </c>
      <c r="K716" s="37"/>
      <c r="L716" s="74">
        <f t="shared" si="12"/>
        <v>1420</v>
      </c>
      <c r="M716" s="74"/>
      <c r="N716" s="74"/>
    </row>
    <row r="717" spans="2:14" hidden="1" outlineLevel="1">
      <c r="B717" s="73">
        <v>711</v>
      </c>
      <c r="C717" s="39"/>
      <c r="D717" s="40"/>
      <c r="E717" s="34" t="s">
        <v>323</v>
      </c>
      <c r="F717" s="75" t="s">
        <v>1082</v>
      </c>
      <c r="G717" s="35" t="s">
        <v>79</v>
      </c>
      <c r="H717" s="41" t="s">
        <v>80</v>
      </c>
      <c r="I717" s="44" t="str">
        <f>"0x"&amp;AE_w_WORK!F204</f>
        <v>0x2200</v>
      </c>
      <c r="J717" s="36">
        <v>40927</v>
      </c>
      <c r="K717" s="37"/>
      <c r="L717" s="74">
        <f t="shared" si="12"/>
        <v>1422</v>
      </c>
      <c r="M717" s="74"/>
      <c r="N717" s="74"/>
    </row>
    <row r="718" spans="2:14" hidden="1" outlineLevel="1">
      <c r="B718" s="73">
        <v>712</v>
      </c>
      <c r="C718" s="39"/>
      <c r="D718" s="40"/>
      <c r="E718" s="34" t="s">
        <v>323</v>
      </c>
      <c r="F718" s="75" t="s">
        <v>1083</v>
      </c>
      <c r="G718" s="35" t="s">
        <v>79</v>
      </c>
      <c r="H718" s="41" t="s">
        <v>80</v>
      </c>
      <c r="I718" s="44" t="str">
        <f>"0x"&amp;AE_w_WORK!F205</f>
        <v>0x0000</v>
      </c>
      <c r="J718" s="36">
        <v>40928</v>
      </c>
      <c r="K718" s="37"/>
      <c r="L718" s="74">
        <f t="shared" si="12"/>
        <v>1424</v>
      </c>
      <c r="M718" s="74"/>
      <c r="N718" s="74"/>
    </row>
    <row r="719" spans="2:14" hidden="1" outlineLevel="1">
      <c r="B719" s="73">
        <v>713</v>
      </c>
      <c r="C719" s="39"/>
      <c r="D719" s="40"/>
      <c r="E719" s="34" t="s">
        <v>323</v>
      </c>
      <c r="F719" s="75" t="s">
        <v>1084</v>
      </c>
      <c r="G719" s="35" t="s">
        <v>79</v>
      </c>
      <c r="H719" s="41" t="s">
        <v>80</v>
      </c>
      <c r="I719" s="44" t="str">
        <f>"0x"&amp;AE_w_WORK!F206</f>
        <v>0x0000</v>
      </c>
      <c r="J719" s="36">
        <v>40929</v>
      </c>
      <c r="K719" s="37"/>
      <c r="L719" s="74">
        <f t="shared" si="12"/>
        <v>1426</v>
      </c>
      <c r="M719" s="74"/>
      <c r="N719" s="74"/>
    </row>
    <row r="720" spans="2:14" hidden="1" outlineLevel="1">
      <c r="B720" s="73">
        <v>714</v>
      </c>
      <c r="C720" s="39"/>
      <c r="D720" s="40"/>
      <c r="E720" s="34" t="s">
        <v>323</v>
      </c>
      <c r="F720" s="75" t="s">
        <v>1085</v>
      </c>
      <c r="G720" s="35" t="s">
        <v>79</v>
      </c>
      <c r="H720" s="41" t="s">
        <v>80</v>
      </c>
      <c r="I720" s="44" t="str">
        <f>"0x"&amp;AE_w_WORK!F207</f>
        <v>0x0022</v>
      </c>
      <c r="J720" s="36">
        <v>40930</v>
      </c>
      <c r="K720" s="37"/>
      <c r="L720" s="74">
        <f t="shared" si="12"/>
        <v>1428</v>
      </c>
      <c r="M720" s="74"/>
      <c r="N720" s="74"/>
    </row>
    <row r="721" spans="2:14" hidden="1" outlineLevel="1">
      <c r="B721" s="73">
        <v>715</v>
      </c>
      <c r="C721" s="39"/>
      <c r="D721" s="40"/>
      <c r="E721" s="34" t="s">
        <v>323</v>
      </c>
      <c r="F721" s="75" t="s">
        <v>1086</v>
      </c>
      <c r="G721" s="35" t="s">
        <v>79</v>
      </c>
      <c r="H721" s="41" t="s">
        <v>80</v>
      </c>
      <c r="I721" s="44" t="str">
        <f>"0x"&amp;AE_w_WORK!F208</f>
        <v>0x2233</v>
      </c>
      <c r="J721" s="36">
        <v>40931</v>
      </c>
      <c r="K721" s="37"/>
      <c r="L721" s="74">
        <f t="shared" si="12"/>
        <v>1430</v>
      </c>
      <c r="M721" s="74"/>
      <c r="N721" s="74"/>
    </row>
    <row r="722" spans="2:14" hidden="1" outlineLevel="1">
      <c r="B722" s="73">
        <v>716</v>
      </c>
      <c r="C722" s="39"/>
      <c r="D722" s="40"/>
      <c r="E722" s="34" t="s">
        <v>323</v>
      </c>
      <c r="F722" s="75" t="s">
        <v>1087</v>
      </c>
      <c r="G722" s="35" t="s">
        <v>79</v>
      </c>
      <c r="H722" s="41" t="s">
        <v>80</v>
      </c>
      <c r="I722" s="44" t="str">
        <f>"0x"&amp;AE_w_WORK!F209</f>
        <v>0x3333</v>
      </c>
      <c r="J722" s="36">
        <v>40932</v>
      </c>
      <c r="K722" s="37"/>
      <c r="L722" s="74">
        <f t="shared" si="12"/>
        <v>1432</v>
      </c>
      <c r="M722" s="74"/>
      <c r="N722" s="74"/>
    </row>
    <row r="723" spans="2:14" hidden="1" outlineLevel="1">
      <c r="B723" s="73">
        <v>717</v>
      </c>
      <c r="C723" s="39"/>
      <c r="D723" s="40"/>
      <c r="E723" s="34" t="s">
        <v>323</v>
      </c>
      <c r="F723" s="75" t="s">
        <v>1088</v>
      </c>
      <c r="G723" s="35" t="s">
        <v>79</v>
      </c>
      <c r="H723" s="41" t="s">
        <v>80</v>
      </c>
      <c r="I723" s="44" t="str">
        <f>"0x"&amp;AE_w_WORK!F210</f>
        <v>0x3333</v>
      </c>
      <c r="J723" s="36">
        <v>40933</v>
      </c>
      <c r="K723" s="37"/>
      <c r="L723" s="74">
        <f t="shared" si="12"/>
        <v>1434</v>
      </c>
      <c r="M723" s="74"/>
      <c r="N723" s="74"/>
    </row>
    <row r="724" spans="2:14" hidden="1" outlineLevel="1">
      <c r="B724" s="73">
        <v>718</v>
      </c>
      <c r="C724" s="39"/>
      <c r="D724" s="40"/>
      <c r="E724" s="34" t="s">
        <v>323</v>
      </c>
      <c r="F724" s="75" t="s">
        <v>1089</v>
      </c>
      <c r="G724" s="35" t="s">
        <v>79</v>
      </c>
      <c r="H724" s="41" t="s">
        <v>80</v>
      </c>
      <c r="I724" s="44" t="str">
        <f>"0x"&amp;AE_w_WORK!F211</f>
        <v>0x3322</v>
      </c>
      <c r="J724" s="36">
        <v>40934</v>
      </c>
      <c r="K724" s="37"/>
      <c r="L724" s="74">
        <f t="shared" si="12"/>
        <v>1436</v>
      </c>
      <c r="M724" s="74"/>
      <c r="N724" s="74"/>
    </row>
    <row r="725" spans="2:14" hidden="1" outlineLevel="1">
      <c r="B725" s="73">
        <v>719</v>
      </c>
      <c r="C725" s="39"/>
      <c r="D725" s="40"/>
      <c r="E725" s="34" t="s">
        <v>323</v>
      </c>
      <c r="F725" s="75" t="s">
        <v>1090</v>
      </c>
      <c r="G725" s="35" t="s">
        <v>79</v>
      </c>
      <c r="H725" s="41" t="s">
        <v>80</v>
      </c>
      <c r="I725" s="44" t="str">
        <f>"0x"&amp;AE_w_WORK!F212</f>
        <v>0x2200</v>
      </c>
      <c r="J725" s="36">
        <v>40935</v>
      </c>
      <c r="K725" s="37"/>
      <c r="L725" s="74">
        <f t="shared" si="12"/>
        <v>1438</v>
      </c>
      <c r="M725" s="74"/>
      <c r="N725" s="74"/>
    </row>
    <row r="726" spans="2:14" hidden="1" outlineLevel="1">
      <c r="B726" s="73">
        <v>720</v>
      </c>
      <c r="C726" s="39"/>
      <c r="D726" s="40"/>
      <c r="E726" s="34" t="s">
        <v>323</v>
      </c>
      <c r="F726" s="75" t="s">
        <v>1091</v>
      </c>
      <c r="G726" s="35" t="s">
        <v>79</v>
      </c>
      <c r="H726" s="41" t="s">
        <v>80</v>
      </c>
      <c r="I726" s="44" t="str">
        <f>"0x"&amp;AE_w_WORK!F213</f>
        <v>0x0000</v>
      </c>
      <c r="J726" s="36">
        <v>40936</v>
      </c>
      <c r="K726" s="37"/>
      <c r="L726" s="74">
        <f t="shared" si="12"/>
        <v>1440</v>
      </c>
      <c r="M726" s="74"/>
      <c r="N726" s="74"/>
    </row>
    <row r="727" spans="2:14" hidden="1" outlineLevel="1">
      <c r="B727" s="73">
        <v>721</v>
      </c>
      <c r="C727" s="39"/>
      <c r="D727" s="40"/>
      <c r="E727" s="34" t="s">
        <v>323</v>
      </c>
      <c r="F727" s="75" t="s">
        <v>1092</v>
      </c>
      <c r="G727" s="35" t="s">
        <v>79</v>
      </c>
      <c r="H727" s="41" t="s">
        <v>80</v>
      </c>
      <c r="I727" s="44" t="str">
        <f>"0x"&amp;AE_w_WORK!F214</f>
        <v>0x0000</v>
      </c>
      <c r="J727" s="36">
        <v>40937</v>
      </c>
      <c r="K727" s="37"/>
      <c r="L727" s="74">
        <f t="shared" si="12"/>
        <v>1442</v>
      </c>
      <c r="M727" s="74"/>
      <c r="N727" s="74"/>
    </row>
    <row r="728" spans="2:14" hidden="1" outlineLevel="1">
      <c r="B728" s="73">
        <v>722</v>
      </c>
      <c r="C728" s="39"/>
      <c r="D728" s="40"/>
      <c r="E728" s="34" t="s">
        <v>323</v>
      </c>
      <c r="F728" s="75" t="s">
        <v>1093</v>
      </c>
      <c r="G728" s="35" t="s">
        <v>79</v>
      </c>
      <c r="H728" s="41" t="s">
        <v>80</v>
      </c>
      <c r="I728" s="44" t="str">
        <f>"0x"&amp;AE_w_WORK!F215</f>
        <v>0x0000</v>
      </c>
      <c r="J728" s="36">
        <v>40938</v>
      </c>
      <c r="K728" s="37"/>
      <c r="L728" s="74">
        <f t="shared" si="12"/>
        <v>1444</v>
      </c>
      <c r="M728" s="74"/>
      <c r="N728" s="74"/>
    </row>
    <row r="729" spans="2:14" hidden="1" outlineLevel="1">
      <c r="B729" s="73">
        <v>723</v>
      </c>
      <c r="C729" s="39"/>
      <c r="D729" s="40"/>
      <c r="E729" s="34" t="s">
        <v>323</v>
      </c>
      <c r="F729" s="75" t="s">
        <v>1094</v>
      </c>
      <c r="G729" s="35" t="s">
        <v>79</v>
      </c>
      <c r="H729" s="41" t="s">
        <v>80</v>
      </c>
      <c r="I729" s="44" t="str">
        <f>"0x"&amp;AE_w_WORK!F216</f>
        <v>0x0000</v>
      </c>
      <c r="J729" s="36">
        <v>40939</v>
      </c>
      <c r="K729" s="37"/>
      <c r="L729" s="74">
        <f t="shared" si="12"/>
        <v>1446</v>
      </c>
      <c r="M729" s="74"/>
      <c r="N729" s="74"/>
    </row>
    <row r="730" spans="2:14" hidden="1" outlineLevel="1">
      <c r="B730" s="73">
        <v>724</v>
      </c>
      <c r="C730" s="39"/>
      <c r="D730" s="40"/>
      <c r="E730" s="34" t="s">
        <v>323</v>
      </c>
      <c r="F730" s="75" t="s">
        <v>1095</v>
      </c>
      <c r="G730" s="35" t="s">
        <v>79</v>
      </c>
      <c r="H730" s="41" t="s">
        <v>80</v>
      </c>
      <c r="I730" s="44" t="str">
        <f>"0x"&amp;AE_w_WORK!F217</f>
        <v>0x2222</v>
      </c>
      <c r="J730" s="36">
        <v>40940</v>
      </c>
      <c r="K730" s="37"/>
      <c r="L730" s="74">
        <f t="shared" si="12"/>
        <v>1448</v>
      </c>
      <c r="M730" s="74"/>
      <c r="N730" s="74"/>
    </row>
    <row r="731" spans="2:14" hidden="1" outlineLevel="1">
      <c r="B731" s="73">
        <v>725</v>
      </c>
      <c r="C731" s="39"/>
      <c r="D731" s="40"/>
      <c r="E731" s="34" t="s">
        <v>323</v>
      </c>
      <c r="F731" s="75" t="s">
        <v>1096</v>
      </c>
      <c r="G731" s="35" t="s">
        <v>79</v>
      </c>
      <c r="H731" s="41" t="s">
        <v>80</v>
      </c>
      <c r="I731" s="44" t="str">
        <f>"0x"&amp;AE_w_WORK!F218</f>
        <v>0x2222</v>
      </c>
      <c r="J731" s="36">
        <v>40941</v>
      </c>
      <c r="K731" s="37"/>
      <c r="L731" s="74">
        <f t="shared" si="12"/>
        <v>1450</v>
      </c>
      <c r="M731" s="74"/>
      <c r="N731" s="74"/>
    </row>
    <row r="732" spans="2:14" hidden="1" outlineLevel="1">
      <c r="B732" s="73">
        <v>726</v>
      </c>
      <c r="C732" s="39"/>
      <c r="D732" s="40"/>
      <c r="E732" s="34" t="s">
        <v>323</v>
      </c>
      <c r="F732" s="75" t="s">
        <v>1097</v>
      </c>
      <c r="G732" s="35" t="s">
        <v>79</v>
      </c>
      <c r="H732" s="41" t="s">
        <v>80</v>
      </c>
      <c r="I732" s="44" t="str">
        <f>"0x"&amp;AE_w_WORK!F219</f>
        <v>0x0000</v>
      </c>
      <c r="J732" s="36">
        <v>40942</v>
      </c>
      <c r="K732" s="37"/>
      <c r="L732" s="74">
        <f t="shared" si="12"/>
        <v>1452</v>
      </c>
      <c r="M732" s="74"/>
      <c r="N732" s="74"/>
    </row>
    <row r="733" spans="2:14" hidden="1" outlineLevel="1">
      <c r="B733" s="73">
        <v>727</v>
      </c>
      <c r="C733" s="39"/>
      <c r="D733" s="40"/>
      <c r="E733" s="34" t="s">
        <v>323</v>
      </c>
      <c r="F733" s="75" t="s">
        <v>1098</v>
      </c>
      <c r="G733" s="35" t="s">
        <v>79</v>
      </c>
      <c r="H733" s="41" t="s">
        <v>80</v>
      </c>
      <c r="I733" s="44" t="str">
        <f>"0x"&amp;AE_w_WORK!F220</f>
        <v>0x0000</v>
      </c>
      <c r="J733" s="36">
        <v>40943</v>
      </c>
      <c r="K733" s="37"/>
      <c r="L733" s="74">
        <f t="shared" si="12"/>
        <v>1454</v>
      </c>
      <c r="M733" s="74"/>
      <c r="N733" s="74"/>
    </row>
    <row r="734" spans="2:14" hidden="1" outlineLevel="1">
      <c r="B734" s="73">
        <v>728</v>
      </c>
      <c r="C734" s="39"/>
      <c r="D734" s="40"/>
      <c r="E734" s="34" t="s">
        <v>323</v>
      </c>
      <c r="F734" s="75" t="s">
        <v>1099</v>
      </c>
      <c r="G734" s="35" t="s">
        <v>79</v>
      </c>
      <c r="H734" s="41" t="s">
        <v>80</v>
      </c>
      <c r="I734" s="44" t="str">
        <f>"0x"&amp;AE_w_WORK!F221</f>
        <v>0x0000</v>
      </c>
      <c r="J734" s="36">
        <v>40944</v>
      </c>
      <c r="K734" s="37"/>
      <c r="L734" s="74">
        <f t="shared" si="12"/>
        <v>1456</v>
      </c>
      <c r="M734" s="74"/>
      <c r="N734" s="74"/>
    </row>
    <row r="735" spans="2:14" hidden="1" outlineLevel="1">
      <c r="B735" s="73">
        <v>729</v>
      </c>
      <c r="C735" s="39"/>
      <c r="D735" s="40"/>
      <c r="E735" s="34" t="s">
        <v>323</v>
      </c>
      <c r="F735" s="75" t="s">
        <v>1100</v>
      </c>
      <c r="G735" s="35" t="s">
        <v>79</v>
      </c>
      <c r="H735" s="41" t="s">
        <v>80</v>
      </c>
      <c r="I735" s="44" t="str">
        <f>"0x"&amp;AE_w_WORK!F222</f>
        <v>0x0000</v>
      </c>
      <c r="J735" s="36">
        <v>40945</v>
      </c>
      <c r="K735" s="37"/>
      <c r="L735" s="74">
        <f t="shared" si="12"/>
        <v>1458</v>
      </c>
      <c r="M735" s="74"/>
      <c r="N735" s="74"/>
    </row>
    <row r="736" spans="2:14" hidden="1" outlineLevel="1">
      <c r="B736" s="73">
        <v>730</v>
      </c>
      <c r="C736" s="39"/>
      <c r="D736" s="40"/>
      <c r="E736" s="34" t="s">
        <v>323</v>
      </c>
      <c r="F736" s="75" t="s">
        <v>1101</v>
      </c>
      <c r="G736" s="35" t="s">
        <v>79</v>
      </c>
      <c r="H736" s="41" t="s">
        <v>80</v>
      </c>
      <c r="I736" s="44" t="str">
        <f>"0x"&amp;AE_w_WORK!F223</f>
        <v>0x0000</v>
      </c>
      <c r="J736" s="36">
        <v>40946</v>
      </c>
      <c r="K736" s="37"/>
      <c r="L736" s="74">
        <f t="shared" si="12"/>
        <v>1460</v>
      </c>
      <c r="M736" s="74"/>
      <c r="N736" s="74"/>
    </row>
    <row r="737" spans="2:14" hidden="1" outlineLevel="1">
      <c r="B737" s="73">
        <v>731</v>
      </c>
      <c r="C737" s="39"/>
      <c r="D737" s="40"/>
      <c r="E737" s="34" t="s">
        <v>323</v>
      </c>
      <c r="F737" s="75" t="s">
        <v>1102</v>
      </c>
      <c r="G737" s="35" t="s">
        <v>79</v>
      </c>
      <c r="H737" s="41" t="s">
        <v>80</v>
      </c>
      <c r="I737" s="44" t="str">
        <f>"0x"&amp;AE_w_WORK!F224</f>
        <v>0x0000</v>
      </c>
      <c r="J737" s="36">
        <v>40947</v>
      </c>
      <c r="K737" s="37"/>
      <c r="L737" s="74">
        <f t="shared" si="12"/>
        <v>1462</v>
      </c>
      <c r="M737" s="74"/>
      <c r="N737" s="74"/>
    </row>
    <row r="738" spans="2:14" hidden="1" outlineLevel="1">
      <c r="B738" s="73">
        <v>732</v>
      </c>
      <c r="C738" s="39"/>
      <c r="D738" s="40"/>
      <c r="E738" s="34" t="s">
        <v>323</v>
      </c>
      <c r="F738" s="75" t="s">
        <v>1103</v>
      </c>
      <c r="G738" s="35" t="s">
        <v>79</v>
      </c>
      <c r="H738" s="41" t="s">
        <v>80</v>
      </c>
      <c r="I738" s="44" t="str">
        <f>"0x"&amp;AE_w_WORK!F225</f>
        <v>0x2222</v>
      </c>
      <c r="J738" s="36">
        <v>40948</v>
      </c>
      <c r="K738" s="37"/>
      <c r="L738" s="74">
        <f t="shared" si="12"/>
        <v>1464</v>
      </c>
      <c r="M738" s="74"/>
      <c r="N738" s="74"/>
    </row>
    <row r="739" spans="2:14" hidden="1" outlineLevel="1">
      <c r="B739" s="73">
        <v>733</v>
      </c>
      <c r="C739" s="39"/>
      <c r="D739" s="40"/>
      <c r="E739" s="34" t="s">
        <v>323</v>
      </c>
      <c r="F739" s="75" t="s">
        <v>1104</v>
      </c>
      <c r="G739" s="35" t="s">
        <v>79</v>
      </c>
      <c r="H739" s="41" t="s">
        <v>80</v>
      </c>
      <c r="I739" s="44" t="str">
        <f>"0x"&amp;AE_w_WORK!F226</f>
        <v>0x2222</v>
      </c>
      <c r="J739" s="36">
        <v>40949</v>
      </c>
      <c r="K739" s="37"/>
      <c r="L739" s="74">
        <f t="shared" si="12"/>
        <v>1466</v>
      </c>
      <c r="M739" s="74"/>
      <c r="N739" s="74"/>
    </row>
    <row r="740" spans="2:14" hidden="1" outlineLevel="1">
      <c r="B740" s="73">
        <v>734</v>
      </c>
      <c r="C740" s="39"/>
      <c r="D740" s="40"/>
      <c r="E740" s="34" t="s">
        <v>323</v>
      </c>
      <c r="F740" s="75" t="s">
        <v>1105</v>
      </c>
      <c r="G740" s="35" t="s">
        <v>79</v>
      </c>
      <c r="H740" s="41" t="s">
        <v>80</v>
      </c>
      <c r="I740" s="44" t="str">
        <f>"0x"&amp;AE_w_WORK!F227</f>
        <v>0x0000</v>
      </c>
      <c r="J740" s="36">
        <v>40950</v>
      </c>
      <c r="K740" s="37"/>
      <c r="L740" s="74">
        <f t="shared" si="12"/>
        <v>1468</v>
      </c>
      <c r="M740" s="74"/>
      <c r="N740" s="74"/>
    </row>
    <row r="741" spans="2:14" hidden="1" outlineLevel="1">
      <c r="B741" s="73">
        <v>735</v>
      </c>
      <c r="C741" s="39"/>
      <c r="D741" s="40"/>
      <c r="E741" s="34" t="s">
        <v>323</v>
      </c>
      <c r="F741" s="75" t="s">
        <v>1106</v>
      </c>
      <c r="G741" s="35" t="s">
        <v>79</v>
      </c>
      <c r="H741" s="41" t="s">
        <v>80</v>
      </c>
      <c r="I741" s="44" t="str">
        <f>"0x"&amp;AE_w_WORK!F228</f>
        <v>0x0000</v>
      </c>
      <c r="J741" s="36">
        <v>40951</v>
      </c>
      <c r="K741" s="37"/>
      <c r="L741" s="74">
        <f t="shared" si="12"/>
        <v>1470</v>
      </c>
      <c r="M741" s="74"/>
      <c r="N741" s="74"/>
    </row>
    <row r="742" spans="2:14" hidden="1" outlineLevel="1">
      <c r="B742" s="73">
        <v>736</v>
      </c>
      <c r="C742" s="39"/>
      <c r="D742" s="40"/>
      <c r="E742" s="34" t="s">
        <v>323</v>
      </c>
      <c r="F742" s="75" t="s">
        <v>1107</v>
      </c>
      <c r="G742" s="35" t="s">
        <v>79</v>
      </c>
      <c r="H742" s="41" t="s">
        <v>80</v>
      </c>
      <c r="I742" s="44" t="str">
        <f>"0x"&amp;AE_w_WORK!F229</f>
        <v>0x0000</v>
      </c>
      <c r="J742" s="36">
        <v>40952</v>
      </c>
      <c r="K742" s="37"/>
      <c r="L742" s="74">
        <f t="shared" si="12"/>
        <v>1472</v>
      </c>
      <c r="M742" s="74"/>
      <c r="N742" s="74"/>
    </row>
    <row r="743" spans="2:14" hidden="1" outlineLevel="1">
      <c r="B743" s="73">
        <v>737</v>
      </c>
      <c r="C743" s="39"/>
      <c r="D743" s="40"/>
      <c r="E743" s="34" t="s">
        <v>323</v>
      </c>
      <c r="F743" s="75" t="s">
        <v>1108</v>
      </c>
      <c r="G743" s="35" t="s">
        <v>79</v>
      </c>
      <c r="H743" s="41" t="s">
        <v>80</v>
      </c>
      <c r="I743" s="44" t="str">
        <f>"0x"&amp;AE_w_WORK!F230</f>
        <v>0x0000</v>
      </c>
      <c r="J743" s="36">
        <v>40953</v>
      </c>
      <c r="K743" s="37"/>
      <c r="L743" s="74">
        <f t="shared" si="12"/>
        <v>1474</v>
      </c>
      <c r="M743" s="74"/>
      <c r="N743" s="74"/>
    </row>
    <row r="744" spans="2:14" hidden="1" outlineLevel="1">
      <c r="B744" s="73">
        <v>738</v>
      </c>
      <c r="C744" s="39"/>
      <c r="D744" s="40"/>
      <c r="E744" s="34" t="s">
        <v>323</v>
      </c>
      <c r="F744" s="75" t="s">
        <v>1109</v>
      </c>
      <c r="G744" s="35" t="s">
        <v>79</v>
      </c>
      <c r="H744" s="41" t="s">
        <v>80</v>
      </c>
      <c r="I744" s="44" t="str">
        <f>"0x"&amp;AE_w_WORK!F231</f>
        <v>0x0000</v>
      </c>
      <c r="J744" s="36">
        <v>40954</v>
      </c>
      <c r="K744" s="37"/>
      <c r="L744" s="74">
        <f t="shared" si="12"/>
        <v>1476</v>
      </c>
      <c r="M744" s="74"/>
      <c r="N744" s="74"/>
    </row>
    <row r="745" spans="2:14" hidden="1" outlineLevel="1">
      <c r="B745" s="73">
        <v>739</v>
      </c>
      <c r="C745" s="39"/>
      <c r="D745" s="40"/>
      <c r="E745" s="34" t="s">
        <v>323</v>
      </c>
      <c r="F745" s="75" t="s">
        <v>1110</v>
      </c>
      <c r="G745" s="35" t="s">
        <v>79</v>
      </c>
      <c r="H745" s="41" t="s">
        <v>80</v>
      </c>
      <c r="I745" s="44" t="str">
        <f>"0x"&amp;AE_w_WORK!F232</f>
        <v>0x0000</v>
      </c>
      <c r="J745" s="36">
        <v>40955</v>
      </c>
      <c r="K745" s="37"/>
      <c r="L745" s="74">
        <f t="shared" si="12"/>
        <v>1478</v>
      </c>
      <c r="M745" s="74"/>
      <c r="N745" s="74"/>
    </row>
    <row r="746" spans="2:14" hidden="1" outlineLevel="1">
      <c r="B746" s="73">
        <v>740</v>
      </c>
      <c r="C746" s="39"/>
      <c r="D746" s="40"/>
      <c r="E746" s="34" t="s">
        <v>323</v>
      </c>
      <c r="F746" s="75" t="s">
        <v>1111</v>
      </c>
      <c r="G746" s="35" t="s">
        <v>79</v>
      </c>
      <c r="H746" s="41" t="s">
        <v>80</v>
      </c>
      <c r="I746" s="44" t="str">
        <f>"0x"&amp;AE_w_WORK!F233</f>
        <v>0x0000</v>
      </c>
      <c r="J746" s="36">
        <v>40956</v>
      </c>
      <c r="K746" s="37"/>
      <c r="L746" s="74">
        <f t="shared" si="12"/>
        <v>1480</v>
      </c>
      <c r="M746" s="74"/>
      <c r="N746" s="74"/>
    </row>
    <row r="747" spans="2:14" hidden="1" outlineLevel="1">
      <c r="B747" s="73">
        <v>741</v>
      </c>
      <c r="C747" s="39"/>
      <c r="D747" s="40"/>
      <c r="E747" s="34" t="s">
        <v>323</v>
      </c>
      <c r="F747" s="75" t="s">
        <v>1112</v>
      </c>
      <c r="G747" s="35" t="s">
        <v>79</v>
      </c>
      <c r="H747" s="41" t="s">
        <v>80</v>
      </c>
      <c r="I747" s="44" t="str">
        <f>"0x"&amp;AE_w_WORK!F234</f>
        <v>0x0000</v>
      </c>
      <c r="J747" s="36">
        <v>40957</v>
      </c>
      <c r="K747" s="37"/>
      <c r="L747" s="74">
        <f t="shared" si="12"/>
        <v>1482</v>
      </c>
      <c r="M747" s="74"/>
      <c r="N747" s="74"/>
    </row>
    <row r="748" spans="2:14" hidden="1" outlineLevel="1">
      <c r="B748" s="73">
        <v>742</v>
      </c>
      <c r="C748" s="39"/>
      <c r="D748" s="40"/>
      <c r="E748" s="34" t="s">
        <v>323</v>
      </c>
      <c r="F748" s="75" t="s">
        <v>1113</v>
      </c>
      <c r="G748" s="35" t="s">
        <v>79</v>
      </c>
      <c r="H748" s="41" t="s">
        <v>80</v>
      </c>
      <c r="I748" s="44" t="str">
        <f>"0x"&amp;AE_w_WORK!F235</f>
        <v>0x0000</v>
      </c>
      <c r="J748" s="36">
        <v>40958</v>
      </c>
      <c r="K748" s="37"/>
      <c r="L748" s="74">
        <f t="shared" si="12"/>
        <v>1484</v>
      </c>
      <c r="M748" s="74"/>
      <c r="N748" s="74"/>
    </row>
    <row r="749" spans="2:14" hidden="1" outlineLevel="1">
      <c r="B749" s="73">
        <v>743</v>
      </c>
      <c r="C749" s="39"/>
      <c r="D749" s="40"/>
      <c r="E749" s="34" t="s">
        <v>323</v>
      </c>
      <c r="F749" s="75" t="s">
        <v>1114</v>
      </c>
      <c r="G749" s="35" t="s">
        <v>79</v>
      </c>
      <c r="H749" s="41" t="s">
        <v>80</v>
      </c>
      <c r="I749" s="44" t="str">
        <f>"0x"&amp;AE_w_WORK!F236</f>
        <v>0x0000</v>
      </c>
      <c r="J749" s="36">
        <v>40959</v>
      </c>
      <c r="K749" s="37"/>
      <c r="L749" s="74">
        <f t="shared" si="12"/>
        <v>1486</v>
      </c>
      <c r="M749" s="74"/>
      <c r="N749" s="74"/>
    </row>
    <row r="750" spans="2:14" hidden="1" outlineLevel="1">
      <c r="B750" s="73">
        <v>744</v>
      </c>
      <c r="C750" s="39"/>
      <c r="D750" s="40"/>
      <c r="E750" s="34" t="s">
        <v>323</v>
      </c>
      <c r="F750" s="75" t="s">
        <v>1115</v>
      </c>
      <c r="G750" s="35" t="s">
        <v>79</v>
      </c>
      <c r="H750" s="41" t="s">
        <v>80</v>
      </c>
      <c r="I750" s="44" t="str">
        <f>"0x"&amp;AE_w_WORK!F237</f>
        <v>0x0000</v>
      </c>
      <c r="J750" s="36">
        <v>40960</v>
      </c>
      <c r="K750" s="37"/>
      <c r="L750" s="74">
        <f t="shared" si="12"/>
        <v>1488</v>
      </c>
      <c r="M750" s="74"/>
      <c r="N750" s="74"/>
    </row>
    <row r="751" spans="2:14" hidden="1" outlineLevel="1">
      <c r="B751" s="73">
        <v>745</v>
      </c>
      <c r="C751" s="39"/>
      <c r="D751" s="40"/>
      <c r="E751" s="34" t="s">
        <v>323</v>
      </c>
      <c r="F751" s="75" t="s">
        <v>1116</v>
      </c>
      <c r="G751" s="35" t="s">
        <v>79</v>
      </c>
      <c r="H751" s="41" t="s">
        <v>80</v>
      </c>
      <c r="I751" s="44" t="str">
        <f>"0x"&amp;AE_w_WORK!F238</f>
        <v>0x0000</v>
      </c>
      <c r="J751" s="36">
        <v>40961</v>
      </c>
      <c r="K751" s="37"/>
      <c r="L751" s="74">
        <f t="shared" si="12"/>
        <v>1490</v>
      </c>
      <c r="M751" s="74"/>
      <c r="N751" s="74"/>
    </row>
    <row r="752" spans="2:14" hidden="1" outlineLevel="1">
      <c r="B752" s="73">
        <v>746</v>
      </c>
      <c r="C752" s="39"/>
      <c r="D752" s="40"/>
      <c r="E752" s="34" t="s">
        <v>323</v>
      </c>
      <c r="F752" s="75" t="s">
        <v>1117</v>
      </c>
      <c r="G752" s="35" t="s">
        <v>79</v>
      </c>
      <c r="H752" s="41" t="s">
        <v>80</v>
      </c>
      <c r="I752" s="44" t="str">
        <f>"0x"&amp;AE_w_WORK!F239</f>
        <v>0x0000</v>
      </c>
      <c r="J752" s="36">
        <v>40962</v>
      </c>
      <c r="K752" s="37"/>
      <c r="L752" s="74">
        <f t="shared" si="12"/>
        <v>1492</v>
      </c>
      <c r="M752" s="74"/>
      <c r="N752" s="74"/>
    </row>
    <row r="753" spans="2:14" hidden="1" outlineLevel="1">
      <c r="B753" s="73">
        <v>747</v>
      </c>
      <c r="C753" s="39"/>
      <c r="D753" s="40"/>
      <c r="E753" s="34" t="s">
        <v>323</v>
      </c>
      <c r="F753" s="75" t="s">
        <v>1118</v>
      </c>
      <c r="G753" s="35" t="s">
        <v>79</v>
      </c>
      <c r="H753" s="41" t="s">
        <v>80</v>
      </c>
      <c r="I753" s="44" t="str">
        <f>"0x"&amp;AE_w_WORK!F240</f>
        <v>0x0000</v>
      </c>
      <c r="J753" s="36">
        <v>40963</v>
      </c>
      <c r="K753" s="37"/>
      <c r="L753" s="74">
        <f t="shared" si="12"/>
        <v>1494</v>
      </c>
      <c r="M753" s="74"/>
      <c r="N753" s="74"/>
    </row>
    <row r="754" spans="2:14" hidden="1" outlineLevel="1">
      <c r="B754" s="73">
        <v>748</v>
      </c>
      <c r="C754" s="39"/>
      <c r="D754" s="40"/>
      <c r="E754" s="34" t="s">
        <v>323</v>
      </c>
      <c r="F754" s="75" t="s">
        <v>1119</v>
      </c>
      <c r="G754" s="35" t="s">
        <v>79</v>
      </c>
      <c r="H754" s="41" t="s">
        <v>80</v>
      </c>
      <c r="I754" s="44" t="str">
        <f>"0x"&amp;AE_w_WORK!F241</f>
        <v>0x0000</v>
      </c>
      <c r="J754" s="36">
        <v>40964</v>
      </c>
      <c r="K754" s="37"/>
      <c r="L754" s="74">
        <f t="shared" si="12"/>
        <v>1496</v>
      </c>
      <c r="M754" s="74"/>
      <c r="N754" s="74"/>
    </row>
    <row r="755" spans="2:14" hidden="1" outlineLevel="1">
      <c r="B755" s="73">
        <v>749</v>
      </c>
      <c r="C755" s="39"/>
      <c r="D755" s="40"/>
      <c r="E755" s="34" t="s">
        <v>323</v>
      </c>
      <c r="F755" s="75" t="s">
        <v>1120</v>
      </c>
      <c r="G755" s="35" t="s">
        <v>79</v>
      </c>
      <c r="H755" s="41" t="s">
        <v>80</v>
      </c>
      <c r="I755" s="44" t="str">
        <f>"0x"&amp;AE_w_WORK!F242</f>
        <v>0x0000</v>
      </c>
      <c r="J755" s="36">
        <v>40965</v>
      </c>
      <c r="K755" s="37"/>
      <c r="L755" s="74">
        <f t="shared" si="12"/>
        <v>1498</v>
      </c>
      <c r="M755" s="74"/>
      <c r="N755" s="74"/>
    </row>
    <row r="756" spans="2:14" hidden="1" outlineLevel="1">
      <c r="B756" s="73">
        <v>750</v>
      </c>
      <c r="C756" s="39"/>
      <c r="D756" s="40"/>
      <c r="E756" s="34" t="s">
        <v>323</v>
      </c>
      <c r="F756" s="75" t="s">
        <v>1121</v>
      </c>
      <c r="G756" s="35" t="s">
        <v>79</v>
      </c>
      <c r="H756" s="41" t="s">
        <v>80</v>
      </c>
      <c r="I756" s="44" t="str">
        <f>"0x"&amp;AE_w_WORK!F243</f>
        <v>0x0000</v>
      </c>
      <c r="J756" s="36">
        <v>40966</v>
      </c>
      <c r="K756" s="37"/>
      <c r="L756" s="74">
        <f t="shared" si="12"/>
        <v>1500</v>
      </c>
      <c r="M756" s="74"/>
      <c r="N756" s="74"/>
    </row>
    <row r="757" spans="2:14" hidden="1" outlineLevel="1">
      <c r="B757" s="73">
        <v>751</v>
      </c>
      <c r="C757" s="39"/>
      <c r="D757" s="40"/>
      <c r="E757" s="34" t="s">
        <v>323</v>
      </c>
      <c r="F757" s="75" t="s">
        <v>1122</v>
      </c>
      <c r="G757" s="35" t="s">
        <v>79</v>
      </c>
      <c r="H757" s="41" t="s">
        <v>80</v>
      </c>
      <c r="I757" s="44" t="str">
        <f>"0x"&amp;AE_w_WORK!F244</f>
        <v>0x0000</v>
      </c>
      <c r="J757" s="36">
        <v>40967</v>
      </c>
      <c r="K757" s="37"/>
      <c r="L757" s="74">
        <f t="shared" si="12"/>
        <v>1502</v>
      </c>
      <c r="M757" s="74"/>
      <c r="N757" s="74"/>
    </row>
    <row r="758" spans="2:14" hidden="1" outlineLevel="1">
      <c r="B758" s="73">
        <v>752</v>
      </c>
      <c r="C758" s="39"/>
      <c r="D758" s="40"/>
      <c r="E758" s="34" t="s">
        <v>323</v>
      </c>
      <c r="F758" s="75" t="s">
        <v>1123</v>
      </c>
      <c r="G758" s="35" t="s">
        <v>79</v>
      </c>
      <c r="H758" s="41" t="s">
        <v>80</v>
      </c>
      <c r="I758" s="44" t="str">
        <f>"0x"&amp;AE_w_WORK!F245</f>
        <v>0x0000</v>
      </c>
      <c r="J758" s="36">
        <v>40968</v>
      </c>
      <c r="K758" s="37"/>
      <c r="L758" s="74">
        <f t="shared" si="12"/>
        <v>1504</v>
      </c>
      <c r="M758" s="74"/>
      <c r="N758" s="74"/>
    </row>
    <row r="759" spans="2:14" hidden="1" outlineLevel="1">
      <c r="B759" s="73">
        <v>753</v>
      </c>
      <c r="C759" s="39"/>
      <c r="D759" s="40"/>
      <c r="E759" s="34" t="s">
        <v>323</v>
      </c>
      <c r="F759" s="75" t="s">
        <v>1124</v>
      </c>
      <c r="G759" s="35" t="s">
        <v>79</v>
      </c>
      <c r="H759" s="41" t="s">
        <v>80</v>
      </c>
      <c r="I759" s="44" t="str">
        <f>"0x"&amp;AE_w_WORK!F246</f>
        <v>0x0000</v>
      </c>
      <c r="J759" s="36">
        <v>40969</v>
      </c>
      <c r="K759" s="37"/>
      <c r="L759" s="74">
        <f t="shared" si="12"/>
        <v>1506</v>
      </c>
      <c r="M759" s="74"/>
      <c r="N759" s="74"/>
    </row>
    <row r="760" spans="2:14" hidden="1" outlineLevel="1">
      <c r="B760" s="73">
        <v>754</v>
      </c>
      <c r="C760" s="39"/>
      <c r="D760" s="40"/>
      <c r="E760" s="34" t="s">
        <v>323</v>
      </c>
      <c r="F760" s="75" t="s">
        <v>1125</v>
      </c>
      <c r="G760" s="35" t="s">
        <v>79</v>
      </c>
      <c r="H760" s="41" t="s">
        <v>80</v>
      </c>
      <c r="I760" s="44" t="str">
        <f>"0x"&amp;AE_w_WORK!F247</f>
        <v>0x0000</v>
      </c>
      <c r="J760" s="36">
        <v>40970</v>
      </c>
      <c r="K760" s="37"/>
      <c r="L760" s="74">
        <f t="shared" si="12"/>
        <v>1508</v>
      </c>
      <c r="M760" s="74"/>
      <c r="N760" s="74"/>
    </row>
    <row r="761" spans="2:14" hidden="1" outlineLevel="1">
      <c r="B761" s="73">
        <v>755</v>
      </c>
      <c r="C761" s="39"/>
      <c r="D761" s="40"/>
      <c r="E761" s="34" t="s">
        <v>323</v>
      </c>
      <c r="F761" s="75" t="s">
        <v>1126</v>
      </c>
      <c r="G761" s="35" t="s">
        <v>79</v>
      </c>
      <c r="H761" s="41" t="s">
        <v>80</v>
      </c>
      <c r="I761" s="44" t="str">
        <f>"0x"&amp;AE_w_WORK!F248</f>
        <v>0x0000</v>
      </c>
      <c r="J761" s="36">
        <v>40971</v>
      </c>
      <c r="K761" s="37"/>
      <c r="L761" s="74">
        <f t="shared" si="12"/>
        <v>1510</v>
      </c>
      <c r="M761" s="74"/>
      <c r="N761" s="74"/>
    </row>
    <row r="762" spans="2:14" hidden="1" outlineLevel="1">
      <c r="B762" s="73">
        <v>756</v>
      </c>
      <c r="C762" s="39"/>
      <c r="D762" s="40"/>
      <c r="E762" s="34" t="s">
        <v>323</v>
      </c>
      <c r="F762" s="75" t="s">
        <v>1127</v>
      </c>
      <c r="G762" s="35" t="s">
        <v>79</v>
      </c>
      <c r="H762" s="41" t="s">
        <v>80</v>
      </c>
      <c r="I762" s="44" t="str">
        <f>"0x"&amp;AE_w_WORK!F249</f>
        <v>0x0000</v>
      </c>
      <c r="J762" s="36">
        <v>40972</v>
      </c>
      <c r="K762" s="37"/>
      <c r="L762" s="74">
        <f t="shared" si="12"/>
        <v>1512</v>
      </c>
      <c r="M762" s="74"/>
      <c r="N762" s="74"/>
    </row>
    <row r="763" spans="2:14" hidden="1" outlineLevel="1">
      <c r="B763" s="73">
        <v>757</v>
      </c>
      <c r="C763" s="39"/>
      <c r="D763" s="40"/>
      <c r="E763" s="34" t="s">
        <v>323</v>
      </c>
      <c r="F763" s="75" t="s">
        <v>1128</v>
      </c>
      <c r="G763" s="35" t="s">
        <v>79</v>
      </c>
      <c r="H763" s="41" t="s">
        <v>80</v>
      </c>
      <c r="I763" s="44" t="str">
        <f>"0x"&amp;AE_w_WORK!F250</f>
        <v>0x0000</v>
      </c>
      <c r="J763" s="36">
        <v>40973</v>
      </c>
      <c r="K763" s="37"/>
      <c r="L763" s="74">
        <f t="shared" si="12"/>
        <v>1514</v>
      </c>
      <c r="M763" s="74"/>
      <c r="N763" s="74"/>
    </row>
    <row r="764" spans="2:14" hidden="1" outlineLevel="1">
      <c r="B764" s="73">
        <v>758</v>
      </c>
      <c r="C764" s="39"/>
      <c r="D764" s="40"/>
      <c r="E764" s="34" t="s">
        <v>323</v>
      </c>
      <c r="F764" s="75" t="s">
        <v>1129</v>
      </c>
      <c r="G764" s="35" t="s">
        <v>79</v>
      </c>
      <c r="H764" s="41" t="s">
        <v>80</v>
      </c>
      <c r="I764" s="44" t="str">
        <f>"0x"&amp;AE_w_WORK!F251</f>
        <v>0x0000</v>
      </c>
      <c r="J764" s="36">
        <v>40974</v>
      </c>
      <c r="K764" s="37"/>
      <c r="L764" s="74">
        <f t="shared" si="12"/>
        <v>1516</v>
      </c>
      <c r="M764" s="74"/>
      <c r="N764" s="74"/>
    </row>
    <row r="765" spans="2:14" hidden="1" outlineLevel="1">
      <c r="B765" s="73">
        <v>759</v>
      </c>
      <c r="C765" s="39"/>
      <c r="D765" s="40"/>
      <c r="E765" s="34" t="s">
        <v>323</v>
      </c>
      <c r="F765" s="75" t="s">
        <v>1130</v>
      </c>
      <c r="G765" s="35" t="s">
        <v>79</v>
      </c>
      <c r="H765" s="41" t="s">
        <v>80</v>
      </c>
      <c r="I765" s="44" t="str">
        <f>"0x"&amp;AE_w_WORK!F252</f>
        <v>0x0000</v>
      </c>
      <c r="J765" s="36">
        <v>40975</v>
      </c>
      <c r="K765" s="37"/>
      <c r="L765" s="74">
        <f t="shared" si="12"/>
        <v>1518</v>
      </c>
      <c r="M765" s="74"/>
      <c r="N765" s="74"/>
    </row>
    <row r="766" spans="2:14" hidden="1" outlineLevel="1">
      <c r="B766" s="73">
        <v>760</v>
      </c>
      <c r="C766" s="39"/>
      <c r="D766" s="40"/>
      <c r="E766" s="34" t="s">
        <v>323</v>
      </c>
      <c r="F766" s="75" t="s">
        <v>1131</v>
      </c>
      <c r="G766" s="35" t="s">
        <v>79</v>
      </c>
      <c r="H766" s="41" t="s">
        <v>80</v>
      </c>
      <c r="I766" s="44" t="str">
        <f>"0x"&amp;AE_w_WORK!F253</f>
        <v>0x0000</v>
      </c>
      <c r="J766" s="36">
        <v>40976</v>
      </c>
      <c r="K766" s="37"/>
      <c r="L766" s="74">
        <f t="shared" si="12"/>
        <v>1520</v>
      </c>
      <c r="M766" s="74"/>
      <c r="N766" s="74"/>
    </row>
    <row r="767" spans="2:14" hidden="1" outlineLevel="1">
      <c r="B767" s="73">
        <v>761</v>
      </c>
      <c r="C767" s="39"/>
      <c r="D767" s="40"/>
      <c r="E767" s="34" t="s">
        <v>323</v>
      </c>
      <c r="F767" s="75" t="s">
        <v>1132</v>
      </c>
      <c r="G767" s="35" t="s">
        <v>79</v>
      </c>
      <c r="H767" s="41" t="s">
        <v>80</v>
      </c>
      <c r="I767" s="44" t="str">
        <f>"0x"&amp;AE_w_WORK!F254</f>
        <v>0x0000</v>
      </c>
      <c r="J767" s="36">
        <v>40977</v>
      </c>
      <c r="K767" s="37"/>
      <c r="L767" s="74">
        <f t="shared" si="12"/>
        <v>1522</v>
      </c>
      <c r="M767" s="74"/>
      <c r="N767" s="74"/>
    </row>
    <row r="768" spans="2:14" hidden="1" outlineLevel="1">
      <c r="B768" s="73">
        <v>762</v>
      </c>
      <c r="C768" s="39"/>
      <c r="D768" s="40"/>
      <c r="E768" s="34" t="s">
        <v>323</v>
      </c>
      <c r="F768" s="75" t="s">
        <v>1133</v>
      </c>
      <c r="G768" s="35" t="s">
        <v>79</v>
      </c>
      <c r="H768" s="41" t="s">
        <v>80</v>
      </c>
      <c r="I768" s="44" t="str">
        <f>"0x"&amp;AE_w_WORK!F255</f>
        <v>0x0000</v>
      </c>
      <c r="J768" s="36">
        <v>40978</v>
      </c>
      <c r="K768" s="37"/>
      <c r="L768" s="74">
        <f t="shared" si="12"/>
        <v>1524</v>
      </c>
      <c r="M768" s="74"/>
      <c r="N768" s="74"/>
    </row>
    <row r="769" spans="2:14" hidden="1" outlineLevel="1">
      <c r="B769" s="73">
        <v>763</v>
      </c>
      <c r="C769" s="39"/>
      <c r="D769" s="40"/>
      <c r="E769" s="34" t="s">
        <v>323</v>
      </c>
      <c r="F769" s="75" t="s">
        <v>1134</v>
      </c>
      <c r="G769" s="35" t="s">
        <v>79</v>
      </c>
      <c r="H769" s="41" t="s">
        <v>80</v>
      </c>
      <c r="I769" s="44" t="str">
        <f>"0x"&amp;AE_w_WORK!F256</f>
        <v>0x0000</v>
      </c>
      <c r="J769" s="36">
        <v>40979</v>
      </c>
      <c r="K769" s="37"/>
      <c r="L769" s="74">
        <f t="shared" si="12"/>
        <v>1526</v>
      </c>
      <c r="M769" s="74"/>
      <c r="N769" s="74"/>
    </row>
    <row r="770" spans="2:14" hidden="1" outlineLevel="1">
      <c r="B770" s="73">
        <v>764</v>
      </c>
      <c r="C770" s="39"/>
      <c r="D770" s="40"/>
      <c r="E770" s="34" t="s">
        <v>323</v>
      </c>
      <c r="F770" s="75" t="s">
        <v>1135</v>
      </c>
      <c r="G770" s="35" t="s">
        <v>79</v>
      </c>
      <c r="H770" s="41" t="s">
        <v>80</v>
      </c>
      <c r="I770" s="44" t="str">
        <f>"0x"&amp;AE_w_WORK!F257</f>
        <v>0x0000</v>
      </c>
      <c r="J770" s="36">
        <v>40980</v>
      </c>
      <c r="K770" s="37"/>
      <c r="L770" s="74">
        <f t="shared" si="12"/>
        <v>1528</v>
      </c>
      <c r="M770" s="74"/>
      <c r="N770" s="74"/>
    </row>
    <row r="771" spans="2:14" hidden="1" outlineLevel="1">
      <c r="B771" s="73">
        <v>765</v>
      </c>
      <c r="C771" s="39"/>
      <c r="D771" s="40"/>
      <c r="E771" s="34" t="s">
        <v>323</v>
      </c>
      <c r="F771" s="75" t="s">
        <v>1136</v>
      </c>
      <c r="G771" s="35" t="s">
        <v>370</v>
      </c>
      <c r="H771" s="41" t="s">
        <v>371</v>
      </c>
      <c r="I771" s="44" t="str">
        <f>"0x"&amp;AE_w_WORK!F258</f>
        <v>0x0000</v>
      </c>
      <c r="J771" s="36">
        <v>40981</v>
      </c>
      <c r="K771" s="37"/>
      <c r="L771" s="74">
        <f t="shared" si="12"/>
        <v>1530</v>
      </c>
      <c r="M771" s="74"/>
      <c r="N771" s="74"/>
    </row>
    <row r="772" spans="2:14" hidden="1" outlineLevel="1">
      <c r="B772" s="73">
        <v>766</v>
      </c>
      <c r="C772" s="39"/>
      <c r="D772" s="40"/>
      <c r="E772" s="34" t="s">
        <v>323</v>
      </c>
      <c r="F772" s="75" t="s">
        <v>1137</v>
      </c>
      <c r="G772" s="35" t="s">
        <v>370</v>
      </c>
      <c r="H772" s="41" t="s">
        <v>371</v>
      </c>
      <c r="I772" s="44" t="str">
        <f>"0x"&amp;AE_w_WORK!F259</f>
        <v>0x0000</v>
      </c>
      <c r="J772" s="36">
        <v>40982</v>
      </c>
      <c r="K772" s="37"/>
      <c r="L772" s="74">
        <f t="shared" si="12"/>
        <v>1532</v>
      </c>
      <c r="M772" s="74"/>
      <c r="N772" s="74"/>
    </row>
    <row r="773" spans="2:14" hidden="1" outlineLevel="1">
      <c r="B773" s="73">
        <v>767</v>
      </c>
      <c r="C773" s="39"/>
      <c r="D773" s="40"/>
      <c r="E773" s="34" t="s">
        <v>323</v>
      </c>
      <c r="F773" s="75" t="s">
        <v>1138</v>
      </c>
      <c r="G773" s="35" t="s">
        <v>370</v>
      </c>
      <c r="H773" s="41" t="s">
        <v>371</v>
      </c>
      <c r="I773" s="44" t="str">
        <f>"0x"&amp;AE_w_WORK!F260</f>
        <v>0x0000</v>
      </c>
      <c r="J773" s="36">
        <v>40983</v>
      </c>
      <c r="K773" s="37"/>
      <c r="L773" s="74">
        <f t="shared" si="12"/>
        <v>1534</v>
      </c>
      <c r="M773" s="74"/>
      <c r="N773" s="74"/>
    </row>
    <row r="774" spans="2:14" hidden="1" outlineLevel="1">
      <c r="B774" s="73">
        <v>768</v>
      </c>
      <c r="C774" s="39"/>
      <c r="D774" s="40"/>
      <c r="E774" s="34" t="s">
        <v>323</v>
      </c>
      <c r="F774" s="75" t="s">
        <v>1139</v>
      </c>
      <c r="G774" s="35" t="s">
        <v>370</v>
      </c>
      <c r="H774" s="41" t="s">
        <v>371</v>
      </c>
      <c r="I774" s="44" t="str">
        <f>"0x"&amp;AE_w_WORK!F261</f>
        <v>0x0000</v>
      </c>
      <c r="J774" s="36">
        <v>40984</v>
      </c>
      <c r="K774" s="37"/>
      <c r="L774" s="74">
        <f t="shared" si="12"/>
        <v>1536</v>
      </c>
      <c r="M774" s="74"/>
      <c r="N774" s="74"/>
    </row>
    <row r="775" spans="2:14" collapsed="1">
      <c r="B775" s="73">
        <v>769</v>
      </c>
      <c r="C775" s="39"/>
      <c r="D775" s="40"/>
      <c r="E775" s="34" t="s">
        <v>323</v>
      </c>
      <c r="F775" s="75" t="s">
        <v>1140</v>
      </c>
      <c r="G775" s="35" t="s">
        <v>370</v>
      </c>
      <c r="H775" s="41" t="s">
        <v>371</v>
      </c>
      <c r="I775" s="44" t="str">
        <f>"0x"&amp;AE_w_WORK!G6</f>
        <v>0x2222</v>
      </c>
      <c r="J775" s="36">
        <v>40985</v>
      </c>
      <c r="K775" s="37" t="s">
        <v>326</v>
      </c>
      <c r="L775" s="74">
        <f t="shared" ref="L775:L776" si="13">L774+2</f>
        <v>1538</v>
      </c>
      <c r="M775" s="74"/>
      <c r="N775" s="74"/>
    </row>
    <row r="776" spans="2:14" hidden="1" outlineLevel="1">
      <c r="B776" s="73">
        <v>770</v>
      </c>
      <c r="C776" s="39"/>
      <c r="D776" s="40"/>
      <c r="E776" s="34" t="s">
        <v>323</v>
      </c>
      <c r="F776" s="75" t="s">
        <v>1141</v>
      </c>
      <c r="G776" s="35" t="s">
        <v>370</v>
      </c>
      <c r="H776" s="41" t="s">
        <v>371</v>
      </c>
      <c r="I776" s="44" t="str">
        <f>"0x"&amp;AE_w_WORK!G7</f>
        <v>0x2222</v>
      </c>
      <c r="J776" s="36">
        <v>40986</v>
      </c>
      <c r="K776" s="37"/>
      <c r="L776" s="74">
        <f t="shared" si="13"/>
        <v>1540</v>
      </c>
      <c r="M776" s="74"/>
      <c r="N776" s="74"/>
    </row>
    <row r="777" spans="2:14" hidden="1" outlineLevel="1">
      <c r="B777" s="73">
        <v>771</v>
      </c>
      <c r="C777" s="39"/>
      <c r="D777" s="40"/>
      <c r="E777" s="34" t="s">
        <v>323</v>
      </c>
      <c r="F777" s="75" t="s">
        <v>1142</v>
      </c>
      <c r="G777" s="35" t="s">
        <v>370</v>
      </c>
      <c r="H777" s="41" t="s">
        <v>371</v>
      </c>
      <c r="I777" s="44" t="str">
        <f>"0x"&amp;AE_w_WORK!G8</f>
        <v>0x2222</v>
      </c>
      <c r="J777" s="36">
        <v>40987</v>
      </c>
      <c r="K777" s="37"/>
      <c r="L777" s="74">
        <f t="shared" ref="L777:L840" si="14">L776+2</f>
        <v>1542</v>
      </c>
      <c r="M777" s="74"/>
      <c r="N777" s="74"/>
    </row>
    <row r="778" spans="2:14" hidden="1" outlineLevel="1">
      <c r="B778" s="73">
        <v>772</v>
      </c>
      <c r="C778" s="39"/>
      <c r="D778" s="40"/>
      <c r="E778" s="34" t="s">
        <v>323</v>
      </c>
      <c r="F778" s="75" t="s">
        <v>1143</v>
      </c>
      <c r="G778" s="35" t="s">
        <v>370</v>
      </c>
      <c r="H778" s="41" t="s">
        <v>371</v>
      </c>
      <c r="I778" s="44" t="str">
        <f>"0x"&amp;AE_w_WORK!G9</f>
        <v>0x2222</v>
      </c>
      <c r="J778" s="36">
        <v>40988</v>
      </c>
      <c r="K778" s="37"/>
      <c r="L778" s="74">
        <f t="shared" si="14"/>
        <v>1544</v>
      </c>
      <c r="M778" s="74"/>
      <c r="N778" s="74"/>
    </row>
    <row r="779" spans="2:14" hidden="1" outlineLevel="1">
      <c r="B779" s="73">
        <v>773</v>
      </c>
      <c r="C779" s="39"/>
      <c r="D779" s="40"/>
      <c r="E779" s="34" t="s">
        <v>323</v>
      </c>
      <c r="F779" s="75" t="s">
        <v>1144</v>
      </c>
      <c r="G779" s="35" t="s">
        <v>370</v>
      </c>
      <c r="H779" s="41" t="s">
        <v>371</v>
      </c>
      <c r="I779" s="44" t="str">
        <f>"0x"&amp;AE_w_WORK!G10</f>
        <v>0x2222</v>
      </c>
      <c r="J779" s="36">
        <v>40989</v>
      </c>
      <c r="K779" s="37"/>
      <c r="L779" s="74">
        <f t="shared" si="14"/>
        <v>1546</v>
      </c>
      <c r="M779" s="74"/>
      <c r="N779" s="74"/>
    </row>
    <row r="780" spans="2:14" hidden="1" outlineLevel="1">
      <c r="B780" s="73">
        <v>774</v>
      </c>
      <c r="C780" s="39"/>
      <c r="D780" s="40"/>
      <c r="E780" s="34" t="s">
        <v>323</v>
      </c>
      <c r="F780" s="75" t="s">
        <v>1145</v>
      </c>
      <c r="G780" s="35" t="s">
        <v>370</v>
      </c>
      <c r="H780" s="41" t="s">
        <v>371</v>
      </c>
      <c r="I780" s="44" t="str">
        <f>"0x"&amp;AE_w_WORK!G11</f>
        <v>0x2222</v>
      </c>
      <c r="J780" s="36">
        <v>40990</v>
      </c>
      <c r="K780" s="37"/>
      <c r="L780" s="74">
        <f t="shared" si="14"/>
        <v>1548</v>
      </c>
      <c r="M780" s="74"/>
      <c r="N780" s="74"/>
    </row>
    <row r="781" spans="2:14" hidden="1" outlineLevel="1">
      <c r="B781" s="73">
        <v>775</v>
      </c>
      <c r="C781" s="39"/>
      <c r="D781" s="40"/>
      <c r="E781" s="34" t="s">
        <v>323</v>
      </c>
      <c r="F781" s="75" t="s">
        <v>1146</v>
      </c>
      <c r="G781" s="35" t="s">
        <v>370</v>
      </c>
      <c r="H781" s="41" t="s">
        <v>371</v>
      </c>
      <c r="I781" s="44" t="str">
        <f>"0x"&amp;AE_w_WORK!G12</f>
        <v>0x2222</v>
      </c>
      <c r="J781" s="36">
        <v>40991</v>
      </c>
      <c r="K781" s="37"/>
      <c r="L781" s="74">
        <f t="shared" si="14"/>
        <v>1550</v>
      </c>
      <c r="M781" s="74"/>
      <c r="N781" s="74"/>
    </row>
    <row r="782" spans="2:14" hidden="1" outlineLevel="1">
      <c r="B782" s="73">
        <v>776</v>
      </c>
      <c r="C782" s="39"/>
      <c r="D782" s="40"/>
      <c r="E782" s="34" t="s">
        <v>323</v>
      </c>
      <c r="F782" s="75" t="s">
        <v>1147</v>
      </c>
      <c r="G782" s="35" t="s">
        <v>370</v>
      </c>
      <c r="H782" s="41" t="s">
        <v>371</v>
      </c>
      <c r="I782" s="44" t="str">
        <f>"0x"&amp;AE_w_WORK!G13</f>
        <v>0x2222</v>
      </c>
      <c r="J782" s="36">
        <v>40992</v>
      </c>
      <c r="K782" s="37"/>
      <c r="L782" s="74">
        <f t="shared" si="14"/>
        <v>1552</v>
      </c>
      <c r="M782" s="74"/>
      <c r="N782" s="74"/>
    </row>
    <row r="783" spans="2:14" hidden="1" outlineLevel="1">
      <c r="B783" s="73">
        <v>777</v>
      </c>
      <c r="C783" s="39"/>
      <c r="D783" s="40"/>
      <c r="E783" s="34" t="s">
        <v>323</v>
      </c>
      <c r="F783" s="75" t="s">
        <v>1148</v>
      </c>
      <c r="G783" s="35" t="s">
        <v>370</v>
      </c>
      <c r="H783" s="41" t="s">
        <v>371</v>
      </c>
      <c r="I783" s="44" t="str">
        <f>"0x"&amp;AE_w_WORK!G14</f>
        <v>0x2222</v>
      </c>
      <c r="J783" s="36">
        <v>40993</v>
      </c>
      <c r="K783" s="37"/>
      <c r="L783" s="74">
        <f t="shared" si="14"/>
        <v>1554</v>
      </c>
      <c r="M783" s="74"/>
      <c r="N783" s="74"/>
    </row>
    <row r="784" spans="2:14" hidden="1" outlineLevel="1">
      <c r="B784" s="73">
        <v>778</v>
      </c>
      <c r="C784" s="39"/>
      <c r="D784" s="40"/>
      <c r="E784" s="34" t="s">
        <v>323</v>
      </c>
      <c r="F784" s="75" t="s">
        <v>1149</v>
      </c>
      <c r="G784" s="35" t="s">
        <v>370</v>
      </c>
      <c r="H784" s="41" t="s">
        <v>371</v>
      </c>
      <c r="I784" s="44" t="str">
        <f>"0x"&amp;AE_w_WORK!G15</f>
        <v>0x2222</v>
      </c>
      <c r="J784" s="36">
        <v>40994</v>
      </c>
      <c r="K784" s="37"/>
      <c r="L784" s="74">
        <f t="shared" si="14"/>
        <v>1556</v>
      </c>
      <c r="M784" s="74"/>
      <c r="N784" s="74"/>
    </row>
    <row r="785" spans="2:14" hidden="1" outlineLevel="1">
      <c r="B785" s="73">
        <v>779</v>
      </c>
      <c r="C785" s="39"/>
      <c r="D785" s="40"/>
      <c r="E785" s="34" t="s">
        <v>323</v>
      </c>
      <c r="F785" s="75" t="s">
        <v>1150</v>
      </c>
      <c r="G785" s="35" t="s">
        <v>370</v>
      </c>
      <c r="H785" s="41" t="s">
        <v>371</v>
      </c>
      <c r="I785" s="44" t="str">
        <f>"0x"&amp;AE_w_WORK!G16</f>
        <v>0x2222</v>
      </c>
      <c r="J785" s="36">
        <v>40995</v>
      </c>
      <c r="K785" s="37"/>
      <c r="L785" s="74">
        <f t="shared" si="14"/>
        <v>1558</v>
      </c>
      <c r="M785" s="74"/>
      <c r="N785" s="74"/>
    </row>
    <row r="786" spans="2:14" hidden="1" outlineLevel="1">
      <c r="B786" s="73">
        <v>780</v>
      </c>
      <c r="C786" s="39"/>
      <c r="D786" s="40"/>
      <c r="E786" s="34" t="s">
        <v>323</v>
      </c>
      <c r="F786" s="75" t="s">
        <v>1151</v>
      </c>
      <c r="G786" s="35" t="s">
        <v>370</v>
      </c>
      <c r="H786" s="41" t="s">
        <v>371</v>
      </c>
      <c r="I786" s="44" t="str">
        <f>"0x"&amp;AE_w_WORK!G17</f>
        <v>0x2222</v>
      </c>
      <c r="J786" s="36">
        <v>40996</v>
      </c>
      <c r="K786" s="37"/>
      <c r="L786" s="74">
        <f t="shared" si="14"/>
        <v>1560</v>
      </c>
      <c r="M786" s="74"/>
      <c r="N786" s="74"/>
    </row>
    <row r="787" spans="2:14" hidden="1" outlineLevel="1">
      <c r="B787" s="73">
        <v>781</v>
      </c>
      <c r="C787" s="39"/>
      <c r="D787" s="40"/>
      <c r="E787" s="34" t="s">
        <v>323</v>
      </c>
      <c r="F787" s="75" t="s">
        <v>1152</v>
      </c>
      <c r="G787" s="35" t="s">
        <v>370</v>
      </c>
      <c r="H787" s="41" t="s">
        <v>371</v>
      </c>
      <c r="I787" s="44" t="str">
        <f>"0x"&amp;AE_w_WORK!G18</f>
        <v>0x2222</v>
      </c>
      <c r="J787" s="36">
        <v>40997</v>
      </c>
      <c r="K787" s="37"/>
      <c r="L787" s="74">
        <f t="shared" si="14"/>
        <v>1562</v>
      </c>
      <c r="M787" s="74"/>
      <c r="N787" s="74"/>
    </row>
    <row r="788" spans="2:14" hidden="1" outlineLevel="1">
      <c r="B788" s="73">
        <v>782</v>
      </c>
      <c r="C788" s="39"/>
      <c r="D788" s="40"/>
      <c r="E788" s="34" t="s">
        <v>323</v>
      </c>
      <c r="F788" s="75" t="s">
        <v>1153</v>
      </c>
      <c r="G788" s="35" t="s">
        <v>370</v>
      </c>
      <c r="H788" s="41" t="s">
        <v>371</v>
      </c>
      <c r="I788" s="44" t="str">
        <f>"0x"&amp;AE_w_WORK!G19</f>
        <v>0x2222</v>
      </c>
      <c r="J788" s="36">
        <v>40998</v>
      </c>
      <c r="K788" s="37"/>
      <c r="L788" s="74">
        <f t="shared" si="14"/>
        <v>1564</v>
      </c>
      <c r="M788" s="74"/>
      <c r="N788" s="74"/>
    </row>
    <row r="789" spans="2:14" hidden="1" outlineLevel="1">
      <c r="B789" s="73">
        <v>783</v>
      </c>
      <c r="C789" s="39"/>
      <c r="D789" s="40"/>
      <c r="E789" s="34" t="s">
        <v>323</v>
      </c>
      <c r="F789" s="75" t="s">
        <v>1154</v>
      </c>
      <c r="G789" s="35" t="s">
        <v>370</v>
      </c>
      <c r="H789" s="41" t="s">
        <v>371</v>
      </c>
      <c r="I789" s="44" t="str">
        <f>"0x"&amp;AE_w_WORK!G20</f>
        <v>0x2222</v>
      </c>
      <c r="J789" s="36">
        <v>40999</v>
      </c>
      <c r="K789" s="37"/>
      <c r="L789" s="74">
        <f t="shared" si="14"/>
        <v>1566</v>
      </c>
      <c r="M789" s="74"/>
      <c r="N789" s="74"/>
    </row>
    <row r="790" spans="2:14" hidden="1" outlineLevel="1">
      <c r="B790" s="73">
        <v>784</v>
      </c>
      <c r="C790" s="39"/>
      <c r="D790" s="40"/>
      <c r="E790" s="34" t="s">
        <v>323</v>
      </c>
      <c r="F790" s="75" t="s">
        <v>1155</v>
      </c>
      <c r="G790" s="35" t="s">
        <v>370</v>
      </c>
      <c r="H790" s="41" t="s">
        <v>371</v>
      </c>
      <c r="I790" s="44" t="str">
        <f>"0x"&amp;AE_w_WORK!G21</f>
        <v>0x2222</v>
      </c>
      <c r="J790" s="36">
        <v>41000</v>
      </c>
      <c r="K790" s="37"/>
      <c r="L790" s="74">
        <f t="shared" si="14"/>
        <v>1568</v>
      </c>
      <c r="M790" s="74"/>
      <c r="N790" s="74"/>
    </row>
    <row r="791" spans="2:14" hidden="1" outlineLevel="1">
      <c r="B791" s="73">
        <v>785</v>
      </c>
      <c r="C791" s="39"/>
      <c r="D791" s="40"/>
      <c r="E791" s="34" t="s">
        <v>323</v>
      </c>
      <c r="F791" s="75" t="s">
        <v>1156</v>
      </c>
      <c r="G791" s="35" t="s">
        <v>370</v>
      </c>
      <c r="H791" s="41" t="s">
        <v>371</v>
      </c>
      <c r="I791" s="44" t="str">
        <f>"0x"&amp;AE_w_WORK!G22</f>
        <v>0x2222</v>
      </c>
      <c r="J791" s="36">
        <v>41001</v>
      </c>
      <c r="K791" s="37"/>
      <c r="L791" s="74">
        <f t="shared" si="14"/>
        <v>1570</v>
      </c>
      <c r="M791" s="74"/>
      <c r="N791" s="74"/>
    </row>
    <row r="792" spans="2:14" hidden="1" outlineLevel="1">
      <c r="B792" s="73">
        <v>786</v>
      </c>
      <c r="C792" s="39"/>
      <c r="D792" s="40"/>
      <c r="E792" s="34" t="s">
        <v>323</v>
      </c>
      <c r="F792" s="75" t="s">
        <v>1157</v>
      </c>
      <c r="G792" s="35" t="s">
        <v>370</v>
      </c>
      <c r="H792" s="41" t="s">
        <v>371</v>
      </c>
      <c r="I792" s="44" t="str">
        <f>"0x"&amp;AE_w_WORK!G23</f>
        <v>0x2222</v>
      </c>
      <c r="J792" s="36">
        <v>41002</v>
      </c>
      <c r="K792" s="37"/>
      <c r="L792" s="74">
        <f t="shared" si="14"/>
        <v>1572</v>
      </c>
      <c r="M792" s="74"/>
      <c r="N792" s="74"/>
    </row>
    <row r="793" spans="2:14" hidden="1" outlineLevel="1">
      <c r="B793" s="73">
        <v>787</v>
      </c>
      <c r="C793" s="39"/>
      <c r="D793" s="40"/>
      <c r="E793" s="34" t="s">
        <v>323</v>
      </c>
      <c r="F793" s="75" t="s">
        <v>1158</v>
      </c>
      <c r="G793" s="35" t="s">
        <v>370</v>
      </c>
      <c r="H793" s="41" t="s">
        <v>371</v>
      </c>
      <c r="I793" s="44" t="str">
        <f>"0x"&amp;AE_w_WORK!G24</f>
        <v>0x2222</v>
      </c>
      <c r="J793" s="36">
        <v>41003</v>
      </c>
      <c r="K793" s="37"/>
      <c r="L793" s="74">
        <f t="shared" si="14"/>
        <v>1574</v>
      </c>
      <c r="M793" s="74"/>
      <c r="N793" s="74"/>
    </row>
    <row r="794" spans="2:14" hidden="1" outlineLevel="1">
      <c r="B794" s="73">
        <v>788</v>
      </c>
      <c r="C794" s="39"/>
      <c r="D794" s="40"/>
      <c r="E794" s="34" t="s">
        <v>323</v>
      </c>
      <c r="F794" s="75" t="s">
        <v>1159</v>
      </c>
      <c r="G794" s="35" t="s">
        <v>370</v>
      </c>
      <c r="H794" s="41" t="s">
        <v>371</v>
      </c>
      <c r="I794" s="44" t="str">
        <f>"0x"&amp;AE_w_WORK!G25</f>
        <v>0x2222</v>
      </c>
      <c r="J794" s="36">
        <v>41004</v>
      </c>
      <c r="K794" s="37"/>
      <c r="L794" s="74">
        <f t="shared" si="14"/>
        <v>1576</v>
      </c>
      <c r="M794" s="74"/>
      <c r="N794" s="74"/>
    </row>
    <row r="795" spans="2:14" hidden="1" outlineLevel="1">
      <c r="B795" s="73">
        <v>789</v>
      </c>
      <c r="C795" s="39"/>
      <c r="D795" s="40"/>
      <c r="E795" s="34" t="s">
        <v>323</v>
      </c>
      <c r="F795" s="75" t="s">
        <v>1160</v>
      </c>
      <c r="G795" s="35" t="s">
        <v>370</v>
      </c>
      <c r="H795" s="41" t="s">
        <v>371</v>
      </c>
      <c r="I795" s="44" t="str">
        <f>"0x"&amp;AE_w_WORK!G26</f>
        <v>0x2222</v>
      </c>
      <c r="J795" s="36">
        <v>41005</v>
      </c>
      <c r="K795" s="37"/>
      <c r="L795" s="74">
        <f t="shared" si="14"/>
        <v>1578</v>
      </c>
      <c r="M795" s="74"/>
      <c r="N795" s="74"/>
    </row>
    <row r="796" spans="2:14" hidden="1" outlineLevel="1">
      <c r="B796" s="73">
        <v>790</v>
      </c>
      <c r="C796" s="39"/>
      <c r="D796" s="40"/>
      <c r="E796" s="34" t="s">
        <v>323</v>
      </c>
      <c r="F796" s="75" t="s">
        <v>1161</v>
      </c>
      <c r="G796" s="35" t="s">
        <v>370</v>
      </c>
      <c r="H796" s="41" t="s">
        <v>371</v>
      </c>
      <c r="I796" s="44" t="str">
        <f>"0x"&amp;AE_w_WORK!G27</f>
        <v>0x2222</v>
      </c>
      <c r="J796" s="36">
        <v>41006</v>
      </c>
      <c r="K796" s="37"/>
      <c r="L796" s="74">
        <f t="shared" si="14"/>
        <v>1580</v>
      </c>
      <c r="M796" s="74"/>
      <c r="N796" s="74"/>
    </row>
    <row r="797" spans="2:14" hidden="1" outlineLevel="1">
      <c r="B797" s="73">
        <v>791</v>
      </c>
      <c r="C797" s="39"/>
      <c r="D797" s="40"/>
      <c r="E797" s="34" t="s">
        <v>323</v>
      </c>
      <c r="F797" s="75" t="s">
        <v>1162</v>
      </c>
      <c r="G797" s="35" t="s">
        <v>370</v>
      </c>
      <c r="H797" s="41" t="s">
        <v>371</v>
      </c>
      <c r="I797" s="44" t="str">
        <f>"0x"&amp;AE_w_WORK!G28</f>
        <v>0x2222</v>
      </c>
      <c r="J797" s="36">
        <v>41007</v>
      </c>
      <c r="K797" s="37"/>
      <c r="L797" s="74">
        <f t="shared" si="14"/>
        <v>1582</v>
      </c>
      <c r="M797" s="74"/>
      <c r="N797" s="74"/>
    </row>
    <row r="798" spans="2:14" hidden="1" outlineLevel="1">
      <c r="B798" s="73">
        <v>792</v>
      </c>
      <c r="C798" s="39"/>
      <c r="D798" s="40"/>
      <c r="E798" s="34" t="s">
        <v>323</v>
      </c>
      <c r="F798" s="75" t="s">
        <v>1163</v>
      </c>
      <c r="G798" s="35" t="s">
        <v>370</v>
      </c>
      <c r="H798" s="41" t="s">
        <v>371</v>
      </c>
      <c r="I798" s="44" t="str">
        <f>"0x"&amp;AE_w_WORK!G29</f>
        <v>0x2222</v>
      </c>
      <c r="J798" s="36">
        <v>41008</v>
      </c>
      <c r="K798" s="37"/>
      <c r="L798" s="74">
        <f t="shared" si="14"/>
        <v>1584</v>
      </c>
      <c r="M798" s="74"/>
      <c r="N798" s="74"/>
    </row>
    <row r="799" spans="2:14" hidden="1" outlineLevel="1">
      <c r="B799" s="73">
        <v>793</v>
      </c>
      <c r="C799" s="39"/>
      <c r="D799" s="40"/>
      <c r="E799" s="34" t="s">
        <v>323</v>
      </c>
      <c r="F799" s="75" t="s">
        <v>1164</v>
      </c>
      <c r="G799" s="35" t="s">
        <v>370</v>
      </c>
      <c r="H799" s="41" t="s">
        <v>371</v>
      </c>
      <c r="I799" s="44" t="str">
        <f>"0x"&amp;AE_w_WORK!G30</f>
        <v>0x2222</v>
      </c>
      <c r="J799" s="36">
        <v>41009</v>
      </c>
      <c r="K799" s="37"/>
      <c r="L799" s="74">
        <f t="shared" si="14"/>
        <v>1586</v>
      </c>
      <c r="M799" s="74"/>
      <c r="N799" s="74"/>
    </row>
    <row r="800" spans="2:14" hidden="1" outlineLevel="1">
      <c r="B800" s="73">
        <v>794</v>
      </c>
      <c r="C800" s="39"/>
      <c r="D800" s="40"/>
      <c r="E800" s="34" t="s">
        <v>323</v>
      </c>
      <c r="F800" s="75" t="s">
        <v>1165</v>
      </c>
      <c r="G800" s="35" t="s">
        <v>370</v>
      </c>
      <c r="H800" s="41" t="s">
        <v>371</v>
      </c>
      <c r="I800" s="44" t="str">
        <f>"0x"&amp;AE_w_WORK!G31</f>
        <v>0x2222</v>
      </c>
      <c r="J800" s="36">
        <v>41010</v>
      </c>
      <c r="K800" s="37"/>
      <c r="L800" s="74">
        <f t="shared" si="14"/>
        <v>1588</v>
      </c>
      <c r="M800" s="74"/>
      <c r="N800" s="74"/>
    </row>
    <row r="801" spans="2:14" hidden="1" outlineLevel="1">
      <c r="B801" s="73">
        <v>795</v>
      </c>
      <c r="C801" s="39"/>
      <c r="D801" s="40"/>
      <c r="E801" s="34" t="s">
        <v>323</v>
      </c>
      <c r="F801" s="75" t="s">
        <v>1166</v>
      </c>
      <c r="G801" s="35" t="s">
        <v>370</v>
      </c>
      <c r="H801" s="41" t="s">
        <v>371</v>
      </c>
      <c r="I801" s="44" t="str">
        <f>"0x"&amp;AE_w_WORK!G32</f>
        <v>0x2222</v>
      </c>
      <c r="J801" s="36">
        <v>41011</v>
      </c>
      <c r="K801" s="37"/>
      <c r="L801" s="74">
        <f t="shared" si="14"/>
        <v>1590</v>
      </c>
      <c r="M801" s="74"/>
      <c r="N801" s="74"/>
    </row>
    <row r="802" spans="2:14" hidden="1" outlineLevel="1">
      <c r="B802" s="73">
        <v>796</v>
      </c>
      <c r="C802" s="39"/>
      <c r="D802" s="40"/>
      <c r="E802" s="34" t="s">
        <v>323</v>
      </c>
      <c r="F802" s="75" t="s">
        <v>1167</v>
      </c>
      <c r="G802" s="35" t="s">
        <v>370</v>
      </c>
      <c r="H802" s="41" t="s">
        <v>371</v>
      </c>
      <c r="I802" s="44" t="str">
        <f>"0x"&amp;AE_w_WORK!G33</f>
        <v>0x2222</v>
      </c>
      <c r="J802" s="36">
        <v>41012</v>
      </c>
      <c r="K802" s="37"/>
      <c r="L802" s="74">
        <f t="shared" si="14"/>
        <v>1592</v>
      </c>
      <c r="M802" s="74"/>
      <c r="N802" s="74"/>
    </row>
    <row r="803" spans="2:14" hidden="1" outlineLevel="1">
      <c r="B803" s="73">
        <v>797</v>
      </c>
      <c r="C803" s="39"/>
      <c r="D803" s="40"/>
      <c r="E803" s="34" t="s">
        <v>323</v>
      </c>
      <c r="F803" s="75" t="s">
        <v>1168</v>
      </c>
      <c r="G803" s="35" t="s">
        <v>370</v>
      </c>
      <c r="H803" s="41" t="s">
        <v>371</v>
      </c>
      <c r="I803" s="44" t="str">
        <f>"0x"&amp;AE_w_WORK!G34</f>
        <v>0x2222</v>
      </c>
      <c r="J803" s="36">
        <v>41013</v>
      </c>
      <c r="K803" s="37"/>
      <c r="L803" s="74">
        <f t="shared" si="14"/>
        <v>1594</v>
      </c>
      <c r="M803" s="74"/>
      <c r="N803" s="74"/>
    </row>
    <row r="804" spans="2:14" hidden="1" outlineLevel="1">
      <c r="B804" s="73">
        <v>798</v>
      </c>
      <c r="C804" s="39"/>
      <c r="D804" s="40"/>
      <c r="E804" s="34" t="s">
        <v>323</v>
      </c>
      <c r="F804" s="75" t="s">
        <v>1169</v>
      </c>
      <c r="G804" s="35" t="s">
        <v>370</v>
      </c>
      <c r="H804" s="41" t="s">
        <v>371</v>
      </c>
      <c r="I804" s="44" t="str">
        <f>"0x"&amp;AE_w_WORK!G35</f>
        <v>0x2222</v>
      </c>
      <c r="J804" s="36">
        <v>41014</v>
      </c>
      <c r="K804" s="37"/>
      <c r="L804" s="74">
        <f t="shared" si="14"/>
        <v>1596</v>
      </c>
      <c r="M804" s="74"/>
      <c r="N804" s="74"/>
    </row>
    <row r="805" spans="2:14" hidden="1" outlineLevel="1">
      <c r="B805" s="73">
        <v>799</v>
      </c>
      <c r="C805" s="39"/>
      <c r="D805" s="40"/>
      <c r="E805" s="34" t="s">
        <v>323</v>
      </c>
      <c r="F805" s="75" t="s">
        <v>1170</v>
      </c>
      <c r="G805" s="35" t="s">
        <v>370</v>
      </c>
      <c r="H805" s="41" t="s">
        <v>371</v>
      </c>
      <c r="I805" s="44" t="str">
        <f>"0x"&amp;AE_w_WORK!G36</f>
        <v>0x2222</v>
      </c>
      <c r="J805" s="36">
        <v>41015</v>
      </c>
      <c r="K805" s="37"/>
      <c r="L805" s="74">
        <f t="shared" si="14"/>
        <v>1598</v>
      </c>
      <c r="M805" s="74"/>
      <c r="N805" s="74"/>
    </row>
    <row r="806" spans="2:14" hidden="1" outlineLevel="1">
      <c r="B806" s="73">
        <v>800</v>
      </c>
      <c r="C806" s="39"/>
      <c r="D806" s="40"/>
      <c r="E806" s="34" t="s">
        <v>323</v>
      </c>
      <c r="F806" s="75" t="s">
        <v>1171</v>
      </c>
      <c r="G806" s="35" t="s">
        <v>370</v>
      </c>
      <c r="H806" s="41" t="s">
        <v>371</v>
      </c>
      <c r="I806" s="44" t="str">
        <f>"0x"&amp;AE_w_WORK!G37</f>
        <v>0x2222</v>
      </c>
      <c r="J806" s="36">
        <v>41016</v>
      </c>
      <c r="K806" s="37"/>
      <c r="L806" s="74">
        <f t="shared" si="14"/>
        <v>1600</v>
      </c>
      <c r="M806" s="74"/>
      <c r="N806" s="74"/>
    </row>
    <row r="807" spans="2:14" hidden="1" outlineLevel="1">
      <c r="B807" s="73">
        <v>801</v>
      </c>
      <c r="C807" s="39"/>
      <c r="D807" s="40"/>
      <c r="E807" s="34" t="s">
        <v>323</v>
      </c>
      <c r="F807" s="75" t="s">
        <v>1172</v>
      </c>
      <c r="G807" s="35" t="s">
        <v>370</v>
      </c>
      <c r="H807" s="41" t="s">
        <v>371</v>
      </c>
      <c r="I807" s="44" t="str">
        <f>"0x"&amp;AE_w_WORK!G38</f>
        <v>0x2222</v>
      </c>
      <c r="J807" s="36">
        <v>41017</v>
      </c>
      <c r="K807" s="37"/>
      <c r="L807" s="74">
        <f t="shared" si="14"/>
        <v>1602</v>
      </c>
      <c r="M807" s="74"/>
      <c r="N807" s="74"/>
    </row>
    <row r="808" spans="2:14" hidden="1" outlineLevel="1">
      <c r="B808" s="73">
        <v>802</v>
      </c>
      <c r="C808" s="39"/>
      <c r="D808" s="40"/>
      <c r="E808" s="34" t="s">
        <v>323</v>
      </c>
      <c r="F808" s="75" t="s">
        <v>1173</v>
      </c>
      <c r="G808" s="35" t="s">
        <v>370</v>
      </c>
      <c r="H808" s="41" t="s">
        <v>371</v>
      </c>
      <c r="I808" s="44" t="str">
        <f>"0x"&amp;AE_w_WORK!G39</f>
        <v>0x2222</v>
      </c>
      <c r="J808" s="36">
        <v>41018</v>
      </c>
      <c r="K808" s="37"/>
      <c r="L808" s="74">
        <f t="shared" si="14"/>
        <v>1604</v>
      </c>
      <c r="M808" s="74"/>
      <c r="N808" s="74"/>
    </row>
    <row r="809" spans="2:14" hidden="1" outlineLevel="1">
      <c r="B809" s="73">
        <v>803</v>
      </c>
      <c r="C809" s="39"/>
      <c r="D809" s="40"/>
      <c r="E809" s="34" t="s">
        <v>323</v>
      </c>
      <c r="F809" s="75" t="s">
        <v>1174</v>
      </c>
      <c r="G809" s="35" t="s">
        <v>370</v>
      </c>
      <c r="H809" s="41" t="s">
        <v>371</v>
      </c>
      <c r="I809" s="44" t="str">
        <f>"0x"&amp;AE_w_WORK!G40</f>
        <v>0x2222</v>
      </c>
      <c r="J809" s="36">
        <v>41019</v>
      </c>
      <c r="K809" s="37"/>
      <c r="L809" s="74">
        <f t="shared" si="14"/>
        <v>1606</v>
      </c>
      <c r="M809" s="74"/>
      <c r="N809" s="74"/>
    </row>
    <row r="810" spans="2:14" hidden="1" outlineLevel="1">
      <c r="B810" s="73">
        <v>804</v>
      </c>
      <c r="C810" s="39"/>
      <c r="D810" s="40"/>
      <c r="E810" s="34" t="s">
        <v>323</v>
      </c>
      <c r="F810" s="75" t="s">
        <v>1175</v>
      </c>
      <c r="G810" s="35" t="s">
        <v>370</v>
      </c>
      <c r="H810" s="41" t="s">
        <v>371</v>
      </c>
      <c r="I810" s="44" t="str">
        <f>"0x"&amp;AE_w_WORK!G41</f>
        <v>0x2222</v>
      </c>
      <c r="J810" s="36">
        <v>41020</v>
      </c>
      <c r="K810" s="37"/>
      <c r="L810" s="74">
        <f t="shared" si="14"/>
        <v>1608</v>
      </c>
      <c r="M810" s="74"/>
      <c r="N810" s="74"/>
    </row>
    <row r="811" spans="2:14" hidden="1" outlineLevel="1">
      <c r="B811" s="73">
        <v>805</v>
      </c>
      <c r="C811" s="39"/>
      <c r="D811" s="40"/>
      <c r="E811" s="34" t="s">
        <v>323</v>
      </c>
      <c r="F811" s="75" t="s">
        <v>1176</v>
      </c>
      <c r="G811" s="35" t="s">
        <v>370</v>
      </c>
      <c r="H811" s="41" t="s">
        <v>371</v>
      </c>
      <c r="I811" s="44" t="str">
        <f>"0x"&amp;AE_w_WORK!G42</f>
        <v>0x2222</v>
      </c>
      <c r="J811" s="36">
        <v>41021</v>
      </c>
      <c r="K811" s="37"/>
      <c r="L811" s="74">
        <f t="shared" si="14"/>
        <v>1610</v>
      </c>
      <c r="M811" s="74"/>
      <c r="N811" s="74"/>
    </row>
    <row r="812" spans="2:14" hidden="1" outlineLevel="1">
      <c r="B812" s="73">
        <v>806</v>
      </c>
      <c r="C812" s="39"/>
      <c r="D812" s="40"/>
      <c r="E812" s="34" t="s">
        <v>323</v>
      </c>
      <c r="F812" s="75" t="s">
        <v>1177</v>
      </c>
      <c r="G812" s="35" t="s">
        <v>370</v>
      </c>
      <c r="H812" s="41" t="s">
        <v>371</v>
      </c>
      <c r="I812" s="44" t="str">
        <f>"0x"&amp;AE_w_WORK!G43</f>
        <v>0x2222</v>
      </c>
      <c r="J812" s="36">
        <v>41022</v>
      </c>
      <c r="K812" s="37"/>
      <c r="L812" s="74">
        <f t="shared" si="14"/>
        <v>1612</v>
      </c>
      <c r="M812" s="74"/>
      <c r="N812" s="74"/>
    </row>
    <row r="813" spans="2:14" hidden="1" outlineLevel="1">
      <c r="B813" s="73">
        <v>807</v>
      </c>
      <c r="C813" s="39"/>
      <c r="D813" s="40"/>
      <c r="E813" s="34" t="s">
        <v>323</v>
      </c>
      <c r="F813" s="75" t="s">
        <v>1178</v>
      </c>
      <c r="G813" s="35" t="s">
        <v>370</v>
      </c>
      <c r="H813" s="41" t="s">
        <v>371</v>
      </c>
      <c r="I813" s="44" t="str">
        <f>"0x"&amp;AE_w_WORK!G44</f>
        <v>0x2222</v>
      </c>
      <c r="J813" s="36">
        <v>41023</v>
      </c>
      <c r="K813" s="37"/>
      <c r="L813" s="74">
        <f t="shared" si="14"/>
        <v>1614</v>
      </c>
      <c r="M813" s="74"/>
      <c r="N813" s="74"/>
    </row>
    <row r="814" spans="2:14" hidden="1" outlineLevel="1">
      <c r="B814" s="73">
        <v>808</v>
      </c>
      <c r="C814" s="39"/>
      <c r="D814" s="40"/>
      <c r="E814" s="34" t="s">
        <v>323</v>
      </c>
      <c r="F814" s="75" t="s">
        <v>1179</v>
      </c>
      <c r="G814" s="35" t="s">
        <v>370</v>
      </c>
      <c r="H814" s="41" t="s">
        <v>371</v>
      </c>
      <c r="I814" s="44" t="str">
        <f>"0x"&amp;AE_w_WORK!G45</f>
        <v>0x2222</v>
      </c>
      <c r="J814" s="36">
        <v>41024</v>
      </c>
      <c r="K814" s="37"/>
      <c r="L814" s="74">
        <f t="shared" si="14"/>
        <v>1616</v>
      </c>
      <c r="M814" s="74"/>
      <c r="N814" s="74"/>
    </row>
    <row r="815" spans="2:14" hidden="1" outlineLevel="1">
      <c r="B815" s="73">
        <v>809</v>
      </c>
      <c r="C815" s="39"/>
      <c r="D815" s="40"/>
      <c r="E815" s="34" t="s">
        <v>323</v>
      </c>
      <c r="F815" s="75" t="s">
        <v>1180</v>
      </c>
      <c r="G815" s="35" t="s">
        <v>370</v>
      </c>
      <c r="H815" s="41" t="s">
        <v>371</v>
      </c>
      <c r="I815" s="44" t="str">
        <f>"0x"&amp;AE_w_WORK!G46</f>
        <v>0x2222</v>
      </c>
      <c r="J815" s="36">
        <v>41025</v>
      </c>
      <c r="K815" s="37"/>
      <c r="L815" s="74">
        <f t="shared" si="14"/>
        <v>1618</v>
      </c>
      <c r="M815" s="74"/>
      <c r="N815" s="74"/>
    </row>
    <row r="816" spans="2:14" hidden="1" outlineLevel="1">
      <c r="B816" s="73">
        <v>810</v>
      </c>
      <c r="C816" s="39"/>
      <c r="D816" s="40"/>
      <c r="E816" s="34" t="s">
        <v>323</v>
      </c>
      <c r="F816" s="75" t="s">
        <v>1181</v>
      </c>
      <c r="G816" s="35" t="s">
        <v>370</v>
      </c>
      <c r="H816" s="41" t="s">
        <v>371</v>
      </c>
      <c r="I816" s="44" t="str">
        <f>"0x"&amp;AE_w_WORK!G47</f>
        <v>0x2222</v>
      </c>
      <c r="J816" s="36">
        <v>41026</v>
      </c>
      <c r="K816" s="37"/>
      <c r="L816" s="74">
        <f t="shared" si="14"/>
        <v>1620</v>
      </c>
      <c r="M816" s="74"/>
      <c r="N816" s="74"/>
    </row>
    <row r="817" spans="2:14" hidden="1" outlineLevel="1">
      <c r="B817" s="73">
        <v>811</v>
      </c>
      <c r="C817" s="39"/>
      <c r="D817" s="40"/>
      <c r="E817" s="34" t="s">
        <v>323</v>
      </c>
      <c r="F817" s="75" t="s">
        <v>1182</v>
      </c>
      <c r="G817" s="35" t="s">
        <v>370</v>
      </c>
      <c r="H817" s="41" t="s">
        <v>371</v>
      </c>
      <c r="I817" s="44" t="str">
        <f>"0x"&amp;AE_w_WORK!G48</f>
        <v>0x2222</v>
      </c>
      <c r="J817" s="36">
        <v>41027</v>
      </c>
      <c r="K817" s="37"/>
      <c r="L817" s="74">
        <f t="shared" si="14"/>
        <v>1622</v>
      </c>
      <c r="M817" s="74"/>
      <c r="N817" s="74"/>
    </row>
    <row r="818" spans="2:14" hidden="1" outlineLevel="1">
      <c r="B818" s="73">
        <v>812</v>
      </c>
      <c r="C818" s="39"/>
      <c r="D818" s="40"/>
      <c r="E818" s="34" t="s">
        <v>323</v>
      </c>
      <c r="F818" s="75" t="s">
        <v>1183</v>
      </c>
      <c r="G818" s="35" t="s">
        <v>370</v>
      </c>
      <c r="H818" s="41" t="s">
        <v>371</v>
      </c>
      <c r="I818" s="44" t="str">
        <f>"0x"&amp;AE_w_WORK!G49</f>
        <v>0x2222</v>
      </c>
      <c r="J818" s="36">
        <v>41028</v>
      </c>
      <c r="K818" s="37"/>
      <c r="L818" s="74">
        <f t="shared" si="14"/>
        <v>1624</v>
      </c>
      <c r="M818" s="74"/>
      <c r="N818" s="74"/>
    </row>
    <row r="819" spans="2:14" hidden="1" outlineLevel="1">
      <c r="B819" s="73">
        <v>813</v>
      </c>
      <c r="C819" s="39"/>
      <c r="D819" s="40"/>
      <c r="E819" s="34" t="s">
        <v>323</v>
      </c>
      <c r="F819" s="75" t="s">
        <v>1184</v>
      </c>
      <c r="G819" s="35" t="s">
        <v>370</v>
      </c>
      <c r="H819" s="41" t="s">
        <v>371</v>
      </c>
      <c r="I819" s="44" t="str">
        <f>"0x"&amp;AE_w_WORK!G50</f>
        <v>0x2222</v>
      </c>
      <c r="J819" s="36">
        <v>41029</v>
      </c>
      <c r="K819" s="37"/>
      <c r="L819" s="74">
        <f t="shared" si="14"/>
        <v>1626</v>
      </c>
      <c r="M819" s="74"/>
      <c r="N819" s="74"/>
    </row>
    <row r="820" spans="2:14" hidden="1" outlineLevel="1">
      <c r="B820" s="73">
        <v>814</v>
      </c>
      <c r="C820" s="39"/>
      <c r="D820" s="40"/>
      <c r="E820" s="34" t="s">
        <v>323</v>
      </c>
      <c r="F820" s="75" t="s">
        <v>1185</v>
      </c>
      <c r="G820" s="35" t="s">
        <v>370</v>
      </c>
      <c r="H820" s="41" t="s">
        <v>371</v>
      </c>
      <c r="I820" s="44" t="str">
        <f>"0x"&amp;AE_w_WORK!G51</f>
        <v>0x2222</v>
      </c>
      <c r="J820" s="36">
        <v>41030</v>
      </c>
      <c r="K820" s="37"/>
      <c r="L820" s="74">
        <f t="shared" si="14"/>
        <v>1628</v>
      </c>
      <c r="M820" s="74"/>
      <c r="N820" s="74"/>
    </row>
    <row r="821" spans="2:14" hidden="1" outlineLevel="1">
      <c r="B821" s="73">
        <v>815</v>
      </c>
      <c r="C821" s="39"/>
      <c r="D821" s="40"/>
      <c r="E821" s="34" t="s">
        <v>323</v>
      </c>
      <c r="F821" s="75" t="s">
        <v>1186</v>
      </c>
      <c r="G821" s="35" t="s">
        <v>370</v>
      </c>
      <c r="H821" s="41" t="s">
        <v>371</v>
      </c>
      <c r="I821" s="44" t="str">
        <f>"0x"&amp;AE_w_WORK!G52</f>
        <v>0x2222</v>
      </c>
      <c r="J821" s="36">
        <v>41031</v>
      </c>
      <c r="K821" s="37"/>
      <c r="L821" s="74">
        <f t="shared" si="14"/>
        <v>1630</v>
      </c>
      <c r="M821" s="74"/>
      <c r="N821" s="74"/>
    </row>
    <row r="822" spans="2:14" hidden="1" outlineLevel="1">
      <c r="B822" s="73">
        <v>816</v>
      </c>
      <c r="C822" s="39"/>
      <c r="D822" s="40"/>
      <c r="E822" s="34" t="s">
        <v>323</v>
      </c>
      <c r="F822" s="75" t="s">
        <v>1187</v>
      </c>
      <c r="G822" s="35" t="s">
        <v>370</v>
      </c>
      <c r="H822" s="41" t="s">
        <v>371</v>
      </c>
      <c r="I822" s="44" t="str">
        <f>"0x"&amp;AE_w_WORK!G53</f>
        <v>0x2222</v>
      </c>
      <c r="J822" s="36">
        <v>41032</v>
      </c>
      <c r="K822" s="37"/>
      <c r="L822" s="74">
        <f t="shared" si="14"/>
        <v>1632</v>
      </c>
      <c r="M822" s="74"/>
      <c r="N822" s="74"/>
    </row>
    <row r="823" spans="2:14" hidden="1" outlineLevel="1">
      <c r="B823" s="73">
        <v>817</v>
      </c>
      <c r="C823" s="39"/>
      <c r="D823" s="40"/>
      <c r="E823" s="34" t="s">
        <v>323</v>
      </c>
      <c r="F823" s="75" t="s">
        <v>1188</v>
      </c>
      <c r="G823" s="35" t="s">
        <v>370</v>
      </c>
      <c r="H823" s="41" t="s">
        <v>371</v>
      </c>
      <c r="I823" s="44" t="str">
        <f>"0x"&amp;AE_w_WORK!G54</f>
        <v>0x2222</v>
      </c>
      <c r="J823" s="36">
        <v>41033</v>
      </c>
      <c r="K823" s="37"/>
      <c r="L823" s="74">
        <f t="shared" si="14"/>
        <v>1634</v>
      </c>
      <c r="M823" s="74"/>
      <c r="N823" s="74"/>
    </row>
    <row r="824" spans="2:14" hidden="1" outlineLevel="1">
      <c r="B824" s="73">
        <v>818</v>
      </c>
      <c r="C824" s="39"/>
      <c r="D824" s="40"/>
      <c r="E824" s="34" t="s">
        <v>323</v>
      </c>
      <c r="F824" s="75" t="s">
        <v>1189</v>
      </c>
      <c r="G824" s="35" t="s">
        <v>370</v>
      </c>
      <c r="H824" s="41" t="s">
        <v>371</v>
      </c>
      <c r="I824" s="44" t="str">
        <f>"0x"&amp;AE_w_WORK!G55</f>
        <v>0x2222</v>
      </c>
      <c r="J824" s="36">
        <v>41034</v>
      </c>
      <c r="K824" s="37"/>
      <c r="L824" s="74">
        <f t="shared" si="14"/>
        <v>1636</v>
      </c>
      <c r="M824" s="74"/>
      <c r="N824" s="74"/>
    </row>
    <row r="825" spans="2:14" hidden="1" outlineLevel="1">
      <c r="B825" s="73">
        <v>819</v>
      </c>
      <c r="C825" s="39"/>
      <c r="D825" s="40"/>
      <c r="E825" s="34" t="s">
        <v>323</v>
      </c>
      <c r="F825" s="75" t="s">
        <v>1190</v>
      </c>
      <c r="G825" s="35" t="s">
        <v>370</v>
      </c>
      <c r="H825" s="41" t="s">
        <v>371</v>
      </c>
      <c r="I825" s="44" t="str">
        <f>"0x"&amp;AE_w_WORK!G56</f>
        <v>0x2222</v>
      </c>
      <c r="J825" s="36">
        <v>41035</v>
      </c>
      <c r="K825" s="37"/>
      <c r="L825" s="74">
        <f t="shared" si="14"/>
        <v>1638</v>
      </c>
      <c r="M825" s="74"/>
      <c r="N825" s="74"/>
    </row>
    <row r="826" spans="2:14" hidden="1" outlineLevel="1">
      <c r="B826" s="73">
        <v>820</v>
      </c>
      <c r="C826" s="39"/>
      <c r="D826" s="40"/>
      <c r="E826" s="34" t="s">
        <v>323</v>
      </c>
      <c r="F826" s="75" t="s">
        <v>1191</v>
      </c>
      <c r="G826" s="35" t="s">
        <v>370</v>
      </c>
      <c r="H826" s="41" t="s">
        <v>371</v>
      </c>
      <c r="I826" s="44" t="str">
        <f>"0x"&amp;AE_w_WORK!G57</f>
        <v>0x2222</v>
      </c>
      <c r="J826" s="36">
        <v>41036</v>
      </c>
      <c r="K826" s="37"/>
      <c r="L826" s="74">
        <f t="shared" si="14"/>
        <v>1640</v>
      </c>
      <c r="M826" s="74"/>
      <c r="N826" s="74"/>
    </row>
    <row r="827" spans="2:14" hidden="1" outlineLevel="1">
      <c r="B827" s="73">
        <v>821</v>
      </c>
      <c r="C827" s="39"/>
      <c r="D827" s="40"/>
      <c r="E827" s="34" t="s">
        <v>323</v>
      </c>
      <c r="F827" s="75" t="s">
        <v>1192</v>
      </c>
      <c r="G827" s="35" t="s">
        <v>370</v>
      </c>
      <c r="H827" s="41" t="s">
        <v>371</v>
      </c>
      <c r="I827" s="44" t="str">
        <f>"0x"&amp;AE_w_WORK!G58</f>
        <v>0x2222</v>
      </c>
      <c r="J827" s="36">
        <v>41037</v>
      </c>
      <c r="K827" s="37"/>
      <c r="L827" s="74">
        <f t="shared" si="14"/>
        <v>1642</v>
      </c>
      <c r="M827" s="74"/>
      <c r="N827" s="74"/>
    </row>
    <row r="828" spans="2:14" hidden="1" outlineLevel="1">
      <c r="B828" s="73">
        <v>822</v>
      </c>
      <c r="C828" s="39"/>
      <c r="D828" s="40"/>
      <c r="E828" s="34" t="s">
        <v>323</v>
      </c>
      <c r="F828" s="75" t="s">
        <v>1193</v>
      </c>
      <c r="G828" s="35" t="s">
        <v>370</v>
      </c>
      <c r="H828" s="41" t="s">
        <v>371</v>
      </c>
      <c r="I828" s="44" t="str">
        <f>"0x"&amp;AE_w_WORK!G59</f>
        <v>0x2222</v>
      </c>
      <c r="J828" s="36">
        <v>41038</v>
      </c>
      <c r="K828" s="37"/>
      <c r="L828" s="74">
        <f t="shared" si="14"/>
        <v>1644</v>
      </c>
      <c r="M828" s="74"/>
      <c r="N828" s="74"/>
    </row>
    <row r="829" spans="2:14" hidden="1" outlineLevel="1">
      <c r="B829" s="73">
        <v>823</v>
      </c>
      <c r="C829" s="39"/>
      <c r="D829" s="40"/>
      <c r="E829" s="34" t="s">
        <v>323</v>
      </c>
      <c r="F829" s="75" t="s">
        <v>1194</v>
      </c>
      <c r="G829" s="35" t="s">
        <v>370</v>
      </c>
      <c r="H829" s="41" t="s">
        <v>371</v>
      </c>
      <c r="I829" s="44" t="str">
        <f>"0x"&amp;AE_w_WORK!G60</f>
        <v>0x2222</v>
      </c>
      <c r="J829" s="36">
        <v>41039</v>
      </c>
      <c r="K829" s="37"/>
      <c r="L829" s="74">
        <f t="shared" si="14"/>
        <v>1646</v>
      </c>
      <c r="M829" s="74"/>
      <c r="N829" s="74"/>
    </row>
    <row r="830" spans="2:14" hidden="1" outlineLevel="1">
      <c r="B830" s="73">
        <v>824</v>
      </c>
      <c r="C830" s="39"/>
      <c r="D830" s="40"/>
      <c r="E830" s="34" t="s">
        <v>323</v>
      </c>
      <c r="F830" s="75" t="s">
        <v>1195</v>
      </c>
      <c r="G830" s="35" t="s">
        <v>370</v>
      </c>
      <c r="H830" s="41" t="s">
        <v>371</v>
      </c>
      <c r="I830" s="44" t="str">
        <f>"0x"&amp;AE_w_WORK!G61</f>
        <v>0x2222</v>
      </c>
      <c r="J830" s="36">
        <v>41040</v>
      </c>
      <c r="K830" s="37"/>
      <c r="L830" s="74">
        <f t="shared" si="14"/>
        <v>1648</v>
      </c>
      <c r="M830" s="74"/>
      <c r="N830" s="74"/>
    </row>
    <row r="831" spans="2:14" hidden="1" outlineLevel="1">
      <c r="B831" s="73">
        <v>825</v>
      </c>
      <c r="C831" s="39"/>
      <c r="D831" s="40"/>
      <c r="E831" s="34" t="s">
        <v>323</v>
      </c>
      <c r="F831" s="75" t="s">
        <v>1196</v>
      </c>
      <c r="G831" s="35" t="s">
        <v>370</v>
      </c>
      <c r="H831" s="41" t="s">
        <v>371</v>
      </c>
      <c r="I831" s="44" t="str">
        <f>"0x"&amp;AE_w_WORK!G62</f>
        <v>0x2222</v>
      </c>
      <c r="J831" s="36">
        <v>41041</v>
      </c>
      <c r="K831" s="37"/>
      <c r="L831" s="74">
        <f t="shared" si="14"/>
        <v>1650</v>
      </c>
      <c r="M831" s="74"/>
      <c r="N831" s="74"/>
    </row>
    <row r="832" spans="2:14" hidden="1" outlineLevel="1">
      <c r="B832" s="73">
        <v>826</v>
      </c>
      <c r="C832" s="39"/>
      <c r="D832" s="40"/>
      <c r="E832" s="34" t="s">
        <v>323</v>
      </c>
      <c r="F832" s="75" t="s">
        <v>1197</v>
      </c>
      <c r="G832" s="35" t="s">
        <v>370</v>
      </c>
      <c r="H832" s="41" t="s">
        <v>371</v>
      </c>
      <c r="I832" s="44" t="str">
        <f>"0x"&amp;AE_w_WORK!G63</f>
        <v>0x2222</v>
      </c>
      <c r="J832" s="36">
        <v>41042</v>
      </c>
      <c r="K832" s="37"/>
      <c r="L832" s="74">
        <f t="shared" si="14"/>
        <v>1652</v>
      </c>
      <c r="M832" s="74"/>
      <c r="N832" s="74"/>
    </row>
    <row r="833" spans="2:14" hidden="1" outlineLevel="1">
      <c r="B833" s="73">
        <v>827</v>
      </c>
      <c r="C833" s="39"/>
      <c r="D833" s="40"/>
      <c r="E833" s="34" t="s">
        <v>323</v>
      </c>
      <c r="F833" s="75" t="s">
        <v>1198</v>
      </c>
      <c r="G833" s="35" t="s">
        <v>370</v>
      </c>
      <c r="H833" s="41" t="s">
        <v>371</v>
      </c>
      <c r="I833" s="44" t="str">
        <f>"0x"&amp;AE_w_WORK!G64</f>
        <v>0x2222</v>
      </c>
      <c r="J833" s="36">
        <v>41043</v>
      </c>
      <c r="K833" s="37"/>
      <c r="L833" s="74">
        <f t="shared" si="14"/>
        <v>1654</v>
      </c>
      <c r="M833" s="74"/>
      <c r="N833" s="74"/>
    </row>
    <row r="834" spans="2:14" hidden="1" outlineLevel="1">
      <c r="B834" s="73">
        <v>828</v>
      </c>
      <c r="C834" s="39"/>
      <c r="D834" s="40"/>
      <c r="E834" s="34" t="s">
        <v>323</v>
      </c>
      <c r="F834" s="75" t="s">
        <v>1199</v>
      </c>
      <c r="G834" s="35" t="s">
        <v>370</v>
      </c>
      <c r="H834" s="41" t="s">
        <v>371</v>
      </c>
      <c r="I834" s="44" t="str">
        <f>"0x"&amp;AE_w_WORK!G65</f>
        <v>0x2222</v>
      </c>
      <c r="J834" s="36">
        <v>41044</v>
      </c>
      <c r="K834" s="37"/>
      <c r="L834" s="74">
        <f t="shared" si="14"/>
        <v>1656</v>
      </c>
      <c r="M834" s="74"/>
      <c r="N834" s="74"/>
    </row>
    <row r="835" spans="2:14" hidden="1" outlineLevel="1">
      <c r="B835" s="73">
        <v>829</v>
      </c>
      <c r="C835" s="39"/>
      <c r="D835" s="40"/>
      <c r="E835" s="34" t="s">
        <v>323</v>
      </c>
      <c r="F835" s="75" t="s">
        <v>1200</v>
      </c>
      <c r="G835" s="35" t="s">
        <v>370</v>
      </c>
      <c r="H835" s="41" t="s">
        <v>371</v>
      </c>
      <c r="I835" s="44" t="str">
        <f>"0x"&amp;AE_w_WORK!G66</f>
        <v>0x2222</v>
      </c>
      <c r="J835" s="36">
        <v>41045</v>
      </c>
      <c r="K835" s="37"/>
      <c r="L835" s="74">
        <f t="shared" si="14"/>
        <v>1658</v>
      </c>
      <c r="M835" s="74"/>
      <c r="N835" s="74"/>
    </row>
    <row r="836" spans="2:14" hidden="1" outlineLevel="1">
      <c r="B836" s="73">
        <v>830</v>
      </c>
      <c r="C836" s="39"/>
      <c r="D836" s="40"/>
      <c r="E836" s="34" t="s">
        <v>323</v>
      </c>
      <c r="F836" s="75" t="s">
        <v>1201</v>
      </c>
      <c r="G836" s="35" t="s">
        <v>370</v>
      </c>
      <c r="H836" s="41" t="s">
        <v>371</v>
      </c>
      <c r="I836" s="44" t="str">
        <f>"0x"&amp;AE_w_WORK!G67</f>
        <v>0x2222</v>
      </c>
      <c r="J836" s="36">
        <v>41046</v>
      </c>
      <c r="K836" s="37"/>
      <c r="L836" s="74">
        <f t="shared" si="14"/>
        <v>1660</v>
      </c>
      <c r="M836" s="74"/>
      <c r="N836" s="74"/>
    </row>
    <row r="837" spans="2:14" hidden="1" outlineLevel="1">
      <c r="B837" s="73">
        <v>831</v>
      </c>
      <c r="C837" s="39"/>
      <c r="D837" s="40"/>
      <c r="E837" s="34" t="s">
        <v>323</v>
      </c>
      <c r="F837" s="75" t="s">
        <v>1202</v>
      </c>
      <c r="G837" s="35" t="s">
        <v>370</v>
      </c>
      <c r="H837" s="41" t="s">
        <v>371</v>
      </c>
      <c r="I837" s="44" t="str">
        <f>"0x"&amp;AE_w_WORK!G68</f>
        <v>0x2222</v>
      </c>
      <c r="J837" s="36">
        <v>41047</v>
      </c>
      <c r="K837" s="37"/>
      <c r="L837" s="74">
        <f t="shared" si="14"/>
        <v>1662</v>
      </c>
      <c r="M837" s="74"/>
      <c r="N837" s="74"/>
    </row>
    <row r="838" spans="2:14" hidden="1" outlineLevel="1">
      <c r="B838" s="73">
        <v>832</v>
      </c>
      <c r="C838" s="39"/>
      <c r="D838" s="40"/>
      <c r="E838" s="34" t="s">
        <v>323</v>
      </c>
      <c r="F838" s="75" t="s">
        <v>1203</v>
      </c>
      <c r="G838" s="35" t="s">
        <v>370</v>
      </c>
      <c r="H838" s="41" t="s">
        <v>371</v>
      </c>
      <c r="I838" s="44" t="str">
        <f>"0x"&amp;AE_w_WORK!G69</f>
        <v>0x2222</v>
      </c>
      <c r="J838" s="36">
        <v>41048</v>
      </c>
      <c r="K838" s="37"/>
      <c r="L838" s="74">
        <f t="shared" si="14"/>
        <v>1664</v>
      </c>
      <c r="M838" s="74"/>
      <c r="N838" s="74"/>
    </row>
    <row r="839" spans="2:14" hidden="1" outlineLevel="1">
      <c r="B839" s="73">
        <v>833</v>
      </c>
      <c r="C839" s="39"/>
      <c r="D839" s="40"/>
      <c r="E839" s="34" t="s">
        <v>323</v>
      </c>
      <c r="F839" s="75" t="s">
        <v>1204</v>
      </c>
      <c r="G839" s="35" t="s">
        <v>370</v>
      </c>
      <c r="H839" s="41" t="s">
        <v>371</v>
      </c>
      <c r="I839" s="44" t="str">
        <f>"0x"&amp;AE_w_WORK!G70</f>
        <v>0x2222</v>
      </c>
      <c r="J839" s="36">
        <v>41049</v>
      </c>
      <c r="K839" s="37"/>
      <c r="L839" s="74">
        <f t="shared" si="14"/>
        <v>1666</v>
      </c>
      <c r="M839" s="74"/>
      <c r="N839" s="74"/>
    </row>
    <row r="840" spans="2:14" hidden="1" outlineLevel="1">
      <c r="B840" s="73">
        <v>834</v>
      </c>
      <c r="C840" s="39"/>
      <c r="D840" s="40"/>
      <c r="E840" s="34" t="s">
        <v>323</v>
      </c>
      <c r="F840" s="75" t="s">
        <v>1205</v>
      </c>
      <c r="G840" s="35" t="s">
        <v>370</v>
      </c>
      <c r="H840" s="41" t="s">
        <v>371</v>
      </c>
      <c r="I840" s="44" t="str">
        <f>"0x"&amp;AE_w_WORK!G71</f>
        <v>0x2222</v>
      </c>
      <c r="J840" s="36">
        <v>41050</v>
      </c>
      <c r="K840" s="37"/>
      <c r="L840" s="74">
        <f t="shared" si="14"/>
        <v>1668</v>
      </c>
      <c r="M840" s="74"/>
      <c r="N840" s="74"/>
    </row>
    <row r="841" spans="2:14" hidden="1" outlineLevel="1">
      <c r="B841" s="73">
        <v>835</v>
      </c>
      <c r="C841" s="39"/>
      <c r="D841" s="40"/>
      <c r="E841" s="34" t="s">
        <v>323</v>
      </c>
      <c r="F841" s="75" t="s">
        <v>1206</v>
      </c>
      <c r="G841" s="35" t="s">
        <v>370</v>
      </c>
      <c r="H841" s="41" t="s">
        <v>371</v>
      </c>
      <c r="I841" s="44" t="str">
        <f>"0x"&amp;AE_w_WORK!G72</f>
        <v>0x2222</v>
      </c>
      <c r="J841" s="36">
        <v>41051</v>
      </c>
      <c r="K841" s="37"/>
      <c r="L841" s="74">
        <f t="shared" ref="L841:L904" si="15">L840+2</f>
        <v>1670</v>
      </c>
      <c r="M841" s="74"/>
      <c r="N841" s="74"/>
    </row>
    <row r="842" spans="2:14" hidden="1" outlineLevel="1">
      <c r="B842" s="73">
        <v>836</v>
      </c>
      <c r="C842" s="39"/>
      <c r="D842" s="40"/>
      <c r="E842" s="34" t="s">
        <v>323</v>
      </c>
      <c r="F842" s="75" t="s">
        <v>1207</v>
      </c>
      <c r="G842" s="35" t="s">
        <v>370</v>
      </c>
      <c r="H842" s="41" t="s">
        <v>371</v>
      </c>
      <c r="I842" s="44" t="str">
        <f>"0x"&amp;AE_w_WORK!G73</f>
        <v>0x2222</v>
      </c>
      <c r="J842" s="36">
        <v>41052</v>
      </c>
      <c r="K842" s="37"/>
      <c r="L842" s="74">
        <f t="shared" si="15"/>
        <v>1672</v>
      </c>
      <c r="M842" s="74"/>
      <c r="N842" s="74"/>
    </row>
    <row r="843" spans="2:14" hidden="1" outlineLevel="1">
      <c r="B843" s="73">
        <v>837</v>
      </c>
      <c r="C843" s="39"/>
      <c r="D843" s="40"/>
      <c r="E843" s="34" t="s">
        <v>323</v>
      </c>
      <c r="F843" s="75" t="s">
        <v>1208</v>
      </c>
      <c r="G843" s="35" t="s">
        <v>370</v>
      </c>
      <c r="H843" s="41" t="s">
        <v>371</v>
      </c>
      <c r="I843" s="44" t="str">
        <f>"0x"&amp;AE_w_WORK!G74</f>
        <v>0x2222</v>
      </c>
      <c r="J843" s="36">
        <v>41053</v>
      </c>
      <c r="K843" s="37"/>
      <c r="L843" s="74">
        <f t="shared" si="15"/>
        <v>1674</v>
      </c>
      <c r="M843" s="74"/>
      <c r="N843" s="74"/>
    </row>
    <row r="844" spans="2:14" hidden="1" outlineLevel="1">
      <c r="B844" s="73">
        <v>838</v>
      </c>
      <c r="C844" s="39"/>
      <c r="D844" s="40"/>
      <c r="E844" s="34" t="s">
        <v>323</v>
      </c>
      <c r="F844" s="75" t="s">
        <v>1209</v>
      </c>
      <c r="G844" s="35" t="s">
        <v>370</v>
      </c>
      <c r="H844" s="41" t="s">
        <v>371</v>
      </c>
      <c r="I844" s="44" t="str">
        <f>"0x"&amp;AE_w_WORK!G75</f>
        <v>0x2222</v>
      </c>
      <c r="J844" s="36">
        <v>41054</v>
      </c>
      <c r="K844" s="37"/>
      <c r="L844" s="74">
        <f t="shared" si="15"/>
        <v>1676</v>
      </c>
      <c r="M844" s="74"/>
      <c r="N844" s="74"/>
    </row>
    <row r="845" spans="2:14" hidden="1" outlineLevel="1">
      <c r="B845" s="73">
        <v>839</v>
      </c>
      <c r="C845" s="39"/>
      <c r="D845" s="40"/>
      <c r="E845" s="34" t="s">
        <v>323</v>
      </c>
      <c r="F845" s="75" t="s">
        <v>1210</v>
      </c>
      <c r="G845" s="35" t="s">
        <v>370</v>
      </c>
      <c r="H845" s="41" t="s">
        <v>371</v>
      </c>
      <c r="I845" s="44" t="str">
        <f>"0x"&amp;AE_w_WORK!G76</f>
        <v>0x2222</v>
      </c>
      <c r="J845" s="36">
        <v>41055</v>
      </c>
      <c r="K845" s="37"/>
      <c r="L845" s="74">
        <f t="shared" si="15"/>
        <v>1678</v>
      </c>
      <c r="M845" s="74"/>
      <c r="N845" s="74"/>
    </row>
    <row r="846" spans="2:14" hidden="1" outlineLevel="1">
      <c r="B846" s="73">
        <v>840</v>
      </c>
      <c r="C846" s="39"/>
      <c r="D846" s="40"/>
      <c r="E846" s="34" t="s">
        <v>323</v>
      </c>
      <c r="F846" s="75" t="s">
        <v>1211</v>
      </c>
      <c r="G846" s="35" t="s">
        <v>370</v>
      </c>
      <c r="H846" s="41" t="s">
        <v>371</v>
      </c>
      <c r="I846" s="44" t="str">
        <f>"0x"&amp;AE_w_WORK!G77</f>
        <v>0x2222</v>
      </c>
      <c r="J846" s="36">
        <v>41056</v>
      </c>
      <c r="K846" s="37"/>
      <c r="L846" s="74">
        <f t="shared" si="15"/>
        <v>1680</v>
      </c>
      <c r="M846" s="74"/>
      <c r="N846" s="74"/>
    </row>
    <row r="847" spans="2:14" hidden="1" outlineLevel="1">
      <c r="B847" s="73">
        <v>841</v>
      </c>
      <c r="C847" s="39"/>
      <c r="D847" s="40"/>
      <c r="E847" s="34" t="s">
        <v>323</v>
      </c>
      <c r="F847" s="75" t="s">
        <v>1212</v>
      </c>
      <c r="G847" s="35" t="s">
        <v>370</v>
      </c>
      <c r="H847" s="41" t="s">
        <v>371</v>
      </c>
      <c r="I847" s="44" t="str">
        <f>"0x"&amp;AE_w_WORK!G78</f>
        <v>0x2222</v>
      </c>
      <c r="J847" s="36">
        <v>41057</v>
      </c>
      <c r="K847" s="37"/>
      <c r="L847" s="74">
        <f t="shared" si="15"/>
        <v>1682</v>
      </c>
      <c r="M847" s="74"/>
      <c r="N847" s="74"/>
    </row>
    <row r="848" spans="2:14" hidden="1" outlineLevel="1">
      <c r="B848" s="73">
        <v>842</v>
      </c>
      <c r="C848" s="39"/>
      <c r="D848" s="40"/>
      <c r="E848" s="34" t="s">
        <v>323</v>
      </c>
      <c r="F848" s="75" t="s">
        <v>1213</v>
      </c>
      <c r="G848" s="35" t="s">
        <v>370</v>
      </c>
      <c r="H848" s="41" t="s">
        <v>371</v>
      </c>
      <c r="I848" s="44" t="str">
        <f>"0x"&amp;AE_w_WORK!G79</f>
        <v>0x2222</v>
      </c>
      <c r="J848" s="36">
        <v>41058</v>
      </c>
      <c r="K848" s="37"/>
      <c r="L848" s="74">
        <f t="shared" si="15"/>
        <v>1684</v>
      </c>
      <c r="M848" s="74"/>
      <c r="N848" s="74"/>
    </row>
    <row r="849" spans="2:14" hidden="1" outlineLevel="1">
      <c r="B849" s="73">
        <v>843</v>
      </c>
      <c r="C849" s="39"/>
      <c r="D849" s="40"/>
      <c r="E849" s="34" t="s">
        <v>323</v>
      </c>
      <c r="F849" s="75" t="s">
        <v>1214</v>
      </c>
      <c r="G849" s="35" t="s">
        <v>370</v>
      </c>
      <c r="H849" s="41" t="s">
        <v>371</v>
      </c>
      <c r="I849" s="44" t="str">
        <f>"0x"&amp;AE_w_WORK!G80</f>
        <v>0x2222</v>
      </c>
      <c r="J849" s="36">
        <v>41059</v>
      </c>
      <c r="K849" s="37"/>
      <c r="L849" s="74">
        <f t="shared" si="15"/>
        <v>1686</v>
      </c>
      <c r="M849" s="74"/>
      <c r="N849" s="74"/>
    </row>
    <row r="850" spans="2:14" hidden="1" outlineLevel="1">
      <c r="B850" s="73">
        <v>844</v>
      </c>
      <c r="C850" s="39"/>
      <c r="D850" s="40"/>
      <c r="E850" s="34" t="s">
        <v>323</v>
      </c>
      <c r="F850" s="75" t="s">
        <v>1215</v>
      </c>
      <c r="G850" s="35" t="s">
        <v>370</v>
      </c>
      <c r="H850" s="41" t="s">
        <v>371</v>
      </c>
      <c r="I850" s="44" t="str">
        <f>"0x"&amp;AE_w_WORK!G81</f>
        <v>0x2222</v>
      </c>
      <c r="J850" s="36">
        <v>41060</v>
      </c>
      <c r="K850" s="37"/>
      <c r="L850" s="74">
        <f t="shared" si="15"/>
        <v>1688</v>
      </c>
      <c r="M850" s="74"/>
      <c r="N850" s="74"/>
    </row>
    <row r="851" spans="2:14" hidden="1" outlineLevel="1">
      <c r="B851" s="73">
        <v>845</v>
      </c>
      <c r="C851" s="39"/>
      <c r="D851" s="40"/>
      <c r="E851" s="34" t="s">
        <v>323</v>
      </c>
      <c r="F851" s="75" t="s">
        <v>1216</v>
      </c>
      <c r="G851" s="35" t="s">
        <v>370</v>
      </c>
      <c r="H851" s="41" t="s">
        <v>371</v>
      </c>
      <c r="I851" s="44" t="str">
        <f>"0x"&amp;AE_w_WORK!G82</f>
        <v>0x2222</v>
      </c>
      <c r="J851" s="36">
        <v>41061</v>
      </c>
      <c r="K851" s="37"/>
      <c r="L851" s="74">
        <f t="shared" si="15"/>
        <v>1690</v>
      </c>
      <c r="M851" s="74"/>
      <c r="N851" s="74"/>
    </row>
    <row r="852" spans="2:14" hidden="1" outlineLevel="1">
      <c r="B852" s="73">
        <v>846</v>
      </c>
      <c r="C852" s="39"/>
      <c r="D852" s="40"/>
      <c r="E852" s="34" t="s">
        <v>323</v>
      </c>
      <c r="F852" s="75" t="s">
        <v>1217</v>
      </c>
      <c r="G852" s="35" t="s">
        <v>370</v>
      </c>
      <c r="H852" s="41" t="s">
        <v>371</v>
      </c>
      <c r="I852" s="44" t="str">
        <f>"0x"&amp;AE_w_WORK!G83</f>
        <v>0x2222</v>
      </c>
      <c r="J852" s="36">
        <v>41062</v>
      </c>
      <c r="K852" s="37"/>
      <c r="L852" s="74">
        <f t="shared" si="15"/>
        <v>1692</v>
      </c>
      <c r="M852" s="74"/>
      <c r="N852" s="74"/>
    </row>
    <row r="853" spans="2:14" hidden="1" outlineLevel="1">
      <c r="B853" s="73">
        <v>847</v>
      </c>
      <c r="C853" s="39"/>
      <c r="D853" s="40"/>
      <c r="E853" s="34" t="s">
        <v>323</v>
      </c>
      <c r="F853" s="75" t="s">
        <v>1218</v>
      </c>
      <c r="G853" s="35" t="s">
        <v>370</v>
      </c>
      <c r="H853" s="41" t="s">
        <v>371</v>
      </c>
      <c r="I853" s="44" t="str">
        <f>"0x"&amp;AE_w_WORK!G84</f>
        <v>0x2222</v>
      </c>
      <c r="J853" s="36">
        <v>41063</v>
      </c>
      <c r="K853" s="37"/>
      <c r="L853" s="74">
        <f t="shared" si="15"/>
        <v>1694</v>
      </c>
      <c r="M853" s="74"/>
      <c r="N853" s="74"/>
    </row>
    <row r="854" spans="2:14" hidden="1" outlineLevel="1">
      <c r="B854" s="73">
        <v>848</v>
      </c>
      <c r="C854" s="39"/>
      <c r="D854" s="40"/>
      <c r="E854" s="34" t="s">
        <v>323</v>
      </c>
      <c r="F854" s="75" t="s">
        <v>1219</v>
      </c>
      <c r="G854" s="35" t="s">
        <v>370</v>
      </c>
      <c r="H854" s="41" t="s">
        <v>371</v>
      </c>
      <c r="I854" s="44" t="str">
        <f>"0x"&amp;AE_w_WORK!G85</f>
        <v>0x2222</v>
      </c>
      <c r="J854" s="36">
        <v>41064</v>
      </c>
      <c r="K854" s="37"/>
      <c r="L854" s="74">
        <f t="shared" si="15"/>
        <v>1696</v>
      </c>
      <c r="M854" s="74"/>
      <c r="N854" s="74"/>
    </row>
    <row r="855" spans="2:14" hidden="1" outlineLevel="1">
      <c r="B855" s="73">
        <v>849</v>
      </c>
      <c r="C855" s="39"/>
      <c r="D855" s="40"/>
      <c r="E855" s="34" t="s">
        <v>323</v>
      </c>
      <c r="F855" s="75" t="s">
        <v>1220</v>
      </c>
      <c r="G855" s="35" t="s">
        <v>370</v>
      </c>
      <c r="H855" s="41" t="s">
        <v>371</v>
      </c>
      <c r="I855" s="44" t="str">
        <f>"0x"&amp;AE_w_WORK!G86</f>
        <v>0x2222</v>
      </c>
      <c r="J855" s="36">
        <v>41065</v>
      </c>
      <c r="K855" s="37"/>
      <c r="L855" s="74">
        <f t="shared" si="15"/>
        <v>1698</v>
      </c>
      <c r="M855" s="74"/>
      <c r="N855" s="74"/>
    </row>
    <row r="856" spans="2:14" hidden="1" outlineLevel="1">
      <c r="B856" s="73">
        <v>850</v>
      </c>
      <c r="C856" s="39"/>
      <c r="D856" s="40"/>
      <c r="E856" s="34" t="s">
        <v>323</v>
      </c>
      <c r="F856" s="75" t="s">
        <v>1221</v>
      </c>
      <c r="G856" s="35" t="s">
        <v>370</v>
      </c>
      <c r="H856" s="41" t="s">
        <v>371</v>
      </c>
      <c r="I856" s="44" t="str">
        <f>"0x"&amp;AE_w_WORK!G87</f>
        <v>0x2222</v>
      </c>
      <c r="J856" s="36">
        <v>41066</v>
      </c>
      <c r="K856" s="37"/>
      <c r="L856" s="74">
        <f t="shared" si="15"/>
        <v>1700</v>
      </c>
      <c r="M856" s="74"/>
      <c r="N856" s="74"/>
    </row>
    <row r="857" spans="2:14" hidden="1" outlineLevel="1">
      <c r="B857" s="73">
        <v>851</v>
      </c>
      <c r="C857" s="39"/>
      <c r="D857" s="40"/>
      <c r="E857" s="34" t="s">
        <v>323</v>
      </c>
      <c r="F857" s="75" t="s">
        <v>1222</v>
      </c>
      <c r="G857" s="35" t="s">
        <v>370</v>
      </c>
      <c r="H857" s="41" t="s">
        <v>371</v>
      </c>
      <c r="I857" s="44" t="str">
        <f>"0x"&amp;AE_w_WORK!G88</f>
        <v>0x2222</v>
      </c>
      <c r="J857" s="36">
        <v>41067</v>
      </c>
      <c r="K857" s="37"/>
      <c r="L857" s="74">
        <f t="shared" si="15"/>
        <v>1702</v>
      </c>
      <c r="M857" s="74"/>
      <c r="N857" s="74"/>
    </row>
    <row r="858" spans="2:14" hidden="1" outlineLevel="1">
      <c r="B858" s="73">
        <v>852</v>
      </c>
      <c r="C858" s="39"/>
      <c r="D858" s="40"/>
      <c r="E858" s="34" t="s">
        <v>323</v>
      </c>
      <c r="F858" s="75" t="s">
        <v>1223</v>
      </c>
      <c r="G858" s="35" t="s">
        <v>370</v>
      </c>
      <c r="H858" s="41" t="s">
        <v>371</v>
      </c>
      <c r="I858" s="44" t="str">
        <f>"0x"&amp;AE_w_WORK!G89</f>
        <v>0x3333</v>
      </c>
      <c r="J858" s="36">
        <v>41068</v>
      </c>
      <c r="K858" s="37"/>
      <c r="L858" s="74">
        <f t="shared" si="15"/>
        <v>1704</v>
      </c>
      <c r="M858" s="74"/>
      <c r="N858" s="74"/>
    </row>
    <row r="859" spans="2:14" hidden="1" outlineLevel="1">
      <c r="B859" s="73">
        <v>853</v>
      </c>
      <c r="C859" s="39"/>
      <c r="D859" s="40"/>
      <c r="E859" s="34" t="s">
        <v>323</v>
      </c>
      <c r="F859" s="75" t="s">
        <v>1224</v>
      </c>
      <c r="G859" s="35" t="s">
        <v>370</v>
      </c>
      <c r="H859" s="41" t="s">
        <v>371</v>
      </c>
      <c r="I859" s="44" t="str">
        <f>"0x"&amp;AE_w_WORK!G90</f>
        <v>0x3333</v>
      </c>
      <c r="J859" s="36">
        <v>41069</v>
      </c>
      <c r="K859" s="37"/>
      <c r="L859" s="74">
        <f t="shared" si="15"/>
        <v>1706</v>
      </c>
      <c r="M859" s="74"/>
      <c r="N859" s="74"/>
    </row>
    <row r="860" spans="2:14" hidden="1" outlineLevel="1">
      <c r="B860" s="73">
        <v>854</v>
      </c>
      <c r="C860" s="39"/>
      <c r="D860" s="40"/>
      <c r="E860" s="34" t="s">
        <v>323</v>
      </c>
      <c r="F860" s="75" t="s">
        <v>1225</v>
      </c>
      <c r="G860" s="35" t="s">
        <v>370</v>
      </c>
      <c r="H860" s="41" t="s">
        <v>371</v>
      </c>
      <c r="I860" s="44" t="str">
        <f>"0x"&amp;AE_w_WORK!G91</f>
        <v>0x2222</v>
      </c>
      <c r="J860" s="36">
        <v>41070</v>
      </c>
      <c r="K860" s="37"/>
      <c r="L860" s="74">
        <f t="shared" si="15"/>
        <v>1708</v>
      </c>
      <c r="M860" s="74"/>
      <c r="N860" s="74"/>
    </row>
    <row r="861" spans="2:14" hidden="1" outlineLevel="1">
      <c r="B861" s="73">
        <v>855</v>
      </c>
      <c r="C861" s="39"/>
      <c r="D861" s="40"/>
      <c r="E861" s="34" t="s">
        <v>323</v>
      </c>
      <c r="F861" s="75" t="s">
        <v>1226</v>
      </c>
      <c r="G861" s="35" t="s">
        <v>370</v>
      </c>
      <c r="H861" s="41" t="s">
        <v>371</v>
      </c>
      <c r="I861" s="44" t="str">
        <f>"0x"&amp;AE_w_WORK!G92</f>
        <v>0x2222</v>
      </c>
      <c r="J861" s="36">
        <v>41071</v>
      </c>
      <c r="K861" s="37"/>
      <c r="L861" s="74">
        <f t="shared" si="15"/>
        <v>1710</v>
      </c>
      <c r="M861" s="74"/>
      <c r="N861" s="74"/>
    </row>
    <row r="862" spans="2:14" hidden="1" outlineLevel="1">
      <c r="B862" s="73">
        <v>856</v>
      </c>
      <c r="C862" s="39"/>
      <c r="D862" s="40"/>
      <c r="E862" s="34" t="s">
        <v>323</v>
      </c>
      <c r="F862" s="75" t="s">
        <v>1227</v>
      </c>
      <c r="G862" s="35" t="s">
        <v>370</v>
      </c>
      <c r="H862" s="41" t="s">
        <v>371</v>
      </c>
      <c r="I862" s="44" t="str">
        <f>"0x"&amp;AE_w_WORK!G93</f>
        <v>0x2222</v>
      </c>
      <c r="J862" s="36">
        <v>41072</v>
      </c>
      <c r="K862" s="37"/>
      <c r="L862" s="74">
        <f t="shared" si="15"/>
        <v>1712</v>
      </c>
      <c r="M862" s="74"/>
      <c r="N862" s="74"/>
    </row>
    <row r="863" spans="2:14" hidden="1" outlineLevel="1">
      <c r="B863" s="73">
        <v>857</v>
      </c>
      <c r="C863" s="39"/>
      <c r="D863" s="40"/>
      <c r="E863" s="34" t="s">
        <v>323</v>
      </c>
      <c r="F863" s="75" t="s">
        <v>1228</v>
      </c>
      <c r="G863" s="35" t="s">
        <v>370</v>
      </c>
      <c r="H863" s="41" t="s">
        <v>371</v>
      </c>
      <c r="I863" s="44" t="str">
        <f>"0x"&amp;AE_w_WORK!G94</f>
        <v>0x2222</v>
      </c>
      <c r="J863" s="36">
        <v>41073</v>
      </c>
      <c r="K863" s="37"/>
      <c r="L863" s="74">
        <f t="shared" si="15"/>
        <v>1714</v>
      </c>
      <c r="M863" s="74"/>
      <c r="N863" s="74"/>
    </row>
    <row r="864" spans="2:14" hidden="1" outlineLevel="1">
      <c r="B864" s="73">
        <v>858</v>
      </c>
      <c r="C864" s="39"/>
      <c r="D864" s="40"/>
      <c r="E864" s="34" t="s">
        <v>323</v>
      </c>
      <c r="F864" s="75" t="s">
        <v>1229</v>
      </c>
      <c r="G864" s="35" t="s">
        <v>370</v>
      </c>
      <c r="H864" s="41" t="s">
        <v>371</v>
      </c>
      <c r="I864" s="44" t="str">
        <f>"0x"&amp;AE_w_WORK!G95</f>
        <v>0x2222</v>
      </c>
      <c r="J864" s="36">
        <v>41074</v>
      </c>
      <c r="K864" s="37"/>
      <c r="L864" s="74">
        <f t="shared" si="15"/>
        <v>1716</v>
      </c>
      <c r="M864" s="74"/>
      <c r="N864" s="74"/>
    </row>
    <row r="865" spans="2:14" hidden="1" outlineLevel="1">
      <c r="B865" s="73">
        <v>859</v>
      </c>
      <c r="C865" s="39"/>
      <c r="D865" s="40"/>
      <c r="E865" s="34" t="s">
        <v>323</v>
      </c>
      <c r="F865" s="75" t="s">
        <v>1230</v>
      </c>
      <c r="G865" s="35" t="s">
        <v>370</v>
      </c>
      <c r="H865" s="41" t="s">
        <v>371</v>
      </c>
      <c r="I865" s="44" t="str">
        <f>"0x"&amp;AE_w_WORK!G96</f>
        <v>0x2222</v>
      </c>
      <c r="J865" s="36">
        <v>41075</v>
      </c>
      <c r="K865" s="37"/>
      <c r="L865" s="74">
        <f t="shared" si="15"/>
        <v>1718</v>
      </c>
      <c r="M865" s="74"/>
      <c r="N865" s="74"/>
    </row>
    <row r="866" spans="2:14" hidden="1" outlineLevel="1">
      <c r="B866" s="73">
        <v>860</v>
      </c>
      <c r="C866" s="39"/>
      <c r="D866" s="40"/>
      <c r="E866" s="34" t="s">
        <v>323</v>
      </c>
      <c r="F866" s="75" t="s">
        <v>1231</v>
      </c>
      <c r="G866" s="35" t="s">
        <v>370</v>
      </c>
      <c r="H866" s="41" t="s">
        <v>371</v>
      </c>
      <c r="I866" s="44" t="str">
        <f>"0x"&amp;AE_w_WORK!G97</f>
        <v>0x3333</v>
      </c>
      <c r="J866" s="36">
        <v>41076</v>
      </c>
      <c r="K866" s="37"/>
      <c r="L866" s="74">
        <f t="shared" si="15"/>
        <v>1720</v>
      </c>
      <c r="M866" s="74"/>
      <c r="N866" s="74"/>
    </row>
    <row r="867" spans="2:14" hidden="1" outlineLevel="1">
      <c r="B867" s="73">
        <v>861</v>
      </c>
      <c r="C867" s="39"/>
      <c r="D867" s="40"/>
      <c r="E867" s="34" t="s">
        <v>323</v>
      </c>
      <c r="F867" s="75" t="s">
        <v>1232</v>
      </c>
      <c r="G867" s="35" t="s">
        <v>370</v>
      </c>
      <c r="H867" s="41" t="s">
        <v>371</v>
      </c>
      <c r="I867" s="44" t="str">
        <f>"0x"&amp;AE_w_WORK!G98</f>
        <v>0x3333</v>
      </c>
      <c r="J867" s="36">
        <v>41077</v>
      </c>
      <c r="K867" s="37"/>
      <c r="L867" s="74">
        <f t="shared" si="15"/>
        <v>1722</v>
      </c>
      <c r="M867" s="74"/>
      <c r="N867" s="74"/>
    </row>
    <row r="868" spans="2:14" hidden="1" outlineLevel="1">
      <c r="B868" s="73">
        <v>862</v>
      </c>
      <c r="C868" s="39"/>
      <c r="D868" s="40"/>
      <c r="E868" s="34" t="s">
        <v>323</v>
      </c>
      <c r="F868" s="75" t="s">
        <v>1233</v>
      </c>
      <c r="G868" s="35" t="s">
        <v>370</v>
      </c>
      <c r="H868" s="41" t="s">
        <v>371</v>
      </c>
      <c r="I868" s="44" t="str">
        <f>"0x"&amp;AE_w_WORK!G99</f>
        <v>0x2222</v>
      </c>
      <c r="J868" s="36">
        <v>41078</v>
      </c>
      <c r="K868" s="37"/>
      <c r="L868" s="74">
        <f t="shared" si="15"/>
        <v>1724</v>
      </c>
      <c r="M868" s="74"/>
      <c r="N868" s="74"/>
    </row>
    <row r="869" spans="2:14" hidden="1" outlineLevel="1">
      <c r="B869" s="73">
        <v>863</v>
      </c>
      <c r="C869" s="39"/>
      <c r="D869" s="40"/>
      <c r="E869" s="34" t="s">
        <v>323</v>
      </c>
      <c r="F869" s="75" t="s">
        <v>1234</v>
      </c>
      <c r="G869" s="35" t="s">
        <v>370</v>
      </c>
      <c r="H869" s="41" t="s">
        <v>371</v>
      </c>
      <c r="I869" s="44" t="str">
        <f>"0x"&amp;AE_w_WORK!G100</f>
        <v>0x2222</v>
      </c>
      <c r="J869" s="36">
        <v>41079</v>
      </c>
      <c r="K869" s="37"/>
      <c r="L869" s="74">
        <f t="shared" si="15"/>
        <v>1726</v>
      </c>
      <c r="M869" s="74"/>
      <c r="N869" s="74"/>
    </row>
    <row r="870" spans="2:14" hidden="1" outlineLevel="1">
      <c r="B870" s="73">
        <v>864</v>
      </c>
      <c r="C870" s="39"/>
      <c r="D870" s="40"/>
      <c r="E870" s="34" t="s">
        <v>323</v>
      </c>
      <c r="F870" s="75" t="s">
        <v>1235</v>
      </c>
      <c r="G870" s="35" t="s">
        <v>370</v>
      </c>
      <c r="H870" s="41" t="s">
        <v>371</v>
      </c>
      <c r="I870" s="44" t="str">
        <f>"0x"&amp;AE_w_WORK!G101</f>
        <v>0x2222</v>
      </c>
      <c r="J870" s="36">
        <v>41080</v>
      </c>
      <c r="K870" s="37"/>
      <c r="L870" s="74">
        <f t="shared" si="15"/>
        <v>1728</v>
      </c>
      <c r="M870" s="74"/>
      <c r="N870" s="74"/>
    </row>
    <row r="871" spans="2:14" hidden="1" outlineLevel="1">
      <c r="B871" s="73">
        <v>865</v>
      </c>
      <c r="C871" s="39"/>
      <c r="D871" s="40"/>
      <c r="E871" s="34" t="s">
        <v>323</v>
      </c>
      <c r="F871" s="75" t="s">
        <v>1236</v>
      </c>
      <c r="G871" s="35" t="s">
        <v>370</v>
      </c>
      <c r="H871" s="41" t="s">
        <v>371</v>
      </c>
      <c r="I871" s="44" t="str">
        <f>"0x"&amp;AE_w_WORK!G102</f>
        <v>0x2222</v>
      </c>
      <c r="J871" s="36">
        <v>41081</v>
      </c>
      <c r="K871" s="37"/>
      <c r="L871" s="74">
        <f t="shared" si="15"/>
        <v>1730</v>
      </c>
      <c r="M871" s="74"/>
      <c r="N871" s="74"/>
    </row>
    <row r="872" spans="2:14" hidden="1" outlineLevel="1">
      <c r="B872" s="73">
        <v>866</v>
      </c>
      <c r="C872" s="39"/>
      <c r="D872" s="40"/>
      <c r="E872" s="34" t="s">
        <v>323</v>
      </c>
      <c r="F872" s="75" t="s">
        <v>1237</v>
      </c>
      <c r="G872" s="35" t="s">
        <v>370</v>
      </c>
      <c r="H872" s="41" t="s">
        <v>371</v>
      </c>
      <c r="I872" s="44" t="str">
        <f>"0x"&amp;AE_w_WORK!G103</f>
        <v>0x2222</v>
      </c>
      <c r="J872" s="36">
        <v>41082</v>
      </c>
      <c r="K872" s="37"/>
      <c r="L872" s="74">
        <f t="shared" si="15"/>
        <v>1732</v>
      </c>
      <c r="M872" s="74"/>
      <c r="N872" s="74"/>
    </row>
    <row r="873" spans="2:14" hidden="1" outlineLevel="1">
      <c r="B873" s="73">
        <v>867</v>
      </c>
      <c r="C873" s="39"/>
      <c r="D873" s="40"/>
      <c r="E873" s="34" t="s">
        <v>323</v>
      </c>
      <c r="F873" s="75" t="s">
        <v>1238</v>
      </c>
      <c r="G873" s="35" t="s">
        <v>370</v>
      </c>
      <c r="H873" s="41" t="s">
        <v>371</v>
      </c>
      <c r="I873" s="44" t="str">
        <f>"0x"&amp;AE_w_WORK!G104</f>
        <v>0x2233</v>
      </c>
      <c r="J873" s="36">
        <v>41083</v>
      </c>
      <c r="K873" s="37"/>
      <c r="L873" s="74">
        <f t="shared" si="15"/>
        <v>1734</v>
      </c>
      <c r="M873" s="74"/>
      <c r="N873" s="74"/>
    </row>
    <row r="874" spans="2:14" hidden="1" outlineLevel="1">
      <c r="B874" s="73">
        <v>868</v>
      </c>
      <c r="C874" s="39"/>
      <c r="D874" s="40"/>
      <c r="E874" s="34" t="s">
        <v>323</v>
      </c>
      <c r="F874" s="75" t="s">
        <v>1239</v>
      </c>
      <c r="G874" s="35" t="s">
        <v>370</v>
      </c>
      <c r="H874" s="41" t="s">
        <v>371</v>
      </c>
      <c r="I874" s="44" t="str">
        <f>"0x"&amp;AE_w_WORK!G105</f>
        <v>0x5555</v>
      </c>
      <c r="J874" s="36">
        <v>41084</v>
      </c>
      <c r="K874" s="37"/>
      <c r="L874" s="74">
        <f t="shared" si="15"/>
        <v>1736</v>
      </c>
      <c r="M874" s="74"/>
      <c r="N874" s="74"/>
    </row>
    <row r="875" spans="2:14" hidden="1" outlineLevel="1">
      <c r="B875" s="73">
        <v>869</v>
      </c>
      <c r="C875" s="39"/>
      <c r="D875" s="40"/>
      <c r="E875" s="34" t="s">
        <v>323</v>
      </c>
      <c r="F875" s="75" t="s">
        <v>1240</v>
      </c>
      <c r="G875" s="35" t="s">
        <v>370</v>
      </c>
      <c r="H875" s="41" t="s">
        <v>371</v>
      </c>
      <c r="I875" s="44" t="str">
        <f>"0x"&amp;AE_w_WORK!G106</f>
        <v>0x5555</v>
      </c>
      <c r="J875" s="36">
        <v>41085</v>
      </c>
      <c r="K875" s="37"/>
      <c r="L875" s="74">
        <f t="shared" si="15"/>
        <v>1738</v>
      </c>
      <c r="M875" s="74"/>
      <c r="N875" s="74"/>
    </row>
    <row r="876" spans="2:14" hidden="1" outlineLevel="1">
      <c r="B876" s="73">
        <v>870</v>
      </c>
      <c r="C876" s="39"/>
      <c r="D876" s="40"/>
      <c r="E876" s="34" t="s">
        <v>323</v>
      </c>
      <c r="F876" s="75" t="s">
        <v>1241</v>
      </c>
      <c r="G876" s="35" t="s">
        <v>370</v>
      </c>
      <c r="H876" s="41" t="s">
        <v>371</v>
      </c>
      <c r="I876" s="44" t="str">
        <f>"0x"&amp;AE_w_WORK!G107</f>
        <v>0x3322</v>
      </c>
      <c r="J876" s="36">
        <v>41086</v>
      </c>
      <c r="K876" s="37"/>
      <c r="L876" s="74">
        <f t="shared" si="15"/>
        <v>1740</v>
      </c>
      <c r="M876" s="74"/>
      <c r="N876" s="74"/>
    </row>
    <row r="877" spans="2:14" hidden="1" outlineLevel="1">
      <c r="B877" s="73">
        <v>871</v>
      </c>
      <c r="C877" s="39"/>
      <c r="D877" s="40"/>
      <c r="E877" s="34" t="s">
        <v>323</v>
      </c>
      <c r="F877" s="75" t="s">
        <v>1242</v>
      </c>
      <c r="G877" s="35" t="s">
        <v>370</v>
      </c>
      <c r="H877" s="41" t="s">
        <v>371</v>
      </c>
      <c r="I877" s="44" t="str">
        <f>"0x"&amp;AE_w_WORK!G108</f>
        <v>0x2222</v>
      </c>
      <c r="J877" s="36">
        <v>41087</v>
      </c>
      <c r="K877" s="37"/>
      <c r="L877" s="74">
        <f t="shared" si="15"/>
        <v>1742</v>
      </c>
      <c r="M877" s="74"/>
      <c r="N877" s="74"/>
    </row>
    <row r="878" spans="2:14" hidden="1" outlineLevel="1">
      <c r="B878" s="73">
        <v>872</v>
      </c>
      <c r="C878" s="39"/>
      <c r="D878" s="40"/>
      <c r="E878" s="34" t="s">
        <v>323</v>
      </c>
      <c r="F878" s="75" t="s">
        <v>1243</v>
      </c>
      <c r="G878" s="35" t="s">
        <v>370</v>
      </c>
      <c r="H878" s="41" t="s">
        <v>371</v>
      </c>
      <c r="I878" s="44" t="str">
        <f>"0x"&amp;AE_w_WORK!G109</f>
        <v>0x2222</v>
      </c>
      <c r="J878" s="36">
        <v>41088</v>
      </c>
      <c r="K878" s="37"/>
      <c r="L878" s="74">
        <f t="shared" si="15"/>
        <v>1744</v>
      </c>
      <c r="M878" s="74"/>
      <c r="N878" s="74"/>
    </row>
    <row r="879" spans="2:14" hidden="1" outlineLevel="1">
      <c r="B879" s="73">
        <v>873</v>
      </c>
      <c r="C879" s="39"/>
      <c r="D879" s="40"/>
      <c r="E879" s="34" t="s">
        <v>323</v>
      </c>
      <c r="F879" s="75" t="s">
        <v>1244</v>
      </c>
      <c r="G879" s="35" t="s">
        <v>370</v>
      </c>
      <c r="H879" s="41" t="s">
        <v>371</v>
      </c>
      <c r="I879" s="44" t="str">
        <f>"0x"&amp;AE_w_WORK!G110</f>
        <v>0x2222</v>
      </c>
      <c r="J879" s="36">
        <v>41089</v>
      </c>
      <c r="K879" s="37"/>
      <c r="L879" s="74">
        <f t="shared" si="15"/>
        <v>1746</v>
      </c>
      <c r="M879" s="74"/>
      <c r="N879" s="74"/>
    </row>
    <row r="880" spans="2:14" hidden="1" outlineLevel="1">
      <c r="B880" s="73">
        <v>874</v>
      </c>
      <c r="C880" s="39"/>
      <c r="D880" s="40"/>
      <c r="E880" s="34" t="s">
        <v>323</v>
      </c>
      <c r="F880" s="75" t="s">
        <v>1245</v>
      </c>
      <c r="G880" s="35" t="s">
        <v>370</v>
      </c>
      <c r="H880" s="41" t="s">
        <v>371</v>
      </c>
      <c r="I880" s="44" t="str">
        <f>"0x"&amp;AE_w_WORK!G111</f>
        <v>0x2222</v>
      </c>
      <c r="J880" s="36">
        <v>41090</v>
      </c>
      <c r="K880" s="37"/>
      <c r="L880" s="74">
        <f t="shared" si="15"/>
        <v>1748</v>
      </c>
      <c r="M880" s="74"/>
      <c r="N880" s="74"/>
    </row>
    <row r="881" spans="2:14" hidden="1" outlineLevel="1">
      <c r="B881" s="73">
        <v>875</v>
      </c>
      <c r="C881" s="39"/>
      <c r="D881" s="40"/>
      <c r="E881" s="34" t="s">
        <v>323</v>
      </c>
      <c r="F881" s="75" t="s">
        <v>1246</v>
      </c>
      <c r="G881" s="35" t="s">
        <v>370</v>
      </c>
      <c r="H881" s="41" t="s">
        <v>371</v>
      </c>
      <c r="I881" s="44" t="str">
        <f>"0x"&amp;AE_w_WORK!G112</f>
        <v>0x2233</v>
      </c>
      <c r="J881" s="36">
        <v>41091</v>
      </c>
      <c r="K881" s="37"/>
      <c r="L881" s="74">
        <f t="shared" si="15"/>
        <v>1750</v>
      </c>
      <c r="M881" s="74"/>
      <c r="N881" s="74"/>
    </row>
    <row r="882" spans="2:14" hidden="1" outlineLevel="1">
      <c r="B882" s="73">
        <v>876</v>
      </c>
      <c r="C882" s="39"/>
      <c r="D882" s="40"/>
      <c r="E882" s="34" t="s">
        <v>323</v>
      </c>
      <c r="F882" s="75" t="s">
        <v>1247</v>
      </c>
      <c r="G882" s="35" t="s">
        <v>370</v>
      </c>
      <c r="H882" s="41" t="s">
        <v>371</v>
      </c>
      <c r="I882" s="44" t="str">
        <f>"0x"&amp;AE_w_WORK!G113</f>
        <v>0x5555</v>
      </c>
      <c r="J882" s="36">
        <v>41092</v>
      </c>
      <c r="K882" s="37"/>
      <c r="L882" s="74">
        <f t="shared" si="15"/>
        <v>1752</v>
      </c>
      <c r="M882" s="74"/>
      <c r="N882" s="74"/>
    </row>
    <row r="883" spans="2:14" hidden="1" outlineLevel="1">
      <c r="B883" s="73">
        <v>877</v>
      </c>
      <c r="C883" s="39"/>
      <c r="D883" s="40"/>
      <c r="E883" s="34" t="s">
        <v>323</v>
      </c>
      <c r="F883" s="75" t="s">
        <v>1248</v>
      </c>
      <c r="G883" s="35" t="s">
        <v>370</v>
      </c>
      <c r="H883" s="41" t="s">
        <v>371</v>
      </c>
      <c r="I883" s="44" t="str">
        <f>"0x"&amp;AE_w_WORK!G114</f>
        <v>0x5555</v>
      </c>
      <c r="J883" s="36">
        <v>41093</v>
      </c>
      <c r="K883" s="37"/>
      <c r="L883" s="74">
        <f t="shared" si="15"/>
        <v>1754</v>
      </c>
      <c r="M883" s="74"/>
      <c r="N883" s="74"/>
    </row>
    <row r="884" spans="2:14" hidden="1" outlineLevel="1">
      <c r="B884" s="73">
        <v>878</v>
      </c>
      <c r="C884" s="39"/>
      <c r="D884" s="40"/>
      <c r="E884" s="34" t="s">
        <v>323</v>
      </c>
      <c r="F884" s="75" t="s">
        <v>1249</v>
      </c>
      <c r="G884" s="35" t="s">
        <v>370</v>
      </c>
      <c r="H884" s="41" t="s">
        <v>371</v>
      </c>
      <c r="I884" s="44" t="str">
        <f>"0x"&amp;AE_w_WORK!G115</f>
        <v>0x3322</v>
      </c>
      <c r="J884" s="36">
        <v>41094</v>
      </c>
      <c r="K884" s="37"/>
      <c r="L884" s="74">
        <f t="shared" si="15"/>
        <v>1756</v>
      </c>
      <c r="M884" s="74"/>
      <c r="N884" s="74"/>
    </row>
    <row r="885" spans="2:14" hidden="1" outlineLevel="1">
      <c r="B885" s="73">
        <v>879</v>
      </c>
      <c r="C885" s="39"/>
      <c r="D885" s="40"/>
      <c r="E885" s="34" t="s">
        <v>323</v>
      </c>
      <c r="F885" s="75" t="s">
        <v>1250</v>
      </c>
      <c r="G885" s="35" t="s">
        <v>370</v>
      </c>
      <c r="H885" s="41" t="s">
        <v>371</v>
      </c>
      <c r="I885" s="44" t="str">
        <f>"0x"&amp;AE_w_WORK!G116</f>
        <v>0x2222</v>
      </c>
      <c r="J885" s="36">
        <v>41095</v>
      </c>
      <c r="K885" s="37"/>
      <c r="L885" s="74">
        <f t="shared" si="15"/>
        <v>1758</v>
      </c>
      <c r="M885" s="74"/>
      <c r="N885" s="74"/>
    </row>
    <row r="886" spans="2:14" hidden="1" outlineLevel="1">
      <c r="B886" s="73">
        <v>880</v>
      </c>
      <c r="C886" s="39"/>
      <c r="D886" s="40"/>
      <c r="E886" s="34" t="s">
        <v>323</v>
      </c>
      <c r="F886" s="75" t="s">
        <v>1251</v>
      </c>
      <c r="G886" s="35" t="s">
        <v>370</v>
      </c>
      <c r="H886" s="41" t="s">
        <v>371</v>
      </c>
      <c r="I886" s="44" t="str">
        <f>"0x"&amp;AE_w_WORK!G117</f>
        <v>0x2222</v>
      </c>
      <c r="J886" s="36">
        <v>41096</v>
      </c>
      <c r="K886" s="37"/>
      <c r="L886" s="74">
        <f t="shared" si="15"/>
        <v>1760</v>
      </c>
      <c r="M886" s="74"/>
      <c r="N886" s="74"/>
    </row>
    <row r="887" spans="2:14" hidden="1" outlineLevel="1">
      <c r="B887" s="73">
        <v>881</v>
      </c>
      <c r="C887" s="39"/>
      <c r="D887" s="40"/>
      <c r="E887" s="34" t="s">
        <v>323</v>
      </c>
      <c r="F887" s="75" t="s">
        <v>1252</v>
      </c>
      <c r="G887" s="35" t="s">
        <v>370</v>
      </c>
      <c r="H887" s="41" t="s">
        <v>371</v>
      </c>
      <c r="I887" s="44" t="str">
        <f>"0x"&amp;AE_w_WORK!G118</f>
        <v>0x2222</v>
      </c>
      <c r="J887" s="36">
        <v>41097</v>
      </c>
      <c r="K887" s="37"/>
      <c r="L887" s="74">
        <f t="shared" si="15"/>
        <v>1762</v>
      </c>
      <c r="M887" s="74"/>
      <c r="N887" s="74"/>
    </row>
    <row r="888" spans="2:14" hidden="1" outlineLevel="1">
      <c r="B888" s="73">
        <v>882</v>
      </c>
      <c r="C888" s="39"/>
      <c r="D888" s="40"/>
      <c r="E888" s="34" t="s">
        <v>323</v>
      </c>
      <c r="F888" s="75" t="s">
        <v>1253</v>
      </c>
      <c r="G888" s="35" t="s">
        <v>370</v>
      </c>
      <c r="H888" s="41" t="s">
        <v>371</v>
      </c>
      <c r="I888" s="44" t="str">
        <f>"0x"&amp;AE_w_WORK!G119</f>
        <v>0x2222</v>
      </c>
      <c r="J888" s="36">
        <v>41098</v>
      </c>
      <c r="K888" s="37"/>
      <c r="L888" s="74">
        <f t="shared" si="15"/>
        <v>1764</v>
      </c>
      <c r="M888" s="74"/>
      <c r="N888" s="74"/>
    </row>
    <row r="889" spans="2:14" hidden="1" outlineLevel="1">
      <c r="B889" s="73">
        <v>883</v>
      </c>
      <c r="C889" s="39"/>
      <c r="D889" s="40"/>
      <c r="E889" s="34" t="s">
        <v>323</v>
      </c>
      <c r="F889" s="75" t="s">
        <v>1254</v>
      </c>
      <c r="G889" s="35" t="s">
        <v>370</v>
      </c>
      <c r="H889" s="41" t="s">
        <v>371</v>
      </c>
      <c r="I889" s="44" t="str">
        <f>"0x"&amp;AE_w_WORK!G120</f>
        <v>0x2233</v>
      </c>
      <c r="J889" s="36">
        <v>41099</v>
      </c>
      <c r="K889" s="37"/>
      <c r="L889" s="74">
        <f t="shared" si="15"/>
        <v>1766</v>
      </c>
      <c r="M889" s="74"/>
      <c r="N889" s="74"/>
    </row>
    <row r="890" spans="2:14" hidden="1" outlineLevel="1">
      <c r="B890" s="73">
        <v>884</v>
      </c>
      <c r="C890" s="39"/>
      <c r="D890" s="40"/>
      <c r="E890" s="34" t="s">
        <v>323</v>
      </c>
      <c r="F890" s="75" t="s">
        <v>1255</v>
      </c>
      <c r="G890" s="35" t="s">
        <v>370</v>
      </c>
      <c r="H890" s="41" t="s">
        <v>371</v>
      </c>
      <c r="I890" s="44" t="str">
        <f>"0x"&amp;AE_w_WORK!G121</f>
        <v>0x5555</v>
      </c>
      <c r="J890" s="36">
        <v>41100</v>
      </c>
      <c r="K890" s="37"/>
      <c r="L890" s="74">
        <f t="shared" si="15"/>
        <v>1768</v>
      </c>
      <c r="M890" s="74"/>
      <c r="N890" s="74"/>
    </row>
    <row r="891" spans="2:14" hidden="1" outlineLevel="1">
      <c r="B891" s="73">
        <v>885</v>
      </c>
      <c r="C891" s="39"/>
      <c r="D891" s="40"/>
      <c r="E891" s="34" t="s">
        <v>323</v>
      </c>
      <c r="F891" s="75" t="s">
        <v>1256</v>
      </c>
      <c r="G891" s="35" t="s">
        <v>370</v>
      </c>
      <c r="H891" s="41" t="s">
        <v>371</v>
      </c>
      <c r="I891" s="44" t="str">
        <f>"0x"&amp;AE_w_WORK!G122</f>
        <v>0x5555</v>
      </c>
      <c r="J891" s="36">
        <v>41101</v>
      </c>
      <c r="K891" s="37"/>
      <c r="L891" s="74">
        <f t="shared" si="15"/>
        <v>1770</v>
      </c>
      <c r="M891" s="74"/>
      <c r="N891" s="74"/>
    </row>
    <row r="892" spans="2:14" hidden="1" outlineLevel="1">
      <c r="B892" s="73">
        <v>886</v>
      </c>
      <c r="C892" s="39"/>
      <c r="D892" s="40"/>
      <c r="E892" s="34" t="s">
        <v>323</v>
      </c>
      <c r="F892" s="75" t="s">
        <v>1257</v>
      </c>
      <c r="G892" s="35" t="s">
        <v>370</v>
      </c>
      <c r="H892" s="41" t="s">
        <v>371</v>
      </c>
      <c r="I892" s="44" t="str">
        <f>"0x"&amp;AE_w_WORK!G123</f>
        <v>0x3322</v>
      </c>
      <c r="J892" s="36">
        <v>41102</v>
      </c>
      <c r="K892" s="37"/>
      <c r="L892" s="74">
        <f t="shared" si="15"/>
        <v>1772</v>
      </c>
      <c r="M892" s="74"/>
      <c r="N892" s="74"/>
    </row>
    <row r="893" spans="2:14" hidden="1" outlineLevel="1">
      <c r="B893" s="73">
        <v>887</v>
      </c>
      <c r="C893" s="39"/>
      <c r="D893" s="40"/>
      <c r="E893" s="34" t="s">
        <v>323</v>
      </c>
      <c r="F893" s="75" t="s">
        <v>1258</v>
      </c>
      <c r="G893" s="35" t="s">
        <v>370</v>
      </c>
      <c r="H893" s="41" t="s">
        <v>371</v>
      </c>
      <c r="I893" s="44" t="str">
        <f>"0x"&amp;AE_w_WORK!G124</f>
        <v>0x2222</v>
      </c>
      <c r="J893" s="36">
        <v>41103</v>
      </c>
      <c r="K893" s="37"/>
      <c r="L893" s="74">
        <f t="shared" si="15"/>
        <v>1774</v>
      </c>
      <c r="M893" s="74"/>
      <c r="N893" s="74"/>
    </row>
    <row r="894" spans="2:14" hidden="1" outlineLevel="1">
      <c r="B894" s="73">
        <v>888</v>
      </c>
      <c r="C894" s="39"/>
      <c r="D894" s="40"/>
      <c r="E894" s="34" t="s">
        <v>323</v>
      </c>
      <c r="F894" s="75" t="s">
        <v>1259</v>
      </c>
      <c r="G894" s="35" t="s">
        <v>370</v>
      </c>
      <c r="H894" s="41" t="s">
        <v>371</v>
      </c>
      <c r="I894" s="44" t="str">
        <f>"0x"&amp;AE_w_WORK!G125</f>
        <v>0x2222</v>
      </c>
      <c r="J894" s="36">
        <v>41104</v>
      </c>
      <c r="K894" s="37"/>
      <c r="L894" s="74">
        <f t="shared" si="15"/>
        <v>1776</v>
      </c>
      <c r="M894" s="74"/>
      <c r="N894" s="74"/>
    </row>
    <row r="895" spans="2:14" hidden="1" outlineLevel="1">
      <c r="B895" s="73">
        <v>889</v>
      </c>
      <c r="C895" s="39"/>
      <c r="D895" s="40"/>
      <c r="E895" s="34" t="s">
        <v>323</v>
      </c>
      <c r="F895" s="75" t="s">
        <v>1260</v>
      </c>
      <c r="G895" s="35" t="s">
        <v>370</v>
      </c>
      <c r="H895" s="41" t="s">
        <v>371</v>
      </c>
      <c r="I895" s="44" t="str">
        <f>"0x"&amp;AE_w_WORK!G126</f>
        <v>0x2222</v>
      </c>
      <c r="J895" s="36">
        <v>41105</v>
      </c>
      <c r="K895" s="37"/>
      <c r="L895" s="74">
        <f t="shared" si="15"/>
        <v>1778</v>
      </c>
      <c r="M895" s="74"/>
      <c r="N895" s="74"/>
    </row>
    <row r="896" spans="2:14" hidden="1" outlineLevel="1">
      <c r="B896" s="73">
        <v>890</v>
      </c>
      <c r="C896" s="39"/>
      <c r="D896" s="40"/>
      <c r="E896" s="34" t="s">
        <v>323</v>
      </c>
      <c r="F896" s="75" t="s">
        <v>1261</v>
      </c>
      <c r="G896" s="35" t="s">
        <v>370</v>
      </c>
      <c r="H896" s="41" t="s">
        <v>371</v>
      </c>
      <c r="I896" s="44" t="str">
        <f>"0x"&amp;AE_w_WORK!G127</f>
        <v>0x2222</v>
      </c>
      <c r="J896" s="36">
        <v>41106</v>
      </c>
      <c r="K896" s="37"/>
      <c r="L896" s="74">
        <f t="shared" si="15"/>
        <v>1780</v>
      </c>
      <c r="M896" s="74"/>
      <c r="N896" s="74"/>
    </row>
    <row r="897" spans="2:14" hidden="1" outlineLevel="1">
      <c r="B897" s="73">
        <v>891</v>
      </c>
      <c r="C897" s="39"/>
      <c r="D897" s="40"/>
      <c r="E897" s="34" t="s">
        <v>323</v>
      </c>
      <c r="F897" s="75" t="s">
        <v>1262</v>
      </c>
      <c r="G897" s="35" t="s">
        <v>370</v>
      </c>
      <c r="H897" s="41" t="s">
        <v>371</v>
      </c>
      <c r="I897" s="44" t="str">
        <f>"0x"&amp;AE_w_WORK!G128</f>
        <v>0x2233</v>
      </c>
      <c r="J897" s="36">
        <v>41107</v>
      </c>
      <c r="K897" s="37"/>
      <c r="L897" s="74">
        <f t="shared" si="15"/>
        <v>1782</v>
      </c>
      <c r="M897" s="74"/>
      <c r="N897" s="74"/>
    </row>
    <row r="898" spans="2:14" hidden="1" outlineLevel="1">
      <c r="B898" s="73">
        <v>892</v>
      </c>
      <c r="C898" s="39"/>
      <c r="D898" s="40"/>
      <c r="E898" s="34" t="s">
        <v>323</v>
      </c>
      <c r="F898" s="75" t="s">
        <v>1263</v>
      </c>
      <c r="G898" s="35" t="s">
        <v>370</v>
      </c>
      <c r="H898" s="41" t="s">
        <v>371</v>
      </c>
      <c r="I898" s="44" t="str">
        <f>"0x"&amp;AE_w_WORK!G129</f>
        <v>0x5555</v>
      </c>
      <c r="J898" s="36">
        <v>41108</v>
      </c>
      <c r="K898" s="37"/>
      <c r="L898" s="74">
        <f t="shared" si="15"/>
        <v>1784</v>
      </c>
      <c r="M898" s="74"/>
      <c r="N898" s="74"/>
    </row>
    <row r="899" spans="2:14" hidden="1" outlineLevel="1">
      <c r="B899" s="73">
        <v>893</v>
      </c>
      <c r="C899" s="39"/>
      <c r="D899" s="40"/>
      <c r="E899" s="34" t="s">
        <v>323</v>
      </c>
      <c r="F899" s="75" t="s">
        <v>1264</v>
      </c>
      <c r="G899" s="35" t="s">
        <v>370</v>
      </c>
      <c r="H899" s="41" t="s">
        <v>371</v>
      </c>
      <c r="I899" s="44" t="str">
        <f>"0x"&amp;AE_w_WORK!G130</f>
        <v>0x5555</v>
      </c>
      <c r="J899" s="36">
        <v>41109</v>
      </c>
      <c r="K899" s="37"/>
      <c r="L899" s="74">
        <f t="shared" si="15"/>
        <v>1786</v>
      </c>
      <c r="M899" s="74"/>
      <c r="N899" s="74"/>
    </row>
    <row r="900" spans="2:14" hidden="1" outlineLevel="1">
      <c r="B900" s="73">
        <v>894</v>
      </c>
      <c r="C900" s="39"/>
      <c r="D900" s="40"/>
      <c r="E900" s="34" t="s">
        <v>323</v>
      </c>
      <c r="F900" s="75" t="s">
        <v>1265</v>
      </c>
      <c r="G900" s="35" t="s">
        <v>370</v>
      </c>
      <c r="H900" s="41" t="s">
        <v>371</v>
      </c>
      <c r="I900" s="44" t="str">
        <f>"0x"&amp;AE_w_WORK!G131</f>
        <v>0x3322</v>
      </c>
      <c r="J900" s="36">
        <v>41110</v>
      </c>
      <c r="K900" s="37"/>
      <c r="L900" s="74">
        <f t="shared" si="15"/>
        <v>1788</v>
      </c>
      <c r="M900" s="74"/>
      <c r="N900" s="74"/>
    </row>
    <row r="901" spans="2:14" hidden="1" outlineLevel="1">
      <c r="B901" s="73">
        <v>895</v>
      </c>
      <c r="C901" s="39"/>
      <c r="D901" s="40"/>
      <c r="E901" s="34" t="s">
        <v>323</v>
      </c>
      <c r="F901" s="75" t="s">
        <v>1266</v>
      </c>
      <c r="G901" s="35" t="s">
        <v>370</v>
      </c>
      <c r="H901" s="41" t="s">
        <v>371</v>
      </c>
      <c r="I901" s="44" t="str">
        <f>"0x"&amp;AE_w_WORK!G132</f>
        <v>0x2222</v>
      </c>
      <c r="J901" s="36">
        <v>41111</v>
      </c>
      <c r="K901" s="37"/>
      <c r="L901" s="74">
        <f t="shared" si="15"/>
        <v>1790</v>
      </c>
      <c r="M901" s="74"/>
      <c r="N901" s="74"/>
    </row>
    <row r="902" spans="2:14" hidden="1" outlineLevel="1">
      <c r="B902" s="73">
        <v>896</v>
      </c>
      <c r="C902" s="39"/>
      <c r="D902" s="40"/>
      <c r="E902" s="34" t="s">
        <v>323</v>
      </c>
      <c r="F902" s="75" t="s">
        <v>1267</v>
      </c>
      <c r="G902" s="35" t="s">
        <v>370</v>
      </c>
      <c r="H902" s="41" t="s">
        <v>371</v>
      </c>
      <c r="I902" s="44" t="str">
        <f>"0x"&amp;AE_w_WORK!G133</f>
        <v>0x2222</v>
      </c>
      <c r="J902" s="36">
        <v>41112</v>
      </c>
      <c r="K902" s="37"/>
      <c r="L902" s="74">
        <f t="shared" si="15"/>
        <v>1792</v>
      </c>
      <c r="M902" s="74"/>
      <c r="N902" s="74"/>
    </row>
    <row r="903" spans="2:14" hidden="1" outlineLevel="1" collapsed="1">
      <c r="B903" s="73">
        <v>897</v>
      </c>
      <c r="C903" s="39"/>
      <c r="D903" s="40"/>
      <c r="E903" s="34" t="s">
        <v>323</v>
      </c>
      <c r="F903" s="75" t="s">
        <v>1268</v>
      </c>
      <c r="G903" s="35" t="s">
        <v>370</v>
      </c>
      <c r="H903" s="41" t="s">
        <v>371</v>
      </c>
      <c r="I903" s="44" t="str">
        <f>"0x"&amp;AE_w_WORK!G134</f>
        <v>0x2222</v>
      </c>
      <c r="J903" s="36">
        <v>41113</v>
      </c>
      <c r="K903" s="37"/>
      <c r="L903" s="74">
        <f t="shared" si="15"/>
        <v>1794</v>
      </c>
      <c r="M903" s="74"/>
      <c r="N903" s="74"/>
    </row>
    <row r="904" spans="2:14" hidden="1" outlineLevel="1">
      <c r="B904" s="73">
        <v>898</v>
      </c>
      <c r="C904" s="39"/>
      <c r="D904" s="40"/>
      <c r="E904" s="34" t="s">
        <v>323</v>
      </c>
      <c r="F904" s="75" t="s">
        <v>1269</v>
      </c>
      <c r="G904" s="35" t="s">
        <v>370</v>
      </c>
      <c r="H904" s="41" t="s">
        <v>371</v>
      </c>
      <c r="I904" s="44" t="str">
        <f>"0x"&amp;AE_w_WORK!G135</f>
        <v>0x2222</v>
      </c>
      <c r="J904" s="36">
        <v>41114</v>
      </c>
      <c r="K904" s="37"/>
      <c r="L904" s="74">
        <f t="shared" si="15"/>
        <v>1796</v>
      </c>
      <c r="M904" s="74"/>
      <c r="N904" s="74"/>
    </row>
    <row r="905" spans="2:14" hidden="1" outlineLevel="1">
      <c r="B905" s="73">
        <v>899</v>
      </c>
      <c r="C905" s="39"/>
      <c r="D905" s="40"/>
      <c r="E905" s="34" t="s">
        <v>323</v>
      </c>
      <c r="F905" s="75" t="s">
        <v>1270</v>
      </c>
      <c r="G905" s="35" t="s">
        <v>370</v>
      </c>
      <c r="H905" s="41" t="s">
        <v>371</v>
      </c>
      <c r="I905" s="44" t="str">
        <f>"0x"&amp;AE_w_WORK!G136</f>
        <v>0x2233</v>
      </c>
      <c r="J905" s="36">
        <v>41115</v>
      </c>
      <c r="K905" s="37"/>
      <c r="L905" s="74">
        <f t="shared" ref="L905:L968" si="16">L904+2</f>
        <v>1798</v>
      </c>
      <c r="M905" s="74"/>
      <c r="N905" s="74"/>
    </row>
    <row r="906" spans="2:14" hidden="1" outlineLevel="1">
      <c r="B906" s="73">
        <v>900</v>
      </c>
      <c r="C906" s="39"/>
      <c r="D906" s="40"/>
      <c r="E906" s="34" t="s">
        <v>323</v>
      </c>
      <c r="F906" s="75" t="s">
        <v>1271</v>
      </c>
      <c r="G906" s="35" t="s">
        <v>370</v>
      </c>
      <c r="H906" s="41" t="s">
        <v>371</v>
      </c>
      <c r="I906" s="44" t="str">
        <f>"0x"&amp;AE_w_WORK!G137</f>
        <v>0x5555</v>
      </c>
      <c r="J906" s="36">
        <v>41116</v>
      </c>
      <c r="K906" s="37"/>
      <c r="L906" s="74">
        <f t="shared" si="16"/>
        <v>1800</v>
      </c>
      <c r="M906" s="74"/>
      <c r="N906" s="74"/>
    </row>
    <row r="907" spans="2:14" hidden="1" outlineLevel="1">
      <c r="B907" s="73">
        <v>901</v>
      </c>
      <c r="C907" s="39"/>
      <c r="D907" s="40"/>
      <c r="E907" s="34" t="s">
        <v>323</v>
      </c>
      <c r="F907" s="75" t="s">
        <v>1272</v>
      </c>
      <c r="G907" s="35" t="s">
        <v>370</v>
      </c>
      <c r="H907" s="41" t="s">
        <v>371</v>
      </c>
      <c r="I907" s="44" t="str">
        <f>"0x"&amp;AE_w_WORK!G138</f>
        <v>0x5555</v>
      </c>
      <c r="J907" s="36">
        <v>41117</v>
      </c>
      <c r="K907" s="37"/>
      <c r="L907" s="74">
        <f t="shared" si="16"/>
        <v>1802</v>
      </c>
      <c r="M907" s="74"/>
      <c r="N907" s="74"/>
    </row>
    <row r="908" spans="2:14" hidden="1" outlineLevel="1">
      <c r="B908" s="73">
        <v>902</v>
      </c>
      <c r="C908" s="39"/>
      <c r="D908" s="40"/>
      <c r="E908" s="34" t="s">
        <v>323</v>
      </c>
      <c r="F908" s="75" t="s">
        <v>1273</v>
      </c>
      <c r="G908" s="35" t="s">
        <v>370</v>
      </c>
      <c r="H908" s="41" t="s">
        <v>371</v>
      </c>
      <c r="I908" s="44" t="str">
        <f>"0x"&amp;AE_w_WORK!G139</f>
        <v>0x3322</v>
      </c>
      <c r="J908" s="36">
        <v>41118</v>
      </c>
      <c r="K908" s="37"/>
      <c r="L908" s="74">
        <f t="shared" si="16"/>
        <v>1804</v>
      </c>
      <c r="M908" s="74"/>
      <c r="N908" s="74"/>
    </row>
    <row r="909" spans="2:14" hidden="1" outlineLevel="1">
      <c r="B909" s="73">
        <v>903</v>
      </c>
      <c r="C909" s="39"/>
      <c r="D909" s="40"/>
      <c r="E909" s="34" t="s">
        <v>323</v>
      </c>
      <c r="F909" s="75" t="s">
        <v>1274</v>
      </c>
      <c r="G909" s="35" t="s">
        <v>370</v>
      </c>
      <c r="H909" s="41" t="s">
        <v>371</v>
      </c>
      <c r="I909" s="44" t="str">
        <f>"0x"&amp;AE_w_WORK!G140</f>
        <v>0x2222</v>
      </c>
      <c r="J909" s="36">
        <v>41119</v>
      </c>
      <c r="K909" s="37"/>
      <c r="L909" s="74">
        <f t="shared" si="16"/>
        <v>1806</v>
      </c>
      <c r="M909" s="74"/>
      <c r="N909" s="74"/>
    </row>
    <row r="910" spans="2:14" hidden="1" outlineLevel="1">
      <c r="B910" s="73">
        <v>904</v>
      </c>
      <c r="C910" s="39"/>
      <c r="D910" s="40"/>
      <c r="E910" s="34" t="s">
        <v>323</v>
      </c>
      <c r="F910" s="75" t="s">
        <v>1275</v>
      </c>
      <c r="G910" s="35" t="s">
        <v>370</v>
      </c>
      <c r="H910" s="41" t="s">
        <v>371</v>
      </c>
      <c r="I910" s="44" t="str">
        <f>"0x"&amp;AE_w_WORK!G141</f>
        <v>0x2222</v>
      </c>
      <c r="J910" s="36">
        <v>41120</v>
      </c>
      <c r="K910" s="37"/>
      <c r="L910" s="74">
        <f t="shared" si="16"/>
        <v>1808</v>
      </c>
      <c r="M910" s="74"/>
      <c r="N910" s="74"/>
    </row>
    <row r="911" spans="2:14" hidden="1" outlineLevel="1">
      <c r="B911" s="73">
        <v>905</v>
      </c>
      <c r="C911" s="39"/>
      <c r="D911" s="40"/>
      <c r="E911" s="34" t="s">
        <v>323</v>
      </c>
      <c r="F911" s="75" t="s">
        <v>1276</v>
      </c>
      <c r="G911" s="35" t="s">
        <v>370</v>
      </c>
      <c r="H911" s="41" t="s">
        <v>371</v>
      </c>
      <c r="I911" s="44" t="str">
        <f>"0x"&amp;AE_w_WORK!G142</f>
        <v>0x2222</v>
      </c>
      <c r="J911" s="36">
        <v>41121</v>
      </c>
      <c r="K911" s="37"/>
      <c r="L911" s="74">
        <f t="shared" si="16"/>
        <v>1810</v>
      </c>
      <c r="M911" s="74"/>
      <c r="N911" s="74"/>
    </row>
    <row r="912" spans="2:14" hidden="1" outlineLevel="1">
      <c r="B912" s="73">
        <v>906</v>
      </c>
      <c r="C912" s="39"/>
      <c r="D912" s="40"/>
      <c r="E912" s="34" t="s">
        <v>323</v>
      </c>
      <c r="F912" s="75" t="s">
        <v>1277</v>
      </c>
      <c r="G912" s="35" t="s">
        <v>370</v>
      </c>
      <c r="H912" s="41" t="s">
        <v>371</v>
      </c>
      <c r="I912" s="44" t="str">
        <f>"0x"&amp;AE_w_WORK!G143</f>
        <v>0x2222</v>
      </c>
      <c r="J912" s="36">
        <v>41122</v>
      </c>
      <c r="K912" s="37"/>
      <c r="L912" s="74">
        <f t="shared" si="16"/>
        <v>1812</v>
      </c>
      <c r="M912" s="74"/>
      <c r="N912" s="74"/>
    </row>
    <row r="913" spans="2:14" hidden="1" outlineLevel="1">
      <c r="B913" s="73">
        <v>907</v>
      </c>
      <c r="C913" s="39"/>
      <c r="D913" s="40"/>
      <c r="E913" s="34" t="s">
        <v>323</v>
      </c>
      <c r="F913" s="75" t="s">
        <v>1278</v>
      </c>
      <c r="G913" s="35" t="s">
        <v>370</v>
      </c>
      <c r="H913" s="41" t="s">
        <v>371</v>
      </c>
      <c r="I913" s="44" t="str">
        <f>"0x"&amp;AE_w_WORK!G144</f>
        <v>0x2233</v>
      </c>
      <c r="J913" s="36">
        <v>41123</v>
      </c>
      <c r="K913" s="37"/>
      <c r="L913" s="74">
        <f t="shared" si="16"/>
        <v>1814</v>
      </c>
      <c r="M913" s="74"/>
      <c r="N913" s="74"/>
    </row>
    <row r="914" spans="2:14" hidden="1" outlineLevel="1">
      <c r="B914" s="73">
        <v>908</v>
      </c>
      <c r="C914" s="39"/>
      <c r="D914" s="40"/>
      <c r="E914" s="34" t="s">
        <v>323</v>
      </c>
      <c r="F914" s="75" t="s">
        <v>1279</v>
      </c>
      <c r="G914" s="35" t="s">
        <v>370</v>
      </c>
      <c r="H914" s="41" t="s">
        <v>371</v>
      </c>
      <c r="I914" s="44" t="str">
        <f>"0x"&amp;AE_w_WORK!G145</f>
        <v>0x5555</v>
      </c>
      <c r="J914" s="36">
        <v>41124</v>
      </c>
      <c r="K914" s="37"/>
      <c r="L914" s="74">
        <f t="shared" si="16"/>
        <v>1816</v>
      </c>
      <c r="M914" s="74"/>
      <c r="N914" s="74"/>
    </row>
    <row r="915" spans="2:14" hidden="1" outlineLevel="1">
      <c r="B915" s="73">
        <v>909</v>
      </c>
      <c r="C915" s="39"/>
      <c r="D915" s="40"/>
      <c r="E915" s="34" t="s">
        <v>323</v>
      </c>
      <c r="F915" s="75" t="s">
        <v>1280</v>
      </c>
      <c r="G915" s="35" t="s">
        <v>370</v>
      </c>
      <c r="H915" s="41" t="s">
        <v>371</v>
      </c>
      <c r="I915" s="44" t="str">
        <f>"0x"&amp;AE_w_WORK!G146</f>
        <v>0x5555</v>
      </c>
      <c r="J915" s="36">
        <v>41125</v>
      </c>
      <c r="K915" s="37"/>
      <c r="L915" s="74">
        <f t="shared" si="16"/>
        <v>1818</v>
      </c>
      <c r="M915" s="74"/>
      <c r="N915" s="74"/>
    </row>
    <row r="916" spans="2:14" hidden="1" outlineLevel="1">
      <c r="B916" s="73">
        <v>910</v>
      </c>
      <c r="C916" s="39"/>
      <c r="D916" s="40"/>
      <c r="E916" s="34" t="s">
        <v>323</v>
      </c>
      <c r="F916" s="75" t="s">
        <v>1281</v>
      </c>
      <c r="G916" s="35" t="s">
        <v>370</v>
      </c>
      <c r="H916" s="41" t="s">
        <v>371</v>
      </c>
      <c r="I916" s="44" t="str">
        <f>"0x"&amp;AE_w_WORK!G147</f>
        <v>0x3322</v>
      </c>
      <c r="J916" s="36">
        <v>41126</v>
      </c>
      <c r="K916" s="37"/>
      <c r="L916" s="74">
        <f t="shared" si="16"/>
        <v>1820</v>
      </c>
      <c r="M916" s="74"/>
      <c r="N916" s="74"/>
    </row>
    <row r="917" spans="2:14" hidden="1" outlineLevel="1">
      <c r="B917" s="73">
        <v>911</v>
      </c>
      <c r="C917" s="39"/>
      <c r="D917" s="40"/>
      <c r="E917" s="34" t="s">
        <v>323</v>
      </c>
      <c r="F917" s="75" t="s">
        <v>1282</v>
      </c>
      <c r="G917" s="35" t="s">
        <v>370</v>
      </c>
      <c r="H917" s="41" t="s">
        <v>371</v>
      </c>
      <c r="I917" s="44" t="str">
        <f>"0x"&amp;AE_w_WORK!G148</f>
        <v>0x2222</v>
      </c>
      <c r="J917" s="36">
        <v>41127</v>
      </c>
      <c r="K917" s="37"/>
      <c r="L917" s="74">
        <f t="shared" si="16"/>
        <v>1822</v>
      </c>
      <c r="M917" s="74"/>
      <c r="N917" s="74"/>
    </row>
    <row r="918" spans="2:14" hidden="1" outlineLevel="1">
      <c r="B918" s="73">
        <v>912</v>
      </c>
      <c r="C918" s="39"/>
      <c r="D918" s="40"/>
      <c r="E918" s="34" t="s">
        <v>323</v>
      </c>
      <c r="F918" s="75" t="s">
        <v>1283</v>
      </c>
      <c r="G918" s="35" t="s">
        <v>370</v>
      </c>
      <c r="H918" s="41" t="s">
        <v>371</v>
      </c>
      <c r="I918" s="44" t="str">
        <f>"0x"&amp;AE_w_WORK!G149</f>
        <v>0x2222</v>
      </c>
      <c r="J918" s="36">
        <v>41128</v>
      </c>
      <c r="K918" s="37"/>
      <c r="L918" s="74">
        <f t="shared" si="16"/>
        <v>1824</v>
      </c>
      <c r="M918" s="74"/>
      <c r="N918" s="74"/>
    </row>
    <row r="919" spans="2:14" hidden="1" outlineLevel="1">
      <c r="B919" s="73">
        <v>913</v>
      </c>
      <c r="C919" s="39"/>
      <c r="D919" s="40"/>
      <c r="E919" s="34" t="s">
        <v>323</v>
      </c>
      <c r="F919" s="75" t="s">
        <v>1284</v>
      </c>
      <c r="G919" s="35" t="s">
        <v>370</v>
      </c>
      <c r="H919" s="41" t="s">
        <v>371</v>
      </c>
      <c r="I919" s="44" t="str">
        <f>"0x"&amp;AE_w_WORK!G150</f>
        <v>0x2222</v>
      </c>
      <c r="J919" s="36">
        <v>41129</v>
      </c>
      <c r="K919" s="37"/>
      <c r="L919" s="74">
        <f t="shared" si="16"/>
        <v>1826</v>
      </c>
      <c r="M919" s="74"/>
      <c r="N919" s="74"/>
    </row>
    <row r="920" spans="2:14" hidden="1" outlineLevel="1">
      <c r="B920" s="73">
        <v>914</v>
      </c>
      <c r="C920" s="39"/>
      <c r="D920" s="40"/>
      <c r="E920" s="34" t="s">
        <v>323</v>
      </c>
      <c r="F920" s="75" t="s">
        <v>1285</v>
      </c>
      <c r="G920" s="35" t="s">
        <v>370</v>
      </c>
      <c r="H920" s="41" t="s">
        <v>371</v>
      </c>
      <c r="I920" s="44" t="str">
        <f>"0x"&amp;AE_w_WORK!G151</f>
        <v>0x2222</v>
      </c>
      <c r="J920" s="36">
        <v>41130</v>
      </c>
      <c r="K920" s="37"/>
      <c r="L920" s="74">
        <f t="shared" si="16"/>
        <v>1828</v>
      </c>
      <c r="M920" s="74"/>
      <c r="N920" s="74"/>
    </row>
    <row r="921" spans="2:14" hidden="1" outlineLevel="1">
      <c r="B921" s="73">
        <v>915</v>
      </c>
      <c r="C921" s="39"/>
      <c r="D921" s="40"/>
      <c r="E921" s="34" t="s">
        <v>323</v>
      </c>
      <c r="F921" s="75" t="s">
        <v>1286</v>
      </c>
      <c r="G921" s="35" t="s">
        <v>370</v>
      </c>
      <c r="H921" s="41" t="s">
        <v>371</v>
      </c>
      <c r="I921" s="44" t="str">
        <f>"0x"&amp;AE_w_WORK!G152</f>
        <v>0x2233</v>
      </c>
      <c r="J921" s="36">
        <v>41131</v>
      </c>
      <c r="K921" s="37"/>
      <c r="L921" s="74">
        <f t="shared" si="16"/>
        <v>1830</v>
      </c>
      <c r="M921" s="74"/>
      <c r="N921" s="74"/>
    </row>
    <row r="922" spans="2:14" hidden="1" outlineLevel="1">
      <c r="B922" s="73">
        <v>916</v>
      </c>
      <c r="C922" s="39"/>
      <c r="D922" s="40"/>
      <c r="E922" s="34" t="s">
        <v>323</v>
      </c>
      <c r="F922" s="75" t="s">
        <v>1287</v>
      </c>
      <c r="G922" s="35" t="s">
        <v>370</v>
      </c>
      <c r="H922" s="41" t="s">
        <v>371</v>
      </c>
      <c r="I922" s="44" t="str">
        <f>"0x"&amp;AE_w_WORK!G153</f>
        <v>0x5555</v>
      </c>
      <c r="J922" s="36">
        <v>41132</v>
      </c>
      <c r="K922" s="37"/>
      <c r="L922" s="74">
        <f t="shared" si="16"/>
        <v>1832</v>
      </c>
      <c r="M922" s="74"/>
      <c r="N922" s="74"/>
    </row>
    <row r="923" spans="2:14" hidden="1" outlineLevel="1">
      <c r="B923" s="73">
        <v>917</v>
      </c>
      <c r="C923" s="39"/>
      <c r="D923" s="40"/>
      <c r="E923" s="34" t="s">
        <v>323</v>
      </c>
      <c r="F923" s="75" t="s">
        <v>1288</v>
      </c>
      <c r="G923" s="35" t="s">
        <v>370</v>
      </c>
      <c r="H923" s="41" t="s">
        <v>371</v>
      </c>
      <c r="I923" s="44" t="str">
        <f>"0x"&amp;AE_w_WORK!G154</f>
        <v>0x5555</v>
      </c>
      <c r="J923" s="36">
        <v>41133</v>
      </c>
      <c r="K923" s="37"/>
      <c r="L923" s="74">
        <f t="shared" si="16"/>
        <v>1834</v>
      </c>
      <c r="M923" s="74"/>
      <c r="N923" s="74"/>
    </row>
    <row r="924" spans="2:14" hidden="1" outlineLevel="1">
      <c r="B924" s="73">
        <v>918</v>
      </c>
      <c r="C924" s="39"/>
      <c r="D924" s="40"/>
      <c r="E924" s="34" t="s">
        <v>323</v>
      </c>
      <c r="F924" s="75" t="s">
        <v>1289</v>
      </c>
      <c r="G924" s="35" t="s">
        <v>370</v>
      </c>
      <c r="H924" s="41" t="s">
        <v>371</v>
      </c>
      <c r="I924" s="44" t="str">
        <f>"0x"&amp;AE_w_WORK!G155</f>
        <v>0x3322</v>
      </c>
      <c r="J924" s="36">
        <v>41134</v>
      </c>
      <c r="K924" s="37"/>
      <c r="L924" s="74">
        <f t="shared" si="16"/>
        <v>1836</v>
      </c>
      <c r="M924" s="74"/>
      <c r="N924" s="74"/>
    </row>
    <row r="925" spans="2:14" hidden="1" outlineLevel="1">
      <c r="B925" s="73">
        <v>919</v>
      </c>
      <c r="C925" s="39"/>
      <c r="D925" s="40"/>
      <c r="E925" s="34" t="s">
        <v>323</v>
      </c>
      <c r="F925" s="75" t="s">
        <v>1290</v>
      </c>
      <c r="G925" s="35" t="s">
        <v>370</v>
      </c>
      <c r="H925" s="41" t="s">
        <v>371</v>
      </c>
      <c r="I925" s="44" t="str">
        <f>"0x"&amp;AE_w_WORK!G156</f>
        <v>0x2222</v>
      </c>
      <c r="J925" s="36">
        <v>41135</v>
      </c>
      <c r="K925" s="37"/>
      <c r="L925" s="74">
        <f t="shared" si="16"/>
        <v>1838</v>
      </c>
      <c r="M925" s="74"/>
      <c r="N925" s="74"/>
    </row>
    <row r="926" spans="2:14" hidden="1" outlineLevel="1">
      <c r="B926" s="73">
        <v>920</v>
      </c>
      <c r="C926" s="39"/>
      <c r="D926" s="40"/>
      <c r="E926" s="34" t="s">
        <v>323</v>
      </c>
      <c r="F926" s="75" t="s">
        <v>1291</v>
      </c>
      <c r="G926" s="35" t="s">
        <v>370</v>
      </c>
      <c r="H926" s="41" t="s">
        <v>371</v>
      </c>
      <c r="I926" s="44" t="str">
        <f>"0x"&amp;AE_w_WORK!G157</f>
        <v>0x2222</v>
      </c>
      <c r="J926" s="36">
        <v>41136</v>
      </c>
      <c r="K926" s="37"/>
      <c r="L926" s="74">
        <f t="shared" si="16"/>
        <v>1840</v>
      </c>
      <c r="M926" s="74"/>
      <c r="N926" s="74"/>
    </row>
    <row r="927" spans="2:14" hidden="1" outlineLevel="1">
      <c r="B927" s="73">
        <v>921</v>
      </c>
      <c r="C927" s="39"/>
      <c r="D927" s="40"/>
      <c r="E927" s="34" t="s">
        <v>323</v>
      </c>
      <c r="F927" s="75" t="s">
        <v>1292</v>
      </c>
      <c r="G927" s="35" t="s">
        <v>370</v>
      </c>
      <c r="H927" s="41" t="s">
        <v>371</v>
      </c>
      <c r="I927" s="44" t="str">
        <f>"0x"&amp;AE_w_WORK!G158</f>
        <v>0x2222</v>
      </c>
      <c r="J927" s="36">
        <v>41137</v>
      </c>
      <c r="K927" s="37"/>
      <c r="L927" s="74">
        <f t="shared" si="16"/>
        <v>1842</v>
      </c>
      <c r="M927" s="74"/>
      <c r="N927" s="74"/>
    </row>
    <row r="928" spans="2:14" hidden="1" outlineLevel="1">
      <c r="B928" s="73">
        <v>922</v>
      </c>
      <c r="C928" s="39"/>
      <c r="D928" s="40"/>
      <c r="E928" s="34" t="s">
        <v>323</v>
      </c>
      <c r="F928" s="75" t="s">
        <v>1293</v>
      </c>
      <c r="G928" s="35" t="s">
        <v>370</v>
      </c>
      <c r="H928" s="41" t="s">
        <v>371</v>
      </c>
      <c r="I928" s="44" t="str">
        <f>"0x"&amp;AE_w_WORK!G159</f>
        <v>0x2222</v>
      </c>
      <c r="J928" s="36">
        <v>41138</v>
      </c>
      <c r="K928" s="37"/>
      <c r="L928" s="74">
        <f t="shared" si="16"/>
        <v>1844</v>
      </c>
      <c r="M928" s="74"/>
      <c r="N928" s="74"/>
    </row>
    <row r="929" spans="2:14" hidden="1" outlineLevel="1">
      <c r="B929" s="73">
        <v>923</v>
      </c>
      <c r="C929" s="39"/>
      <c r="D929" s="40"/>
      <c r="E929" s="34" t="s">
        <v>323</v>
      </c>
      <c r="F929" s="75" t="s">
        <v>1294</v>
      </c>
      <c r="G929" s="35" t="s">
        <v>370</v>
      </c>
      <c r="H929" s="41" t="s">
        <v>371</v>
      </c>
      <c r="I929" s="44" t="str">
        <f>"0x"&amp;AE_w_WORK!G160</f>
        <v>0x2233</v>
      </c>
      <c r="J929" s="36">
        <v>41139</v>
      </c>
      <c r="K929" s="37"/>
      <c r="L929" s="74">
        <f t="shared" si="16"/>
        <v>1846</v>
      </c>
      <c r="M929" s="74"/>
      <c r="N929" s="74"/>
    </row>
    <row r="930" spans="2:14" hidden="1" outlineLevel="1">
      <c r="B930" s="73">
        <v>924</v>
      </c>
      <c r="C930" s="39"/>
      <c r="D930" s="40"/>
      <c r="E930" s="34" t="s">
        <v>323</v>
      </c>
      <c r="F930" s="75" t="s">
        <v>1295</v>
      </c>
      <c r="G930" s="35" t="s">
        <v>370</v>
      </c>
      <c r="H930" s="41" t="s">
        <v>371</v>
      </c>
      <c r="I930" s="44" t="str">
        <f>"0x"&amp;AE_w_WORK!G161</f>
        <v>0x5555</v>
      </c>
      <c r="J930" s="36">
        <v>41140</v>
      </c>
      <c r="K930" s="37"/>
      <c r="L930" s="74">
        <f t="shared" si="16"/>
        <v>1848</v>
      </c>
      <c r="M930" s="74"/>
      <c r="N930" s="74"/>
    </row>
    <row r="931" spans="2:14" hidden="1" outlineLevel="1">
      <c r="B931" s="73">
        <v>925</v>
      </c>
      <c r="C931" s="39"/>
      <c r="D931" s="40"/>
      <c r="E931" s="34" t="s">
        <v>323</v>
      </c>
      <c r="F931" s="75" t="s">
        <v>1296</v>
      </c>
      <c r="G931" s="35" t="s">
        <v>370</v>
      </c>
      <c r="H931" s="41" t="s">
        <v>371</v>
      </c>
      <c r="I931" s="44" t="str">
        <f>"0x"&amp;AE_w_WORK!G162</f>
        <v>0x5555</v>
      </c>
      <c r="J931" s="36">
        <v>41141</v>
      </c>
      <c r="K931" s="37"/>
      <c r="L931" s="74">
        <f t="shared" si="16"/>
        <v>1850</v>
      </c>
      <c r="M931" s="74"/>
      <c r="N931" s="74"/>
    </row>
    <row r="932" spans="2:14" hidden="1" outlineLevel="1">
      <c r="B932" s="73">
        <v>926</v>
      </c>
      <c r="C932" s="39"/>
      <c r="D932" s="40"/>
      <c r="E932" s="34" t="s">
        <v>323</v>
      </c>
      <c r="F932" s="75" t="s">
        <v>1297</v>
      </c>
      <c r="G932" s="35" t="s">
        <v>370</v>
      </c>
      <c r="H932" s="41" t="s">
        <v>371</v>
      </c>
      <c r="I932" s="44" t="str">
        <f>"0x"&amp;AE_w_WORK!G163</f>
        <v>0x3322</v>
      </c>
      <c r="J932" s="36">
        <v>41142</v>
      </c>
      <c r="K932" s="37"/>
      <c r="L932" s="74">
        <f t="shared" si="16"/>
        <v>1852</v>
      </c>
      <c r="M932" s="74"/>
      <c r="N932" s="74"/>
    </row>
    <row r="933" spans="2:14" hidden="1" outlineLevel="1">
      <c r="B933" s="73">
        <v>927</v>
      </c>
      <c r="C933" s="39"/>
      <c r="D933" s="40"/>
      <c r="E933" s="34" t="s">
        <v>323</v>
      </c>
      <c r="F933" s="75" t="s">
        <v>1298</v>
      </c>
      <c r="G933" s="35" t="s">
        <v>370</v>
      </c>
      <c r="H933" s="41" t="s">
        <v>371</v>
      </c>
      <c r="I933" s="44" t="str">
        <f>"0x"&amp;AE_w_WORK!G164</f>
        <v>0x2222</v>
      </c>
      <c r="J933" s="36">
        <v>41143</v>
      </c>
      <c r="K933" s="37"/>
      <c r="L933" s="74">
        <f t="shared" si="16"/>
        <v>1854</v>
      </c>
      <c r="M933" s="74"/>
      <c r="N933" s="74"/>
    </row>
    <row r="934" spans="2:14" hidden="1" outlineLevel="1">
      <c r="B934" s="73">
        <v>928</v>
      </c>
      <c r="C934" s="39"/>
      <c r="D934" s="40"/>
      <c r="E934" s="34" t="s">
        <v>323</v>
      </c>
      <c r="F934" s="75" t="s">
        <v>1299</v>
      </c>
      <c r="G934" s="35" t="s">
        <v>370</v>
      </c>
      <c r="H934" s="41" t="s">
        <v>371</v>
      </c>
      <c r="I934" s="44" t="str">
        <f>"0x"&amp;AE_w_WORK!G165</f>
        <v>0x2222</v>
      </c>
      <c r="J934" s="36">
        <v>41144</v>
      </c>
      <c r="K934" s="37"/>
      <c r="L934" s="74">
        <f t="shared" si="16"/>
        <v>1856</v>
      </c>
      <c r="M934" s="74"/>
      <c r="N934" s="74"/>
    </row>
    <row r="935" spans="2:14" hidden="1" outlineLevel="1">
      <c r="B935" s="73">
        <v>929</v>
      </c>
      <c r="C935" s="39"/>
      <c r="D935" s="40"/>
      <c r="E935" s="34" t="s">
        <v>323</v>
      </c>
      <c r="F935" s="75" t="s">
        <v>1300</v>
      </c>
      <c r="G935" s="35" t="s">
        <v>370</v>
      </c>
      <c r="H935" s="41" t="s">
        <v>371</v>
      </c>
      <c r="I935" s="44" t="str">
        <f>"0x"&amp;AE_w_WORK!G166</f>
        <v>0x2222</v>
      </c>
      <c r="J935" s="36">
        <v>41145</v>
      </c>
      <c r="K935" s="37"/>
      <c r="L935" s="74">
        <f t="shared" si="16"/>
        <v>1858</v>
      </c>
      <c r="M935" s="74"/>
      <c r="N935" s="74"/>
    </row>
    <row r="936" spans="2:14" hidden="1" outlineLevel="1">
      <c r="B936" s="73">
        <v>930</v>
      </c>
      <c r="C936" s="39"/>
      <c r="D936" s="40"/>
      <c r="E936" s="34" t="s">
        <v>323</v>
      </c>
      <c r="F936" s="75" t="s">
        <v>1301</v>
      </c>
      <c r="G936" s="35" t="s">
        <v>370</v>
      </c>
      <c r="H936" s="41" t="s">
        <v>371</v>
      </c>
      <c r="I936" s="44" t="str">
        <f>"0x"&amp;AE_w_WORK!G167</f>
        <v>0x2222</v>
      </c>
      <c r="J936" s="36">
        <v>41146</v>
      </c>
      <c r="K936" s="37"/>
      <c r="L936" s="74">
        <f t="shared" si="16"/>
        <v>1860</v>
      </c>
      <c r="M936" s="74"/>
      <c r="N936" s="74"/>
    </row>
    <row r="937" spans="2:14" hidden="1" outlineLevel="1">
      <c r="B937" s="73">
        <v>931</v>
      </c>
      <c r="C937" s="39"/>
      <c r="D937" s="40"/>
      <c r="E937" s="34" t="s">
        <v>323</v>
      </c>
      <c r="F937" s="75" t="s">
        <v>1302</v>
      </c>
      <c r="G937" s="35" t="s">
        <v>370</v>
      </c>
      <c r="H937" s="41" t="s">
        <v>371</v>
      </c>
      <c r="I937" s="44" t="str">
        <f>"0x"&amp;AE_w_WORK!G168</f>
        <v>0x2222</v>
      </c>
      <c r="J937" s="36">
        <v>41147</v>
      </c>
      <c r="K937" s="37"/>
      <c r="L937" s="74">
        <f t="shared" si="16"/>
        <v>1862</v>
      </c>
      <c r="M937" s="74"/>
      <c r="N937" s="74"/>
    </row>
    <row r="938" spans="2:14" hidden="1" outlineLevel="1">
      <c r="B938" s="73">
        <v>932</v>
      </c>
      <c r="C938" s="39"/>
      <c r="D938" s="40"/>
      <c r="E938" s="34" t="s">
        <v>323</v>
      </c>
      <c r="F938" s="75" t="s">
        <v>1303</v>
      </c>
      <c r="G938" s="35" t="s">
        <v>370</v>
      </c>
      <c r="H938" s="41" t="s">
        <v>371</v>
      </c>
      <c r="I938" s="44" t="str">
        <f>"0x"&amp;AE_w_WORK!G169</f>
        <v>0x3333</v>
      </c>
      <c r="J938" s="36">
        <v>41148</v>
      </c>
      <c r="K938" s="37"/>
      <c r="L938" s="74">
        <f t="shared" si="16"/>
        <v>1864</v>
      </c>
      <c r="M938" s="74"/>
      <c r="N938" s="74"/>
    </row>
    <row r="939" spans="2:14" hidden="1" outlineLevel="1">
      <c r="B939" s="73">
        <v>933</v>
      </c>
      <c r="C939" s="39"/>
      <c r="D939" s="40"/>
      <c r="E939" s="34" t="s">
        <v>323</v>
      </c>
      <c r="F939" s="75" t="s">
        <v>1304</v>
      </c>
      <c r="G939" s="35" t="s">
        <v>370</v>
      </c>
      <c r="H939" s="41" t="s">
        <v>371</v>
      </c>
      <c r="I939" s="44" t="str">
        <f>"0x"&amp;AE_w_WORK!G170</f>
        <v>0x3333</v>
      </c>
      <c r="J939" s="36">
        <v>41149</v>
      </c>
      <c r="K939" s="37"/>
      <c r="L939" s="74">
        <f t="shared" si="16"/>
        <v>1866</v>
      </c>
      <c r="M939" s="74"/>
      <c r="N939" s="74"/>
    </row>
    <row r="940" spans="2:14" hidden="1" outlineLevel="1">
      <c r="B940" s="73">
        <v>934</v>
      </c>
      <c r="C940" s="39"/>
      <c r="D940" s="40"/>
      <c r="E940" s="34" t="s">
        <v>323</v>
      </c>
      <c r="F940" s="75" t="s">
        <v>1305</v>
      </c>
      <c r="G940" s="35" t="s">
        <v>370</v>
      </c>
      <c r="H940" s="41" t="s">
        <v>371</v>
      </c>
      <c r="I940" s="44" t="str">
        <f>"0x"&amp;AE_w_WORK!G171</f>
        <v>0x2222</v>
      </c>
      <c r="J940" s="36">
        <v>41150</v>
      </c>
      <c r="K940" s="37"/>
      <c r="L940" s="74">
        <f t="shared" si="16"/>
        <v>1868</v>
      </c>
      <c r="M940" s="74"/>
      <c r="N940" s="74"/>
    </row>
    <row r="941" spans="2:14" hidden="1" outlineLevel="1">
      <c r="B941" s="73">
        <v>935</v>
      </c>
      <c r="C941" s="39"/>
      <c r="D941" s="40"/>
      <c r="E941" s="34" t="s">
        <v>323</v>
      </c>
      <c r="F941" s="75" t="s">
        <v>1306</v>
      </c>
      <c r="G941" s="35" t="s">
        <v>370</v>
      </c>
      <c r="H941" s="41" t="s">
        <v>371</v>
      </c>
      <c r="I941" s="44" t="str">
        <f>"0x"&amp;AE_w_WORK!G172</f>
        <v>0x2222</v>
      </c>
      <c r="J941" s="36">
        <v>41151</v>
      </c>
      <c r="K941" s="37"/>
      <c r="L941" s="74">
        <f t="shared" si="16"/>
        <v>1870</v>
      </c>
      <c r="M941" s="74"/>
      <c r="N941" s="74"/>
    </row>
    <row r="942" spans="2:14" hidden="1" outlineLevel="1">
      <c r="B942" s="73">
        <v>936</v>
      </c>
      <c r="C942" s="39"/>
      <c r="D942" s="40"/>
      <c r="E942" s="34" t="s">
        <v>323</v>
      </c>
      <c r="F942" s="75" t="s">
        <v>1307</v>
      </c>
      <c r="G942" s="35" t="s">
        <v>370</v>
      </c>
      <c r="H942" s="41" t="s">
        <v>371</v>
      </c>
      <c r="I942" s="44" t="str">
        <f>"0x"&amp;AE_w_WORK!G173</f>
        <v>0x2222</v>
      </c>
      <c r="J942" s="36">
        <v>41152</v>
      </c>
      <c r="K942" s="37"/>
      <c r="L942" s="74">
        <f t="shared" si="16"/>
        <v>1872</v>
      </c>
      <c r="M942" s="74"/>
      <c r="N942" s="74"/>
    </row>
    <row r="943" spans="2:14" hidden="1" outlineLevel="1">
      <c r="B943" s="73">
        <v>937</v>
      </c>
      <c r="C943" s="39"/>
      <c r="D943" s="40"/>
      <c r="E943" s="34" t="s">
        <v>323</v>
      </c>
      <c r="F943" s="75" t="s">
        <v>1308</v>
      </c>
      <c r="G943" s="35" t="s">
        <v>370</v>
      </c>
      <c r="H943" s="41" t="s">
        <v>371</v>
      </c>
      <c r="I943" s="44" t="str">
        <f>"0x"&amp;AE_w_WORK!G174</f>
        <v>0x2222</v>
      </c>
      <c r="J943" s="36">
        <v>41153</v>
      </c>
      <c r="K943" s="37"/>
      <c r="L943" s="74">
        <f t="shared" si="16"/>
        <v>1874</v>
      </c>
      <c r="M943" s="74"/>
      <c r="N943" s="74"/>
    </row>
    <row r="944" spans="2:14" hidden="1" outlineLevel="1">
      <c r="B944" s="73">
        <v>938</v>
      </c>
      <c r="C944" s="39"/>
      <c r="D944" s="40"/>
      <c r="E944" s="34" t="s">
        <v>323</v>
      </c>
      <c r="F944" s="75" t="s">
        <v>1309</v>
      </c>
      <c r="G944" s="35" t="s">
        <v>370</v>
      </c>
      <c r="H944" s="41" t="s">
        <v>371</v>
      </c>
      <c r="I944" s="44" t="str">
        <f>"0x"&amp;AE_w_WORK!G175</f>
        <v>0x2222</v>
      </c>
      <c r="J944" s="36">
        <v>41154</v>
      </c>
      <c r="K944" s="37"/>
      <c r="L944" s="74">
        <f t="shared" si="16"/>
        <v>1876</v>
      </c>
      <c r="M944" s="74"/>
      <c r="N944" s="74"/>
    </row>
    <row r="945" spans="2:14" hidden="1" outlineLevel="1">
      <c r="B945" s="73">
        <v>939</v>
      </c>
      <c r="C945" s="39"/>
      <c r="D945" s="40"/>
      <c r="E945" s="34" t="s">
        <v>323</v>
      </c>
      <c r="F945" s="75" t="s">
        <v>1310</v>
      </c>
      <c r="G945" s="35" t="s">
        <v>370</v>
      </c>
      <c r="H945" s="41" t="s">
        <v>371</v>
      </c>
      <c r="I945" s="44" t="str">
        <f>"0x"&amp;AE_w_WORK!G176</f>
        <v>0x2222</v>
      </c>
      <c r="J945" s="36">
        <v>41155</v>
      </c>
      <c r="K945" s="37"/>
      <c r="L945" s="74">
        <f t="shared" si="16"/>
        <v>1878</v>
      </c>
      <c r="M945" s="74"/>
      <c r="N945" s="74"/>
    </row>
    <row r="946" spans="2:14" hidden="1" outlineLevel="1">
      <c r="B946" s="73">
        <v>940</v>
      </c>
      <c r="C946" s="39"/>
      <c r="D946" s="40"/>
      <c r="E946" s="34" t="s">
        <v>323</v>
      </c>
      <c r="F946" s="75" t="s">
        <v>1311</v>
      </c>
      <c r="G946" s="35" t="s">
        <v>370</v>
      </c>
      <c r="H946" s="41" t="s">
        <v>371</v>
      </c>
      <c r="I946" s="44" t="str">
        <f>"0x"&amp;AE_w_WORK!G177</f>
        <v>0x3333</v>
      </c>
      <c r="J946" s="36">
        <v>41156</v>
      </c>
      <c r="K946" s="37"/>
      <c r="L946" s="74">
        <f t="shared" si="16"/>
        <v>1880</v>
      </c>
      <c r="M946" s="74"/>
      <c r="N946" s="74"/>
    </row>
    <row r="947" spans="2:14" hidden="1" outlineLevel="1">
      <c r="B947" s="73">
        <v>941</v>
      </c>
      <c r="C947" s="39"/>
      <c r="D947" s="40"/>
      <c r="E947" s="34" t="s">
        <v>323</v>
      </c>
      <c r="F947" s="75" t="s">
        <v>1312</v>
      </c>
      <c r="G947" s="35" t="s">
        <v>370</v>
      </c>
      <c r="H947" s="41" t="s">
        <v>371</v>
      </c>
      <c r="I947" s="44" t="str">
        <f>"0x"&amp;AE_w_WORK!G178</f>
        <v>0x3333</v>
      </c>
      <c r="J947" s="36">
        <v>41157</v>
      </c>
      <c r="K947" s="37"/>
      <c r="L947" s="74">
        <f t="shared" si="16"/>
        <v>1882</v>
      </c>
      <c r="M947" s="74"/>
      <c r="N947" s="74"/>
    </row>
    <row r="948" spans="2:14" hidden="1" outlineLevel="1">
      <c r="B948" s="73">
        <v>942</v>
      </c>
      <c r="C948" s="39"/>
      <c r="D948" s="40"/>
      <c r="E948" s="34" t="s">
        <v>323</v>
      </c>
      <c r="F948" s="75" t="s">
        <v>1313</v>
      </c>
      <c r="G948" s="35" t="s">
        <v>370</v>
      </c>
      <c r="H948" s="41" t="s">
        <v>371</v>
      </c>
      <c r="I948" s="44" t="str">
        <f>"0x"&amp;AE_w_WORK!G179</f>
        <v>0x2222</v>
      </c>
      <c r="J948" s="36">
        <v>41158</v>
      </c>
      <c r="K948" s="37"/>
      <c r="L948" s="74">
        <f t="shared" si="16"/>
        <v>1884</v>
      </c>
      <c r="M948" s="74"/>
      <c r="N948" s="74"/>
    </row>
    <row r="949" spans="2:14" hidden="1" outlineLevel="1">
      <c r="B949" s="73">
        <v>943</v>
      </c>
      <c r="C949" s="39"/>
      <c r="D949" s="40"/>
      <c r="E949" s="34" t="s">
        <v>323</v>
      </c>
      <c r="F949" s="75" t="s">
        <v>1314</v>
      </c>
      <c r="G949" s="35" t="s">
        <v>370</v>
      </c>
      <c r="H949" s="41" t="s">
        <v>371</v>
      </c>
      <c r="I949" s="44" t="str">
        <f>"0x"&amp;AE_w_WORK!G180</f>
        <v>0x2222</v>
      </c>
      <c r="J949" s="36">
        <v>41159</v>
      </c>
      <c r="K949" s="37"/>
      <c r="L949" s="74">
        <f t="shared" si="16"/>
        <v>1886</v>
      </c>
      <c r="M949" s="74"/>
      <c r="N949" s="74"/>
    </row>
    <row r="950" spans="2:14" hidden="1" outlineLevel="1">
      <c r="B950" s="73">
        <v>944</v>
      </c>
      <c r="C950" s="39"/>
      <c r="D950" s="40"/>
      <c r="E950" s="34" t="s">
        <v>323</v>
      </c>
      <c r="F950" s="75" t="s">
        <v>1315</v>
      </c>
      <c r="G950" s="35" t="s">
        <v>370</v>
      </c>
      <c r="H950" s="41" t="s">
        <v>371</v>
      </c>
      <c r="I950" s="44" t="str">
        <f>"0x"&amp;AE_w_WORK!G181</f>
        <v>0x2222</v>
      </c>
      <c r="J950" s="36">
        <v>41160</v>
      </c>
      <c r="K950" s="37"/>
      <c r="L950" s="74">
        <f t="shared" si="16"/>
        <v>1888</v>
      </c>
      <c r="M950" s="74"/>
      <c r="N950" s="74"/>
    </row>
    <row r="951" spans="2:14" hidden="1" outlineLevel="1">
      <c r="B951" s="73">
        <v>945</v>
      </c>
      <c r="C951" s="39"/>
      <c r="D951" s="40"/>
      <c r="E951" s="34" t="s">
        <v>323</v>
      </c>
      <c r="F951" s="75" t="s">
        <v>1316</v>
      </c>
      <c r="G951" s="35" t="s">
        <v>370</v>
      </c>
      <c r="H951" s="41" t="s">
        <v>371</v>
      </c>
      <c r="I951" s="44" t="str">
        <f>"0x"&amp;AE_w_WORK!G182</f>
        <v>0x2222</v>
      </c>
      <c r="J951" s="36">
        <v>41161</v>
      </c>
      <c r="K951" s="37"/>
      <c r="L951" s="74">
        <f t="shared" si="16"/>
        <v>1890</v>
      </c>
      <c r="M951" s="74"/>
      <c r="N951" s="74"/>
    </row>
    <row r="952" spans="2:14" hidden="1" outlineLevel="1">
      <c r="B952" s="73">
        <v>946</v>
      </c>
      <c r="C952" s="39"/>
      <c r="D952" s="40"/>
      <c r="E952" s="34" t="s">
        <v>323</v>
      </c>
      <c r="F952" s="75" t="s">
        <v>1317</v>
      </c>
      <c r="G952" s="35" t="s">
        <v>370</v>
      </c>
      <c r="H952" s="41" t="s">
        <v>371</v>
      </c>
      <c r="I952" s="44" t="str">
        <f>"0x"&amp;AE_w_WORK!G183</f>
        <v>0x2222</v>
      </c>
      <c r="J952" s="36">
        <v>41162</v>
      </c>
      <c r="K952" s="37"/>
      <c r="L952" s="74">
        <f t="shared" si="16"/>
        <v>1892</v>
      </c>
      <c r="M952" s="74"/>
      <c r="N952" s="74"/>
    </row>
    <row r="953" spans="2:14" hidden="1" outlineLevel="1">
      <c r="B953" s="73">
        <v>947</v>
      </c>
      <c r="C953" s="39"/>
      <c r="D953" s="40"/>
      <c r="E953" s="34" t="s">
        <v>323</v>
      </c>
      <c r="F953" s="75" t="s">
        <v>1318</v>
      </c>
      <c r="G953" s="35" t="s">
        <v>370</v>
      </c>
      <c r="H953" s="41" t="s">
        <v>371</v>
      </c>
      <c r="I953" s="44" t="str">
        <f>"0x"&amp;AE_w_WORK!G184</f>
        <v>0x2222</v>
      </c>
      <c r="J953" s="36">
        <v>41163</v>
      </c>
      <c r="K953" s="37"/>
      <c r="L953" s="74">
        <f t="shared" si="16"/>
        <v>1894</v>
      </c>
      <c r="M953" s="74"/>
      <c r="N953" s="74"/>
    </row>
    <row r="954" spans="2:14" hidden="1" outlineLevel="1">
      <c r="B954" s="73">
        <v>948</v>
      </c>
      <c r="C954" s="39"/>
      <c r="D954" s="40"/>
      <c r="E954" s="34" t="s">
        <v>323</v>
      </c>
      <c r="F954" s="75" t="s">
        <v>1319</v>
      </c>
      <c r="G954" s="35" t="s">
        <v>370</v>
      </c>
      <c r="H954" s="41" t="s">
        <v>371</v>
      </c>
      <c r="I954" s="44" t="str">
        <f>"0x"&amp;AE_w_WORK!G185</f>
        <v>0x2222</v>
      </c>
      <c r="J954" s="36">
        <v>41164</v>
      </c>
      <c r="K954" s="37"/>
      <c r="L954" s="74">
        <f t="shared" si="16"/>
        <v>1896</v>
      </c>
      <c r="M954" s="74"/>
      <c r="N954" s="74"/>
    </row>
    <row r="955" spans="2:14" hidden="1" outlineLevel="1">
      <c r="B955" s="73">
        <v>949</v>
      </c>
      <c r="C955" s="39"/>
      <c r="D955" s="40"/>
      <c r="E955" s="34" t="s">
        <v>323</v>
      </c>
      <c r="F955" s="75" t="s">
        <v>1320</v>
      </c>
      <c r="G955" s="35" t="s">
        <v>370</v>
      </c>
      <c r="H955" s="41" t="s">
        <v>371</v>
      </c>
      <c r="I955" s="44" t="str">
        <f>"0x"&amp;AE_w_WORK!G186</f>
        <v>0x2222</v>
      </c>
      <c r="J955" s="36">
        <v>41165</v>
      </c>
      <c r="K955" s="37"/>
      <c r="L955" s="74">
        <f t="shared" si="16"/>
        <v>1898</v>
      </c>
      <c r="M955" s="74"/>
      <c r="N955" s="74"/>
    </row>
    <row r="956" spans="2:14" hidden="1" outlineLevel="1">
      <c r="B956" s="73">
        <v>950</v>
      </c>
      <c r="C956" s="39"/>
      <c r="D956" s="40"/>
      <c r="E956" s="34" t="s">
        <v>323</v>
      </c>
      <c r="F956" s="75" t="s">
        <v>1321</v>
      </c>
      <c r="G956" s="35" t="s">
        <v>370</v>
      </c>
      <c r="H956" s="41" t="s">
        <v>371</v>
      </c>
      <c r="I956" s="44" t="str">
        <f>"0x"&amp;AE_w_WORK!G187</f>
        <v>0x2222</v>
      </c>
      <c r="J956" s="36">
        <v>41166</v>
      </c>
      <c r="K956" s="37"/>
      <c r="L956" s="74">
        <f t="shared" si="16"/>
        <v>1900</v>
      </c>
      <c r="M956" s="74"/>
      <c r="N956" s="74"/>
    </row>
    <row r="957" spans="2:14" hidden="1" outlineLevel="1">
      <c r="B957" s="73">
        <v>951</v>
      </c>
      <c r="C957" s="39"/>
      <c r="D957" s="40"/>
      <c r="E957" s="34" t="s">
        <v>323</v>
      </c>
      <c r="F957" s="75" t="s">
        <v>1322</v>
      </c>
      <c r="G957" s="35" t="s">
        <v>370</v>
      </c>
      <c r="H957" s="41" t="s">
        <v>371</v>
      </c>
      <c r="I957" s="44" t="str">
        <f>"0x"&amp;AE_w_WORK!G188</f>
        <v>0x2222</v>
      </c>
      <c r="J957" s="36">
        <v>41167</v>
      </c>
      <c r="K957" s="37"/>
      <c r="L957" s="74">
        <f t="shared" si="16"/>
        <v>1902</v>
      </c>
      <c r="M957" s="74"/>
      <c r="N957" s="74"/>
    </row>
    <row r="958" spans="2:14" hidden="1" outlineLevel="1">
      <c r="B958" s="73">
        <v>952</v>
      </c>
      <c r="C958" s="39"/>
      <c r="D958" s="40"/>
      <c r="E958" s="34" t="s">
        <v>323</v>
      </c>
      <c r="F958" s="75" t="s">
        <v>1323</v>
      </c>
      <c r="G958" s="35" t="s">
        <v>370</v>
      </c>
      <c r="H958" s="41" t="s">
        <v>371</v>
      </c>
      <c r="I958" s="44" t="str">
        <f>"0x"&amp;AE_w_WORK!G189</f>
        <v>0x2222</v>
      </c>
      <c r="J958" s="36">
        <v>41168</v>
      </c>
      <c r="K958" s="37"/>
      <c r="L958" s="74">
        <f t="shared" si="16"/>
        <v>1904</v>
      </c>
      <c r="M958" s="74"/>
      <c r="N958" s="74"/>
    </row>
    <row r="959" spans="2:14" hidden="1" outlineLevel="1">
      <c r="B959" s="73">
        <v>953</v>
      </c>
      <c r="C959" s="39"/>
      <c r="D959" s="40"/>
      <c r="E959" s="34" t="s">
        <v>323</v>
      </c>
      <c r="F959" s="75" t="s">
        <v>1324</v>
      </c>
      <c r="G959" s="35" t="s">
        <v>370</v>
      </c>
      <c r="H959" s="41" t="s">
        <v>371</v>
      </c>
      <c r="I959" s="44" t="str">
        <f>"0x"&amp;AE_w_WORK!G190</f>
        <v>0x2222</v>
      </c>
      <c r="J959" s="36">
        <v>41169</v>
      </c>
      <c r="K959" s="37"/>
      <c r="L959" s="74">
        <f t="shared" si="16"/>
        <v>1906</v>
      </c>
      <c r="M959" s="74"/>
      <c r="N959" s="74"/>
    </row>
    <row r="960" spans="2:14" hidden="1" outlineLevel="1">
      <c r="B960" s="73">
        <v>954</v>
      </c>
      <c r="C960" s="39"/>
      <c r="D960" s="40"/>
      <c r="E960" s="34" t="s">
        <v>323</v>
      </c>
      <c r="F960" s="75" t="s">
        <v>1325</v>
      </c>
      <c r="G960" s="35" t="s">
        <v>370</v>
      </c>
      <c r="H960" s="41" t="s">
        <v>371</v>
      </c>
      <c r="I960" s="44" t="str">
        <f>"0x"&amp;AE_w_WORK!G191</f>
        <v>0x2222</v>
      </c>
      <c r="J960" s="36">
        <v>41170</v>
      </c>
      <c r="K960" s="37"/>
      <c r="L960" s="74">
        <f t="shared" si="16"/>
        <v>1908</v>
      </c>
      <c r="M960" s="74"/>
      <c r="N960" s="74"/>
    </row>
    <row r="961" spans="2:14" hidden="1" outlineLevel="1">
      <c r="B961" s="73">
        <v>955</v>
      </c>
      <c r="C961" s="39"/>
      <c r="D961" s="40"/>
      <c r="E961" s="34" t="s">
        <v>323</v>
      </c>
      <c r="F961" s="75" t="s">
        <v>1326</v>
      </c>
      <c r="G961" s="35" t="s">
        <v>370</v>
      </c>
      <c r="H961" s="41" t="s">
        <v>371</v>
      </c>
      <c r="I961" s="44" t="str">
        <f>"0x"&amp;AE_w_WORK!G192</f>
        <v>0x2222</v>
      </c>
      <c r="J961" s="36">
        <v>41171</v>
      </c>
      <c r="K961" s="37"/>
      <c r="L961" s="74">
        <f t="shared" si="16"/>
        <v>1910</v>
      </c>
      <c r="M961" s="74"/>
      <c r="N961" s="74"/>
    </row>
    <row r="962" spans="2:14" hidden="1" outlineLevel="1">
      <c r="B962" s="73">
        <v>956</v>
      </c>
      <c r="C962" s="39"/>
      <c r="D962" s="40"/>
      <c r="E962" s="34" t="s">
        <v>323</v>
      </c>
      <c r="F962" s="75" t="s">
        <v>1327</v>
      </c>
      <c r="G962" s="35" t="s">
        <v>370</v>
      </c>
      <c r="H962" s="41" t="s">
        <v>371</v>
      </c>
      <c r="I962" s="44" t="str">
        <f>"0x"&amp;AE_w_WORK!G193</f>
        <v>0x2222</v>
      </c>
      <c r="J962" s="36">
        <v>41172</v>
      </c>
      <c r="K962" s="37"/>
      <c r="L962" s="74">
        <f t="shared" si="16"/>
        <v>1912</v>
      </c>
      <c r="M962" s="74"/>
      <c r="N962" s="74"/>
    </row>
    <row r="963" spans="2:14" hidden="1" outlineLevel="1">
      <c r="B963" s="73">
        <v>957</v>
      </c>
      <c r="C963" s="39"/>
      <c r="D963" s="40"/>
      <c r="E963" s="34" t="s">
        <v>323</v>
      </c>
      <c r="F963" s="75" t="s">
        <v>1328</v>
      </c>
      <c r="G963" s="35" t="s">
        <v>370</v>
      </c>
      <c r="H963" s="41" t="s">
        <v>371</v>
      </c>
      <c r="I963" s="44" t="str">
        <f>"0x"&amp;AE_w_WORK!G194</f>
        <v>0x2222</v>
      </c>
      <c r="J963" s="36">
        <v>41173</v>
      </c>
      <c r="K963" s="37"/>
      <c r="L963" s="74">
        <f t="shared" si="16"/>
        <v>1914</v>
      </c>
      <c r="M963" s="74"/>
      <c r="N963" s="74"/>
    </row>
    <row r="964" spans="2:14" hidden="1" outlineLevel="1">
      <c r="B964" s="73">
        <v>958</v>
      </c>
      <c r="C964" s="39"/>
      <c r="D964" s="40"/>
      <c r="E964" s="34" t="s">
        <v>323</v>
      </c>
      <c r="F964" s="75" t="s">
        <v>1329</v>
      </c>
      <c r="G964" s="35" t="s">
        <v>370</v>
      </c>
      <c r="H964" s="41" t="s">
        <v>371</v>
      </c>
      <c r="I964" s="44" t="str">
        <f>"0x"&amp;AE_w_WORK!G195</f>
        <v>0x2222</v>
      </c>
      <c r="J964" s="36">
        <v>41174</v>
      </c>
      <c r="K964" s="37"/>
      <c r="L964" s="74">
        <f t="shared" si="16"/>
        <v>1916</v>
      </c>
      <c r="M964" s="74"/>
      <c r="N964" s="74"/>
    </row>
    <row r="965" spans="2:14" hidden="1" outlineLevel="1">
      <c r="B965" s="73">
        <v>959</v>
      </c>
      <c r="C965" s="39"/>
      <c r="D965" s="40"/>
      <c r="E965" s="34" t="s">
        <v>323</v>
      </c>
      <c r="F965" s="75" t="s">
        <v>1330</v>
      </c>
      <c r="G965" s="35" t="s">
        <v>370</v>
      </c>
      <c r="H965" s="41" t="s">
        <v>371</v>
      </c>
      <c r="I965" s="44" t="str">
        <f>"0x"&amp;AE_w_WORK!G196</f>
        <v>0x2222</v>
      </c>
      <c r="J965" s="36">
        <v>41175</v>
      </c>
      <c r="K965" s="37"/>
      <c r="L965" s="74">
        <f t="shared" si="16"/>
        <v>1918</v>
      </c>
      <c r="M965" s="74"/>
      <c r="N965" s="74"/>
    </row>
    <row r="966" spans="2:14" hidden="1" outlineLevel="1">
      <c r="B966" s="73">
        <v>960</v>
      </c>
      <c r="C966" s="39"/>
      <c r="D966" s="40"/>
      <c r="E966" s="34" t="s">
        <v>323</v>
      </c>
      <c r="F966" s="75" t="s">
        <v>1331</v>
      </c>
      <c r="G966" s="35" t="s">
        <v>370</v>
      </c>
      <c r="H966" s="41" t="s">
        <v>371</v>
      </c>
      <c r="I966" s="44" t="str">
        <f>"0x"&amp;AE_w_WORK!G197</f>
        <v>0x2222</v>
      </c>
      <c r="J966" s="36">
        <v>41176</v>
      </c>
      <c r="K966" s="37"/>
      <c r="L966" s="74">
        <f t="shared" si="16"/>
        <v>1920</v>
      </c>
      <c r="M966" s="74"/>
      <c r="N966" s="74"/>
    </row>
    <row r="967" spans="2:14" hidden="1" outlineLevel="1">
      <c r="B967" s="73">
        <v>961</v>
      </c>
      <c r="C967" s="39"/>
      <c r="D967" s="40"/>
      <c r="E967" s="34" t="s">
        <v>323</v>
      </c>
      <c r="F967" s="75" t="s">
        <v>1332</v>
      </c>
      <c r="G967" s="35" t="s">
        <v>370</v>
      </c>
      <c r="H967" s="41" t="s">
        <v>371</v>
      </c>
      <c r="I967" s="44" t="str">
        <f>"0x"&amp;AE_w_WORK!G198</f>
        <v>0x2222</v>
      </c>
      <c r="J967" s="36">
        <v>41177</v>
      </c>
      <c r="K967" s="37"/>
      <c r="L967" s="74">
        <f t="shared" si="16"/>
        <v>1922</v>
      </c>
      <c r="M967" s="74"/>
      <c r="N967" s="74"/>
    </row>
    <row r="968" spans="2:14" hidden="1" outlineLevel="1">
      <c r="B968" s="73">
        <v>962</v>
      </c>
      <c r="C968" s="39"/>
      <c r="D968" s="40"/>
      <c r="E968" s="34" t="s">
        <v>323</v>
      </c>
      <c r="F968" s="75" t="s">
        <v>1333</v>
      </c>
      <c r="G968" s="35" t="s">
        <v>370</v>
      </c>
      <c r="H968" s="41" t="s">
        <v>371</v>
      </c>
      <c r="I968" s="44" t="str">
        <f>"0x"&amp;AE_w_WORK!G199</f>
        <v>0x2222</v>
      </c>
      <c r="J968" s="36">
        <v>41178</v>
      </c>
      <c r="K968" s="37"/>
      <c r="L968" s="74">
        <f t="shared" si="16"/>
        <v>1924</v>
      </c>
      <c r="M968" s="74"/>
      <c r="N968" s="74"/>
    </row>
    <row r="969" spans="2:14" hidden="1" outlineLevel="1">
      <c r="B969" s="73">
        <v>963</v>
      </c>
      <c r="C969" s="39"/>
      <c r="D969" s="40"/>
      <c r="E969" s="34" t="s">
        <v>323</v>
      </c>
      <c r="F969" s="75" t="s">
        <v>1334</v>
      </c>
      <c r="G969" s="35" t="s">
        <v>370</v>
      </c>
      <c r="H969" s="41" t="s">
        <v>371</v>
      </c>
      <c r="I969" s="44" t="str">
        <f>"0x"&amp;AE_w_WORK!G200</f>
        <v>0x2222</v>
      </c>
      <c r="J969" s="36">
        <v>41179</v>
      </c>
      <c r="K969" s="37"/>
      <c r="L969" s="74">
        <f t="shared" ref="L969:L1032" si="17">L968+2</f>
        <v>1926</v>
      </c>
      <c r="M969" s="74"/>
      <c r="N969" s="74"/>
    </row>
    <row r="970" spans="2:14" hidden="1" outlineLevel="1">
      <c r="B970" s="73">
        <v>964</v>
      </c>
      <c r="C970" s="39"/>
      <c r="D970" s="40"/>
      <c r="E970" s="34" t="s">
        <v>323</v>
      </c>
      <c r="F970" s="75" t="s">
        <v>1335</v>
      </c>
      <c r="G970" s="35" t="s">
        <v>370</v>
      </c>
      <c r="H970" s="41" t="s">
        <v>371</v>
      </c>
      <c r="I970" s="44" t="str">
        <f>"0x"&amp;AE_w_WORK!G201</f>
        <v>0x2222</v>
      </c>
      <c r="J970" s="36">
        <v>41180</v>
      </c>
      <c r="K970" s="37"/>
      <c r="L970" s="74">
        <f t="shared" si="17"/>
        <v>1928</v>
      </c>
      <c r="M970" s="74"/>
      <c r="N970" s="74"/>
    </row>
    <row r="971" spans="2:14" hidden="1" outlineLevel="1">
      <c r="B971" s="73">
        <v>965</v>
      </c>
      <c r="C971" s="39"/>
      <c r="D971" s="40"/>
      <c r="E971" s="34" t="s">
        <v>323</v>
      </c>
      <c r="F971" s="75" t="s">
        <v>1336</v>
      </c>
      <c r="G971" s="35" t="s">
        <v>370</v>
      </c>
      <c r="H971" s="41" t="s">
        <v>371</v>
      </c>
      <c r="I971" s="44" t="str">
        <f>"0x"&amp;AE_w_WORK!G202</f>
        <v>0x2222</v>
      </c>
      <c r="J971" s="36">
        <v>41181</v>
      </c>
      <c r="K971" s="37"/>
      <c r="L971" s="74">
        <f t="shared" si="17"/>
        <v>1930</v>
      </c>
      <c r="M971" s="74"/>
      <c r="N971" s="74"/>
    </row>
    <row r="972" spans="2:14" hidden="1" outlineLevel="1">
      <c r="B972" s="73">
        <v>966</v>
      </c>
      <c r="C972" s="39"/>
      <c r="D972" s="40"/>
      <c r="E972" s="34" t="s">
        <v>323</v>
      </c>
      <c r="F972" s="75" t="s">
        <v>1337</v>
      </c>
      <c r="G972" s="35" t="s">
        <v>370</v>
      </c>
      <c r="H972" s="41" t="s">
        <v>371</v>
      </c>
      <c r="I972" s="44" t="str">
        <f>"0x"&amp;AE_w_WORK!G203</f>
        <v>0x2222</v>
      </c>
      <c r="J972" s="36">
        <v>41182</v>
      </c>
      <c r="K972" s="37"/>
      <c r="L972" s="74">
        <f t="shared" si="17"/>
        <v>1932</v>
      </c>
      <c r="M972" s="74"/>
      <c r="N972" s="74"/>
    </row>
    <row r="973" spans="2:14" hidden="1" outlineLevel="1">
      <c r="B973" s="73">
        <v>967</v>
      </c>
      <c r="C973" s="39"/>
      <c r="D973" s="40"/>
      <c r="E973" s="34" t="s">
        <v>323</v>
      </c>
      <c r="F973" s="75" t="s">
        <v>1338</v>
      </c>
      <c r="G973" s="35" t="s">
        <v>370</v>
      </c>
      <c r="H973" s="41" t="s">
        <v>371</v>
      </c>
      <c r="I973" s="44" t="str">
        <f>"0x"&amp;AE_w_WORK!G204</f>
        <v>0x2222</v>
      </c>
      <c r="J973" s="36">
        <v>41183</v>
      </c>
      <c r="K973" s="37"/>
      <c r="L973" s="74">
        <f t="shared" si="17"/>
        <v>1934</v>
      </c>
      <c r="M973" s="74"/>
      <c r="N973" s="74"/>
    </row>
    <row r="974" spans="2:14" hidden="1" outlineLevel="1">
      <c r="B974" s="73">
        <v>968</v>
      </c>
      <c r="C974" s="39"/>
      <c r="D974" s="40"/>
      <c r="E974" s="34" t="s">
        <v>323</v>
      </c>
      <c r="F974" s="75" t="s">
        <v>1339</v>
      </c>
      <c r="G974" s="35" t="s">
        <v>370</v>
      </c>
      <c r="H974" s="41" t="s">
        <v>371</v>
      </c>
      <c r="I974" s="44" t="str">
        <f>"0x"&amp;AE_w_WORK!G205</f>
        <v>0x2222</v>
      </c>
      <c r="J974" s="36">
        <v>41184</v>
      </c>
      <c r="K974" s="37"/>
      <c r="L974" s="74">
        <f t="shared" si="17"/>
        <v>1936</v>
      </c>
      <c r="M974" s="74"/>
      <c r="N974" s="74"/>
    </row>
    <row r="975" spans="2:14" hidden="1" outlineLevel="1">
      <c r="B975" s="73">
        <v>969</v>
      </c>
      <c r="C975" s="39"/>
      <c r="D975" s="40"/>
      <c r="E975" s="34" t="s">
        <v>323</v>
      </c>
      <c r="F975" s="75" t="s">
        <v>1340</v>
      </c>
      <c r="G975" s="35" t="s">
        <v>370</v>
      </c>
      <c r="H975" s="41" t="s">
        <v>371</v>
      </c>
      <c r="I975" s="44" t="str">
        <f>"0x"&amp;AE_w_WORK!G206</f>
        <v>0x2222</v>
      </c>
      <c r="J975" s="36">
        <v>41185</v>
      </c>
      <c r="K975" s="37"/>
      <c r="L975" s="74">
        <f t="shared" si="17"/>
        <v>1938</v>
      </c>
      <c r="M975" s="74"/>
      <c r="N975" s="74"/>
    </row>
    <row r="976" spans="2:14" hidden="1" outlineLevel="1">
      <c r="B976" s="73">
        <v>970</v>
      </c>
      <c r="C976" s="39"/>
      <c r="D976" s="40"/>
      <c r="E976" s="34" t="s">
        <v>323</v>
      </c>
      <c r="F976" s="75" t="s">
        <v>1341</v>
      </c>
      <c r="G976" s="35" t="s">
        <v>370</v>
      </c>
      <c r="H976" s="41" t="s">
        <v>371</v>
      </c>
      <c r="I976" s="44" t="str">
        <f>"0x"&amp;AE_w_WORK!G207</f>
        <v>0x2222</v>
      </c>
      <c r="J976" s="36">
        <v>41186</v>
      </c>
      <c r="K976" s="37"/>
      <c r="L976" s="74">
        <f t="shared" si="17"/>
        <v>1940</v>
      </c>
      <c r="M976" s="74"/>
      <c r="N976" s="74"/>
    </row>
    <row r="977" spans="2:14" hidden="1" outlineLevel="1">
      <c r="B977" s="73">
        <v>971</v>
      </c>
      <c r="C977" s="39"/>
      <c r="D977" s="40"/>
      <c r="E977" s="34" t="s">
        <v>323</v>
      </c>
      <c r="F977" s="75" t="s">
        <v>1342</v>
      </c>
      <c r="G977" s="35" t="s">
        <v>370</v>
      </c>
      <c r="H977" s="41" t="s">
        <v>371</v>
      </c>
      <c r="I977" s="44" t="str">
        <f>"0x"&amp;AE_w_WORK!G208</f>
        <v>0x2222</v>
      </c>
      <c r="J977" s="36">
        <v>41187</v>
      </c>
      <c r="K977" s="37"/>
      <c r="L977" s="74">
        <f t="shared" si="17"/>
        <v>1942</v>
      </c>
      <c r="M977" s="74"/>
      <c r="N977" s="74"/>
    </row>
    <row r="978" spans="2:14" hidden="1" outlineLevel="1">
      <c r="B978" s="73">
        <v>972</v>
      </c>
      <c r="C978" s="39"/>
      <c r="D978" s="40"/>
      <c r="E978" s="34" t="s">
        <v>323</v>
      </c>
      <c r="F978" s="75" t="s">
        <v>1343</v>
      </c>
      <c r="G978" s="35" t="s">
        <v>370</v>
      </c>
      <c r="H978" s="41" t="s">
        <v>371</v>
      </c>
      <c r="I978" s="44" t="str">
        <f>"0x"&amp;AE_w_WORK!G209</f>
        <v>0x2222</v>
      </c>
      <c r="J978" s="36">
        <v>41188</v>
      </c>
      <c r="K978" s="37"/>
      <c r="L978" s="74">
        <f t="shared" si="17"/>
        <v>1944</v>
      </c>
      <c r="M978" s="74"/>
      <c r="N978" s="74"/>
    </row>
    <row r="979" spans="2:14" hidden="1" outlineLevel="1">
      <c r="B979" s="73">
        <v>973</v>
      </c>
      <c r="C979" s="39"/>
      <c r="D979" s="40"/>
      <c r="E979" s="34" t="s">
        <v>323</v>
      </c>
      <c r="F979" s="75" t="s">
        <v>1344</v>
      </c>
      <c r="G979" s="35" t="s">
        <v>370</v>
      </c>
      <c r="H979" s="41" t="s">
        <v>371</v>
      </c>
      <c r="I979" s="44" t="str">
        <f>"0x"&amp;AE_w_WORK!G210</f>
        <v>0x2222</v>
      </c>
      <c r="J979" s="36">
        <v>41189</v>
      </c>
      <c r="K979" s="37"/>
      <c r="L979" s="74">
        <f t="shared" si="17"/>
        <v>1946</v>
      </c>
      <c r="M979" s="74"/>
      <c r="N979" s="74"/>
    </row>
    <row r="980" spans="2:14" hidden="1" outlineLevel="1">
      <c r="B980" s="73">
        <v>974</v>
      </c>
      <c r="C980" s="39"/>
      <c r="D980" s="40"/>
      <c r="E980" s="34" t="s">
        <v>323</v>
      </c>
      <c r="F980" s="75" t="s">
        <v>1345</v>
      </c>
      <c r="G980" s="35" t="s">
        <v>370</v>
      </c>
      <c r="H980" s="41" t="s">
        <v>371</v>
      </c>
      <c r="I980" s="44" t="str">
        <f>"0x"&amp;AE_w_WORK!G211</f>
        <v>0x2222</v>
      </c>
      <c r="J980" s="36">
        <v>41190</v>
      </c>
      <c r="K980" s="37"/>
      <c r="L980" s="74">
        <f t="shared" si="17"/>
        <v>1948</v>
      </c>
      <c r="M980" s="74"/>
      <c r="N980" s="74"/>
    </row>
    <row r="981" spans="2:14" hidden="1" outlineLevel="1">
      <c r="B981" s="73">
        <v>975</v>
      </c>
      <c r="C981" s="39"/>
      <c r="D981" s="40"/>
      <c r="E981" s="34" t="s">
        <v>323</v>
      </c>
      <c r="F981" s="75" t="s">
        <v>1346</v>
      </c>
      <c r="G981" s="35" t="s">
        <v>370</v>
      </c>
      <c r="H981" s="41" t="s">
        <v>371</v>
      </c>
      <c r="I981" s="44" t="str">
        <f>"0x"&amp;AE_w_WORK!G212</f>
        <v>0x2222</v>
      </c>
      <c r="J981" s="36">
        <v>41191</v>
      </c>
      <c r="K981" s="37"/>
      <c r="L981" s="74">
        <f t="shared" si="17"/>
        <v>1950</v>
      </c>
      <c r="M981" s="74"/>
      <c r="N981" s="74"/>
    </row>
    <row r="982" spans="2:14" hidden="1" outlineLevel="1">
      <c r="B982" s="73">
        <v>976</v>
      </c>
      <c r="C982" s="39"/>
      <c r="D982" s="40"/>
      <c r="E982" s="34" t="s">
        <v>323</v>
      </c>
      <c r="F982" s="75" t="s">
        <v>1347</v>
      </c>
      <c r="G982" s="35" t="s">
        <v>370</v>
      </c>
      <c r="H982" s="41" t="s">
        <v>371</v>
      </c>
      <c r="I982" s="44" t="str">
        <f>"0x"&amp;AE_w_WORK!G213</f>
        <v>0x2222</v>
      </c>
      <c r="J982" s="36">
        <v>41192</v>
      </c>
      <c r="K982" s="37"/>
      <c r="L982" s="74">
        <f t="shared" si="17"/>
        <v>1952</v>
      </c>
      <c r="M982" s="74"/>
      <c r="N982" s="74"/>
    </row>
    <row r="983" spans="2:14" hidden="1" outlineLevel="1">
      <c r="B983" s="73">
        <v>977</v>
      </c>
      <c r="C983" s="39"/>
      <c r="D983" s="40"/>
      <c r="E983" s="34" t="s">
        <v>323</v>
      </c>
      <c r="F983" s="75" t="s">
        <v>1348</v>
      </c>
      <c r="G983" s="35" t="s">
        <v>370</v>
      </c>
      <c r="H983" s="41" t="s">
        <v>371</v>
      </c>
      <c r="I983" s="44" t="str">
        <f>"0x"&amp;AE_w_WORK!G214</f>
        <v>0x2222</v>
      </c>
      <c r="J983" s="36">
        <v>41193</v>
      </c>
      <c r="K983" s="37"/>
      <c r="L983" s="74">
        <f t="shared" si="17"/>
        <v>1954</v>
      </c>
      <c r="M983" s="74"/>
      <c r="N983" s="74"/>
    </row>
    <row r="984" spans="2:14" hidden="1" outlineLevel="1">
      <c r="B984" s="73">
        <v>978</v>
      </c>
      <c r="C984" s="39"/>
      <c r="D984" s="40"/>
      <c r="E984" s="34" t="s">
        <v>323</v>
      </c>
      <c r="F984" s="75" t="s">
        <v>1349</v>
      </c>
      <c r="G984" s="35" t="s">
        <v>370</v>
      </c>
      <c r="H984" s="41" t="s">
        <v>371</v>
      </c>
      <c r="I984" s="44" t="str">
        <f>"0x"&amp;AE_w_WORK!G215</f>
        <v>0x2222</v>
      </c>
      <c r="J984" s="36">
        <v>41194</v>
      </c>
      <c r="K984" s="37"/>
      <c r="L984" s="74">
        <f t="shared" si="17"/>
        <v>1956</v>
      </c>
      <c r="M984" s="74"/>
      <c r="N984" s="74"/>
    </row>
    <row r="985" spans="2:14" hidden="1" outlineLevel="1">
      <c r="B985" s="73">
        <v>979</v>
      </c>
      <c r="C985" s="39"/>
      <c r="D985" s="40"/>
      <c r="E985" s="34" t="s">
        <v>323</v>
      </c>
      <c r="F985" s="75" t="s">
        <v>1350</v>
      </c>
      <c r="G985" s="35" t="s">
        <v>370</v>
      </c>
      <c r="H985" s="41" t="s">
        <v>371</v>
      </c>
      <c r="I985" s="44" t="str">
        <f>"0x"&amp;AE_w_WORK!G216</f>
        <v>0x2222</v>
      </c>
      <c r="J985" s="36">
        <v>41195</v>
      </c>
      <c r="K985" s="37"/>
      <c r="L985" s="74">
        <f t="shared" si="17"/>
        <v>1958</v>
      </c>
      <c r="M985" s="74"/>
      <c r="N985" s="74"/>
    </row>
    <row r="986" spans="2:14" hidden="1" outlineLevel="1">
      <c r="B986" s="73">
        <v>980</v>
      </c>
      <c r="C986" s="39"/>
      <c r="D986" s="40"/>
      <c r="E986" s="34" t="s">
        <v>323</v>
      </c>
      <c r="F986" s="75" t="s">
        <v>1351</v>
      </c>
      <c r="G986" s="35" t="s">
        <v>370</v>
      </c>
      <c r="H986" s="41" t="s">
        <v>371</v>
      </c>
      <c r="I986" s="44" t="str">
        <f>"0x"&amp;AE_w_WORK!G217</f>
        <v>0x2222</v>
      </c>
      <c r="J986" s="36">
        <v>41196</v>
      </c>
      <c r="K986" s="37"/>
      <c r="L986" s="74">
        <f t="shared" si="17"/>
        <v>1960</v>
      </c>
      <c r="M986" s="74"/>
      <c r="N986" s="74"/>
    </row>
    <row r="987" spans="2:14" hidden="1" outlineLevel="1">
      <c r="B987" s="73">
        <v>981</v>
      </c>
      <c r="C987" s="39"/>
      <c r="D987" s="40"/>
      <c r="E987" s="34" t="s">
        <v>323</v>
      </c>
      <c r="F987" s="75" t="s">
        <v>1352</v>
      </c>
      <c r="G987" s="35" t="s">
        <v>370</v>
      </c>
      <c r="H987" s="41" t="s">
        <v>371</v>
      </c>
      <c r="I987" s="44" t="str">
        <f>"0x"&amp;AE_w_WORK!G218</f>
        <v>0x2222</v>
      </c>
      <c r="J987" s="36">
        <v>41197</v>
      </c>
      <c r="K987" s="37"/>
      <c r="L987" s="74">
        <f t="shared" si="17"/>
        <v>1962</v>
      </c>
      <c r="M987" s="74"/>
      <c r="N987" s="74"/>
    </row>
    <row r="988" spans="2:14" hidden="1" outlineLevel="1">
      <c r="B988" s="73">
        <v>982</v>
      </c>
      <c r="C988" s="39"/>
      <c r="D988" s="40"/>
      <c r="E988" s="34" t="s">
        <v>323</v>
      </c>
      <c r="F988" s="75" t="s">
        <v>1353</v>
      </c>
      <c r="G988" s="35" t="s">
        <v>370</v>
      </c>
      <c r="H988" s="41" t="s">
        <v>371</v>
      </c>
      <c r="I988" s="44" t="str">
        <f>"0x"&amp;AE_w_WORK!G219</f>
        <v>0x2222</v>
      </c>
      <c r="J988" s="36">
        <v>41198</v>
      </c>
      <c r="K988" s="37"/>
      <c r="L988" s="74">
        <f t="shared" si="17"/>
        <v>1964</v>
      </c>
      <c r="M988" s="74"/>
      <c r="N988" s="74"/>
    </row>
    <row r="989" spans="2:14" hidden="1" outlineLevel="1">
      <c r="B989" s="73">
        <v>983</v>
      </c>
      <c r="C989" s="39"/>
      <c r="D989" s="40"/>
      <c r="E989" s="34" t="s">
        <v>323</v>
      </c>
      <c r="F989" s="75" t="s">
        <v>1354</v>
      </c>
      <c r="G989" s="35" t="s">
        <v>370</v>
      </c>
      <c r="H989" s="41" t="s">
        <v>371</v>
      </c>
      <c r="I989" s="44" t="str">
        <f>"0x"&amp;AE_w_WORK!G220</f>
        <v>0x2222</v>
      </c>
      <c r="J989" s="36">
        <v>41199</v>
      </c>
      <c r="K989" s="37"/>
      <c r="L989" s="74">
        <f t="shared" si="17"/>
        <v>1966</v>
      </c>
      <c r="M989" s="74"/>
      <c r="N989" s="74"/>
    </row>
    <row r="990" spans="2:14" hidden="1" outlineLevel="1">
      <c r="B990" s="73">
        <v>984</v>
      </c>
      <c r="C990" s="39"/>
      <c r="D990" s="40"/>
      <c r="E990" s="34" t="s">
        <v>323</v>
      </c>
      <c r="F990" s="75" t="s">
        <v>1355</v>
      </c>
      <c r="G990" s="35" t="s">
        <v>370</v>
      </c>
      <c r="H990" s="41" t="s">
        <v>371</v>
      </c>
      <c r="I990" s="44" t="str">
        <f>"0x"&amp;AE_w_WORK!G221</f>
        <v>0x2222</v>
      </c>
      <c r="J990" s="36">
        <v>41200</v>
      </c>
      <c r="K990" s="37"/>
      <c r="L990" s="74">
        <f t="shared" si="17"/>
        <v>1968</v>
      </c>
      <c r="M990" s="74"/>
      <c r="N990" s="74"/>
    </row>
    <row r="991" spans="2:14" hidden="1" outlineLevel="1">
      <c r="B991" s="73">
        <v>985</v>
      </c>
      <c r="C991" s="39"/>
      <c r="D991" s="40"/>
      <c r="E991" s="34" t="s">
        <v>323</v>
      </c>
      <c r="F991" s="75" t="s">
        <v>1356</v>
      </c>
      <c r="G991" s="35" t="s">
        <v>370</v>
      </c>
      <c r="H991" s="41" t="s">
        <v>371</v>
      </c>
      <c r="I991" s="44" t="str">
        <f>"0x"&amp;AE_w_WORK!G222</f>
        <v>0x2222</v>
      </c>
      <c r="J991" s="36">
        <v>41201</v>
      </c>
      <c r="K991" s="37"/>
      <c r="L991" s="74">
        <f t="shared" si="17"/>
        <v>1970</v>
      </c>
      <c r="M991" s="74"/>
      <c r="N991" s="74"/>
    </row>
    <row r="992" spans="2:14" hidden="1" outlineLevel="1">
      <c r="B992" s="73">
        <v>986</v>
      </c>
      <c r="C992" s="39"/>
      <c r="D992" s="40"/>
      <c r="E992" s="34" t="s">
        <v>323</v>
      </c>
      <c r="F992" s="75" t="s">
        <v>1357</v>
      </c>
      <c r="G992" s="35" t="s">
        <v>370</v>
      </c>
      <c r="H992" s="41" t="s">
        <v>371</v>
      </c>
      <c r="I992" s="44" t="str">
        <f>"0x"&amp;AE_w_WORK!G223</f>
        <v>0x2222</v>
      </c>
      <c r="J992" s="36">
        <v>41202</v>
      </c>
      <c r="K992" s="37"/>
      <c r="L992" s="74">
        <f t="shared" si="17"/>
        <v>1972</v>
      </c>
      <c r="M992" s="74"/>
      <c r="N992" s="74"/>
    </row>
    <row r="993" spans="2:14" hidden="1" outlineLevel="1">
      <c r="B993" s="73">
        <v>987</v>
      </c>
      <c r="C993" s="39"/>
      <c r="D993" s="40"/>
      <c r="E993" s="34" t="s">
        <v>323</v>
      </c>
      <c r="F993" s="75" t="s">
        <v>1358</v>
      </c>
      <c r="G993" s="35" t="s">
        <v>370</v>
      </c>
      <c r="H993" s="41" t="s">
        <v>371</v>
      </c>
      <c r="I993" s="44" t="str">
        <f>"0x"&amp;AE_w_WORK!G224</f>
        <v>0x2222</v>
      </c>
      <c r="J993" s="36">
        <v>41203</v>
      </c>
      <c r="K993" s="37"/>
      <c r="L993" s="74">
        <f t="shared" si="17"/>
        <v>1974</v>
      </c>
      <c r="M993" s="74"/>
      <c r="N993" s="74"/>
    </row>
    <row r="994" spans="2:14" hidden="1" outlineLevel="1">
      <c r="B994" s="73">
        <v>988</v>
      </c>
      <c r="C994" s="39"/>
      <c r="D994" s="40"/>
      <c r="E994" s="34" t="s">
        <v>323</v>
      </c>
      <c r="F994" s="75" t="s">
        <v>1359</v>
      </c>
      <c r="G994" s="35" t="s">
        <v>370</v>
      </c>
      <c r="H994" s="41" t="s">
        <v>371</v>
      </c>
      <c r="I994" s="44" t="str">
        <f>"0x"&amp;AE_w_WORK!G225</f>
        <v>0x2222</v>
      </c>
      <c r="J994" s="36">
        <v>41204</v>
      </c>
      <c r="K994" s="37"/>
      <c r="L994" s="74">
        <f t="shared" si="17"/>
        <v>1976</v>
      </c>
      <c r="M994" s="74"/>
      <c r="N994" s="74"/>
    </row>
    <row r="995" spans="2:14" hidden="1" outlineLevel="1">
      <c r="B995" s="73">
        <v>989</v>
      </c>
      <c r="C995" s="39"/>
      <c r="D995" s="40"/>
      <c r="E995" s="34" t="s">
        <v>323</v>
      </c>
      <c r="F995" s="75" t="s">
        <v>1360</v>
      </c>
      <c r="G995" s="35" t="s">
        <v>370</v>
      </c>
      <c r="H995" s="41" t="s">
        <v>371</v>
      </c>
      <c r="I995" s="44" t="str">
        <f>"0x"&amp;AE_w_WORK!G226</f>
        <v>0x2222</v>
      </c>
      <c r="J995" s="36">
        <v>41205</v>
      </c>
      <c r="K995" s="37"/>
      <c r="L995" s="74">
        <f t="shared" si="17"/>
        <v>1978</v>
      </c>
      <c r="M995" s="74"/>
      <c r="N995" s="74"/>
    </row>
    <row r="996" spans="2:14" hidden="1" outlineLevel="1">
      <c r="B996" s="73">
        <v>990</v>
      </c>
      <c r="C996" s="39"/>
      <c r="D996" s="40"/>
      <c r="E996" s="34" t="s">
        <v>323</v>
      </c>
      <c r="F996" s="75" t="s">
        <v>1361</v>
      </c>
      <c r="G996" s="35" t="s">
        <v>370</v>
      </c>
      <c r="H996" s="41" t="s">
        <v>371</v>
      </c>
      <c r="I996" s="44" t="str">
        <f>"0x"&amp;AE_w_WORK!G227</f>
        <v>0x2222</v>
      </c>
      <c r="J996" s="36">
        <v>41206</v>
      </c>
      <c r="K996" s="37"/>
      <c r="L996" s="74">
        <f t="shared" si="17"/>
        <v>1980</v>
      </c>
      <c r="M996" s="74"/>
      <c r="N996" s="74"/>
    </row>
    <row r="997" spans="2:14" hidden="1" outlineLevel="1">
      <c r="B997" s="73">
        <v>991</v>
      </c>
      <c r="C997" s="39"/>
      <c r="D997" s="40"/>
      <c r="E997" s="34" t="s">
        <v>323</v>
      </c>
      <c r="F997" s="75" t="s">
        <v>1362</v>
      </c>
      <c r="G997" s="35" t="s">
        <v>370</v>
      </c>
      <c r="H997" s="41" t="s">
        <v>371</v>
      </c>
      <c r="I997" s="44" t="str">
        <f>"0x"&amp;AE_w_WORK!G228</f>
        <v>0x2222</v>
      </c>
      <c r="J997" s="36">
        <v>41207</v>
      </c>
      <c r="K997" s="37"/>
      <c r="L997" s="74">
        <f t="shared" si="17"/>
        <v>1982</v>
      </c>
      <c r="M997" s="74"/>
      <c r="N997" s="74"/>
    </row>
    <row r="998" spans="2:14" hidden="1" outlineLevel="1">
      <c r="B998" s="73">
        <v>992</v>
      </c>
      <c r="C998" s="39"/>
      <c r="D998" s="40"/>
      <c r="E998" s="34" t="s">
        <v>323</v>
      </c>
      <c r="F998" s="75" t="s">
        <v>1363</v>
      </c>
      <c r="G998" s="35" t="s">
        <v>370</v>
      </c>
      <c r="H998" s="41" t="s">
        <v>371</v>
      </c>
      <c r="I998" s="44" t="str">
        <f>"0x"&amp;AE_w_WORK!G229</f>
        <v>0x2222</v>
      </c>
      <c r="J998" s="36">
        <v>41208</v>
      </c>
      <c r="K998" s="37"/>
      <c r="L998" s="74">
        <f t="shared" si="17"/>
        <v>1984</v>
      </c>
      <c r="M998" s="74"/>
      <c r="N998" s="74"/>
    </row>
    <row r="999" spans="2:14" hidden="1" outlineLevel="1">
      <c r="B999" s="73">
        <v>993</v>
      </c>
      <c r="C999" s="39"/>
      <c r="D999" s="40"/>
      <c r="E999" s="34" t="s">
        <v>323</v>
      </c>
      <c r="F999" s="75" t="s">
        <v>1364</v>
      </c>
      <c r="G999" s="35" t="s">
        <v>370</v>
      </c>
      <c r="H999" s="41" t="s">
        <v>371</v>
      </c>
      <c r="I999" s="44" t="str">
        <f>"0x"&amp;AE_w_WORK!G230</f>
        <v>0x2222</v>
      </c>
      <c r="J999" s="36">
        <v>41209</v>
      </c>
      <c r="K999" s="37"/>
      <c r="L999" s="74">
        <f t="shared" si="17"/>
        <v>1986</v>
      </c>
      <c r="M999" s="74"/>
      <c r="N999" s="74"/>
    </row>
    <row r="1000" spans="2:14" hidden="1" outlineLevel="1">
      <c r="B1000" s="73">
        <v>994</v>
      </c>
      <c r="C1000" s="39"/>
      <c r="D1000" s="40"/>
      <c r="E1000" s="34" t="s">
        <v>323</v>
      </c>
      <c r="F1000" s="75" t="s">
        <v>1365</v>
      </c>
      <c r="G1000" s="35" t="s">
        <v>370</v>
      </c>
      <c r="H1000" s="41" t="s">
        <v>371</v>
      </c>
      <c r="I1000" s="44" t="str">
        <f>"0x"&amp;AE_w_WORK!G231</f>
        <v>0x2222</v>
      </c>
      <c r="J1000" s="36">
        <v>41210</v>
      </c>
      <c r="K1000" s="37"/>
      <c r="L1000" s="74">
        <f t="shared" si="17"/>
        <v>1988</v>
      </c>
      <c r="M1000" s="74"/>
      <c r="N1000" s="74"/>
    </row>
    <row r="1001" spans="2:14" hidden="1" outlineLevel="1">
      <c r="B1001" s="73">
        <v>995</v>
      </c>
      <c r="C1001" s="39"/>
      <c r="D1001" s="40"/>
      <c r="E1001" s="34" t="s">
        <v>323</v>
      </c>
      <c r="F1001" s="75" t="s">
        <v>1366</v>
      </c>
      <c r="G1001" s="35" t="s">
        <v>370</v>
      </c>
      <c r="H1001" s="41" t="s">
        <v>371</v>
      </c>
      <c r="I1001" s="44" t="str">
        <f>"0x"&amp;AE_w_WORK!G232</f>
        <v>0x2222</v>
      </c>
      <c r="J1001" s="36">
        <v>41211</v>
      </c>
      <c r="K1001" s="37"/>
      <c r="L1001" s="74">
        <f t="shared" si="17"/>
        <v>1990</v>
      </c>
      <c r="M1001" s="74"/>
      <c r="N1001" s="74"/>
    </row>
    <row r="1002" spans="2:14" hidden="1" outlineLevel="1">
      <c r="B1002" s="73">
        <v>996</v>
      </c>
      <c r="C1002" s="39"/>
      <c r="D1002" s="40"/>
      <c r="E1002" s="34" t="s">
        <v>323</v>
      </c>
      <c r="F1002" s="75" t="s">
        <v>1367</v>
      </c>
      <c r="G1002" s="35" t="s">
        <v>370</v>
      </c>
      <c r="H1002" s="41" t="s">
        <v>371</v>
      </c>
      <c r="I1002" s="44" t="str">
        <f>"0x"&amp;AE_w_WORK!G233</f>
        <v>0x2222</v>
      </c>
      <c r="J1002" s="36">
        <v>41212</v>
      </c>
      <c r="K1002" s="37"/>
      <c r="L1002" s="74">
        <f t="shared" si="17"/>
        <v>1992</v>
      </c>
      <c r="M1002" s="74"/>
      <c r="N1002" s="74"/>
    </row>
    <row r="1003" spans="2:14" hidden="1" outlineLevel="1">
      <c r="B1003" s="73">
        <v>997</v>
      </c>
      <c r="C1003" s="39"/>
      <c r="D1003" s="40"/>
      <c r="E1003" s="34" t="s">
        <v>323</v>
      </c>
      <c r="F1003" s="75" t="s">
        <v>1368</v>
      </c>
      <c r="G1003" s="35" t="s">
        <v>370</v>
      </c>
      <c r="H1003" s="41" t="s">
        <v>371</v>
      </c>
      <c r="I1003" s="44" t="str">
        <f>"0x"&amp;AE_w_WORK!G234</f>
        <v>0x2222</v>
      </c>
      <c r="J1003" s="36">
        <v>41213</v>
      </c>
      <c r="K1003" s="37"/>
      <c r="L1003" s="74">
        <f t="shared" si="17"/>
        <v>1994</v>
      </c>
      <c r="M1003" s="74"/>
      <c r="N1003" s="74"/>
    </row>
    <row r="1004" spans="2:14" hidden="1" outlineLevel="1">
      <c r="B1004" s="73">
        <v>998</v>
      </c>
      <c r="C1004" s="39"/>
      <c r="D1004" s="40"/>
      <c r="E1004" s="34" t="s">
        <v>323</v>
      </c>
      <c r="F1004" s="75" t="s">
        <v>1369</v>
      </c>
      <c r="G1004" s="35" t="s">
        <v>370</v>
      </c>
      <c r="H1004" s="41" t="s">
        <v>371</v>
      </c>
      <c r="I1004" s="44" t="str">
        <f>"0x"&amp;AE_w_WORK!G235</f>
        <v>0x2222</v>
      </c>
      <c r="J1004" s="36">
        <v>41214</v>
      </c>
      <c r="K1004" s="37"/>
      <c r="L1004" s="74">
        <f t="shared" si="17"/>
        <v>1996</v>
      </c>
      <c r="M1004" s="74"/>
      <c r="N1004" s="74"/>
    </row>
    <row r="1005" spans="2:14" hidden="1" outlineLevel="1">
      <c r="B1005" s="73">
        <v>999</v>
      </c>
      <c r="C1005" s="39"/>
      <c r="D1005" s="40"/>
      <c r="E1005" s="34" t="s">
        <v>323</v>
      </c>
      <c r="F1005" s="75" t="s">
        <v>1370</v>
      </c>
      <c r="G1005" s="35" t="s">
        <v>370</v>
      </c>
      <c r="H1005" s="41" t="s">
        <v>371</v>
      </c>
      <c r="I1005" s="44" t="str">
        <f>"0x"&amp;AE_w_WORK!G236</f>
        <v>0x2222</v>
      </c>
      <c r="J1005" s="36">
        <v>41215</v>
      </c>
      <c r="K1005" s="37"/>
      <c r="L1005" s="74">
        <f t="shared" si="17"/>
        <v>1998</v>
      </c>
      <c r="M1005" s="74"/>
      <c r="N1005" s="74"/>
    </row>
    <row r="1006" spans="2:14" hidden="1" outlineLevel="1">
      <c r="B1006" s="73">
        <v>1000</v>
      </c>
      <c r="C1006" s="39"/>
      <c r="D1006" s="40"/>
      <c r="E1006" s="34" t="s">
        <v>323</v>
      </c>
      <c r="F1006" s="75" t="s">
        <v>1371</v>
      </c>
      <c r="G1006" s="35" t="s">
        <v>370</v>
      </c>
      <c r="H1006" s="41" t="s">
        <v>371</v>
      </c>
      <c r="I1006" s="44" t="str">
        <f>"0x"&amp;AE_w_WORK!G237</f>
        <v>0x2222</v>
      </c>
      <c r="J1006" s="36">
        <v>41216</v>
      </c>
      <c r="K1006" s="37"/>
      <c r="L1006" s="74">
        <f t="shared" si="17"/>
        <v>2000</v>
      </c>
      <c r="M1006" s="74"/>
      <c r="N1006" s="74"/>
    </row>
    <row r="1007" spans="2:14" hidden="1" outlineLevel="1">
      <c r="B1007" s="73">
        <v>1001</v>
      </c>
      <c r="C1007" s="39"/>
      <c r="D1007" s="40"/>
      <c r="E1007" s="34" t="s">
        <v>323</v>
      </c>
      <c r="F1007" s="75" t="s">
        <v>1372</v>
      </c>
      <c r="G1007" s="35" t="s">
        <v>370</v>
      </c>
      <c r="H1007" s="41" t="s">
        <v>371</v>
      </c>
      <c r="I1007" s="44" t="str">
        <f>"0x"&amp;AE_w_WORK!G238</f>
        <v>0x2222</v>
      </c>
      <c r="J1007" s="36">
        <v>41217</v>
      </c>
      <c r="K1007" s="37"/>
      <c r="L1007" s="74">
        <f t="shared" si="17"/>
        <v>2002</v>
      </c>
      <c r="M1007" s="74"/>
      <c r="N1007" s="74"/>
    </row>
    <row r="1008" spans="2:14" hidden="1" outlineLevel="1">
      <c r="B1008" s="73">
        <v>1002</v>
      </c>
      <c r="C1008" s="39"/>
      <c r="D1008" s="40"/>
      <c r="E1008" s="34" t="s">
        <v>323</v>
      </c>
      <c r="F1008" s="75" t="s">
        <v>1373</v>
      </c>
      <c r="G1008" s="35" t="s">
        <v>370</v>
      </c>
      <c r="H1008" s="41" t="s">
        <v>371</v>
      </c>
      <c r="I1008" s="44" t="str">
        <f>"0x"&amp;AE_w_WORK!G239</f>
        <v>0x2222</v>
      </c>
      <c r="J1008" s="36">
        <v>41218</v>
      </c>
      <c r="K1008" s="37"/>
      <c r="L1008" s="74">
        <f t="shared" si="17"/>
        <v>2004</v>
      </c>
      <c r="M1008" s="74"/>
      <c r="N1008" s="74"/>
    </row>
    <row r="1009" spans="2:14" hidden="1" outlineLevel="1">
      <c r="B1009" s="73">
        <v>1003</v>
      </c>
      <c r="C1009" s="39"/>
      <c r="D1009" s="40"/>
      <c r="E1009" s="34" t="s">
        <v>323</v>
      </c>
      <c r="F1009" s="75" t="s">
        <v>1374</v>
      </c>
      <c r="G1009" s="35" t="s">
        <v>370</v>
      </c>
      <c r="H1009" s="41" t="s">
        <v>371</v>
      </c>
      <c r="I1009" s="44" t="str">
        <f>"0x"&amp;AE_w_WORK!G240</f>
        <v>0x2222</v>
      </c>
      <c r="J1009" s="36">
        <v>41219</v>
      </c>
      <c r="K1009" s="37"/>
      <c r="L1009" s="74">
        <f t="shared" si="17"/>
        <v>2006</v>
      </c>
      <c r="M1009" s="74"/>
      <c r="N1009" s="74"/>
    </row>
    <row r="1010" spans="2:14" hidden="1" outlineLevel="1">
      <c r="B1010" s="73">
        <v>1004</v>
      </c>
      <c r="C1010" s="39"/>
      <c r="D1010" s="40"/>
      <c r="E1010" s="34" t="s">
        <v>323</v>
      </c>
      <c r="F1010" s="75" t="s">
        <v>1375</v>
      </c>
      <c r="G1010" s="35" t="s">
        <v>370</v>
      </c>
      <c r="H1010" s="41" t="s">
        <v>371</v>
      </c>
      <c r="I1010" s="44" t="str">
        <f>"0x"&amp;AE_w_WORK!G241</f>
        <v>0x2222</v>
      </c>
      <c r="J1010" s="36">
        <v>41220</v>
      </c>
      <c r="K1010" s="37"/>
      <c r="L1010" s="74">
        <f t="shared" si="17"/>
        <v>2008</v>
      </c>
      <c r="M1010" s="74"/>
      <c r="N1010" s="74"/>
    </row>
    <row r="1011" spans="2:14" hidden="1" outlineLevel="1">
      <c r="B1011" s="73">
        <v>1005</v>
      </c>
      <c r="C1011" s="39"/>
      <c r="D1011" s="40"/>
      <c r="E1011" s="34" t="s">
        <v>323</v>
      </c>
      <c r="F1011" s="75" t="s">
        <v>1376</v>
      </c>
      <c r="G1011" s="35" t="s">
        <v>370</v>
      </c>
      <c r="H1011" s="41" t="s">
        <v>371</v>
      </c>
      <c r="I1011" s="44" t="str">
        <f>"0x"&amp;AE_w_WORK!G242</f>
        <v>0x2222</v>
      </c>
      <c r="J1011" s="36">
        <v>41221</v>
      </c>
      <c r="K1011" s="37"/>
      <c r="L1011" s="74">
        <f t="shared" si="17"/>
        <v>2010</v>
      </c>
      <c r="M1011" s="74"/>
      <c r="N1011" s="74"/>
    </row>
    <row r="1012" spans="2:14" hidden="1" outlineLevel="1">
      <c r="B1012" s="73">
        <v>1006</v>
      </c>
      <c r="C1012" s="39"/>
      <c r="D1012" s="40"/>
      <c r="E1012" s="34" t="s">
        <v>323</v>
      </c>
      <c r="F1012" s="75" t="s">
        <v>1377</v>
      </c>
      <c r="G1012" s="35" t="s">
        <v>370</v>
      </c>
      <c r="H1012" s="41" t="s">
        <v>371</v>
      </c>
      <c r="I1012" s="44" t="str">
        <f>"0x"&amp;AE_w_WORK!G243</f>
        <v>0x2222</v>
      </c>
      <c r="J1012" s="36">
        <v>41222</v>
      </c>
      <c r="K1012" s="37"/>
      <c r="L1012" s="74">
        <f t="shared" si="17"/>
        <v>2012</v>
      </c>
      <c r="M1012" s="74"/>
      <c r="N1012" s="74"/>
    </row>
    <row r="1013" spans="2:14" hidden="1" outlineLevel="1">
      <c r="B1013" s="73">
        <v>1007</v>
      </c>
      <c r="C1013" s="39"/>
      <c r="D1013" s="40"/>
      <c r="E1013" s="34" t="s">
        <v>323</v>
      </c>
      <c r="F1013" s="75" t="s">
        <v>1378</v>
      </c>
      <c r="G1013" s="35" t="s">
        <v>370</v>
      </c>
      <c r="H1013" s="41" t="s">
        <v>371</v>
      </c>
      <c r="I1013" s="44" t="str">
        <f>"0x"&amp;AE_w_WORK!G244</f>
        <v>0x2222</v>
      </c>
      <c r="J1013" s="36">
        <v>41223</v>
      </c>
      <c r="K1013" s="37"/>
      <c r="L1013" s="74">
        <f t="shared" si="17"/>
        <v>2014</v>
      </c>
      <c r="M1013" s="74"/>
      <c r="N1013" s="74"/>
    </row>
    <row r="1014" spans="2:14" hidden="1" outlineLevel="1">
      <c r="B1014" s="73">
        <v>1008</v>
      </c>
      <c r="C1014" s="39"/>
      <c r="D1014" s="40"/>
      <c r="E1014" s="34" t="s">
        <v>323</v>
      </c>
      <c r="F1014" s="75" t="s">
        <v>1379</v>
      </c>
      <c r="G1014" s="35" t="s">
        <v>370</v>
      </c>
      <c r="H1014" s="41" t="s">
        <v>371</v>
      </c>
      <c r="I1014" s="44" t="str">
        <f>"0x"&amp;AE_w_WORK!G245</f>
        <v>0x2222</v>
      </c>
      <c r="J1014" s="36">
        <v>41224</v>
      </c>
      <c r="K1014" s="37"/>
      <c r="L1014" s="74">
        <f t="shared" si="17"/>
        <v>2016</v>
      </c>
      <c r="M1014" s="74"/>
      <c r="N1014" s="74"/>
    </row>
    <row r="1015" spans="2:14" hidden="1" outlineLevel="1">
      <c r="B1015" s="73">
        <v>1009</v>
      </c>
      <c r="C1015" s="39"/>
      <c r="D1015" s="40"/>
      <c r="E1015" s="34" t="s">
        <v>323</v>
      </c>
      <c r="F1015" s="75" t="s">
        <v>1380</v>
      </c>
      <c r="G1015" s="35" t="s">
        <v>370</v>
      </c>
      <c r="H1015" s="41" t="s">
        <v>371</v>
      </c>
      <c r="I1015" s="44" t="str">
        <f>"0x"&amp;AE_w_WORK!G246</f>
        <v>0x2222</v>
      </c>
      <c r="J1015" s="36">
        <v>41225</v>
      </c>
      <c r="K1015" s="37"/>
      <c r="L1015" s="74">
        <f t="shared" si="17"/>
        <v>2018</v>
      </c>
      <c r="M1015" s="74"/>
      <c r="N1015" s="74"/>
    </row>
    <row r="1016" spans="2:14" hidden="1" outlineLevel="1">
      <c r="B1016" s="73">
        <v>1010</v>
      </c>
      <c r="C1016" s="39"/>
      <c r="D1016" s="40"/>
      <c r="E1016" s="34" t="s">
        <v>323</v>
      </c>
      <c r="F1016" s="75" t="s">
        <v>1381</v>
      </c>
      <c r="G1016" s="35" t="s">
        <v>370</v>
      </c>
      <c r="H1016" s="41" t="s">
        <v>371</v>
      </c>
      <c r="I1016" s="44" t="str">
        <f>"0x"&amp;AE_w_WORK!G247</f>
        <v>0x2222</v>
      </c>
      <c r="J1016" s="36">
        <v>41226</v>
      </c>
      <c r="K1016" s="37"/>
      <c r="L1016" s="74">
        <f t="shared" si="17"/>
        <v>2020</v>
      </c>
      <c r="M1016" s="74"/>
      <c r="N1016" s="74"/>
    </row>
    <row r="1017" spans="2:14" hidden="1" outlineLevel="1">
      <c r="B1017" s="73">
        <v>1011</v>
      </c>
      <c r="C1017" s="39"/>
      <c r="D1017" s="40"/>
      <c r="E1017" s="34" t="s">
        <v>323</v>
      </c>
      <c r="F1017" s="75" t="s">
        <v>1382</v>
      </c>
      <c r="G1017" s="35" t="s">
        <v>370</v>
      </c>
      <c r="H1017" s="41" t="s">
        <v>371</v>
      </c>
      <c r="I1017" s="44" t="str">
        <f>"0x"&amp;AE_w_WORK!G248</f>
        <v>0x2222</v>
      </c>
      <c r="J1017" s="36">
        <v>41227</v>
      </c>
      <c r="K1017" s="37"/>
      <c r="L1017" s="74">
        <f t="shared" si="17"/>
        <v>2022</v>
      </c>
      <c r="M1017" s="74"/>
      <c r="N1017" s="74"/>
    </row>
    <row r="1018" spans="2:14" hidden="1" outlineLevel="1">
      <c r="B1018" s="73">
        <v>1012</v>
      </c>
      <c r="C1018" s="39"/>
      <c r="D1018" s="40"/>
      <c r="E1018" s="34" t="s">
        <v>323</v>
      </c>
      <c r="F1018" s="75" t="s">
        <v>1383</v>
      </c>
      <c r="G1018" s="35" t="s">
        <v>370</v>
      </c>
      <c r="H1018" s="41" t="s">
        <v>371</v>
      </c>
      <c r="I1018" s="44" t="str">
        <f>"0x"&amp;AE_w_WORK!G249</f>
        <v>0x2222</v>
      </c>
      <c r="J1018" s="36">
        <v>41228</v>
      </c>
      <c r="K1018" s="37"/>
      <c r="L1018" s="74">
        <f t="shared" si="17"/>
        <v>2024</v>
      </c>
      <c r="M1018" s="74"/>
      <c r="N1018" s="74"/>
    </row>
    <row r="1019" spans="2:14" hidden="1" outlineLevel="1">
      <c r="B1019" s="73">
        <v>1013</v>
      </c>
      <c r="C1019" s="39"/>
      <c r="D1019" s="40"/>
      <c r="E1019" s="34" t="s">
        <v>323</v>
      </c>
      <c r="F1019" s="75" t="s">
        <v>1384</v>
      </c>
      <c r="G1019" s="35" t="s">
        <v>370</v>
      </c>
      <c r="H1019" s="41" t="s">
        <v>371</v>
      </c>
      <c r="I1019" s="44" t="str">
        <f>"0x"&amp;AE_w_WORK!G250</f>
        <v>0x2222</v>
      </c>
      <c r="J1019" s="36">
        <v>41229</v>
      </c>
      <c r="K1019" s="37"/>
      <c r="L1019" s="74">
        <f t="shared" si="17"/>
        <v>2026</v>
      </c>
      <c r="M1019" s="74"/>
      <c r="N1019" s="74"/>
    </row>
    <row r="1020" spans="2:14" hidden="1" outlineLevel="1">
      <c r="B1020" s="73">
        <v>1014</v>
      </c>
      <c r="C1020" s="39"/>
      <c r="D1020" s="40"/>
      <c r="E1020" s="34" t="s">
        <v>323</v>
      </c>
      <c r="F1020" s="75" t="s">
        <v>1385</v>
      </c>
      <c r="G1020" s="35" t="s">
        <v>370</v>
      </c>
      <c r="H1020" s="41" t="s">
        <v>371</v>
      </c>
      <c r="I1020" s="44" t="str">
        <f>"0x"&amp;AE_w_WORK!G251</f>
        <v>0x2222</v>
      </c>
      <c r="J1020" s="36">
        <v>41230</v>
      </c>
      <c r="K1020" s="37"/>
      <c r="L1020" s="74">
        <f t="shared" si="17"/>
        <v>2028</v>
      </c>
      <c r="M1020" s="74"/>
      <c r="N1020" s="74"/>
    </row>
    <row r="1021" spans="2:14" hidden="1" outlineLevel="1">
      <c r="B1021" s="73">
        <v>1015</v>
      </c>
      <c r="C1021" s="39"/>
      <c r="D1021" s="40"/>
      <c r="E1021" s="34" t="s">
        <v>323</v>
      </c>
      <c r="F1021" s="75" t="s">
        <v>1386</v>
      </c>
      <c r="G1021" s="35" t="s">
        <v>370</v>
      </c>
      <c r="H1021" s="41" t="s">
        <v>371</v>
      </c>
      <c r="I1021" s="44" t="str">
        <f>"0x"&amp;AE_w_WORK!G252</f>
        <v>0x2222</v>
      </c>
      <c r="J1021" s="36">
        <v>41231</v>
      </c>
      <c r="K1021" s="37"/>
      <c r="L1021" s="74">
        <f t="shared" si="17"/>
        <v>2030</v>
      </c>
      <c r="M1021" s="74"/>
      <c r="N1021" s="74"/>
    </row>
    <row r="1022" spans="2:14" hidden="1" outlineLevel="1">
      <c r="B1022" s="73">
        <v>1016</v>
      </c>
      <c r="C1022" s="39"/>
      <c r="D1022" s="40"/>
      <c r="E1022" s="34" t="s">
        <v>323</v>
      </c>
      <c r="F1022" s="75" t="s">
        <v>1387</v>
      </c>
      <c r="G1022" s="35" t="s">
        <v>370</v>
      </c>
      <c r="H1022" s="41" t="s">
        <v>371</v>
      </c>
      <c r="I1022" s="44" t="str">
        <f>"0x"&amp;AE_w_WORK!G253</f>
        <v>0x2222</v>
      </c>
      <c r="J1022" s="36">
        <v>41232</v>
      </c>
      <c r="K1022" s="37"/>
      <c r="L1022" s="74">
        <f t="shared" si="17"/>
        <v>2032</v>
      </c>
      <c r="M1022" s="74"/>
      <c r="N1022" s="74"/>
    </row>
    <row r="1023" spans="2:14" hidden="1" outlineLevel="1">
      <c r="B1023" s="73">
        <v>1017</v>
      </c>
      <c r="C1023" s="39"/>
      <c r="D1023" s="40"/>
      <c r="E1023" s="34" t="s">
        <v>323</v>
      </c>
      <c r="F1023" s="75" t="s">
        <v>1388</v>
      </c>
      <c r="G1023" s="35" t="s">
        <v>370</v>
      </c>
      <c r="H1023" s="41" t="s">
        <v>371</v>
      </c>
      <c r="I1023" s="44" t="str">
        <f>"0x"&amp;AE_w_WORK!G254</f>
        <v>0x2222</v>
      </c>
      <c r="J1023" s="36">
        <v>41233</v>
      </c>
      <c r="K1023" s="37"/>
      <c r="L1023" s="74">
        <f t="shared" si="17"/>
        <v>2034</v>
      </c>
      <c r="M1023" s="74"/>
      <c r="N1023" s="74"/>
    </row>
    <row r="1024" spans="2:14" hidden="1" outlineLevel="1">
      <c r="B1024" s="73">
        <v>1018</v>
      </c>
      <c r="C1024" s="39"/>
      <c r="D1024" s="40"/>
      <c r="E1024" s="34" t="s">
        <v>323</v>
      </c>
      <c r="F1024" s="75" t="s">
        <v>1389</v>
      </c>
      <c r="G1024" s="35" t="s">
        <v>370</v>
      </c>
      <c r="H1024" s="41" t="s">
        <v>371</v>
      </c>
      <c r="I1024" s="44" t="str">
        <f>"0x"&amp;AE_w_WORK!G255</f>
        <v>0x2222</v>
      </c>
      <c r="J1024" s="36">
        <v>41234</v>
      </c>
      <c r="K1024" s="37"/>
      <c r="L1024" s="74">
        <f t="shared" si="17"/>
        <v>2036</v>
      </c>
      <c r="M1024" s="74"/>
      <c r="N1024" s="74"/>
    </row>
    <row r="1025" spans="2:14" hidden="1" outlineLevel="1">
      <c r="B1025" s="73">
        <v>1019</v>
      </c>
      <c r="C1025" s="39"/>
      <c r="D1025" s="40"/>
      <c r="E1025" s="34" t="s">
        <v>323</v>
      </c>
      <c r="F1025" s="75" t="s">
        <v>1390</v>
      </c>
      <c r="G1025" s="35" t="s">
        <v>370</v>
      </c>
      <c r="H1025" s="41" t="s">
        <v>371</v>
      </c>
      <c r="I1025" s="44" t="str">
        <f>"0x"&amp;AE_w_WORK!G256</f>
        <v>0x2222</v>
      </c>
      <c r="J1025" s="36">
        <v>41235</v>
      </c>
      <c r="K1025" s="37"/>
      <c r="L1025" s="74">
        <f t="shared" si="17"/>
        <v>2038</v>
      </c>
      <c r="M1025" s="74"/>
      <c r="N1025" s="74"/>
    </row>
    <row r="1026" spans="2:14" hidden="1" outlineLevel="1">
      <c r="B1026" s="73">
        <v>1020</v>
      </c>
      <c r="C1026" s="39"/>
      <c r="D1026" s="40"/>
      <c r="E1026" s="34" t="s">
        <v>323</v>
      </c>
      <c r="F1026" s="75" t="s">
        <v>1391</v>
      </c>
      <c r="G1026" s="35" t="s">
        <v>370</v>
      </c>
      <c r="H1026" s="41" t="s">
        <v>371</v>
      </c>
      <c r="I1026" s="44" t="str">
        <f>"0x"&amp;AE_w_WORK!G257</f>
        <v>0x2222</v>
      </c>
      <c r="J1026" s="36">
        <v>41236</v>
      </c>
      <c r="K1026" s="37"/>
      <c r="L1026" s="74">
        <f t="shared" si="17"/>
        <v>2040</v>
      </c>
      <c r="M1026" s="74"/>
      <c r="N1026" s="74"/>
    </row>
    <row r="1027" spans="2:14" hidden="1" outlineLevel="1">
      <c r="B1027" s="73">
        <v>1021</v>
      </c>
      <c r="C1027" s="39"/>
      <c r="D1027" s="40"/>
      <c r="E1027" s="34" t="s">
        <v>323</v>
      </c>
      <c r="F1027" s="75" t="s">
        <v>1392</v>
      </c>
      <c r="G1027" s="35" t="s">
        <v>370</v>
      </c>
      <c r="H1027" s="41" t="s">
        <v>371</v>
      </c>
      <c r="I1027" s="44" t="str">
        <f>"0x"&amp;AE_w_WORK!G258</f>
        <v>0x2222</v>
      </c>
      <c r="J1027" s="36">
        <v>41237</v>
      </c>
      <c r="K1027" s="37"/>
      <c r="L1027" s="74">
        <f t="shared" si="17"/>
        <v>2042</v>
      </c>
      <c r="M1027" s="74"/>
      <c r="N1027" s="74"/>
    </row>
    <row r="1028" spans="2:14" hidden="1" outlineLevel="1">
      <c r="B1028" s="73">
        <v>1022</v>
      </c>
      <c r="C1028" s="39"/>
      <c r="D1028" s="40"/>
      <c r="E1028" s="34" t="s">
        <v>323</v>
      </c>
      <c r="F1028" s="75" t="s">
        <v>1393</v>
      </c>
      <c r="G1028" s="35" t="s">
        <v>370</v>
      </c>
      <c r="H1028" s="41" t="s">
        <v>371</v>
      </c>
      <c r="I1028" s="44" t="str">
        <f>"0x"&amp;AE_w_WORK!G259</f>
        <v>0x2222</v>
      </c>
      <c r="J1028" s="36">
        <v>41238</v>
      </c>
      <c r="K1028" s="37"/>
      <c r="L1028" s="74">
        <f t="shared" si="17"/>
        <v>2044</v>
      </c>
      <c r="M1028" s="74"/>
      <c r="N1028" s="74"/>
    </row>
    <row r="1029" spans="2:14" hidden="1" outlineLevel="1">
      <c r="B1029" s="73">
        <v>1023</v>
      </c>
      <c r="C1029" s="39"/>
      <c r="D1029" s="40"/>
      <c r="E1029" s="34" t="s">
        <v>323</v>
      </c>
      <c r="F1029" s="75" t="s">
        <v>1394</v>
      </c>
      <c r="G1029" s="35" t="s">
        <v>370</v>
      </c>
      <c r="H1029" s="41" t="s">
        <v>371</v>
      </c>
      <c r="I1029" s="44" t="str">
        <f>"0x"&amp;AE_w_WORK!G260</f>
        <v>0x2222</v>
      </c>
      <c r="J1029" s="36">
        <v>41239</v>
      </c>
      <c r="K1029" s="37"/>
      <c r="L1029" s="74">
        <f t="shared" si="17"/>
        <v>2046</v>
      </c>
      <c r="M1029" s="74"/>
      <c r="N1029" s="74"/>
    </row>
    <row r="1030" spans="2:14" hidden="1" outlineLevel="1">
      <c r="B1030" s="73">
        <v>1024</v>
      </c>
      <c r="C1030" s="39"/>
      <c r="D1030" s="40"/>
      <c r="E1030" s="34" t="s">
        <v>323</v>
      </c>
      <c r="F1030" s="75" t="s">
        <v>1395</v>
      </c>
      <c r="G1030" s="35" t="s">
        <v>370</v>
      </c>
      <c r="H1030" s="41" t="s">
        <v>371</v>
      </c>
      <c r="I1030" s="44" t="str">
        <f>"0x"&amp;AE_w_WORK!G261</f>
        <v>0x2222</v>
      </c>
      <c r="J1030" s="36">
        <v>41240</v>
      </c>
      <c r="K1030" s="37"/>
      <c r="L1030" s="74">
        <f t="shared" si="17"/>
        <v>2048</v>
      </c>
      <c r="M1030" s="74"/>
      <c r="N1030" s="74"/>
    </row>
    <row r="1031" spans="2:14" s="74" customFormat="1" hidden="1" outlineLevel="1" collapsed="1">
      <c r="B1031" s="73">
        <v>1025</v>
      </c>
      <c r="C1031" s="39"/>
      <c r="D1031" s="40"/>
      <c r="E1031" s="34" t="s">
        <v>323</v>
      </c>
      <c r="F1031" s="75" t="s">
        <v>1396</v>
      </c>
      <c r="G1031" s="35" t="s">
        <v>370</v>
      </c>
      <c r="H1031" s="41" t="s">
        <v>371</v>
      </c>
      <c r="I1031" s="44" t="str">
        <f>"0x"&amp;AE_w_WORK!H6</f>
        <v>0x0000</v>
      </c>
      <c r="J1031" s="36">
        <v>41241</v>
      </c>
      <c r="K1031" s="37" t="s">
        <v>332</v>
      </c>
      <c r="L1031" s="74">
        <f t="shared" si="17"/>
        <v>2050</v>
      </c>
    </row>
    <row r="1032" spans="2:14" s="74" customFormat="1" hidden="1" outlineLevel="1">
      <c r="B1032" s="73">
        <v>1026</v>
      </c>
      <c r="C1032" s="39"/>
      <c r="D1032" s="40"/>
      <c r="E1032" s="34" t="s">
        <v>323</v>
      </c>
      <c r="F1032" s="75" t="s">
        <v>1397</v>
      </c>
      <c r="G1032" s="35" t="s">
        <v>370</v>
      </c>
      <c r="H1032" s="41" t="s">
        <v>371</v>
      </c>
      <c r="I1032" s="44" t="str">
        <f>"0x"&amp;AE_w_WORK!H7</f>
        <v>0x0000</v>
      </c>
      <c r="J1032" s="36">
        <v>41242</v>
      </c>
      <c r="K1032" s="37"/>
      <c r="L1032" s="74">
        <f t="shared" si="17"/>
        <v>2052</v>
      </c>
    </row>
    <row r="1033" spans="2:14" s="74" customFormat="1" hidden="1" outlineLevel="1">
      <c r="B1033" s="73">
        <v>1027</v>
      </c>
      <c r="C1033" s="39"/>
      <c r="D1033" s="40"/>
      <c r="E1033" s="34" t="s">
        <v>323</v>
      </c>
      <c r="F1033" s="75" t="s">
        <v>1398</v>
      </c>
      <c r="G1033" s="35" t="s">
        <v>370</v>
      </c>
      <c r="H1033" s="41" t="s">
        <v>371</v>
      </c>
      <c r="I1033" s="44" t="str">
        <f>"0x"&amp;AE_w_WORK!H8</f>
        <v>0x0000</v>
      </c>
      <c r="J1033" s="36">
        <v>41243</v>
      </c>
      <c r="K1033" s="37"/>
      <c r="L1033" s="74">
        <f t="shared" ref="L1033:L1096" si="18">L1032+2</f>
        <v>2054</v>
      </c>
    </row>
    <row r="1034" spans="2:14" s="74" customFormat="1" hidden="1" outlineLevel="1">
      <c r="B1034" s="73">
        <v>1028</v>
      </c>
      <c r="C1034" s="39"/>
      <c r="D1034" s="40"/>
      <c r="E1034" s="34" t="s">
        <v>323</v>
      </c>
      <c r="F1034" s="75" t="s">
        <v>1399</v>
      </c>
      <c r="G1034" s="35" t="s">
        <v>370</v>
      </c>
      <c r="H1034" s="41" t="s">
        <v>371</v>
      </c>
      <c r="I1034" s="44" t="str">
        <f>"0x"&amp;AE_w_WORK!H9</f>
        <v>0x0000</v>
      </c>
      <c r="J1034" s="36">
        <v>41244</v>
      </c>
      <c r="K1034" s="37"/>
      <c r="L1034" s="74">
        <f t="shared" si="18"/>
        <v>2056</v>
      </c>
    </row>
    <row r="1035" spans="2:14" s="74" customFormat="1" hidden="1" outlineLevel="1">
      <c r="B1035" s="73">
        <v>1029</v>
      </c>
      <c r="C1035" s="39"/>
      <c r="D1035" s="40"/>
      <c r="E1035" s="34" t="s">
        <v>323</v>
      </c>
      <c r="F1035" s="75" t="s">
        <v>1400</v>
      </c>
      <c r="G1035" s="35" t="s">
        <v>370</v>
      </c>
      <c r="H1035" s="41" t="s">
        <v>371</v>
      </c>
      <c r="I1035" s="44" t="str">
        <f>"0x"&amp;AE_w_WORK!H10</f>
        <v>0x0000</v>
      </c>
      <c r="J1035" s="36">
        <v>41245</v>
      </c>
      <c r="K1035" s="37"/>
      <c r="L1035" s="74">
        <f t="shared" si="18"/>
        <v>2058</v>
      </c>
    </row>
    <row r="1036" spans="2:14" s="74" customFormat="1" hidden="1" outlineLevel="1">
      <c r="B1036" s="73">
        <v>1030</v>
      </c>
      <c r="C1036" s="39"/>
      <c r="D1036" s="40"/>
      <c r="E1036" s="34" t="s">
        <v>323</v>
      </c>
      <c r="F1036" s="75" t="s">
        <v>1401</v>
      </c>
      <c r="G1036" s="35" t="s">
        <v>370</v>
      </c>
      <c r="H1036" s="41" t="s">
        <v>371</v>
      </c>
      <c r="I1036" s="44" t="str">
        <f>"0x"&amp;AE_w_WORK!H11</f>
        <v>0x0000</v>
      </c>
      <c r="J1036" s="36">
        <v>41246</v>
      </c>
      <c r="K1036" s="37"/>
      <c r="L1036" s="74">
        <f t="shared" si="18"/>
        <v>2060</v>
      </c>
    </row>
    <row r="1037" spans="2:14" s="74" customFormat="1" hidden="1" outlineLevel="1">
      <c r="B1037" s="73">
        <v>1031</v>
      </c>
      <c r="C1037" s="39"/>
      <c r="D1037" s="40"/>
      <c r="E1037" s="34" t="s">
        <v>323</v>
      </c>
      <c r="F1037" s="75" t="s">
        <v>1402</v>
      </c>
      <c r="G1037" s="35" t="s">
        <v>370</v>
      </c>
      <c r="H1037" s="41" t="s">
        <v>371</v>
      </c>
      <c r="I1037" s="44" t="str">
        <f>"0x"&amp;AE_w_WORK!H12</f>
        <v>0x0000</v>
      </c>
      <c r="J1037" s="36">
        <v>41247</v>
      </c>
      <c r="K1037" s="37"/>
      <c r="L1037" s="74">
        <f t="shared" si="18"/>
        <v>2062</v>
      </c>
    </row>
    <row r="1038" spans="2:14" s="74" customFormat="1" hidden="1" outlineLevel="1">
      <c r="B1038" s="73">
        <v>1032</v>
      </c>
      <c r="C1038" s="39"/>
      <c r="D1038" s="40"/>
      <c r="E1038" s="34" t="s">
        <v>323</v>
      </c>
      <c r="F1038" s="75" t="s">
        <v>1403</v>
      </c>
      <c r="G1038" s="35" t="s">
        <v>370</v>
      </c>
      <c r="H1038" s="41" t="s">
        <v>371</v>
      </c>
      <c r="I1038" s="44" t="str">
        <f>"0x"&amp;AE_w_WORK!H13</f>
        <v>0x0000</v>
      </c>
      <c r="J1038" s="36">
        <v>41248</v>
      </c>
      <c r="K1038" s="37"/>
      <c r="L1038" s="74">
        <f t="shared" si="18"/>
        <v>2064</v>
      </c>
    </row>
    <row r="1039" spans="2:14" s="74" customFormat="1" hidden="1" outlineLevel="1">
      <c r="B1039" s="73">
        <v>1033</v>
      </c>
      <c r="C1039" s="39"/>
      <c r="D1039" s="40"/>
      <c r="E1039" s="34" t="s">
        <v>323</v>
      </c>
      <c r="F1039" s="75" t="s">
        <v>1404</v>
      </c>
      <c r="G1039" s="35" t="s">
        <v>370</v>
      </c>
      <c r="H1039" s="41" t="s">
        <v>371</v>
      </c>
      <c r="I1039" s="44" t="str">
        <f>"0x"&amp;AE_w_WORK!H14</f>
        <v>0x0000</v>
      </c>
      <c r="J1039" s="36">
        <v>41249</v>
      </c>
      <c r="K1039" s="37"/>
      <c r="L1039" s="74">
        <f t="shared" si="18"/>
        <v>2066</v>
      </c>
    </row>
    <row r="1040" spans="2:14" s="74" customFormat="1" hidden="1" outlineLevel="1">
      <c r="B1040" s="73">
        <v>1034</v>
      </c>
      <c r="C1040" s="39"/>
      <c r="D1040" s="40"/>
      <c r="E1040" s="34" t="s">
        <v>323</v>
      </c>
      <c r="F1040" s="75" t="s">
        <v>1405</v>
      </c>
      <c r="G1040" s="35" t="s">
        <v>370</v>
      </c>
      <c r="H1040" s="41" t="s">
        <v>371</v>
      </c>
      <c r="I1040" s="44" t="str">
        <f>"0x"&amp;AE_w_WORK!H15</f>
        <v>0x0000</v>
      </c>
      <c r="J1040" s="36">
        <v>41250</v>
      </c>
      <c r="K1040" s="37"/>
      <c r="L1040" s="74">
        <f t="shared" si="18"/>
        <v>2068</v>
      </c>
    </row>
    <row r="1041" spans="2:12" s="74" customFormat="1" hidden="1" outlineLevel="1">
      <c r="B1041" s="73">
        <v>1035</v>
      </c>
      <c r="C1041" s="39"/>
      <c r="D1041" s="40"/>
      <c r="E1041" s="34" t="s">
        <v>323</v>
      </c>
      <c r="F1041" s="75" t="s">
        <v>1406</v>
      </c>
      <c r="G1041" s="35" t="s">
        <v>370</v>
      </c>
      <c r="H1041" s="41" t="s">
        <v>371</v>
      </c>
      <c r="I1041" s="44" t="str">
        <f>"0x"&amp;AE_w_WORK!H16</f>
        <v>0x0000</v>
      </c>
      <c r="J1041" s="36">
        <v>41251</v>
      </c>
      <c r="K1041" s="37"/>
      <c r="L1041" s="74">
        <f t="shared" si="18"/>
        <v>2070</v>
      </c>
    </row>
    <row r="1042" spans="2:12" s="74" customFormat="1" hidden="1" outlineLevel="1">
      <c r="B1042" s="73">
        <v>1036</v>
      </c>
      <c r="C1042" s="39"/>
      <c r="D1042" s="40"/>
      <c r="E1042" s="34" t="s">
        <v>323</v>
      </c>
      <c r="F1042" s="75" t="s">
        <v>1407</v>
      </c>
      <c r="G1042" s="35" t="s">
        <v>370</v>
      </c>
      <c r="H1042" s="41" t="s">
        <v>371</v>
      </c>
      <c r="I1042" s="44" t="str">
        <f>"0x"&amp;AE_w_WORK!H17</f>
        <v>0x0000</v>
      </c>
      <c r="J1042" s="36">
        <v>41252</v>
      </c>
      <c r="K1042" s="37"/>
      <c r="L1042" s="74">
        <f t="shared" si="18"/>
        <v>2072</v>
      </c>
    </row>
    <row r="1043" spans="2:12" s="74" customFormat="1" hidden="1" outlineLevel="1">
      <c r="B1043" s="73">
        <v>1037</v>
      </c>
      <c r="C1043" s="39"/>
      <c r="D1043" s="40"/>
      <c r="E1043" s="34" t="s">
        <v>323</v>
      </c>
      <c r="F1043" s="75" t="s">
        <v>1408</v>
      </c>
      <c r="G1043" s="35" t="s">
        <v>370</v>
      </c>
      <c r="H1043" s="41" t="s">
        <v>371</v>
      </c>
      <c r="I1043" s="44" t="str">
        <f>"0x"&amp;AE_w_WORK!H18</f>
        <v>0x0000</v>
      </c>
      <c r="J1043" s="36">
        <v>41253</v>
      </c>
      <c r="K1043" s="37"/>
      <c r="L1043" s="74">
        <f t="shared" si="18"/>
        <v>2074</v>
      </c>
    </row>
    <row r="1044" spans="2:12" s="74" customFormat="1" hidden="1" outlineLevel="1">
      <c r="B1044" s="73">
        <v>1038</v>
      </c>
      <c r="C1044" s="39"/>
      <c r="D1044" s="40"/>
      <c r="E1044" s="34" t="s">
        <v>323</v>
      </c>
      <c r="F1044" s="75" t="s">
        <v>1409</v>
      </c>
      <c r="G1044" s="35" t="s">
        <v>370</v>
      </c>
      <c r="H1044" s="41" t="s">
        <v>371</v>
      </c>
      <c r="I1044" s="44" t="str">
        <f>"0x"&amp;AE_w_WORK!H19</f>
        <v>0x0000</v>
      </c>
      <c r="J1044" s="36">
        <v>41254</v>
      </c>
      <c r="K1044" s="37"/>
      <c r="L1044" s="74">
        <f t="shared" si="18"/>
        <v>2076</v>
      </c>
    </row>
    <row r="1045" spans="2:12" s="74" customFormat="1" hidden="1" outlineLevel="1">
      <c r="B1045" s="73">
        <v>1039</v>
      </c>
      <c r="C1045" s="39"/>
      <c r="D1045" s="40"/>
      <c r="E1045" s="34" t="s">
        <v>323</v>
      </c>
      <c r="F1045" s="75" t="s">
        <v>1410</v>
      </c>
      <c r="G1045" s="35" t="s">
        <v>370</v>
      </c>
      <c r="H1045" s="41" t="s">
        <v>371</v>
      </c>
      <c r="I1045" s="44" t="str">
        <f>"0x"&amp;AE_w_WORK!H20</f>
        <v>0x0000</v>
      </c>
      <c r="J1045" s="36">
        <v>41255</v>
      </c>
      <c r="K1045" s="37"/>
      <c r="L1045" s="74">
        <f t="shared" si="18"/>
        <v>2078</v>
      </c>
    </row>
    <row r="1046" spans="2:12" s="74" customFormat="1" hidden="1" outlineLevel="1">
      <c r="B1046" s="73">
        <v>1040</v>
      </c>
      <c r="C1046" s="39"/>
      <c r="D1046" s="40"/>
      <c r="E1046" s="34" t="s">
        <v>323</v>
      </c>
      <c r="F1046" s="75" t="s">
        <v>1411</v>
      </c>
      <c r="G1046" s="35" t="s">
        <v>370</v>
      </c>
      <c r="H1046" s="41" t="s">
        <v>371</v>
      </c>
      <c r="I1046" s="44" t="str">
        <f>"0x"&amp;AE_w_WORK!H21</f>
        <v>0x0000</v>
      </c>
      <c r="J1046" s="36">
        <v>41256</v>
      </c>
      <c r="K1046" s="37"/>
      <c r="L1046" s="74">
        <f t="shared" si="18"/>
        <v>2080</v>
      </c>
    </row>
    <row r="1047" spans="2:12" s="74" customFormat="1" hidden="1" outlineLevel="1">
      <c r="B1047" s="73">
        <v>1041</v>
      </c>
      <c r="C1047" s="39"/>
      <c r="D1047" s="40"/>
      <c r="E1047" s="34" t="s">
        <v>323</v>
      </c>
      <c r="F1047" s="75" t="s">
        <v>1412</v>
      </c>
      <c r="G1047" s="35" t="s">
        <v>370</v>
      </c>
      <c r="H1047" s="41" t="s">
        <v>371</v>
      </c>
      <c r="I1047" s="44" t="str">
        <f>"0x"&amp;AE_w_WORK!H22</f>
        <v>0x0000</v>
      </c>
      <c r="J1047" s="36">
        <v>41257</v>
      </c>
      <c r="K1047" s="37"/>
      <c r="L1047" s="74">
        <f t="shared" si="18"/>
        <v>2082</v>
      </c>
    </row>
    <row r="1048" spans="2:12" s="74" customFormat="1" hidden="1" outlineLevel="1">
      <c r="B1048" s="73">
        <v>1042</v>
      </c>
      <c r="C1048" s="39"/>
      <c r="D1048" s="40"/>
      <c r="E1048" s="34" t="s">
        <v>323</v>
      </c>
      <c r="F1048" s="75" t="s">
        <v>1413</v>
      </c>
      <c r="G1048" s="35" t="s">
        <v>370</v>
      </c>
      <c r="H1048" s="41" t="s">
        <v>371</v>
      </c>
      <c r="I1048" s="44" t="str">
        <f>"0x"&amp;AE_w_WORK!H23</f>
        <v>0x0000</v>
      </c>
      <c r="J1048" s="36">
        <v>41258</v>
      </c>
      <c r="K1048" s="37"/>
      <c r="L1048" s="74">
        <f t="shared" si="18"/>
        <v>2084</v>
      </c>
    </row>
    <row r="1049" spans="2:12" s="74" customFormat="1" hidden="1" outlineLevel="1">
      <c r="B1049" s="73">
        <v>1043</v>
      </c>
      <c r="C1049" s="39"/>
      <c r="D1049" s="40"/>
      <c r="E1049" s="34" t="s">
        <v>323</v>
      </c>
      <c r="F1049" s="75" t="s">
        <v>1414</v>
      </c>
      <c r="G1049" s="35" t="s">
        <v>370</v>
      </c>
      <c r="H1049" s="41" t="s">
        <v>371</v>
      </c>
      <c r="I1049" s="44" t="str">
        <f>"0x"&amp;AE_w_WORK!H24</f>
        <v>0x0000</v>
      </c>
      <c r="J1049" s="36">
        <v>41259</v>
      </c>
      <c r="K1049" s="37"/>
      <c r="L1049" s="74">
        <f t="shared" si="18"/>
        <v>2086</v>
      </c>
    </row>
    <row r="1050" spans="2:12" s="74" customFormat="1" hidden="1" outlineLevel="1">
      <c r="B1050" s="73">
        <v>1044</v>
      </c>
      <c r="C1050" s="39"/>
      <c r="D1050" s="40"/>
      <c r="E1050" s="34" t="s">
        <v>323</v>
      </c>
      <c r="F1050" s="75" t="s">
        <v>1415</v>
      </c>
      <c r="G1050" s="35" t="s">
        <v>370</v>
      </c>
      <c r="H1050" s="41" t="s">
        <v>371</v>
      </c>
      <c r="I1050" s="44" t="str">
        <f>"0x"&amp;AE_w_WORK!H25</f>
        <v>0x0000</v>
      </c>
      <c r="J1050" s="36">
        <v>41260</v>
      </c>
      <c r="K1050" s="37"/>
      <c r="L1050" s="74">
        <f t="shared" si="18"/>
        <v>2088</v>
      </c>
    </row>
    <row r="1051" spans="2:12" s="74" customFormat="1" hidden="1" outlineLevel="1">
      <c r="B1051" s="73">
        <v>1045</v>
      </c>
      <c r="C1051" s="39"/>
      <c r="D1051" s="40"/>
      <c r="E1051" s="34" t="s">
        <v>323</v>
      </c>
      <c r="F1051" s="75" t="s">
        <v>1416</v>
      </c>
      <c r="G1051" s="35" t="s">
        <v>370</v>
      </c>
      <c r="H1051" s="41" t="s">
        <v>371</v>
      </c>
      <c r="I1051" s="44" t="str">
        <f>"0x"&amp;AE_w_WORK!H26</f>
        <v>0x0000</v>
      </c>
      <c r="J1051" s="36">
        <v>41261</v>
      </c>
      <c r="K1051" s="37"/>
      <c r="L1051" s="74">
        <f t="shared" si="18"/>
        <v>2090</v>
      </c>
    </row>
    <row r="1052" spans="2:12" s="74" customFormat="1" hidden="1" outlineLevel="1">
      <c r="B1052" s="73">
        <v>1046</v>
      </c>
      <c r="C1052" s="39"/>
      <c r="D1052" s="40"/>
      <c r="E1052" s="34" t="s">
        <v>323</v>
      </c>
      <c r="F1052" s="75" t="s">
        <v>1417</v>
      </c>
      <c r="G1052" s="35" t="s">
        <v>370</v>
      </c>
      <c r="H1052" s="41" t="s">
        <v>371</v>
      </c>
      <c r="I1052" s="44" t="str">
        <f>"0x"&amp;AE_w_WORK!H27</f>
        <v>0x0000</v>
      </c>
      <c r="J1052" s="36">
        <v>41262</v>
      </c>
      <c r="K1052" s="37"/>
      <c r="L1052" s="74">
        <f t="shared" si="18"/>
        <v>2092</v>
      </c>
    </row>
    <row r="1053" spans="2:12" s="74" customFormat="1" hidden="1" outlineLevel="1">
      <c r="B1053" s="73">
        <v>1047</v>
      </c>
      <c r="C1053" s="39"/>
      <c r="D1053" s="40"/>
      <c r="E1053" s="34" t="s">
        <v>323</v>
      </c>
      <c r="F1053" s="75" t="s">
        <v>1418</v>
      </c>
      <c r="G1053" s="35" t="s">
        <v>370</v>
      </c>
      <c r="H1053" s="41" t="s">
        <v>371</v>
      </c>
      <c r="I1053" s="44" t="str">
        <f>"0x"&amp;AE_w_WORK!H28</f>
        <v>0x0000</v>
      </c>
      <c r="J1053" s="36">
        <v>41263</v>
      </c>
      <c r="K1053" s="37"/>
      <c r="L1053" s="74">
        <f t="shared" si="18"/>
        <v>2094</v>
      </c>
    </row>
    <row r="1054" spans="2:12" s="74" customFormat="1" hidden="1" outlineLevel="1">
      <c r="B1054" s="73">
        <v>1048</v>
      </c>
      <c r="C1054" s="39"/>
      <c r="D1054" s="40"/>
      <c r="E1054" s="34" t="s">
        <v>323</v>
      </c>
      <c r="F1054" s="75" t="s">
        <v>1419</v>
      </c>
      <c r="G1054" s="35" t="s">
        <v>370</v>
      </c>
      <c r="H1054" s="41" t="s">
        <v>371</v>
      </c>
      <c r="I1054" s="44" t="str">
        <f>"0x"&amp;AE_w_WORK!H29</f>
        <v>0x0000</v>
      </c>
      <c r="J1054" s="36">
        <v>41264</v>
      </c>
      <c r="K1054" s="37"/>
      <c r="L1054" s="74">
        <f t="shared" si="18"/>
        <v>2096</v>
      </c>
    </row>
    <row r="1055" spans="2:12" s="74" customFormat="1" hidden="1" outlineLevel="1">
      <c r="B1055" s="73">
        <v>1049</v>
      </c>
      <c r="C1055" s="39"/>
      <c r="D1055" s="40"/>
      <c r="E1055" s="34" t="s">
        <v>323</v>
      </c>
      <c r="F1055" s="75" t="s">
        <v>1420</v>
      </c>
      <c r="G1055" s="35" t="s">
        <v>370</v>
      </c>
      <c r="H1055" s="41" t="s">
        <v>371</v>
      </c>
      <c r="I1055" s="44" t="str">
        <f>"0x"&amp;AE_w_WORK!H30</f>
        <v>0x0000</v>
      </c>
      <c r="J1055" s="36">
        <v>41265</v>
      </c>
      <c r="K1055" s="37"/>
      <c r="L1055" s="74">
        <f t="shared" si="18"/>
        <v>2098</v>
      </c>
    </row>
    <row r="1056" spans="2:12" s="74" customFormat="1" hidden="1" outlineLevel="1">
      <c r="B1056" s="73">
        <v>1050</v>
      </c>
      <c r="C1056" s="39"/>
      <c r="D1056" s="40"/>
      <c r="E1056" s="34" t="s">
        <v>323</v>
      </c>
      <c r="F1056" s="75" t="s">
        <v>1421</v>
      </c>
      <c r="G1056" s="35" t="s">
        <v>370</v>
      </c>
      <c r="H1056" s="41" t="s">
        <v>371</v>
      </c>
      <c r="I1056" s="44" t="str">
        <f>"0x"&amp;AE_w_WORK!H31</f>
        <v>0x0000</v>
      </c>
      <c r="J1056" s="36">
        <v>41266</v>
      </c>
      <c r="K1056" s="37"/>
      <c r="L1056" s="74">
        <f t="shared" si="18"/>
        <v>2100</v>
      </c>
    </row>
    <row r="1057" spans="2:12" s="74" customFormat="1" hidden="1" outlineLevel="1">
      <c r="B1057" s="73">
        <v>1051</v>
      </c>
      <c r="C1057" s="39"/>
      <c r="D1057" s="40"/>
      <c r="E1057" s="34" t="s">
        <v>323</v>
      </c>
      <c r="F1057" s="75" t="s">
        <v>1422</v>
      </c>
      <c r="G1057" s="35" t="s">
        <v>370</v>
      </c>
      <c r="H1057" s="41" t="s">
        <v>371</v>
      </c>
      <c r="I1057" s="44" t="str">
        <f>"0x"&amp;AE_w_WORK!H32</f>
        <v>0x0000</v>
      </c>
      <c r="J1057" s="36">
        <v>41267</v>
      </c>
      <c r="K1057" s="37"/>
      <c r="L1057" s="74">
        <f t="shared" si="18"/>
        <v>2102</v>
      </c>
    </row>
    <row r="1058" spans="2:12" s="74" customFormat="1" hidden="1" outlineLevel="1">
      <c r="B1058" s="73">
        <v>1052</v>
      </c>
      <c r="C1058" s="39"/>
      <c r="D1058" s="40"/>
      <c r="E1058" s="34" t="s">
        <v>323</v>
      </c>
      <c r="F1058" s="75" t="s">
        <v>1423</v>
      </c>
      <c r="G1058" s="35" t="s">
        <v>370</v>
      </c>
      <c r="H1058" s="41" t="s">
        <v>371</v>
      </c>
      <c r="I1058" s="44" t="str">
        <f>"0x"&amp;AE_w_WORK!H33</f>
        <v>0x0000</v>
      </c>
      <c r="J1058" s="36">
        <v>41268</v>
      </c>
      <c r="K1058" s="37"/>
      <c r="L1058" s="74">
        <f t="shared" si="18"/>
        <v>2104</v>
      </c>
    </row>
    <row r="1059" spans="2:12" s="74" customFormat="1" hidden="1" outlineLevel="1">
      <c r="B1059" s="73">
        <v>1053</v>
      </c>
      <c r="C1059" s="39"/>
      <c r="D1059" s="40"/>
      <c r="E1059" s="34" t="s">
        <v>323</v>
      </c>
      <c r="F1059" s="75" t="s">
        <v>1424</v>
      </c>
      <c r="G1059" s="35" t="s">
        <v>370</v>
      </c>
      <c r="H1059" s="41" t="s">
        <v>371</v>
      </c>
      <c r="I1059" s="44" t="str">
        <f>"0x"&amp;AE_w_WORK!H34</f>
        <v>0x0000</v>
      </c>
      <c r="J1059" s="36">
        <v>41269</v>
      </c>
      <c r="K1059" s="37"/>
      <c r="L1059" s="74">
        <f t="shared" si="18"/>
        <v>2106</v>
      </c>
    </row>
    <row r="1060" spans="2:12" s="74" customFormat="1" hidden="1" outlineLevel="1">
      <c r="B1060" s="73">
        <v>1054</v>
      </c>
      <c r="C1060" s="39"/>
      <c r="D1060" s="40"/>
      <c r="E1060" s="34" t="s">
        <v>323</v>
      </c>
      <c r="F1060" s="75" t="s">
        <v>1425</v>
      </c>
      <c r="G1060" s="35" t="s">
        <v>370</v>
      </c>
      <c r="H1060" s="41" t="s">
        <v>371</v>
      </c>
      <c r="I1060" s="44" t="str">
        <f>"0x"&amp;AE_w_WORK!H35</f>
        <v>0x0000</v>
      </c>
      <c r="J1060" s="36">
        <v>41270</v>
      </c>
      <c r="K1060" s="37"/>
      <c r="L1060" s="74">
        <f t="shared" si="18"/>
        <v>2108</v>
      </c>
    </row>
    <row r="1061" spans="2:12" s="74" customFormat="1" hidden="1" outlineLevel="1">
      <c r="B1061" s="73">
        <v>1055</v>
      </c>
      <c r="C1061" s="39"/>
      <c r="D1061" s="40"/>
      <c r="E1061" s="34" t="s">
        <v>323</v>
      </c>
      <c r="F1061" s="75" t="s">
        <v>1426</v>
      </c>
      <c r="G1061" s="35" t="s">
        <v>370</v>
      </c>
      <c r="H1061" s="41" t="s">
        <v>371</v>
      </c>
      <c r="I1061" s="44" t="str">
        <f>"0x"&amp;AE_w_WORK!H36</f>
        <v>0x0000</v>
      </c>
      <c r="J1061" s="36">
        <v>41271</v>
      </c>
      <c r="K1061" s="37"/>
      <c r="L1061" s="74">
        <f t="shared" si="18"/>
        <v>2110</v>
      </c>
    </row>
    <row r="1062" spans="2:12" s="74" customFormat="1" hidden="1" outlineLevel="1">
      <c r="B1062" s="73">
        <v>1056</v>
      </c>
      <c r="C1062" s="39"/>
      <c r="D1062" s="40"/>
      <c r="E1062" s="34" t="s">
        <v>323</v>
      </c>
      <c r="F1062" s="75" t="s">
        <v>1427</v>
      </c>
      <c r="G1062" s="35" t="s">
        <v>370</v>
      </c>
      <c r="H1062" s="41" t="s">
        <v>371</v>
      </c>
      <c r="I1062" s="44" t="str">
        <f>"0x"&amp;AE_w_WORK!H37</f>
        <v>0x0000</v>
      </c>
      <c r="J1062" s="36">
        <v>41272</v>
      </c>
      <c r="K1062" s="37"/>
      <c r="L1062" s="74">
        <f t="shared" si="18"/>
        <v>2112</v>
      </c>
    </row>
    <row r="1063" spans="2:12" s="74" customFormat="1" hidden="1" outlineLevel="1">
      <c r="B1063" s="73">
        <v>1057</v>
      </c>
      <c r="C1063" s="39"/>
      <c r="D1063" s="40"/>
      <c r="E1063" s="34" t="s">
        <v>323</v>
      </c>
      <c r="F1063" s="75" t="s">
        <v>1428</v>
      </c>
      <c r="G1063" s="35" t="s">
        <v>370</v>
      </c>
      <c r="H1063" s="41" t="s">
        <v>371</v>
      </c>
      <c r="I1063" s="44" t="str">
        <f>"0x"&amp;AE_w_WORK!H38</f>
        <v>0x0000</v>
      </c>
      <c r="J1063" s="36">
        <v>41273</v>
      </c>
      <c r="K1063" s="37"/>
      <c r="L1063" s="74">
        <f t="shared" si="18"/>
        <v>2114</v>
      </c>
    </row>
    <row r="1064" spans="2:12" s="74" customFormat="1" hidden="1" outlineLevel="1">
      <c r="B1064" s="73">
        <v>1058</v>
      </c>
      <c r="C1064" s="39"/>
      <c r="D1064" s="40"/>
      <c r="E1064" s="34" t="s">
        <v>323</v>
      </c>
      <c r="F1064" s="75" t="s">
        <v>1429</v>
      </c>
      <c r="G1064" s="35" t="s">
        <v>370</v>
      </c>
      <c r="H1064" s="41" t="s">
        <v>371</v>
      </c>
      <c r="I1064" s="44" t="str">
        <f>"0x"&amp;AE_w_WORK!H39</f>
        <v>0x0000</v>
      </c>
      <c r="J1064" s="36">
        <v>41274</v>
      </c>
      <c r="K1064" s="37"/>
      <c r="L1064" s="74">
        <f t="shared" si="18"/>
        <v>2116</v>
      </c>
    </row>
    <row r="1065" spans="2:12" s="74" customFormat="1" hidden="1" outlineLevel="1">
      <c r="B1065" s="73">
        <v>1059</v>
      </c>
      <c r="C1065" s="39"/>
      <c r="D1065" s="40"/>
      <c r="E1065" s="34" t="s">
        <v>323</v>
      </c>
      <c r="F1065" s="75" t="s">
        <v>1430</v>
      </c>
      <c r="G1065" s="35" t="s">
        <v>370</v>
      </c>
      <c r="H1065" s="41" t="s">
        <v>371</v>
      </c>
      <c r="I1065" s="44" t="str">
        <f>"0x"&amp;AE_w_WORK!H40</f>
        <v>0x0000</v>
      </c>
      <c r="J1065" s="36">
        <v>41275</v>
      </c>
      <c r="K1065" s="37"/>
      <c r="L1065" s="74">
        <f t="shared" si="18"/>
        <v>2118</v>
      </c>
    </row>
    <row r="1066" spans="2:12" s="74" customFormat="1" hidden="1" outlineLevel="1">
      <c r="B1066" s="73">
        <v>1060</v>
      </c>
      <c r="C1066" s="39"/>
      <c r="D1066" s="40"/>
      <c r="E1066" s="34" t="s">
        <v>323</v>
      </c>
      <c r="F1066" s="75" t="s">
        <v>1431</v>
      </c>
      <c r="G1066" s="35" t="s">
        <v>370</v>
      </c>
      <c r="H1066" s="41" t="s">
        <v>371</v>
      </c>
      <c r="I1066" s="44" t="str">
        <f>"0x"&amp;AE_w_WORK!H41</f>
        <v>0x0000</v>
      </c>
      <c r="J1066" s="36">
        <v>41276</v>
      </c>
      <c r="K1066" s="37"/>
      <c r="L1066" s="74">
        <f t="shared" si="18"/>
        <v>2120</v>
      </c>
    </row>
    <row r="1067" spans="2:12" s="74" customFormat="1" hidden="1" outlineLevel="1">
      <c r="B1067" s="73">
        <v>1061</v>
      </c>
      <c r="C1067" s="39"/>
      <c r="D1067" s="40"/>
      <c r="E1067" s="34" t="s">
        <v>323</v>
      </c>
      <c r="F1067" s="75" t="s">
        <v>1432</v>
      </c>
      <c r="G1067" s="35" t="s">
        <v>370</v>
      </c>
      <c r="H1067" s="41" t="s">
        <v>371</v>
      </c>
      <c r="I1067" s="44" t="str">
        <f>"0x"&amp;AE_w_WORK!H42</f>
        <v>0x0000</v>
      </c>
      <c r="J1067" s="36">
        <v>41277</v>
      </c>
      <c r="K1067" s="37"/>
      <c r="L1067" s="74">
        <f t="shared" si="18"/>
        <v>2122</v>
      </c>
    </row>
    <row r="1068" spans="2:12" s="74" customFormat="1" hidden="1" outlineLevel="1">
      <c r="B1068" s="73">
        <v>1062</v>
      </c>
      <c r="C1068" s="39"/>
      <c r="D1068" s="40"/>
      <c r="E1068" s="34" t="s">
        <v>323</v>
      </c>
      <c r="F1068" s="75" t="s">
        <v>1433</v>
      </c>
      <c r="G1068" s="35" t="s">
        <v>370</v>
      </c>
      <c r="H1068" s="41" t="s">
        <v>371</v>
      </c>
      <c r="I1068" s="44" t="str">
        <f>"0x"&amp;AE_w_WORK!H43</f>
        <v>0x0000</v>
      </c>
      <c r="J1068" s="36">
        <v>41278</v>
      </c>
      <c r="K1068" s="37"/>
      <c r="L1068" s="74">
        <f t="shared" si="18"/>
        <v>2124</v>
      </c>
    </row>
    <row r="1069" spans="2:12" s="74" customFormat="1" hidden="1" outlineLevel="1">
      <c r="B1069" s="73">
        <v>1063</v>
      </c>
      <c r="C1069" s="39"/>
      <c r="D1069" s="40"/>
      <c r="E1069" s="34" t="s">
        <v>323</v>
      </c>
      <c r="F1069" s="75" t="s">
        <v>1434</v>
      </c>
      <c r="G1069" s="35" t="s">
        <v>370</v>
      </c>
      <c r="H1069" s="41" t="s">
        <v>371</v>
      </c>
      <c r="I1069" s="44" t="str">
        <f>"0x"&amp;AE_w_WORK!H44</f>
        <v>0x0000</v>
      </c>
      <c r="J1069" s="36">
        <v>41279</v>
      </c>
      <c r="K1069" s="37"/>
      <c r="L1069" s="74">
        <f t="shared" si="18"/>
        <v>2126</v>
      </c>
    </row>
    <row r="1070" spans="2:12" s="74" customFormat="1" hidden="1" outlineLevel="1">
      <c r="B1070" s="73">
        <v>1064</v>
      </c>
      <c r="C1070" s="39"/>
      <c r="D1070" s="40"/>
      <c r="E1070" s="34" t="s">
        <v>323</v>
      </c>
      <c r="F1070" s="75" t="s">
        <v>1435</v>
      </c>
      <c r="G1070" s="35" t="s">
        <v>370</v>
      </c>
      <c r="H1070" s="41" t="s">
        <v>371</v>
      </c>
      <c r="I1070" s="44" t="str">
        <f>"0x"&amp;AE_w_WORK!H45</f>
        <v>0x0000</v>
      </c>
      <c r="J1070" s="36">
        <v>41280</v>
      </c>
      <c r="K1070" s="37"/>
      <c r="L1070" s="74">
        <f t="shared" si="18"/>
        <v>2128</v>
      </c>
    </row>
    <row r="1071" spans="2:12" s="74" customFormat="1" hidden="1" outlineLevel="1">
      <c r="B1071" s="73">
        <v>1065</v>
      </c>
      <c r="C1071" s="39"/>
      <c r="D1071" s="40"/>
      <c r="E1071" s="34" t="s">
        <v>323</v>
      </c>
      <c r="F1071" s="75" t="s">
        <v>1436</v>
      </c>
      <c r="G1071" s="35" t="s">
        <v>370</v>
      </c>
      <c r="H1071" s="41" t="s">
        <v>371</v>
      </c>
      <c r="I1071" s="44" t="str">
        <f>"0x"&amp;AE_w_WORK!H46</f>
        <v>0x0000</v>
      </c>
      <c r="J1071" s="36">
        <v>41281</v>
      </c>
      <c r="K1071" s="37"/>
      <c r="L1071" s="74">
        <f t="shared" si="18"/>
        <v>2130</v>
      </c>
    </row>
    <row r="1072" spans="2:12" s="74" customFormat="1" hidden="1" outlineLevel="1">
      <c r="B1072" s="73">
        <v>1066</v>
      </c>
      <c r="C1072" s="39"/>
      <c r="D1072" s="40"/>
      <c r="E1072" s="34" t="s">
        <v>323</v>
      </c>
      <c r="F1072" s="75" t="s">
        <v>1437</v>
      </c>
      <c r="G1072" s="35" t="s">
        <v>370</v>
      </c>
      <c r="H1072" s="41" t="s">
        <v>371</v>
      </c>
      <c r="I1072" s="44" t="str">
        <f>"0x"&amp;AE_w_WORK!H47</f>
        <v>0x0000</v>
      </c>
      <c r="J1072" s="36">
        <v>41282</v>
      </c>
      <c r="K1072" s="37"/>
      <c r="L1072" s="74">
        <f t="shared" si="18"/>
        <v>2132</v>
      </c>
    </row>
    <row r="1073" spans="2:12" s="74" customFormat="1" hidden="1" outlineLevel="1">
      <c r="B1073" s="73">
        <v>1067</v>
      </c>
      <c r="C1073" s="39"/>
      <c r="D1073" s="40"/>
      <c r="E1073" s="34" t="s">
        <v>323</v>
      </c>
      <c r="F1073" s="75" t="s">
        <v>1438</v>
      </c>
      <c r="G1073" s="35" t="s">
        <v>370</v>
      </c>
      <c r="H1073" s="41" t="s">
        <v>371</v>
      </c>
      <c r="I1073" s="44" t="str">
        <f>"0x"&amp;AE_w_WORK!H48</f>
        <v>0x0000</v>
      </c>
      <c r="J1073" s="36">
        <v>41283</v>
      </c>
      <c r="K1073" s="37"/>
      <c r="L1073" s="74">
        <f t="shared" si="18"/>
        <v>2134</v>
      </c>
    </row>
    <row r="1074" spans="2:12" s="74" customFormat="1" hidden="1" outlineLevel="1">
      <c r="B1074" s="73">
        <v>1068</v>
      </c>
      <c r="C1074" s="39"/>
      <c r="D1074" s="40"/>
      <c r="E1074" s="34" t="s">
        <v>323</v>
      </c>
      <c r="F1074" s="75" t="s">
        <v>1439</v>
      </c>
      <c r="G1074" s="35" t="s">
        <v>370</v>
      </c>
      <c r="H1074" s="41" t="s">
        <v>371</v>
      </c>
      <c r="I1074" s="44" t="str">
        <f>"0x"&amp;AE_w_WORK!H49</f>
        <v>0x0000</v>
      </c>
      <c r="J1074" s="36">
        <v>41284</v>
      </c>
      <c r="K1074" s="37"/>
      <c r="L1074" s="74">
        <f t="shared" si="18"/>
        <v>2136</v>
      </c>
    </row>
    <row r="1075" spans="2:12" s="74" customFormat="1" hidden="1" outlineLevel="1">
      <c r="B1075" s="73">
        <v>1069</v>
      </c>
      <c r="C1075" s="39"/>
      <c r="D1075" s="40"/>
      <c r="E1075" s="34" t="s">
        <v>323</v>
      </c>
      <c r="F1075" s="75" t="s">
        <v>1440</v>
      </c>
      <c r="G1075" s="35" t="s">
        <v>370</v>
      </c>
      <c r="H1075" s="41" t="s">
        <v>371</v>
      </c>
      <c r="I1075" s="44" t="str">
        <f>"0x"&amp;AE_w_WORK!H50</f>
        <v>0x0000</v>
      </c>
      <c r="J1075" s="36">
        <v>41285</v>
      </c>
      <c r="K1075" s="37"/>
      <c r="L1075" s="74">
        <f t="shared" si="18"/>
        <v>2138</v>
      </c>
    </row>
    <row r="1076" spans="2:12" s="74" customFormat="1" hidden="1" outlineLevel="1">
      <c r="B1076" s="73">
        <v>1070</v>
      </c>
      <c r="C1076" s="39"/>
      <c r="D1076" s="40"/>
      <c r="E1076" s="34" t="s">
        <v>323</v>
      </c>
      <c r="F1076" s="75" t="s">
        <v>1441</v>
      </c>
      <c r="G1076" s="35" t="s">
        <v>370</v>
      </c>
      <c r="H1076" s="41" t="s">
        <v>371</v>
      </c>
      <c r="I1076" s="44" t="str">
        <f>"0x"&amp;AE_w_WORK!H51</f>
        <v>0x0000</v>
      </c>
      <c r="J1076" s="36">
        <v>41286</v>
      </c>
      <c r="K1076" s="37"/>
      <c r="L1076" s="74">
        <f t="shared" si="18"/>
        <v>2140</v>
      </c>
    </row>
    <row r="1077" spans="2:12" s="74" customFormat="1" hidden="1" outlineLevel="1">
      <c r="B1077" s="73">
        <v>1071</v>
      </c>
      <c r="C1077" s="39"/>
      <c r="D1077" s="40"/>
      <c r="E1077" s="34" t="s">
        <v>323</v>
      </c>
      <c r="F1077" s="75" t="s">
        <v>1442</v>
      </c>
      <c r="G1077" s="35" t="s">
        <v>370</v>
      </c>
      <c r="H1077" s="41" t="s">
        <v>371</v>
      </c>
      <c r="I1077" s="44" t="str">
        <f>"0x"&amp;AE_w_WORK!H52</f>
        <v>0x0000</v>
      </c>
      <c r="J1077" s="36">
        <v>41287</v>
      </c>
      <c r="K1077" s="37"/>
      <c r="L1077" s="74">
        <f t="shared" si="18"/>
        <v>2142</v>
      </c>
    </row>
    <row r="1078" spans="2:12" s="74" customFormat="1" hidden="1" outlineLevel="1">
      <c r="B1078" s="73">
        <v>1072</v>
      </c>
      <c r="C1078" s="39"/>
      <c r="D1078" s="40"/>
      <c r="E1078" s="34" t="s">
        <v>323</v>
      </c>
      <c r="F1078" s="75" t="s">
        <v>1443</v>
      </c>
      <c r="G1078" s="35" t="s">
        <v>370</v>
      </c>
      <c r="H1078" s="41" t="s">
        <v>371</v>
      </c>
      <c r="I1078" s="44" t="str">
        <f>"0x"&amp;AE_w_WORK!H53</f>
        <v>0x0000</v>
      </c>
      <c r="J1078" s="36">
        <v>41288</v>
      </c>
      <c r="K1078" s="37"/>
      <c r="L1078" s="74">
        <f t="shared" si="18"/>
        <v>2144</v>
      </c>
    </row>
    <row r="1079" spans="2:12" s="74" customFormat="1" hidden="1" outlineLevel="1">
      <c r="B1079" s="73">
        <v>1073</v>
      </c>
      <c r="C1079" s="39"/>
      <c r="D1079" s="40"/>
      <c r="E1079" s="34" t="s">
        <v>323</v>
      </c>
      <c r="F1079" s="75" t="s">
        <v>1444</v>
      </c>
      <c r="G1079" s="35" t="s">
        <v>370</v>
      </c>
      <c r="H1079" s="41" t="s">
        <v>371</v>
      </c>
      <c r="I1079" s="44" t="str">
        <f>"0x"&amp;AE_w_WORK!H54</f>
        <v>0x0000</v>
      </c>
      <c r="J1079" s="36">
        <v>41289</v>
      </c>
      <c r="K1079" s="37"/>
      <c r="L1079" s="74">
        <f t="shared" si="18"/>
        <v>2146</v>
      </c>
    </row>
    <row r="1080" spans="2:12" s="74" customFormat="1" hidden="1" outlineLevel="1">
      <c r="B1080" s="73">
        <v>1074</v>
      </c>
      <c r="C1080" s="39"/>
      <c r="D1080" s="40"/>
      <c r="E1080" s="34" t="s">
        <v>323</v>
      </c>
      <c r="F1080" s="75" t="s">
        <v>1445</v>
      </c>
      <c r="G1080" s="35" t="s">
        <v>370</v>
      </c>
      <c r="H1080" s="41" t="s">
        <v>371</v>
      </c>
      <c r="I1080" s="44" t="str">
        <f>"0x"&amp;AE_w_WORK!H55</f>
        <v>0x0000</v>
      </c>
      <c r="J1080" s="36">
        <v>41290</v>
      </c>
      <c r="K1080" s="37"/>
      <c r="L1080" s="74">
        <f t="shared" si="18"/>
        <v>2148</v>
      </c>
    </row>
    <row r="1081" spans="2:12" s="74" customFormat="1" hidden="1" outlineLevel="1">
      <c r="B1081" s="73">
        <v>1075</v>
      </c>
      <c r="C1081" s="39"/>
      <c r="D1081" s="40"/>
      <c r="E1081" s="34" t="s">
        <v>323</v>
      </c>
      <c r="F1081" s="75" t="s">
        <v>1446</v>
      </c>
      <c r="G1081" s="35" t="s">
        <v>370</v>
      </c>
      <c r="H1081" s="41" t="s">
        <v>371</v>
      </c>
      <c r="I1081" s="44" t="str">
        <f>"0x"&amp;AE_w_WORK!H56</f>
        <v>0x0000</v>
      </c>
      <c r="J1081" s="36">
        <v>41291</v>
      </c>
      <c r="K1081" s="37"/>
      <c r="L1081" s="74">
        <f t="shared" si="18"/>
        <v>2150</v>
      </c>
    </row>
    <row r="1082" spans="2:12" s="74" customFormat="1" hidden="1" outlineLevel="1">
      <c r="B1082" s="73">
        <v>1076</v>
      </c>
      <c r="C1082" s="39"/>
      <c r="D1082" s="40"/>
      <c r="E1082" s="34" t="s">
        <v>323</v>
      </c>
      <c r="F1082" s="75" t="s">
        <v>1447</v>
      </c>
      <c r="G1082" s="35" t="s">
        <v>370</v>
      </c>
      <c r="H1082" s="41" t="s">
        <v>371</v>
      </c>
      <c r="I1082" s="44" t="str">
        <f>"0x"&amp;AE_w_WORK!H57</f>
        <v>0x0000</v>
      </c>
      <c r="J1082" s="36">
        <v>41292</v>
      </c>
      <c r="K1082" s="37"/>
      <c r="L1082" s="74">
        <f t="shared" si="18"/>
        <v>2152</v>
      </c>
    </row>
    <row r="1083" spans="2:12" s="74" customFormat="1" hidden="1" outlineLevel="1">
      <c r="B1083" s="73">
        <v>1077</v>
      </c>
      <c r="C1083" s="39"/>
      <c r="D1083" s="40"/>
      <c r="E1083" s="34" t="s">
        <v>323</v>
      </c>
      <c r="F1083" s="75" t="s">
        <v>1448</v>
      </c>
      <c r="G1083" s="35" t="s">
        <v>370</v>
      </c>
      <c r="H1083" s="41" t="s">
        <v>371</v>
      </c>
      <c r="I1083" s="44" t="str">
        <f>"0x"&amp;AE_w_WORK!H58</f>
        <v>0x0000</v>
      </c>
      <c r="J1083" s="36">
        <v>41293</v>
      </c>
      <c r="K1083" s="37"/>
      <c r="L1083" s="74">
        <f t="shared" si="18"/>
        <v>2154</v>
      </c>
    </row>
    <row r="1084" spans="2:12" s="74" customFormat="1" hidden="1" outlineLevel="1">
      <c r="B1084" s="73">
        <v>1078</v>
      </c>
      <c r="C1084" s="39"/>
      <c r="D1084" s="40"/>
      <c r="E1084" s="34" t="s">
        <v>323</v>
      </c>
      <c r="F1084" s="75" t="s">
        <v>1449</v>
      </c>
      <c r="G1084" s="35" t="s">
        <v>370</v>
      </c>
      <c r="H1084" s="41" t="s">
        <v>371</v>
      </c>
      <c r="I1084" s="44" t="str">
        <f>"0x"&amp;AE_w_WORK!H59</f>
        <v>0x0000</v>
      </c>
      <c r="J1084" s="36">
        <v>41294</v>
      </c>
      <c r="K1084" s="37"/>
      <c r="L1084" s="74">
        <f t="shared" si="18"/>
        <v>2156</v>
      </c>
    </row>
    <row r="1085" spans="2:12" s="74" customFormat="1" hidden="1" outlineLevel="1">
      <c r="B1085" s="73">
        <v>1079</v>
      </c>
      <c r="C1085" s="39"/>
      <c r="D1085" s="40"/>
      <c r="E1085" s="34" t="s">
        <v>323</v>
      </c>
      <c r="F1085" s="75" t="s">
        <v>1450</v>
      </c>
      <c r="G1085" s="35" t="s">
        <v>370</v>
      </c>
      <c r="H1085" s="41" t="s">
        <v>371</v>
      </c>
      <c r="I1085" s="44" t="str">
        <f>"0x"&amp;AE_w_WORK!H60</f>
        <v>0x0000</v>
      </c>
      <c r="J1085" s="36">
        <v>41295</v>
      </c>
      <c r="K1085" s="37"/>
      <c r="L1085" s="74">
        <f t="shared" si="18"/>
        <v>2158</v>
      </c>
    </row>
    <row r="1086" spans="2:12" s="74" customFormat="1" hidden="1" outlineLevel="1">
      <c r="B1086" s="73">
        <v>1080</v>
      </c>
      <c r="C1086" s="39"/>
      <c r="D1086" s="40"/>
      <c r="E1086" s="34" t="s">
        <v>323</v>
      </c>
      <c r="F1086" s="75" t="s">
        <v>1451</v>
      </c>
      <c r="G1086" s="35" t="s">
        <v>370</v>
      </c>
      <c r="H1086" s="41" t="s">
        <v>371</v>
      </c>
      <c r="I1086" s="44" t="str">
        <f>"0x"&amp;AE_w_WORK!H61</f>
        <v>0x0000</v>
      </c>
      <c r="J1086" s="36">
        <v>41296</v>
      </c>
      <c r="K1086" s="37"/>
      <c r="L1086" s="74">
        <f t="shared" si="18"/>
        <v>2160</v>
      </c>
    </row>
    <row r="1087" spans="2:12" s="74" customFormat="1" hidden="1" outlineLevel="1">
      <c r="B1087" s="73">
        <v>1081</v>
      </c>
      <c r="C1087" s="39"/>
      <c r="D1087" s="40"/>
      <c r="E1087" s="34" t="s">
        <v>323</v>
      </c>
      <c r="F1087" s="75" t="s">
        <v>1452</v>
      </c>
      <c r="G1087" s="35" t="s">
        <v>370</v>
      </c>
      <c r="H1087" s="41" t="s">
        <v>371</v>
      </c>
      <c r="I1087" s="44" t="str">
        <f>"0x"&amp;AE_w_WORK!H62</f>
        <v>0x0000</v>
      </c>
      <c r="J1087" s="36">
        <v>41297</v>
      </c>
      <c r="K1087" s="37"/>
      <c r="L1087" s="74">
        <f t="shared" si="18"/>
        <v>2162</v>
      </c>
    </row>
    <row r="1088" spans="2:12" s="74" customFormat="1" hidden="1" outlineLevel="1">
      <c r="B1088" s="73">
        <v>1082</v>
      </c>
      <c r="C1088" s="39"/>
      <c r="D1088" s="40"/>
      <c r="E1088" s="34" t="s">
        <v>323</v>
      </c>
      <c r="F1088" s="75" t="s">
        <v>1453</v>
      </c>
      <c r="G1088" s="35" t="s">
        <v>370</v>
      </c>
      <c r="H1088" s="41" t="s">
        <v>371</v>
      </c>
      <c r="I1088" s="44" t="str">
        <f>"0x"&amp;AE_w_WORK!H63</f>
        <v>0x0000</v>
      </c>
      <c r="J1088" s="36">
        <v>41298</v>
      </c>
      <c r="K1088" s="37"/>
      <c r="L1088" s="74">
        <f t="shared" si="18"/>
        <v>2164</v>
      </c>
    </row>
    <row r="1089" spans="2:12" s="74" customFormat="1" hidden="1" outlineLevel="1">
      <c r="B1089" s="73">
        <v>1083</v>
      </c>
      <c r="C1089" s="39"/>
      <c r="D1089" s="40"/>
      <c r="E1089" s="34" t="s">
        <v>323</v>
      </c>
      <c r="F1089" s="75" t="s">
        <v>1454</v>
      </c>
      <c r="G1089" s="35" t="s">
        <v>370</v>
      </c>
      <c r="H1089" s="41" t="s">
        <v>371</v>
      </c>
      <c r="I1089" s="44" t="str">
        <f>"0x"&amp;AE_w_WORK!H64</f>
        <v>0x0000</v>
      </c>
      <c r="J1089" s="36">
        <v>41299</v>
      </c>
      <c r="K1089" s="37"/>
      <c r="L1089" s="74">
        <f t="shared" si="18"/>
        <v>2166</v>
      </c>
    </row>
    <row r="1090" spans="2:12" s="74" customFormat="1" hidden="1" outlineLevel="1">
      <c r="B1090" s="73">
        <v>1084</v>
      </c>
      <c r="C1090" s="39"/>
      <c r="D1090" s="40"/>
      <c r="E1090" s="34" t="s">
        <v>323</v>
      </c>
      <c r="F1090" s="75" t="s">
        <v>1455</v>
      </c>
      <c r="G1090" s="35" t="s">
        <v>370</v>
      </c>
      <c r="H1090" s="41" t="s">
        <v>371</v>
      </c>
      <c r="I1090" s="44" t="str">
        <f>"0x"&amp;AE_w_WORK!H65</f>
        <v>0x0000</v>
      </c>
      <c r="J1090" s="36">
        <v>41300</v>
      </c>
      <c r="K1090" s="37"/>
      <c r="L1090" s="74">
        <f t="shared" si="18"/>
        <v>2168</v>
      </c>
    </row>
    <row r="1091" spans="2:12" s="74" customFormat="1" hidden="1" outlineLevel="1">
      <c r="B1091" s="73">
        <v>1085</v>
      </c>
      <c r="C1091" s="39"/>
      <c r="D1091" s="40"/>
      <c r="E1091" s="34" t="s">
        <v>323</v>
      </c>
      <c r="F1091" s="75" t="s">
        <v>1456</v>
      </c>
      <c r="G1091" s="35" t="s">
        <v>370</v>
      </c>
      <c r="H1091" s="41" t="s">
        <v>371</v>
      </c>
      <c r="I1091" s="44" t="str">
        <f>"0x"&amp;AE_w_WORK!H66</f>
        <v>0x0000</v>
      </c>
      <c r="J1091" s="36">
        <v>41301</v>
      </c>
      <c r="K1091" s="37"/>
      <c r="L1091" s="74">
        <f t="shared" si="18"/>
        <v>2170</v>
      </c>
    </row>
    <row r="1092" spans="2:12" s="74" customFormat="1" hidden="1" outlineLevel="1">
      <c r="B1092" s="73">
        <v>1086</v>
      </c>
      <c r="C1092" s="39"/>
      <c r="D1092" s="40"/>
      <c r="E1092" s="34" t="s">
        <v>323</v>
      </c>
      <c r="F1092" s="75" t="s">
        <v>1457</v>
      </c>
      <c r="G1092" s="35" t="s">
        <v>370</v>
      </c>
      <c r="H1092" s="41" t="s">
        <v>371</v>
      </c>
      <c r="I1092" s="44" t="str">
        <f>"0x"&amp;AE_w_WORK!H67</f>
        <v>0x0000</v>
      </c>
      <c r="J1092" s="36">
        <v>41302</v>
      </c>
      <c r="K1092" s="37"/>
      <c r="L1092" s="74">
        <f t="shared" si="18"/>
        <v>2172</v>
      </c>
    </row>
    <row r="1093" spans="2:12" s="74" customFormat="1" hidden="1" outlineLevel="1">
      <c r="B1093" s="73">
        <v>1087</v>
      </c>
      <c r="C1093" s="39"/>
      <c r="D1093" s="40"/>
      <c r="E1093" s="34" t="s">
        <v>323</v>
      </c>
      <c r="F1093" s="75" t="s">
        <v>1458</v>
      </c>
      <c r="G1093" s="35" t="s">
        <v>370</v>
      </c>
      <c r="H1093" s="41" t="s">
        <v>371</v>
      </c>
      <c r="I1093" s="44" t="str">
        <f>"0x"&amp;AE_w_WORK!H68</f>
        <v>0x0000</v>
      </c>
      <c r="J1093" s="36">
        <v>41303</v>
      </c>
      <c r="K1093" s="37"/>
      <c r="L1093" s="74">
        <f t="shared" si="18"/>
        <v>2174</v>
      </c>
    </row>
    <row r="1094" spans="2:12" s="74" customFormat="1" hidden="1" outlineLevel="1">
      <c r="B1094" s="73">
        <v>1088</v>
      </c>
      <c r="C1094" s="39"/>
      <c r="D1094" s="40"/>
      <c r="E1094" s="34" t="s">
        <v>323</v>
      </c>
      <c r="F1094" s="75" t="s">
        <v>1459</v>
      </c>
      <c r="G1094" s="35" t="s">
        <v>370</v>
      </c>
      <c r="H1094" s="41" t="s">
        <v>371</v>
      </c>
      <c r="I1094" s="44" t="str">
        <f>"0x"&amp;AE_w_WORK!H69</f>
        <v>0x0000</v>
      </c>
      <c r="J1094" s="36">
        <v>41304</v>
      </c>
      <c r="K1094" s="37"/>
      <c r="L1094" s="74">
        <f t="shared" si="18"/>
        <v>2176</v>
      </c>
    </row>
    <row r="1095" spans="2:12" s="74" customFormat="1" hidden="1" outlineLevel="1">
      <c r="B1095" s="73">
        <v>1089</v>
      </c>
      <c r="C1095" s="39"/>
      <c r="D1095" s="40"/>
      <c r="E1095" s="34" t="s">
        <v>323</v>
      </c>
      <c r="F1095" s="75" t="s">
        <v>1460</v>
      </c>
      <c r="G1095" s="35" t="s">
        <v>370</v>
      </c>
      <c r="H1095" s="41" t="s">
        <v>371</v>
      </c>
      <c r="I1095" s="44" t="str">
        <f>"0x"&amp;AE_w_WORK!H70</f>
        <v>0x0000</v>
      </c>
      <c r="J1095" s="36">
        <v>41305</v>
      </c>
      <c r="K1095" s="37"/>
      <c r="L1095" s="74">
        <f t="shared" si="18"/>
        <v>2178</v>
      </c>
    </row>
    <row r="1096" spans="2:12" s="74" customFormat="1" hidden="1" outlineLevel="1">
      <c r="B1096" s="73">
        <v>1090</v>
      </c>
      <c r="C1096" s="39"/>
      <c r="D1096" s="40"/>
      <c r="E1096" s="34" t="s">
        <v>323</v>
      </c>
      <c r="F1096" s="75" t="s">
        <v>1461</v>
      </c>
      <c r="G1096" s="35" t="s">
        <v>370</v>
      </c>
      <c r="H1096" s="41" t="s">
        <v>371</v>
      </c>
      <c r="I1096" s="44" t="str">
        <f>"0x"&amp;AE_w_WORK!H71</f>
        <v>0x0000</v>
      </c>
      <c r="J1096" s="36">
        <v>41306</v>
      </c>
      <c r="K1096" s="37"/>
      <c r="L1096" s="74">
        <f t="shared" si="18"/>
        <v>2180</v>
      </c>
    </row>
    <row r="1097" spans="2:12" s="74" customFormat="1" hidden="1" outlineLevel="1">
      <c r="B1097" s="73">
        <v>1091</v>
      </c>
      <c r="C1097" s="39"/>
      <c r="D1097" s="40"/>
      <c r="E1097" s="34" t="s">
        <v>323</v>
      </c>
      <c r="F1097" s="75" t="s">
        <v>1462</v>
      </c>
      <c r="G1097" s="35" t="s">
        <v>370</v>
      </c>
      <c r="H1097" s="41" t="s">
        <v>371</v>
      </c>
      <c r="I1097" s="44" t="str">
        <f>"0x"&amp;AE_w_WORK!H72</f>
        <v>0x0000</v>
      </c>
      <c r="J1097" s="36">
        <v>41307</v>
      </c>
      <c r="K1097" s="37"/>
      <c r="L1097" s="74">
        <f t="shared" ref="L1097:L1160" si="19">L1096+2</f>
        <v>2182</v>
      </c>
    </row>
    <row r="1098" spans="2:12" s="74" customFormat="1" hidden="1" outlineLevel="1">
      <c r="B1098" s="73">
        <v>1092</v>
      </c>
      <c r="C1098" s="39"/>
      <c r="D1098" s="40"/>
      <c r="E1098" s="34" t="s">
        <v>323</v>
      </c>
      <c r="F1098" s="75" t="s">
        <v>1463</v>
      </c>
      <c r="G1098" s="35" t="s">
        <v>370</v>
      </c>
      <c r="H1098" s="41" t="s">
        <v>371</v>
      </c>
      <c r="I1098" s="44" t="str">
        <f>"0x"&amp;AE_w_WORK!H73</f>
        <v>0x0000</v>
      </c>
      <c r="J1098" s="36">
        <v>41308</v>
      </c>
      <c r="K1098" s="37"/>
      <c r="L1098" s="74">
        <f t="shared" si="19"/>
        <v>2184</v>
      </c>
    </row>
    <row r="1099" spans="2:12" s="74" customFormat="1" hidden="1" outlineLevel="1">
      <c r="B1099" s="73">
        <v>1093</v>
      </c>
      <c r="C1099" s="39"/>
      <c r="D1099" s="40"/>
      <c r="E1099" s="34" t="s">
        <v>323</v>
      </c>
      <c r="F1099" s="75" t="s">
        <v>1464</v>
      </c>
      <c r="G1099" s="35" t="s">
        <v>370</v>
      </c>
      <c r="H1099" s="41" t="s">
        <v>371</v>
      </c>
      <c r="I1099" s="44" t="str">
        <f>"0x"&amp;AE_w_WORK!H74</f>
        <v>0x0000</v>
      </c>
      <c r="J1099" s="36">
        <v>41309</v>
      </c>
      <c r="K1099" s="37"/>
      <c r="L1099" s="74">
        <f t="shared" si="19"/>
        <v>2186</v>
      </c>
    </row>
    <row r="1100" spans="2:12" s="74" customFormat="1" hidden="1" outlineLevel="1">
      <c r="B1100" s="73">
        <v>1094</v>
      </c>
      <c r="C1100" s="39"/>
      <c r="D1100" s="40"/>
      <c r="E1100" s="34" t="s">
        <v>323</v>
      </c>
      <c r="F1100" s="75" t="s">
        <v>1465</v>
      </c>
      <c r="G1100" s="35" t="s">
        <v>370</v>
      </c>
      <c r="H1100" s="41" t="s">
        <v>371</v>
      </c>
      <c r="I1100" s="44" t="str">
        <f>"0x"&amp;AE_w_WORK!H75</f>
        <v>0x0000</v>
      </c>
      <c r="J1100" s="36">
        <v>41310</v>
      </c>
      <c r="K1100" s="37"/>
      <c r="L1100" s="74">
        <f t="shared" si="19"/>
        <v>2188</v>
      </c>
    </row>
    <row r="1101" spans="2:12" s="74" customFormat="1" hidden="1" outlineLevel="1">
      <c r="B1101" s="73">
        <v>1095</v>
      </c>
      <c r="C1101" s="39"/>
      <c r="D1101" s="40"/>
      <c r="E1101" s="34" t="s">
        <v>323</v>
      </c>
      <c r="F1101" s="75" t="s">
        <v>1466</v>
      </c>
      <c r="G1101" s="35" t="s">
        <v>370</v>
      </c>
      <c r="H1101" s="41" t="s">
        <v>371</v>
      </c>
      <c r="I1101" s="44" t="str">
        <f>"0x"&amp;AE_w_WORK!H76</f>
        <v>0x0000</v>
      </c>
      <c r="J1101" s="36">
        <v>41311</v>
      </c>
      <c r="K1101" s="37"/>
      <c r="L1101" s="74">
        <f t="shared" si="19"/>
        <v>2190</v>
      </c>
    </row>
    <row r="1102" spans="2:12" s="74" customFormat="1" hidden="1" outlineLevel="1">
      <c r="B1102" s="73">
        <v>1096</v>
      </c>
      <c r="C1102" s="39"/>
      <c r="D1102" s="40"/>
      <c r="E1102" s="34" t="s">
        <v>323</v>
      </c>
      <c r="F1102" s="75" t="s">
        <v>1467</v>
      </c>
      <c r="G1102" s="35" t="s">
        <v>370</v>
      </c>
      <c r="H1102" s="41" t="s">
        <v>371</v>
      </c>
      <c r="I1102" s="44" t="str">
        <f>"0x"&amp;AE_w_WORK!H77</f>
        <v>0x0000</v>
      </c>
      <c r="J1102" s="36">
        <v>41312</v>
      </c>
      <c r="K1102" s="37"/>
      <c r="L1102" s="74">
        <f t="shared" si="19"/>
        <v>2192</v>
      </c>
    </row>
    <row r="1103" spans="2:12" s="74" customFormat="1" hidden="1" outlineLevel="1">
      <c r="B1103" s="73">
        <v>1097</v>
      </c>
      <c r="C1103" s="39"/>
      <c r="D1103" s="40"/>
      <c r="E1103" s="34" t="s">
        <v>323</v>
      </c>
      <c r="F1103" s="75" t="s">
        <v>1468</v>
      </c>
      <c r="G1103" s="35" t="s">
        <v>370</v>
      </c>
      <c r="H1103" s="41" t="s">
        <v>371</v>
      </c>
      <c r="I1103" s="44" t="str">
        <f>"0x"&amp;AE_w_WORK!H78</f>
        <v>0x0000</v>
      </c>
      <c r="J1103" s="36">
        <v>41313</v>
      </c>
      <c r="K1103" s="37"/>
      <c r="L1103" s="74">
        <f t="shared" si="19"/>
        <v>2194</v>
      </c>
    </row>
    <row r="1104" spans="2:12" s="74" customFormat="1" hidden="1" outlineLevel="1">
      <c r="B1104" s="73">
        <v>1098</v>
      </c>
      <c r="C1104" s="39"/>
      <c r="D1104" s="40"/>
      <c r="E1104" s="34" t="s">
        <v>323</v>
      </c>
      <c r="F1104" s="75" t="s">
        <v>1469</v>
      </c>
      <c r="G1104" s="35" t="s">
        <v>370</v>
      </c>
      <c r="H1104" s="41" t="s">
        <v>371</v>
      </c>
      <c r="I1104" s="44" t="str">
        <f>"0x"&amp;AE_w_WORK!H79</f>
        <v>0x0000</v>
      </c>
      <c r="J1104" s="36">
        <v>41314</v>
      </c>
      <c r="K1104" s="37"/>
      <c r="L1104" s="74">
        <f t="shared" si="19"/>
        <v>2196</v>
      </c>
    </row>
    <row r="1105" spans="2:12" s="74" customFormat="1" hidden="1" outlineLevel="1">
      <c r="B1105" s="73">
        <v>1099</v>
      </c>
      <c r="C1105" s="39"/>
      <c r="D1105" s="40"/>
      <c r="E1105" s="34" t="s">
        <v>323</v>
      </c>
      <c r="F1105" s="75" t="s">
        <v>1470</v>
      </c>
      <c r="G1105" s="35" t="s">
        <v>370</v>
      </c>
      <c r="H1105" s="41" t="s">
        <v>371</v>
      </c>
      <c r="I1105" s="44" t="str">
        <f>"0x"&amp;AE_w_WORK!H80</f>
        <v>0x0000</v>
      </c>
      <c r="J1105" s="36">
        <v>41315</v>
      </c>
      <c r="K1105" s="37"/>
      <c r="L1105" s="74">
        <f t="shared" si="19"/>
        <v>2198</v>
      </c>
    </row>
    <row r="1106" spans="2:12" s="74" customFormat="1" hidden="1" outlineLevel="1">
      <c r="B1106" s="73">
        <v>1100</v>
      </c>
      <c r="C1106" s="39"/>
      <c r="D1106" s="40"/>
      <c r="E1106" s="34" t="s">
        <v>323</v>
      </c>
      <c r="F1106" s="75" t="s">
        <v>1471</v>
      </c>
      <c r="G1106" s="35" t="s">
        <v>370</v>
      </c>
      <c r="H1106" s="41" t="s">
        <v>371</v>
      </c>
      <c r="I1106" s="44" t="str">
        <f>"0x"&amp;AE_w_WORK!H81</f>
        <v>0x0000</v>
      </c>
      <c r="J1106" s="36">
        <v>41316</v>
      </c>
      <c r="K1106" s="37"/>
      <c r="L1106" s="74">
        <f t="shared" si="19"/>
        <v>2200</v>
      </c>
    </row>
    <row r="1107" spans="2:12" s="74" customFormat="1" hidden="1" outlineLevel="1">
      <c r="B1107" s="73">
        <v>1101</v>
      </c>
      <c r="C1107" s="39"/>
      <c r="D1107" s="40"/>
      <c r="E1107" s="34" t="s">
        <v>323</v>
      </c>
      <c r="F1107" s="75" t="s">
        <v>1472</v>
      </c>
      <c r="G1107" s="35" t="s">
        <v>370</v>
      </c>
      <c r="H1107" s="41" t="s">
        <v>371</v>
      </c>
      <c r="I1107" s="44" t="str">
        <f>"0x"&amp;AE_w_WORK!H82</f>
        <v>0x0000</v>
      </c>
      <c r="J1107" s="36">
        <v>41317</v>
      </c>
      <c r="K1107" s="37"/>
      <c r="L1107" s="74">
        <f t="shared" si="19"/>
        <v>2202</v>
      </c>
    </row>
    <row r="1108" spans="2:12" s="74" customFormat="1" hidden="1" outlineLevel="1">
      <c r="B1108" s="73">
        <v>1102</v>
      </c>
      <c r="C1108" s="39"/>
      <c r="D1108" s="40"/>
      <c r="E1108" s="34" t="s">
        <v>323</v>
      </c>
      <c r="F1108" s="75" t="s">
        <v>1473</v>
      </c>
      <c r="G1108" s="35" t="s">
        <v>370</v>
      </c>
      <c r="H1108" s="41" t="s">
        <v>371</v>
      </c>
      <c r="I1108" s="44" t="str">
        <f>"0x"&amp;AE_w_WORK!H83</f>
        <v>0x0000</v>
      </c>
      <c r="J1108" s="36">
        <v>41318</v>
      </c>
      <c r="K1108" s="37"/>
      <c r="L1108" s="74">
        <f t="shared" si="19"/>
        <v>2204</v>
      </c>
    </row>
    <row r="1109" spans="2:12" s="74" customFormat="1" hidden="1" outlineLevel="1">
      <c r="B1109" s="73">
        <v>1103</v>
      </c>
      <c r="C1109" s="39"/>
      <c r="D1109" s="40"/>
      <c r="E1109" s="34" t="s">
        <v>323</v>
      </c>
      <c r="F1109" s="75" t="s">
        <v>1474</v>
      </c>
      <c r="G1109" s="35" t="s">
        <v>370</v>
      </c>
      <c r="H1109" s="41" t="s">
        <v>371</v>
      </c>
      <c r="I1109" s="44" t="str">
        <f>"0x"&amp;AE_w_WORK!H84</f>
        <v>0x0000</v>
      </c>
      <c r="J1109" s="36">
        <v>41319</v>
      </c>
      <c r="K1109" s="37"/>
      <c r="L1109" s="74">
        <f t="shared" si="19"/>
        <v>2206</v>
      </c>
    </row>
    <row r="1110" spans="2:12" s="74" customFormat="1" hidden="1" outlineLevel="1">
      <c r="B1110" s="73">
        <v>1104</v>
      </c>
      <c r="C1110" s="39"/>
      <c r="D1110" s="40"/>
      <c r="E1110" s="34" t="s">
        <v>323</v>
      </c>
      <c r="F1110" s="75" t="s">
        <v>1475</v>
      </c>
      <c r="G1110" s="35" t="s">
        <v>370</v>
      </c>
      <c r="H1110" s="41" t="s">
        <v>371</v>
      </c>
      <c r="I1110" s="44" t="str">
        <f>"0x"&amp;AE_w_WORK!H85</f>
        <v>0x0000</v>
      </c>
      <c r="J1110" s="36">
        <v>41320</v>
      </c>
      <c r="K1110" s="37"/>
      <c r="L1110" s="74">
        <f t="shared" si="19"/>
        <v>2208</v>
      </c>
    </row>
    <row r="1111" spans="2:12" s="74" customFormat="1" hidden="1" outlineLevel="1">
      <c r="B1111" s="73">
        <v>1105</v>
      </c>
      <c r="C1111" s="39"/>
      <c r="D1111" s="40"/>
      <c r="E1111" s="34" t="s">
        <v>323</v>
      </c>
      <c r="F1111" s="75" t="s">
        <v>1476</v>
      </c>
      <c r="G1111" s="35" t="s">
        <v>370</v>
      </c>
      <c r="H1111" s="41" t="s">
        <v>371</v>
      </c>
      <c r="I1111" s="44" t="str">
        <f>"0x"&amp;AE_w_WORK!H86</f>
        <v>0x0000</v>
      </c>
      <c r="J1111" s="36">
        <v>41321</v>
      </c>
      <c r="K1111" s="37"/>
      <c r="L1111" s="74">
        <f t="shared" si="19"/>
        <v>2210</v>
      </c>
    </row>
    <row r="1112" spans="2:12" s="74" customFormat="1" hidden="1" outlineLevel="1">
      <c r="B1112" s="73">
        <v>1106</v>
      </c>
      <c r="C1112" s="39"/>
      <c r="D1112" s="40"/>
      <c r="E1112" s="34" t="s">
        <v>323</v>
      </c>
      <c r="F1112" s="75" t="s">
        <v>1477</v>
      </c>
      <c r="G1112" s="35" t="s">
        <v>370</v>
      </c>
      <c r="H1112" s="41" t="s">
        <v>371</v>
      </c>
      <c r="I1112" s="44" t="str">
        <f>"0x"&amp;AE_w_WORK!H87</f>
        <v>0x0000</v>
      </c>
      <c r="J1112" s="36">
        <v>41322</v>
      </c>
      <c r="K1112" s="37"/>
      <c r="L1112" s="74">
        <f t="shared" si="19"/>
        <v>2212</v>
      </c>
    </row>
    <row r="1113" spans="2:12" s="74" customFormat="1" hidden="1" outlineLevel="1">
      <c r="B1113" s="73">
        <v>1107</v>
      </c>
      <c r="C1113" s="39"/>
      <c r="D1113" s="40"/>
      <c r="E1113" s="34" t="s">
        <v>323</v>
      </c>
      <c r="F1113" s="75" t="s">
        <v>1478</v>
      </c>
      <c r="G1113" s="35" t="s">
        <v>370</v>
      </c>
      <c r="H1113" s="41" t="s">
        <v>371</v>
      </c>
      <c r="I1113" s="44" t="str">
        <f>"0x"&amp;AE_w_WORK!H88</f>
        <v>0x0000</v>
      </c>
      <c r="J1113" s="36">
        <v>41323</v>
      </c>
      <c r="K1113" s="37"/>
      <c r="L1113" s="74">
        <f t="shared" si="19"/>
        <v>2214</v>
      </c>
    </row>
    <row r="1114" spans="2:12" s="74" customFormat="1" hidden="1" outlineLevel="1">
      <c r="B1114" s="73">
        <v>1108</v>
      </c>
      <c r="C1114" s="39"/>
      <c r="D1114" s="40"/>
      <c r="E1114" s="34" t="s">
        <v>323</v>
      </c>
      <c r="F1114" s="75" t="s">
        <v>1479</v>
      </c>
      <c r="G1114" s="35" t="s">
        <v>370</v>
      </c>
      <c r="H1114" s="41" t="s">
        <v>371</v>
      </c>
      <c r="I1114" s="44" t="str">
        <f>"0x"&amp;AE_w_WORK!H89</f>
        <v>0x0000</v>
      </c>
      <c r="J1114" s="36">
        <v>41324</v>
      </c>
      <c r="K1114" s="37"/>
      <c r="L1114" s="74">
        <f t="shared" si="19"/>
        <v>2216</v>
      </c>
    </row>
    <row r="1115" spans="2:12" s="74" customFormat="1" hidden="1" outlineLevel="1">
      <c r="B1115" s="73">
        <v>1109</v>
      </c>
      <c r="C1115" s="39"/>
      <c r="D1115" s="40"/>
      <c r="E1115" s="34" t="s">
        <v>323</v>
      </c>
      <c r="F1115" s="75" t="s">
        <v>1480</v>
      </c>
      <c r="G1115" s="35" t="s">
        <v>370</v>
      </c>
      <c r="H1115" s="41" t="s">
        <v>371</v>
      </c>
      <c r="I1115" s="44" t="str">
        <f>"0x"&amp;AE_w_WORK!H90</f>
        <v>0x0000</v>
      </c>
      <c r="J1115" s="36">
        <v>41325</v>
      </c>
      <c r="K1115" s="37"/>
      <c r="L1115" s="74">
        <f t="shared" si="19"/>
        <v>2218</v>
      </c>
    </row>
    <row r="1116" spans="2:12" s="74" customFormat="1" hidden="1" outlineLevel="1">
      <c r="B1116" s="73">
        <v>1110</v>
      </c>
      <c r="C1116" s="39"/>
      <c r="D1116" s="40"/>
      <c r="E1116" s="34" t="s">
        <v>323</v>
      </c>
      <c r="F1116" s="75" t="s">
        <v>1481</v>
      </c>
      <c r="G1116" s="35" t="s">
        <v>370</v>
      </c>
      <c r="H1116" s="41" t="s">
        <v>371</v>
      </c>
      <c r="I1116" s="44" t="str">
        <f>"0x"&amp;AE_w_WORK!H91</f>
        <v>0x0000</v>
      </c>
      <c r="J1116" s="36">
        <v>41326</v>
      </c>
      <c r="K1116" s="37"/>
      <c r="L1116" s="74">
        <f t="shared" si="19"/>
        <v>2220</v>
      </c>
    </row>
    <row r="1117" spans="2:12" s="74" customFormat="1" hidden="1" outlineLevel="1">
      <c r="B1117" s="73">
        <v>1111</v>
      </c>
      <c r="C1117" s="39"/>
      <c r="D1117" s="40"/>
      <c r="E1117" s="34" t="s">
        <v>323</v>
      </c>
      <c r="F1117" s="75" t="s">
        <v>1482</v>
      </c>
      <c r="G1117" s="35" t="s">
        <v>370</v>
      </c>
      <c r="H1117" s="41" t="s">
        <v>371</v>
      </c>
      <c r="I1117" s="44" t="str">
        <f>"0x"&amp;AE_w_WORK!H92</f>
        <v>0x0000</v>
      </c>
      <c r="J1117" s="36">
        <v>41327</v>
      </c>
      <c r="K1117" s="37"/>
      <c r="L1117" s="74">
        <f t="shared" si="19"/>
        <v>2222</v>
      </c>
    </row>
    <row r="1118" spans="2:12" s="74" customFormat="1" hidden="1" outlineLevel="1">
      <c r="B1118" s="73">
        <v>1112</v>
      </c>
      <c r="C1118" s="39"/>
      <c r="D1118" s="40"/>
      <c r="E1118" s="34" t="s">
        <v>323</v>
      </c>
      <c r="F1118" s="75" t="s">
        <v>1483</v>
      </c>
      <c r="G1118" s="35" t="s">
        <v>370</v>
      </c>
      <c r="H1118" s="41" t="s">
        <v>371</v>
      </c>
      <c r="I1118" s="44" t="str">
        <f>"0x"&amp;AE_w_WORK!H93</f>
        <v>0x0000</v>
      </c>
      <c r="J1118" s="36">
        <v>41328</v>
      </c>
      <c r="K1118" s="37"/>
      <c r="L1118" s="74">
        <f t="shared" si="19"/>
        <v>2224</v>
      </c>
    </row>
    <row r="1119" spans="2:12" s="74" customFormat="1" hidden="1" outlineLevel="1">
      <c r="B1119" s="73">
        <v>1113</v>
      </c>
      <c r="C1119" s="39"/>
      <c r="D1119" s="40"/>
      <c r="E1119" s="34" t="s">
        <v>323</v>
      </c>
      <c r="F1119" s="75" t="s">
        <v>1484</v>
      </c>
      <c r="G1119" s="35" t="s">
        <v>370</v>
      </c>
      <c r="H1119" s="41" t="s">
        <v>371</v>
      </c>
      <c r="I1119" s="44" t="str">
        <f>"0x"&amp;AE_w_WORK!H94</f>
        <v>0x0000</v>
      </c>
      <c r="J1119" s="36">
        <v>41329</v>
      </c>
      <c r="K1119" s="37"/>
      <c r="L1119" s="74">
        <f t="shared" si="19"/>
        <v>2226</v>
      </c>
    </row>
    <row r="1120" spans="2:12" s="74" customFormat="1" hidden="1" outlineLevel="1">
      <c r="B1120" s="73">
        <v>1114</v>
      </c>
      <c r="C1120" s="39"/>
      <c r="D1120" s="40"/>
      <c r="E1120" s="34" t="s">
        <v>323</v>
      </c>
      <c r="F1120" s="75" t="s">
        <v>1485</v>
      </c>
      <c r="G1120" s="35" t="s">
        <v>370</v>
      </c>
      <c r="H1120" s="41" t="s">
        <v>371</v>
      </c>
      <c r="I1120" s="44" t="str">
        <f>"0x"&amp;AE_w_WORK!H95</f>
        <v>0x0000</v>
      </c>
      <c r="J1120" s="36">
        <v>41330</v>
      </c>
      <c r="K1120" s="37"/>
      <c r="L1120" s="74">
        <f t="shared" si="19"/>
        <v>2228</v>
      </c>
    </row>
    <row r="1121" spans="2:12" s="74" customFormat="1" hidden="1" outlineLevel="1">
      <c r="B1121" s="73">
        <v>1115</v>
      </c>
      <c r="C1121" s="39"/>
      <c r="D1121" s="40"/>
      <c r="E1121" s="34" t="s">
        <v>323</v>
      </c>
      <c r="F1121" s="75" t="s">
        <v>1486</v>
      </c>
      <c r="G1121" s="35" t="s">
        <v>370</v>
      </c>
      <c r="H1121" s="41" t="s">
        <v>371</v>
      </c>
      <c r="I1121" s="44" t="str">
        <f>"0x"&amp;AE_w_WORK!H96</f>
        <v>0x0000</v>
      </c>
      <c r="J1121" s="36">
        <v>41331</v>
      </c>
      <c r="K1121" s="37"/>
      <c r="L1121" s="74">
        <f t="shared" si="19"/>
        <v>2230</v>
      </c>
    </row>
    <row r="1122" spans="2:12" s="74" customFormat="1" hidden="1" outlineLevel="1">
      <c r="B1122" s="73">
        <v>1116</v>
      </c>
      <c r="C1122" s="39"/>
      <c r="D1122" s="40"/>
      <c r="E1122" s="34" t="s">
        <v>323</v>
      </c>
      <c r="F1122" s="75" t="s">
        <v>1487</v>
      </c>
      <c r="G1122" s="35" t="s">
        <v>370</v>
      </c>
      <c r="H1122" s="41" t="s">
        <v>371</v>
      </c>
      <c r="I1122" s="44" t="str">
        <f>"0x"&amp;AE_w_WORK!H97</f>
        <v>0x0000</v>
      </c>
      <c r="J1122" s="36">
        <v>41332</v>
      </c>
      <c r="K1122" s="37"/>
      <c r="L1122" s="74">
        <f t="shared" si="19"/>
        <v>2232</v>
      </c>
    </row>
    <row r="1123" spans="2:12" s="74" customFormat="1" hidden="1" outlineLevel="1">
      <c r="B1123" s="73">
        <v>1117</v>
      </c>
      <c r="C1123" s="39"/>
      <c r="D1123" s="40"/>
      <c r="E1123" s="34" t="s">
        <v>323</v>
      </c>
      <c r="F1123" s="75" t="s">
        <v>1488</v>
      </c>
      <c r="G1123" s="35" t="s">
        <v>370</v>
      </c>
      <c r="H1123" s="41" t="s">
        <v>371</v>
      </c>
      <c r="I1123" s="44" t="str">
        <f>"0x"&amp;AE_w_WORK!H98</f>
        <v>0x0000</v>
      </c>
      <c r="J1123" s="36">
        <v>41333</v>
      </c>
      <c r="K1123" s="37"/>
      <c r="L1123" s="74">
        <f t="shared" si="19"/>
        <v>2234</v>
      </c>
    </row>
    <row r="1124" spans="2:12" s="74" customFormat="1" hidden="1" outlineLevel="1">
      <c r="B1124" s="73">
        <v>1118</v>
      </c>
      <c r="C1124" s="39"/>
      <c r="D1124" s="40"/>
      <c r="E1124" s="34" t="s">
        <v>323</v>
      </c>
      <c r="F1124" s="75" t="s">
        <v>1489</v>
      </c>
      <c r="G1124" s="35" t="s">
        <v>370</v>
      </c>
      <c r="H1124" s="41" t="s">
        <v>371</v>
      </c>
      <c r="I1124" s="44" t="str">
        <f>"0x"&amp;AE_w_WORK!H99</f>
        <v>0x0000</v>
      </c>
      <c r="J1124" s="36">
        <v>41334</v>
      </c>
      <c r="K1124" s="37"/>
      <c r="L1124" s="74">
        <f t="shared" si="19"/>
        <v>2236</v>
      </c>
    </row>
    <row r="1125" spans="2:12" s="74" customFormat="1" hidden="1" outlineLevel="1">
      <c r="B1125" s="73">
        <v>1119</v>
      </c>
      <c r="C1125" s="39"/>
      <c r="D1125" s="40"/>
      <c r="E1125" s="34" t="s">
        <v>323</v>
      </c>
      <c r="F1125" s="75" t="s">
        <v>1490</v>
      </c>
      <c r="G1125" s="35" t="s">
        <v>370</v>
      </c>
      <c r="H1125" s="41" t="s">
        <v>371</v>
      </c>
      <c r="I1125" s="44" t="str">
        <f>"0x"&amp;AE_w_WORK!H100</f>
        <v>0x0000</v>
      </c>
      <c r="J1125" s="36">
        <v>41335</v>
      </c>
      <c r="K1125" s="37"/>
      <c r="L1125" s="74">
        <f t="shared" si="19"/>
        <v>2238</v>
      </c>
    </row>
    <row r="1126" spans="2:12" s="74" customFormat="1" hidden="1" outlineLevel="1">
      <c r="B1126" s="73">
        <v>1120</v>
      </c>
      <c r="C1126" s="39"/>
      <c r="D1126" s="40"/>
      <c r="E1126" s="34" t="s">
        <v>323</v>
      </c>
      <c r="F1126" s="75" t="s">
        <v>1491</v>
      </c>
      <c r="G1126" s="35" t="s">
        <v>370</v>
      </c>
      <c r="H1126" s="41" t="s">
        <v>371</v>
      </c>
      <c r="I1126" s="44" t="str">
        <f>"0x"&amp;AE_w_WORK!H101</f>
        <v>0x0000</v>
      </c>
      <c r="J1126" s="36">
        <v>41336</v>
      </c>
      <c r="K1126" s="37"/>
      <c r="L1126" s="74">
        <f t="shared" si="19"/>
        <v>2240</v>
      </c>
    </row>
    <row r="1127" spans="2:12" s="74" customFormat="1" hidden="1" outlineLevel="1">
      <c r="B1127" s="73">
        <v>1121</v>
      </c>
      <c r="C1127" s="39"/>
      <c r="D1127" s="40"/>
      <c r="E1127" s="34" t="s">
        <v>323</v>
      </c>
      <c r="F1127" s="75" t="s">
        <v>1492</v>
      </c>
      <c r="G1127" s="35" t="s">
        <v>370</v>
      </c>
      <c r="H1127" s="41" t="s">
        <v>371</v>
      </c>
      <c r="I1127" s="44" t="str">
        <f>"0x"&amp;AE_w_WORK!H102</f>
        <v>0x0000</v>
      </c>
      <c r="J1127" s="36">
        <v>41337</v>
      </c>
      <c r="K1127" s="37"/>
      <c r="L1127" s="74">
        <f t="shared" si="19"/>
        <v>2242</v>
      </c>
    </row>
    <row r="1128" spans="2:12" s="74" customFormat="1" hidden="1" outlineLevel="1">
      <c r="B1128" s="73">
        <v>1122</v>
      </c>
      <c r="C1128" s="39"/>
      <c r="D1128" s="40"/>
      <c r="E1128" s="34" t="s">
        <v>323</v>
      </c>
      <c r="F1128" s="75" t="s">
        <v>1493</v>
      </c>
      <c r="G1128" s="35" t="s">
        <v>370</v>
      </c>
      <c r="H1128" s="41" t="s">
        <v>371</v>
      </c>
      <c r="I1128" s="44" t="str">
        <f>"0x"&amp;AE_w_WORK!H103</f>
        <v>0x0000</v>
      </c>
      <c r="J1128" s="36">
        <v>41338</v>
      </c>
      <c r="K1128" s="37"/>
      <c r="L1128" s="74">
        <f t="shared" si="19"/>
        <v>2244</v>
      </c>
    </row>
    <row r="1129" spans="2:12" s="74" customFormat="1" hidden="1" outlineLevel="1">
      <c r="B1129" s="73">
        <v>1123</v>
      </c>
      <c r="C1129" s="39"/>
      <c r="D1129" s="40"/>
      <c r="E1129" s="34" t="s">
        <v>323</v>
      </c>
      <c r="F1129" s="75" t="s">
        <v>1494</v>
      </c>
      <c r="G1129" s="35" t="s">
        <v>370</v>
      </c>
      <c r="H1129" s="41" t="s">
        <v>371</v>
      </c>
      <c r="I1129" s="44" t="str">
        <f>"0x"&amp;AE_w_WORK!H104</f>
        <v>0x0000</v>
      </c>
      <c r="J1129" s="36">
        <v>41339</v>
      </c>
      <c r="K1129" s="37"/>
      <c r="L1129" s="74">
        <f t="shared" si="19"/>
        <v>2246</v>
      </c>
    </row>
    <row r="1130" spans="2:12" s="74" customFormat="1" hidden="1" outlineLevel="1">
      <c r="B1130" s="73">
        <v>1124</v>
      </c>
      <c r="C1130" s="39"/>
      <c r="D1130" s="40"/>
      <c r="E1130" s="34" t="s">
        <v>323</v>
      </c>
      <c r="F1130" s="75" t="s">
        <v>1495</v>
      </c>
      <c r="G1130" s="35" t="s">
        <v>370</v>
      </c>
      <c r="H1130" s="41" t="s">
        <v>371</v>
      </c>
      <c r="I1130" s="44" t="str">
        <f>"0x"&amp;AE_w_WORK!H105</f>
        <v>0x0000</v>
      </c>
      <c r="J1130" s="36">
        <v>41340</v>
      </c>
      <c r="K1130" s="37"/>
      <c r="L1130" s="74">
        <f t="shared" si="19"/>
        <v>2248</v>
      </c>
    </row>
    <row r="1131" spans="2:12" s="74" customFormat="1" hidden="1" outlineLevel="1">
      <c r="B1131" s="73">
        <v>1125</v>
      </c>
      <c r="C1131" s="39"/>
      <c r="D1131" s="40"/>
      <c r="E1131" s="34" t="s">
        <v>323</v>
      </c>
      <c r="F1131" s="75" t="s">
        <v>1496</v>
      </c>
      <c r="G1131" s="35" t="s">
        <v>370</v>
      </c>
      <c r="H1131" s="41" t="s">
        <v>371</v>
      </c>
      <c r="I1131" s="44" t="str">
        <f>"0x"&amp;AE_w_WORK!H106</f>
        <v>0x0000</v>
      </c>
      <c r="J1131" s="36">
        <v>41341</v>
      </c>
      <c r="K1131" s="37"/>
      <c r="L1131" s="74">
        <f t="shared" si="19"/>
        <v>2250</v>
      </c>
    </row>
    <row r="1132" spans="2:12" s="74" customFormat="1" hidden="1" outlineLevel="1">
      <c r="B1132" s="73">
        <v>1126</v>
      </c>
      <c r="C1132" s="39"/>
      <c r="D1132" s="40"/>
      <c r="E1132" s="34" t="s">
        <v>323</v>
      </c>
      <c r="F1132" s="75" t="s">
        <v>1497</v>
      </c>
      <c r="G1132" s="35" t="s">
        <v>370</v>
      </c>
      <c r="H1132" s="41" t="s">
        <v>371</v>
      </c>
      <c r="I1132" s="44" t="str">
        <f>"0x"&amp;AE_w_WORK!H107</f>
        <v>0x0000</v>
      </c>
      <c r="J1132" s="36">
        <v>41342</v>
      </c>
      <c r="K1132" s="37"/>
      <c r="L1132" s="74">
        <f t="shared" si="19"/>
        <v>2252</v>
      </c>
    </row>
    <row r="1133" spans="2:12" s="74" customFormat="1" hidden="1" outlineLevel="1">
      <c r="B1133" s="73">
        <v>1127</v>
      </c>
      <c r="C1133" s="39"/>
      <c r="D1133" s="40"/>
      <c r="E1133" s="34" t="s">
        <v>323</v>
      </c>
      <c r="F1133" s="75" t="s">
        <v>1498</v>
      </c>
      <c r="G1133" s="35" t="s">
        <v>370</v>
      </c>
      <c r="H1133" s="41" t="s">
        <v>371</v>
      </c>
      <c r="I1133" s="44" t="str">
        <f>"0x"&amp;AE_w_WORK!H108</f>
        <v>0x0000</v>
      </c>
      <c r="J1133" s="36">
        <v>41343</v>
      </c>
      <c r="K1133" s="37"/>
      <c r="L1133" s="74">
        <f t="shared" si="19"/>
        <v>2254</v>
      </c>
    </row>
    <row r="1134" spans="2:12" s="74" customFormat="1" hidden="1" outlineLevel="1">
      <c r="B1134" s="73">
        <v>1128</v>
      </c>
      <c r="C1134" s="39"/>
      <c r="D1134" s="40"/>
      <c r="E1134" s="34" t="s">
        <v>323</v>
      </c>
      <c r="F1134" s="75" t="s">
        <v>1499</v>
      </c>
      <c r="G1134" s="35" t="s">
        <v>370</v>
      </c>
      <c r="H1134" s="41" t="s">
        <v>371</v>
      </c>
      <c r="I1134" s="44" t="str">
        <f>"0x"&amp;AE_w_WORK!H109</f>
        <v>0x0000</v>
      </c>
      <c r="J1134" s="36">
        <v>41344</v>
      </c>
      <c r="K1134" s="37"/>
      <c r="L1134" s="74">
        <f t="shared" si="19"/>
        <v>2256</v>
      </c>
    </row>
    <row r="1135" spans="2:12" s="74" customFormat="1" hidden="1" outlineLevel="1">
      <c r="B1135" s="73">
        <v>1129</v>
      </c>
      <c r="C1135" s="39"/>
      <c r="D1135" s="40"/>
      <c r="E1135" s="34" t="s">
        <v>323</v>
      </c>
      <c r="F1135" s="75" t="s">
        <v>1500</v>
      </c>
      <c r="G1135" s="35" t="s">
        <v>370</v>
      </c>
      <c r="H1135" s="41" t="s">
        <v>371</v>
      </c>
      <c r="I1135" s="44" t="str">
        <f>"0x"&amp;AE_w_WORK!H110</f>
        <v>0x0000</v>
      </c>
      <c r="J1135" s="36">
        <v>41345</v>
      </c>
      <c r="K1135" s="37"/>
      <c r="L1135" s="74">
        <f t="shared" si="19"/>
        <v>2258</v>
      </c>
    </row>
    <row r="1136" spans="2:12" s="74" customFormat="1" hidden="1" outlineLevel="1">
      <c r="B1136" s="73">
        <v>1130</v>
      </c>
      <c r="C1136" s="39"/>
      <c r="D1136" s="40"/>
      <c r="E1136" s="34" t="s">
        <v>323</v>
      </c>
      <c r="F1136" s="75" t="s">
        <v>1501</v>
      </c>
      <c r="G1136" s="35" t="s">
        <v>370</v>
      </c>
      <c r="H1136" s="41" t="s">
        <v>371</v>
      </c>
      <c r="I1136" s="44" t="str">
        <f>"0x"&amp;AE_w_WORK!H111</f>
        <v>0x0000</v>
      </c>
      <c r="J1136" s="36">
        <v>41346</v>
      </c>
      <c r="K1136" s="37"/>
      <c r="L1136" s="74">
        <f t="shared" si="19"/>
        <v>2260</v>
      </c>
    </row>
    <row r="1137" spans="2:12" s="74" customFormat="1" hidden="1" outlineLevel="1">
      <c r="B1137" s="73">
        <v>1131</v>
      </c>
      <c r="C1137" s="39"/>
      <c r="D1137" s="40"/>
      <c r="E1137" s="34" t="s">
        <v>323</v>
      </c>
      <c r="F1137" s="75" t="s">
        <v>1502</v>
      </c>
      <c r="G1137" s="35" t="s">
        <v>370</v>
      </c>
      <c r="H1137" s="41" t="s">
        <v>371</v>
      </c>
      <c r="I1137" s="44" t="str">
        <f>"0x"&amp;AE_w_WORK!H112</f>
        <v>0x0000</v>
      </c>
      <c r="J1137" s="36">
        <v>41347</v>
      </c>
      <c r="K1137" s="37"/>
      <c r="L1137" s="74">
        <f t="shared" si="19"/>
        <v>2262</v>
      </c>
    </row>
    <row r="1138" spans="2:12" s="74" customFormat="1" hidden="1" outlineLevel="1">
      <c r="B1138" s="73">
        <v>1132</v>
      </c>
      <c r="C1138" s="39"/>
      <c r="D1138" s="40"/>
      <c r="E1138" s="34" t="s">
        <v>323</v>
      </c>
      <c r="F1138" s="75" t="s">
        <v>1503</v>
      </c>
      <c r="G1138" s="35" t="s">
        <v>370</v>
      </c>
      <c r="H1138" s="41" t="s">
        <v>371</v>
      </c>
      <c r="I1138" s="44" t="str">
        <f>"0x"&amp;AE_w_WORK!H113</f>
        <v>0x0000</v>
      </c>
      <c r="J1138" s="36">
        <v>41348</v>
      </c>
      <c r="K1138" s="37"/>
      <c r="L1138" s="74">
        <f t="shared" si="19"/>
        <v>2264</v>
      </c>
    </row>
    <row r="1139" spans="2:12" s="74" customFormat="1" hidden="1" outlineLevel="1">
      <c r="B1139" s="73">
        <v>1133</v>
      </c>
      <c r="C1139" s="39"/>
      <c r="D1139" s="40"/>
      <c r="E1139" s="34" t="s">
        <v>323</v>
      </c>
      <c r="F1139" s="75" t="s">
        <v>1504</v>
      </c>
      <c r="G1139" s="35" t="s">
        <v>370</v>
      </c>
      <c r="H1139" s="41" t="s">
        <v>371</v>
      </c>
      <c r="I1139" s="44" t="str">
        <f>"0x"&amp;AE_w_WORK!H114</f>
        <v>0x0000</v>
      </c>
      <c r="J1139" s="36">
        <v>41349</v>
      </c>
      <c r="K1139" s="37"/>
      <c r="L1139" s="74">
        <f t="shared" si="19"/>
        <v>2266</v>
      </c>
    </row>
    <row r="1140" spans="2:12" s="74" customFormat="1" hidden="1" outlineLevel="1">
      <c r="B1140" s="73">
        <v>1134</v>
      </c>
      <c r="C1140" s="39"/>
      <c r="D1140" s="40"/>
      <c r="E1140" s="34" t="s">
        <v>323</v>
      </c>
      <c r="F1140" s="75" t="s">
        <v>1505</v>
      </c>
      <c r="G1140" s="35" t="s">
        <v>370</v>
      </c>
      <c r="H1140" s="41" t="s">
        <v>371</v>
      </c>
      <c r="I1140" s="44" t="str">
        <f>"0x"&amp;AE_w_WORK!H115</f>
        <v>0x0000</v>
      </c>
      <c r="J1140" s="36">
        <v>41350</v>
      </c>
      <c r="K1140" s="37"/>
      <c r="L1140" s="74">
        <f t="shared" si="19"/>
        <v>2268</v>
      </c>
    </row>
    <row r="1141" spans="2:12" s="74" customFormat="1" hidden="1" outlineLevel="1">
      <c r="B1141" s="73">
        <v>1135</v>
      </c>
      <c r="C1141" s="39"/>
      <c r="D1141" s="40"/>
      <c r="E1141" s="34" t="s">
        <v>323</v>
      </c>
      <c r="F1141" s="75" t="s">
        <v>1506</v>
      </c>
      <c r="G1141" s="35" t="s">
        <v>370</v>
      </c>
      <c r="H1141" s="41" t="s">
        <v>371</v>
      </c>
      <c r="I1141" s="44" t="str">
        <f>"0x"&amp;AE_w_WORK!H116</f>
        <v>0x0000</v>
      </c>
      <c r="J1141" s="36">
        <v>41351</v>
      </c>
      <c r="K1141" s="37"/>
      <c r="L1141" s="74">
        <f t="shared" si="19"/>
        <v>2270</v>
      </c>
    </row>
    <row r="1142" spans="2:12" s="74" customFormat="1" hidden="1" outlineLevel="1">
      <c r="B1142" s="73">
        <v>1136</v>
      </c>
      <c r="C1142" s="39"/>
      <c r="D1142" s="40"/>
      <c r="E1142" s="34" t="s">
        <v>323</v>
      </c>
      <c r="F1142" s="75" t="s">
        <v>1507</v>
      </c>
      <c r="G1142" s="35" t="s">
        <v>370</v>
      </c>
      <c r="H1142" s="41" t="s">
        <v>371</v>
      </c>
      <c r="I1142" s="44" t="str">
        <f>"0x"&amp;AE_w_WORK!H117</f>
        <v>0x0000</v>
      </c>
      <c r="J1142" s="36">
        <v>41352</v>
      </c>
      <c r="K1142" s="37"/>
      <c r="L1142" s="74">
        <f t="shared" si="19"/>
        <v>2272</v>
      </c>
    </row>
    <row r="1143" spans="2:12" s="74" customFormat="1" hidden="1" outlineLevel="1">
      <c r="B1143" s="73">
        <v>1137</v>
      </c>
      <c r="C1143" s="39"/>
      <c r="D1143" s="40"/>
      <c r="E1143" s="34" t="s">
        <v>323</v>
      </c>
      <c r="F1143" s="75" t="s">
        <v>1508</v>
      </c>
      <c r="G1143" s="35" t="s">
        <v>370</v>
      </c>
      <c r="H1143" s="41" t="s">
        <v>371</v>
      </c>
      <c r="I1143" s="44" t="str">
        <f>"0x"&amp;AE_w_WORK!H118</f>
        <v>0x0000</v>
      </c>
      <c r="J1143" s="36">
        <v>41353</v>
      </c>
      <c r="K1143" s="37"/>
      <c r="L1143" s="74">
        <f t="shared" si="19"/>
        <v>2274</v>
      </c>
    </row>
    <row r="1144" spans="2:12" s="74" customFormat="1" hidden="1" outlineLevel="1">
      <c r="B1144" s="73">
        <v>1138</v>
      </c>
      <c r="C1144" s="39"/>
      <c r="D1144" s="40"/>
      <c r="E1144" s="34" t="s">
        <v>323</v>
      </c>
      <c r="F1144" s="75" t="s">
        <v>1509</v>
      </c>
      <c r="G1144" s="35" t="s">
        <v>370</v>
      </c>
      <c r="H1144" s="41" t="s">
        <v>371</v>
      </c>
      <c r="I1144" s="44" t="str">
        <f>"0x"&amp;AE_w_WORK!H119</f>
        <v>0x0000</v>
      </c>
      <c r="J1144" s="36">
        <v>41354</v>
      </c>
      <c r="K1144" s="37"/>
      <c r="L1144" s="74">
        <f t="shared" si="19"/>
        <v>2276</v>
      </c>
    </row>
    <row r="1145" spans="2:12" s="74" customFormat="1" hidden="1" outlineLevel="1">
      <c r="B1145" s="73">
        <v>1139</v>
      </c>
      <c r="C1145" s="39"/>
      <c r="D1145" s="40"/>
      <c r="E1145" s="34" t="s">
        <v>323</v>
      </c>
      <c r="F1145" s="75" t="s">
        <v>1510</v>
      </c>
      <c r="G1145" s="35" t="s">
        <v>370</v>
      </c>
      <c r="H1145" s="41" t="s">
        <v>371</v>
      </c>
      <c r="I1145" s="44" t="str">
        <f>"0x"&amp;AE_w_WORK!H120</f>
        <v>0x0000</v>
      </c>
      <c r="J1145" s="36">
        <v>41355</v>
      </c>
      <c r="K1145" s="37"/>
      <c r="L1145" s="74">
        <f t="shared" si="19"/>
        <v>2278</v>
      </c>
    </row>
    <row r="1146" spans="2:12" s="74" customFormat="1" hidden="1" outlineLevel="1">
      <c r="B1146" s="73">
        <v>1140</v>
      </c>
      <c r="C1146" s="39"/>
      <c r="D1146" s="40"/>
      <c r="E1146" s="34" t="s">
        <v>323</v>
      </c>
      <c r="F1146" s="75" t="s">
        <v>1511</v>
      </c>
      <c r="G1146" s="35" t="s">
        <v>370</v>
      </c>
      <c r="H1146" s="41" t="s">
        <v>371</v>
      </c>
      <c r="I1146" s="44" t="str">
        <f>"0x"&amp;AE_w_WORK!H121</f>
        <v>0x00FF</v>
      </c>
      <c r="J1146" s="36">
        <v>41356</v>
      </c>
      <c r="K1146" s="37"/>
      <c r="L1146" s="74">
        <f t="shared" si="19"/>
        <v>2280</v>
      </c>
    </row>
    <row r="1147" spans="2:12" s="74" customFormat="1" hidden="1" outlineLevel="1">
      <c r="B1147" s="73">
        <v>1141</v>
      </c>
      <c r="C1147" s="39"/>
      <c r="D1147" s="40"/>
      <c r="E1147" s="34" t="s">
        <v>323</v>
      </c>
      <c r="F1147" s="75" t="s">
        <v>1512</v>
      </c>
      <c r="G1147" s="35" t="s">
        <v>370</v>
      </c>
      <c r="H1147" s="41" t="s">
        <v>371</v>
      </c>
      <c r="I1147" s="44" t="str">
        <f>"0x"&amp;AE_w_WORK!H122</f>
        <v>0xFF00</v>
      </c>
      <c r="J1147" s="36">
        <v>41357</v>
      </c>
      <c r="K1147" s="37"/>
      <c r="L1147" s="74">
        <f t="shared" si="19"/>
        <v>2282</v>
      </c>
    </row>
    <row r="1148" spans="2:12" s="74" customFormat="1" hidden="1" outlineLevel="1">
      <c r="B1148" s="73">
        <v>1142</v>
      </c>
      <c r="C1148" s="39"/>
      <c r="D1148" s="40"/>
      <c r="E1148" s="34" t="s">
        <v>323</v>
      </c>
      <c r="F1148" s="75" t="s">
        <v>1513</v>
      </c>
      <c r="G1148" s="35" t="s">
        <v>370</v>
      </c>
      <c r="H1148" s="41" t="s">
        <v>371</v>
      </c>
      <c r="I1148" s="44" t="str">
        <f>"0x"&amp;AE_w_WORK!H123</f>
        <v>0x0000</v>
      </c>
      <c r="J1148" s="36">
        <v>41358</v>
      </c>
      <c r="K1148" s="37"/>
      <c r="L1148" s="74">
        <f t="shared" si="19"/>
        <v>2284</v>
      </c>
    </row>
    <row r="1149" spans="2:12" s="74" customFormat="1" hidden="1" outlineLevel="1">
      <c r="B1149" s="73">
        <v>1143</v>
      </c>
      <c r="C1149" s="39"/>
      <c r="D1149" s="40"/>
      <c r="E1149" s="34" t="s">
        <v>323</v>
      </c>
      <c r="F1149" s="75" t="s">
        <v>1514</v>
      </c>
      <c r="G1149" s="35" t="s">
        <v>370</v>
      </c>
      <c r="H1149" s="41" t="s">
        <v>371</v>
      </c>
      <c r="I1149" s="44" t="str">
        <f>"0x"&amp;AE_w_WORK!H124</f>
        <v>0x0000</v>
      </c>
      <c r="J1149" s="36">
        <v>41359</v>
      </c>
      <c r="K1149" s="37"/>
      <c r="L1149" s="74">
        <f t="shared" si="19"/>
        <v>2286</v>
      </c>
    </row>
    <row r="1150" spans="2:12" s="74" customFormat="1" hidden="1" outlineLevel="1">
      <c r="B1150" s="73">
        <v>1144</v>
      </c>
      <c r="C1150" s="39"/>
      <c r="D1150" s="40"/>
      <c r="E1150" s="34" t="s">
        <v>323</v>
      </c>
      <c r="F1150" s="75" t="s">
        <v>1515</v>
      </c>
      <c r="G1150" s="35" t="s">
        <v>370</v>
      </c>
      <c r="H1150" s="41" t="s">
        <v>371</v>
      </c>
      <c r="I1150" s="44" t="str">
        <f>"0x"&amp;AE_w_WORK!H125</f>
        <v>0x0000</v>
      </c>
      <c r="J1150" s="36">
        <v>41360</v>
      </c>
      <c r="K1150" s="37"/>
      <c r="L1150" s="74">
        <f t="shared" si="19"/>
        <v>2288</v>
      </c>
    </row>
    <row r="1151" spans="2:12" s="74" customFormat="1" hidden="1" outlineLevel="1">
      <c r="B1151" s="73">
        <v>1145</v>
      </c>
      <c r="C1151" s="39"/>
      <c r="D1151" s="40"/>
      <c r="E1151" s="34" t="s">
        <v>323</v>
      </c>
      <c r="F1151" s="75" t="s">
        <v>1516</v>
      </c>
      <c r="G1151" s="35" t="s">
        <v>370</v>
      </c>
      <c r="H1151" s="41" t="s">
        <v>371</v>
      </c>
      <c r="I1151" s="44" t="str">
        <f>"0x"&amp;AE_w_WORK!H126</f>
        <v>0x0000</v>
      </c>
      <c r="J1151" s="36">
        <v>41361</v>
      </c>
      <c r="K1151" s="37"/>
      <c r="L1151" s="74">
        <f t="shared" si="19"/>
        <v>2290</v>
      </c>
    </row>
    <row r="1152" spans="2:12" s="74" customFormat="1" hidden="1" outlineLevel="1">
      <c r="B1152" s="73">
        <v>1146</v>
      </c>
      <c r="C1152" s="39"/>
      <c r="D1152" s="40"/>
      <c r="E1152" s="34" t="s">
        <v>323</v>
      </c>
      <c r="F1152" s="75" t="s">
        <v>1517</v>
      </c>
      <c r="G1152" s="35" t="s">
        <v>370</v>
      </c>
      <c r="H1152" s="41" t="s">
        <v>371</v>
      </c>
      <c r="I1152" s="44" t="str">
        <f>"0x"&amp;AE_w_WORK!H127</f>
        <v>0x0000</v>
      </c>
      <c r="J1152" s="36">
        <v>41362</v>
      </c>
      <c r="K1152" s="37"/>
      <c r="L1152" s="74">
        <f t="shared" si="19"/>
        <v>2292</v>
      </c>
    </row>
    <row r="1153" spans="2:12" s="74" customFormat="1" hidden="1" outlineLevel="1">
      <c r="B1153" s="73">
        <v>1147</v>
      </c>
      <c r="C1153" s="39"/>
      <c r="D1153" s="40"/>
      <c r="E1153" s="34" t="s">
        <v>323</v>
      </c>
      <c r="F1153" s="75" t="s">
        <v>1518</v>
      </c>
      <c r="G1153" s="35" t="s">
        <v>370</v>
      </c>
      <c r="H1153" s="41" t="s">
        <v>371</v>
      </c>
      <c r="I1153" s="44" t="str">
        <f>"0x"&amp;AE_w_WORK!H128</f>
        <v>0x0000</v>
      </c>
      <c r="J1153" s="36">
        <v>41363</v>
      </c>
      <c r="K1153" s="37"/>
      <c r="L1153" s="74">
        <f t="shared" si="19"/>
        <v>2294</v>
      </c>
    </row>
    <row r="1154" spans="2:12" s="74" customFormat="1" hidden="1" outlineLevel="1">
      <c r="B1154" s="73">
        <v>1148</v>
      </c>
      <c r="C1154" s="39"/>
      <c r="D1154" s="40"/>
      <c r="E1154" s="34" t="s">
        <v>323</v>
      </c>
      <c r="F1154" s="75" t="s">
        <v>1519</v>
      </c>
      <c r="G1154" s="35" t="s">
        <v>370</v>
      </c>
      <c r="H1154" s="41" t="s">
        <v>371</v>
      </c>
      <c r="I1154" s="44" t="str">
        <f>"0x"&amp;AE_w_WORK!H129</f>
        <v>0x00FF</v>
      </c>
      <c r="J1154" s="36">
        <v>41364</v>
      </c>
      <c r="K1154" s="37"/>
      <c r="L1154" s="74">
        <f t="shared" si="19"/>
        <v>2296</v>
      </c>
    </row>
    <row r="1155" spans="2:12" s="74" customFormat="1" hidden="1" outlineLevel="1">
      <c r="B1155" s="73">
        <v>1149</v>
      </c>
      <c r="C1155" s="39"/>
      <c r="D1155" s="40"/>
      <c r="E1155" s="34" t="s">
        <v>323</v>
      </c>
      <c r="F1155" s="75" t="s">
        <v>1520</v>
      </c>
      <c r="G1155" s="35" t="s">
        <v>370</v>
      </c>
      <c r="H1155" s="41" t="s">
        <v>371</v>
      </c>
      <c r="I1155" s="44" t="str">
        <f>"0x"&amp;AE_w_WORK!H130</f>
        <v>0xFF00</v>
      </c>
      <c r="J1155" s="36">
        <v>41365</v>
      </c>
      <c r="K1155" s="37"/>
      <c r="L1155" s="74">
        <f t="shared" si="19"/>
        <v>2298</v>
      </c>
    </row>
    <row r="1156" spans="2:12" s="74" customFormat="1" hidden="1" outlineLevel="1">
      <c r="B1156" s="73">
        <v>1150</v>
      </c>
      <c r="C1156" s="39"/>
      <c r="D1156" s="40"/>
      <c r="E1156" s="34" t="s">
        <v>323</v>
      </c>
      <c r="F1156" s="75" t="s">
        <v>1521</v>
      </c>
      <c r="G1156" s="35" t="s">
        <v>370</v>
      </c>
      <c r="H1156" s="41" t="s">
        <v>371</v>
      </c>
      <c r="I1156" s="44" t="str">
        <f>"0x"&amp;AE_w_WORK!H131</f>
        <v>0x0000</v>
      </c>
      <c r="J1156" s="36">
        <v>41366</v>
      </c>
      <c r="K1156" s="37"/>
      <c r="L1156" s="74">
        <f t="shared" si="19"/>
        <v>2300</v>
      </c>
    </row>
    <row r="1157" spans="2:12" s="74" customFormat="1" hidden="1" outlineLevel="1">
      <c r="B1157" s="73">
        <v>1151</v>
      </c>
      <c r="C1157" s="39"/>
      <c r="D1157" s="40"/>
      <c r="E1157" s="34" t="s">
        <v>323</v>
      </c>
      <c r="F1157" s="75" t="s">
        <v>1522</v>
      </c>
      <c r="G1157" s="35" t="s">
        <v>370</v>
      </c>
      <c r="H1157" s="41" t="s">
        <v>371</v>
      </c>
      <c r="I1157" s="44" t="str">
        <f>"0x"&amp;AE_w_WORK!H132</f>
        <v>0x0000</v>
      </c>
      <c r="J1157" s="36">
        <v>41367</v>
      </c>
      <c r="K1157" s="37"/>
      <c r="L1157" s="74">
        <f t="shared" si="19"/>
        <v>2302</v>
      </c>
    </row>
    <row r="1158" spans="2:12" s="74" customFormat="1" hidden="1" outlineLevel="1">
      <c r="B1158" s="73">
        <v>1152</v>
      </c>
      <c r="C1158" s="39"/>
      <c r="D1158" s="40"/>
      <c r="E1158" s="34" t="s">
        <v>323</v>
      </c>
      <c r="F1158" s="75" t="s">
        <v>1523</v>
      </c>
      <c r="G1158" s="35" t="s">
        <v>370</v>
      </c>
      <c r="H1158" s="41" t="s">
        <v>371</v>
      </c>
      <c r="I1158" s="44" t="str">
        <f>"0x"&amp;AE_w_WORK!H133</f>
        <v>0x0000</v>
      </c>
      <c r="J1158" s="36">
        <v>41368</v>
      </c>
      <c r="K1158" s="37"/>
      <c r="L1158" s="74">
        <f t="shared" si="19"/>
        <v>2304</v>
      </c>
    </row>
    <row r="1159" spans="2:12" s="74" customFormat="1" hidden="1" outlineLevel="1" collapsed="1">
      <c r="B1159" s="73">
        <v>1153</v>
      </c>
      <c r="C1159" s="39"/>
      <c r="D1159" s="40"/>
      <c r="E1159" s="34" t="s">
        <v>323</v>
      </c>
      <c r="F1159" s="75" t="s">
        <v>1524</v>
      </c>
      <c r="G1159" s="35" t="s">
        <v>370</v>
      </c>
      <c r="H1159" s="41" t="s">
        <v>371</v>
      </c>
      <c r="I1159" s="44" t="str">
        <f>"0x"&amp;AE_w_WORK!H134</f>
        <v>0x0000</v>
      </c>
      <c r="J1159" s="36">
        <v>41369</v>
      </c>
      <c r="K1159" s="37"/>
      <c r="L1159" s="74">
        <f t="shared" si="19"/>
        <v>2306</v>
      </c>
    </row>
    <row r="1160" spans="2:12" s="74" customFormat="1" hidden="1" outlineLevel="1">
      <c r="B1160" s="73">
        <v>1154</v>
      </c>
      <c r="C1160" s="39"/>
      <c r="D1160" s="40"/>
      <c r="E1160" s="34" t="s">
        <v>323</v>
      </c>
      <c r="F1160" s="75" t="s">
        <v>1525</v>
      </c>
      <c r="G1160" s="35" t="s">
        <v>370</v>
      </c>
      <c r="H1160" s="41" t="s">
        <v>371</v>
      </c>
      <c r="I1160" s="44" t="str">
        <f>"0x"&amp;AE_w_WORK!H135</f>
        <v>0x0000</v>
      </c>
      <c r="J1160" s="36">
        <v>41370</v>
      </c>
      <c r="K1160" s="37"/>
      <c r="L1160" s="74">
        <f t="shared" si="19"/>
        <v>2308</v>
      </c>
    </row>
    <row r="1161" spans="2:12" s="74" customFormat="1" hidden="1" outlineLevel="1">
      <c r="B1161" s="73">
        <v>1155</v>
      </c>
      <c r="C1161" s="39"/>
      <c r="D1161" s="40"/>
      <c r="E1161" s="34" t="s">
        <v>323</v>
      </c>
      <c r="F1161" s="75" t="s">
        <v>1526</v>
      </c>
      <c r="G1161" s="35" t="s">
        <v>370</v>
      </c>
      <c r="H1161" s="41" t="s">
        <v>371</v>
      </c>
      <c r="I1161" s="44" t="str">
        <f>"0x"&amp;AE_w_WORK!H136</f>
        <v>0x0000</v>
      </c>
      <c r="J1161" s="36">
        <v>41371</v>
      </c>
      <c r="K1161" s="37"/>
      <c r="L1161" s="74">
        <f t="shared" ref="L1161:L1224" si="20">L1160+2</f>
        <v>2310</v>
      </c>
    </row>
    <row r="1162" spans="2:12" s="74" customFormat="1" hidden="1" outlineLevel="1">
      <c r="B1162" s="73">
        <v>1156</v>
      </c>
      <c r="C1162" s="39"/>
      <c r="D1162" s="40"/>
      <c r="E1162" s="34" t="s">
        <v>323</v>
      </c>
      <c r="F1162" s="75" t="s">
        <v>1527</v>
      </c>
      <c r="G1162" s="35" t="s">
        <v>370</v>
      </c>
      <c r="H1162" s="41" t="s">
        <v>371</v>
      </c>
      <c r="I1162" s="44" t="str">
        <f>"0x"&amp;AE_w_WORK!H137</f>
        <v>0x00FF</v>
      </c>
      <c r="J1162" s="36">
        <v>41372</v>
      </c>
      <c r="K1162" s="37"/>
      <c r="L1162" s="74">
        <f t="shared" si="20"/>
        <v>2312</v>
      </c>
    </row>
    <row r="1163" spans="2:12" s="74" customFormat="1" hidden="1" outlineLevel="1">
      <c r="B1163" s="73">
        <v>1157</v>
      </c>
      <c r="C1163" s="39"/>
      <c r="D1163" s="40"/>
      <c r="E1163" s="34" t="s">
        <v>323</v>
      </c>
      <c r="F1163" s="75" t="s">
        <v>1528</v>
      </c>
      <c r="G1163" s="35" t="s">
        <v>370</v>
      </c>
      <c r="H1163" s="41" t="s">
        <v>371</v>
      </c>
      <c r="I1163" s="44" t="str">
        <f>"0x"&amp;AE_w_WORK!H138</f>
        <v>0xFF00</v>
      </c>
      <c r="J1163" s="36">
        <v>41373</v>
      </c>
      <c r="K1163" s="37"/>
      <c r="L1163" s="74">
        <f t="shared" si="20"/>
        <v>2314</v>
      </c>
    </row>
    <row r="1164" spans="2:12" s="74" customFormat="1" hidden="1" outlineLevel="1">
      <c r="B1164" s="73">
        <v>1158</v>
      </c>
      <c r="C1164" s="39"/>
      <c r="D1164" s="40"/>
      <c r="E1164" s="34" t="s">
        <v>323</v>
      </c>
      <c r="F1164" s="75" t="s">
        <v>1529</v>
      </c>
      <c r="G1164" s="35" t="s">
        <v>370</v>
      </c>
      <c r="H1164" s="41" t="s">
        <v>371</v>
      </c>
      <c r="I1164" s="44" t="str">
        <f>"0x"&amp;AE_w_WORK!H139</f>
        <v>0x0000</v>
      </c>
      <c r="J1164" s="36">
        <v>41374</v>
      </c>
      <c r="K1164" s="37"/>
      <c r="L1164" s="74">
        <f t="shared" si="20"/>
        <v>2316</v>
      </c>
    </row>
    <row r="1165" spans="2:12" s="74" customFormat="1" hidden="1" outlineLevel="1">
      <c r="B1165" s="73">
        <v>1159</v>
      </c>
      <c r="C1165" s="39"/>
      <c r="D1165" s="40"/>
      <c r="E1165" s="34" t="s">
        <v>323</v>
      </c>
      <c r="F1165" s="75" t="s">
        <v>1530</v>
      </c>
      <c r="G1165" s="35" t="s">
        <v>370</v>
      </c>
      <c r="H1165" s="41" t="s">
        <v>371</v>
      </c>
      <c r="I1165" s="44" t="str">
        <f>"0x"&amp;AE_w_WORK!H140</f>
        <v>0x0000</v>
      </c>
      <c r="J1165" s="36">
        <v>41375</v>
      </c>
      <c r="K1165" s="37"/>
      <c r="L1165" s="74">
        <f t="shared" si="20"/>
        <v>2318</v>
      </c>
    </row>
    <row r="1166" spans="2:12" s="74" customFormat="1" hidden="1" outlineLevel="1">
      <c r="B1166" s="73">
        <v>1160</v>
      </c>
      <c r="C1166" s="39"/>
      <c r="D1166" s="40"/>
      <c r="E1166" s="34" t="s">
        <v>323</v>
      </c>
      <c r="F1166" s="75" t="s">
        <v>1531</v>
      </c>
      <c r="G1166" s="35" t="s">
        <v>370</v>
      </c>
      <c r="H1166" s="41" t="s">
        <v>371</v>
      </c>
      <c r="I1166" s="44" t="str">
        <f>"0x"&amp;AE_w_WORK!H141</f>
        <v>0x0000</v>
      </c>
      <c r="J1166" s="36">
        <v>41376</v>
      </c>
      <c r="K1166" s="37"/>
      <c r="L1166" s="74">
        <f t="shared" si="20"/>
        <v>2320</v>
      </c>
    </row>
    <row r="1167" spans="2:12" s="74" customFormat="1" hidden="1" outlineLevel="1">
      <c r="B1167" s="73">
        <v>1161</v>
      </c>
      <c r="C1167" s="39"/>
      <c r="D1167" s="40"/>
      <c r="E1167" s="34" t="s">
        <v>323</v>
      </c>
      <c r="F1167" s="75" t="s">
        <v>1532</v>
      </c>
      <c r="G1167" s="35" t="s">
        <v>370</v>
      </c>
      <c r="H1167" s="41" t="s">
        <v>371</v>
      </c>
      <c r="I1167" s="44" t="str">
        <f>"0x"&amp;AE_w_WORK!H142</f>
        <v>0x0000</v>
      </c>
      <c r="J1167" s="36">
        <v>41377</v>
      </c>
      <c r="K1167" s="37"/>
      <c r="L1167" s="74">
        <f t="shared" si="20"/>
        <v>2322</v>
      </c>
    </row>
    <row r="1168" spans="2:12" s="74" customFormat="1" hidden="1" outlineLevel="1">
      <c r="B1168" s="73">
        <v>1162</v>
      </c>
      <c r="C1168" s="39"/>
      <c r="D1168" s="40"/>
      <c r="E1168" s="34" t="s">
        <v>323</v>
      </c>
      <c r="F1168" s="75" t="s">
        <v>1533</v>
      </c>
      <c r="G1168" s="35" t="s">
        <v>370</v>
      </c>
      <c r="H1168" s="41" t="s">
        <v>371</v>
      </c>
      <c r="I1168" s="44" t="str">
        <f>"0x"&amp;AE_w_WORK!H143</f>
        <v>0x0000</v>
      </c>
      <c r="J1168" s="36">
        <v>41378</v>
      </c>
      <c r="K1168" s="37"/>
      <c r="L1168" s="74">
        <f t="shared" si="20"/>
        <v>2324</v>
      </c>
    </row>
    <row r="1169" spans="2:12" s="74" customFormat="1" hidden="1" outlineLevel="1">
      <c r="B1169" s="73">
        <v>1163</v>
      </c>
      <c r="C1169" s="39"/>
      <c r="D1169" s="40"/>
      <c r="E1169" s="34" t="s">
        <v>323</v>
      </c>
      <c r="F1169" s="75" t="s">
        <v>1534</v>
      </c>
      <c r="G1169" s="35" t="s">
        <v>370</v>
      </c>
      <c r="H1169" s="41" t="s">
        <v>371</v>
      </c>
      <c r="I1169" s="44" t="str">
        <f>"0x"&amp;AE_w_WORK!H144</f>
        <v>0x0000</v>
      </c>
      <c r="J1169" s="36">
        <v>41379</v>
      </c>
      <c r="K1169" s="37"/>
      <c r="L1169" s="74">
        <f t="shared" si="20"/>
        <v>2326</v>
      </c>
    </row>
    <row r="1170" spans="2:12" s="74" customFormat="1" hidden="1" outlineLevel="1">
      <c r="B1170" s="73">
        <v>1164</v>
      </c>
      <c r="C1170" s="39"/>
      <c r="D1170" s="40"/>
      <c r="E1170" s="34" t="s">
        <v>323</v>
      </c>
      <c r="F1170" s="75" t="s">
        <v>1535</v>
      </c>
      <c r="G1170" s="35" t="s">
        <v>370</v>
      </c>
      <c r="H1170" s="41" t="s">
        <v>371</v>
      </c>
      <c r="I1170" s="44" t="str">
        <f>"0x"&amp;AE_w_WORK!H145</f>
        <v>0x00FF</v>
      </c>
      <c r="J1170" s="36">
        <v>41380</v>
      </c>
      <c r="K1170" s="37"/>
      <c r="L1170" s="74">
        <f t="shared" si="20"/>
        <v>2328</v>
      </c>
    </row>
    <row r="1171" spans="2:12" s="74" customFormat="1" hidden="1" outlineLevel="1">
      <c r="B1171" s="73">
        <v>1165</v>
      </c>
      <c r="C1171" s="39"/>
      <c r="D1171" s="40"/>
      <c r="E1171" s="34" t="s">
        <v>323</v>
      </c>
      <c r="F1171" s="75" t="s">
        <v>1536</v>
      </c>
      <c r="G1171" s="35" t="s">
        <v>370</v>
      </c>
      <c r="H1171" s="41" t="s">
        <v>371</v>
      </c>
      <c r="I1171" s="44" t="str">
        <f>"0x"&amp;AE_w_WORK!H146</f>
        <v>0xFF00</v>
      </c>
      <c r="J1171" s="36">
        <v>41381</v>
      </c>
      <c r="K1171" s="37"/>
      <c r="L1171" s="74">
        <f t="shared" si="20"/>
        <v>2330</v>
      </c>
    </row>
    <row r="1172" spans="2:12" s="74" customFormat="1" hidden="1" outlineLevel="1">
      <c r="B1172" s="73">
        <v>1166</v>
      </c>
      <c r="C1172" s="39"/>
      <c r="D1172" s="40"/>
      <c r="E1172" s="34" t="s">
        <v>323</v>
      </c>
      <c r="F1172" s="75" t="s">
        <v>1537</v>
      </c>
      <c r="G1172" s="35" t="s">
        <v>370</v>
      </c>
      <c r="H1172" s="41" t="s">
        <v>371</v>
      </c>
      <c r="I1172" s="44" t="str">
        <f>"0x"&amp;AE_w_WORK!H147</f>
        <v>0x0000</v>
      </c>
      <c r="J1172" s="36">
        <v>41382</v>
      </c>
      <c r="K1172" s="37"/>
      <c r="L1172" s="74">
        <f t="shared" si="20"/>
        <v>2332</v>
      </c>
    </row>
    <row r="1173" spans="2:12" s="74" customFormat="1" hidden="1" outlineLevel="1">
      <c r="B1173" s="73">
        <v>1167</v>
      </c>
      <c r="C1173" s="39"/>
      <c r="D1173" s="40"/>
      <c r="E1173" s="34" t="s">
        <v>323</v>
      </c>
      <c r="F1173" s="75" t="s">
        <v>1538</v>
      </c>
      <c r="G1173" s="35" t="s">
        <v>370</v>
      </c>
      <c r="H1173" s="41" t="s">
        <v>371</v>
      </c>
      <c r="I1173" s="44" t="str">
        <f>"0x"&amp;AE_w_WORK!H148</f>
        <v>0x0000</v>
      </c>
      <c r="J1173" s="36">
        <v>41383</v>
      </c>
      <c r="K1173" s="37"/>
      <c r="L1173" s="74">
        <f t="shared" si="20"/>
        <v>2334</v>
      </c>
    </row>
    <row r="1174" spans="2:12" s="74" customFormat="1" hidden="1" outlineLevel="1">
      <c r="B1174" s="73">
        <v>1168</v>
      </c>
      <c r="C1174" s="39"/>
      <c r="D1174" s="40"/>
      <c r="E1174" s="34" t="s">
        <v>323</v>
      </c>
      <c r="F1174" s="75" t="s">
        <v>1539</v>
      </c>
      <c r="G1174" s="35" t="s">
        <v>370</v>
      </c>
      <c r="H1174" s="41" t="s">
        <v>371</v>
      </c>
      <c r="I1174" s="44" t="str">
        <f>"0x"&amp;AE_w_WORK!H149</f>
        <v>0x0000</v>
      </c>
      <c r="J1174" s="36">
        <v>41384</v>
      </c>
      <c r="K1174" s="37"/>
      <c r="L1174" s="74">
        <f t="shared" si="20"/>
        <v>2336</v>
      </c>
    </row>
    <row r="1175" spans="2:12" s="74" customFormat="1" hidden="1" outlineLevel="1">
      <c r="B1175" s="73">
        <v>1169</v>
      </c>
      <c r="C1175" s="39"/>
      <c r="D1175" s="40"/>
      <c r="E1175" s="34" t="s">
        <v>323</v>
      </c>
      <c r="F1175" s="75" t="s">
        <v>1540</v>
      </c>
      <c r="G1175" s="35" t="s">
        <v>370</v>
      </c>
      <c r="H1175" s="41" t="s">
        <v>371</v>
      </c>
      <c r="I1175" s="44" t="str">
        <f>"0x"&amp;AE_w_WORK!H150</f>
        <v>0x0000</v>
      </c>
      <c r="J1175" s="36">
        <v>41385</v>
      </c>
      <c r="K1175" s="37"/>
      <c r="L1175" s="74">
        <f t="shared" si="20"/>
        <v>2338</v>
      </c>
    </row>
    <row r="1176" spans="2:12" s="74" customFormat="1" hidden="1" outlineLevel="1">
      <c r="B1176" s="73">
        <v>1170</v>
      </c>
      <c r="C1176" s="39"/>
      <c r="D1176" s="40"/>
      <c r="E1176" s="34" t="s">
        <v>323</v>
      </c>
      <c r="F1176" s="75" t="s">
        <v>1541</v>
      </c>
      <c r="G1176" s="35" t="s">
        <v>370</v>
      </c>
      <c r="H1176" s="41" t="s">
        <v>371</v>
      </c>
      <c r="I1176" s="44" t="str">
        <f>"0x"&amp;AE_w_WORK!H151</f>
        <v>0x0000</v>
      </c>
      <c r="J1176" s="36">
        <v>41386</v>
      </c>
      <c r="K1176" s="37"/>
      <c r="L1176" s="74">
        <f t="shared" si="20"/>
        <v>2340</v>
      </c>
    </row>
    <row r="1177" spans="2:12" s="74" customFormat="1" hidden="1" outlineLevel="1">
      <c r="B1177" s="73">
        <v>1171</v>
      </c>
      <c r="C1177" s="39"/>
      <c r="D1177" s="40"/>
      <c r="E1177" s="34" t="s">
        <v>323</v>
      </c>
      <c r="F1177" s="75" t="s">
        <v>1542</v>
      </c>
      <c r="G1177" s="35" t="s">
        <v>370</v>
      </c>
      <c r="H1177" s="41" t="s">
        <v>371</v>
      </c>
      <c r="I1177" s="44" t="str">
        <f>"0x"&amp;AE_w_WORK!H152</f>
        <v>0x0000</v>
      </c>
      <c r="J1177" s="36">
        <v>41387</v>
      </c>
      <c r="K1177" s="37"/>
      <c r="L1177" s="74">
        <f t="shared" si="20"/>
        <v>2342</v>
      </c>
    </row>
    <row r="1178" spans="2:12" s="74" customFormat="1" hidden="1" outlineLevel="1">
      <c r="B1178" s="73">
        <v>1172</v>
      </c>
      <c r="C1178" s="39"/>
      <c r="D1178" s="40"/>
      <c r="E1178" s="34" t="s">
        <v>323</v>
      </c>
      <c r="F1178" s="75" t="s">
        <v>1543</v>
      </c>
      <c r="G1178" s="35" t="s">
        <v>370</v>
      </c>
      <c r="H1178" s="41" t="s">
        <v>371</v>
      </c>
      <c r="I1178" s="44" t="str">
        <f>"0x"&amp;AE_w_WORK!H153</f>
        <v>0x0000</v>
      </c>
      <c r="J1178" s="36">
        <v>41388</v>
      </c>
      <c r="K1178" s="37"/>
      <c r="L1178" s="74">
        <f t="shared" si="20"/>
        <v>2344</v>
      </c>
    </row>
    <row r="1179" spans="2:12" s="74" customFormat="1" hidden="1" outlineLevel="1">
      <c r="B1179" s="73">
        <v>1173</v>
      </c>
      <c r="C1179" s="39"/>
      <c r="D1179" s="40"/>
      <c r="E1179" s="34" t="s">
        <v>323</v>
      </c>
      <c r="F1179" s="75" t="s">
        <v>1544</v>
      </c>
      <c r="G1179" s="35" t="s">
        <v>370</v>
      </c>
      <c r="H1179" s="41" t="s">
        <v>371</v>
      </c>
      <c r="I1179" s="44" t="str">
        <f>"0x"&amp;AE_w_WORK!H154</f>
        <v>0x0000</v>
      </c>
      <c r="J1179" s="36">
        <v>41389</v>
      </c>
      <c r="K1179" s="37"/>
      <c r="L1179" s="74">
        <f t="shared" si="20"/>
        <v>2346</v>
      </c>
    </row>
    <row r="1180" spans="2:12" s="74" customFormat="1" hidden="1" outlineLevel="1">
      <c r="B1180" s="73">
        <v>1174</v>
      </c>
      <c r="C1180" s="39"/>
      <c r="D1180" s="40"/>
      <c r="E1180" s="34" t="s">
        <v>323</v>
      </c>
      <c r="F1180" s="75" t="s">
        <v>1545</v>
      </c>
      <c r="G1180" s="35" t="s">
        <v>370</v>
      </c>
      <c r="H1180" s="41" t="s">
        <v>371</v>
      </c>
      <c r="I1180" s="44" t="str">
        <f>"0x"&amp;AE_w_WORK!H155</f>
        <v>0x0000</v>
      </c>
      <c r="J1180" s="36">
        <v>41390</v>
      </c>
      <c r="K1180" s="37"/>
      <c r="L1180" s="74">
        <f t="shared" si="20"/>
        <v>2348</v>
      </c>
    </row>
    <row r="1181" spans="2:12" s="74" customFormat="1" hidden="1" outlineLevel="1">
      <c r="B1181" s="73">
        <v>1175</v>
      </c>
      <c r="C1181" s="39"/>
      <c r="D1181" s="40"/>
      <c r="E1181" s="34" t="s">
        <v>323</v>
      </c>
      <c r="F1181" s="75" t="s">
        <v>1546</v>
      </c>
      <c r="G1181" s="35" t="s">
        <v>370</v>
      </c>
      <c r="H1181" s="41" t="s">
        <v>371</v>
      </c>
      <c r="I1181" s="44" t="str">
        <f>"0x"&amp;AE_w_WORK!H156</f>
        <v>0x0000</v>
      </c>
      <c r="J1181" s="36">
        <v>41391</v>
      </c>
      <c r="K1181" s="37"/>
      <c r="L1181" s="74">
        <f t="shared" si="20"/>
        <v>2350</v>
      </c>
    </row>
    <row r="1182" spans="2:12" s="74" customFormat="1" hidden="1" outlineLevel="1">
      <c r="B1182" s="73">
        <v>1176</v>
      </c>
      <c r="C1182" s="39"/>
      <c r="D1182" s="40"/>
      <c r="E1182" s="34" t="s">
        <v>323</v>
      </c>
      <c r="F1182" s="75" t="s">
        <v>1547</v>
      </c>
      <c r="G1182" s="35" t="s">
        <v>370</v>
      </c>
      <c r="H1182" s="41" t="s">
        <v>371</v>
      </c>
      <c r="I1182" s="44" t="str">
        <f>"0x"&amp;AE_w_WORK!H157</f>
        <v>0x0000</v>
      </c>
      <c r="J1182" s="36">
        <v>41392</v>
      </c>
      <c r="K1182" s="37"/>
      <c r="L1182" s="74">
        <f t="shared" si="20"/>
        <v>2352</v>
      </c>
    </row>
    <row r="1183" spans="2:12" s="74" customFormat="1" hidden="1" outlineLevel="1">
      <c r="B1183" s="73">
        <v>1177</v>
      </c>
      <c r="C1183" s="39"/>
      <c r="D1183" s="40"/>
      <c r="E1183" s="34" t="s">
        <v>323</v>
      </c>
      <c r="F1183" s="75" t="s">
        <v>1548</v>
      </c>
      <c r="G1183" s="35" t="s">
        <v>370</v>
      </c>
      <c r="H1183" s="41" t="s">
        <v>371</v>
      </c>
      <c r="I1183" s="44" t="str">
        <f>"0x"&amp;AE_w_WORK!H158</f>
        <v>0x0000</v>
      </c>
      <c r="J1183" s="36">
        <v>41393</v>
      </c>
      <c r="K1183" s="37"/>
      <c r="L1183" s="74">
        <f t="shared" si="20"/>
        <v>2354</v>
      </c>
    </row>
    <row r="1184" spans="2:12" s="74" customFormat="1" hidden="1" outlineLevel="1">
      <c r="B1184" s="73">
        <v>1178</v>
      </c>
      <c r="C1184" s="39"/>
      <c r="D1184" s="40"/>
      <c r="E1184" s="34" t="s">
        <v>323</v>
      </c>
      <c r="F1184" s="75" t="s">
        <v>1549</v>
      </c>
      <c r="G1184" s="35" t="s">
        <v>370</v>
      </c>
      <c r="H1184" s="41" t="s">
        <v>371</v>
      </c>
      <c r="I1184" s="44" t="str">
        <f>"0x"&amp;AE_w_WORK!H159</f>
        <v>0x0000</v>
      </c>
      <c r="J1184" s="36">
        <v>41394</v>
      </c>
      <c r="K1184" s="37"/>
      <c r="L1184" s="74">
        <f t="shared" si="20"/>
        <v>2356</v>
      </c>
    </row>
    <row r="1185" spans="2:12" s="74" customFormat="1" hidden="1" outlineLevel="1">
      <c r="B1185" s="73">
        <v>1179</v>
      </c>
      <c r="C1185" s="39"/>
      <c r="D1185" s="40"/>
      <c r="E1185" s="34" t="s">
        <v>323</v>
      </c>
      <c r="F1185" s="75" t="s">
        <v>1550</v>
      </c>
      <c r="G1185" s="35" t="s">
        <v>370</v>
      </c>
      <c r="H1185" s="41" t="s">
        <v>371</v>
      </c>
      <c r="I1185" s="44" t="str">
        <f>"0x"&amp;AE_w_WORK!H160</f>
        <v>0x0000</v>
      </c>
      <c r="J1185" s="36">
        <v>41395</v>
      </c>
      <c r="K1185" s="37"/>
      <c r="L1185" s="74">
        <f t="shared" si="20"/>
        <v>2358</v>
      </c>
    </row>
    <row r="1186" spans="2:12" s="74" customFormat="1" hidden="1" outlineLevel="1">
      <c r="B1186" s="73">
        <v>1180</v>
      </c>
      <c r="C1186" s="39"/>
      <c r="D1186" s="40"/>
      <c r="E1186" s="34" t="s">
        <v>323</v>
      </c>
      <c r="F1186" s="75" t="s">
        <v>1551</v>
      </c>
      <c r="G1186" s="35" t="s">
        <v>370</v>
      </c>
      <c r="H1186" s="41" t="s">
        <v>371</v>
      </c>
      <c r="I1186" s="44" t="str">
        <f>"0x"&amp;AE_w_WORK!H161</f>
        <v>0x0000</v>
      </c>
      <c r="J1186" s="36">
        <v>41396</v>
      </c>
      <c r="K1186" s="37"/>
      <c r="L1186" s="74">
        <f t="shared" si="20"/>
        <v>2360</v>
      </c>
    </row>
    <row r="1187" spans="2:12" s="74" customFormat="1" hidden="1" outlineLevel="1">
      <c r="B1187" s="73">
        <v>1181</v>
      </c>
      <c r="C1187" s="39"/>
      <c r="D1187" s="40"/>
      <c r="E1187" s="34" t="s">
        <v>323</v>
      </c>
      <c r="F1187" s="75" t="s">
        <v>1552</v>
      </c>
      <c r="G1187" s="35" t="s">
        <v>370</v>
      </c>
      <c r="H1187" s="41" t="s">
        <v>371</v>
      </c>
      <c r="I1187" s="44" t="str">
        <f>"0x"&amp;AE_w_WORK!H162</f>
        <v>0x0000</v>
      </c>
      <c r="J1187" s="36">
        <v>41397</v>
      </c>
      <c r="K1187" s="37"/>
      <c r="L1187" s="74">
        <f t="shared" si="20"/>
        <v>2362</v>
      </c>
    </row>
    <row r="1188" spans="2:12" s="74" customFormat="1" hidden="1" outlineLevel="1">
      <c r="B1188" s="73">
        <v>1182</v>
      </c>
      <c r="C1188" s="39"/>
      <c r="D1188" s="40"/>
      <c r="E1188" s="34" t="s">
        <v>323</v>
      </c>
      <c r="F1188" s="75" t="s">
        <v>1553</v>
      </c>
      <c r="G1188" s="35" t="s">
        <v>370</v>
      </c>
      <c r="H1188" s="41" t="s">
        <v>371</v>
      </c>
      <c r="I1188" s="44" t="str">
        <f>"0x"&amp;AE_w_WORK!H163</f>
        <v>0x0000</v>
      </c>
      <c r="J1188" s="36">
        <v>41398</v>
      </c>
      <c r="K1188" s="37"/>
      <c r="L1188" s="74">
        <f t="shared" si="20"/>
        <v>2364</v>
      </c>
    </row>
    <row r="1189" spans="2:12" s="74" customFormat="1" hidden="1" outlineLevel="1">
      <c r="B1189" s="73">
        <v>1183</v>
      </c>
      <c r="C1189" s="39"/>
      <c r="D1189" s="40"/>
      <c r="E1189" s="34" t="s">
        <v>323</v>
      </c>
      <c r="F1189" s="75" t="s">
        <v>1554</v>
      </c>
      <c r="G1189" s="35" t="s">
        <v>370</v>
      </c>
      <c r="H1189" s="41" t="s">
        <v>371</v>
      </c>
      <c r="I1189" s="44" t="str">
        <f>"0x"&amp;AE_w_WORK!H164</f>
        <v>0x0000</v>
      </c>
      <c r="J1189" s="36">
        <v>41399</v>
      </c>
      <c r="K1189" s="37"/>
      <c r="L1189" s="74">
        <f t="shared" si="20"/>
        <v>2366</v>
      </c>
    </row>
    <row r="1190" spans="2:12" s="74" customFormat="1" hidden="1" outlineLevel="1">
      <c r="B1190" s="73">
        <v>1184</v>
      </c>
      <c r="C1190" s="39"/>
      <c r="D1190" s="40"/>
      <c r="E1190" s="34" t="s">
        <v>323</v>
      </c>
      <c r="F1190" s="75" t="s">
        <v>1555</v>
      </c>
      <c r="G1190" s="35" t="s">
        <v>370</v>
      </c>
      <c r="H1190" s="41" t="s">
        <v>371</v>
      </c>
      <c r="I1190" s="44" t="str">
        <f>"0x"&amp;AE_w_WORK!H165</f>
        <v>0x0000</v>
      </c>
      <c r="J1190" s="36">
        <v>41400</v>
      </c>
      <c r="K1190" s="37"/>
      <c r="L1190" s="74">
        <f t="shared" si="20"/>
        <v>2368</v>
      </c>
    </row>
    <row r="1191" spans="2:12" s="74" customFormat="1" hidden="1" outlineLevel="1">
      <c r="B1191" s="73">
        <v>1185</v>
      </c>
      <c r="C1191" s="39"/>
      <c r="D1191" s="40"/>
      <c r="E1191" s="34" t="s">
        <v>323</v>
      </c>
      <c r="F1191" s="75" t="s">
        <v>1556</v>
      </c>
      <c r="G1191" s="35" t="s">
        <v>370</v>
      </c>
      <c r="H1191" s="41" t="s">
        <v>371</v>
      </c>
      <c r="I1191" s="44" t="str">
        <f>"0x"&amp;AE_w_WORK!H166</f>
        <v>0x0000</v>
      </c>
      <c r="J1191" s="36">
        <v>41401</v>
      </c>
      <c r="K1191" s="37"/>
      <c r="L1191" s="74">
        <f t="shared" si="20"/>
        <v>2370</v>
      </c>
    </row>
    <row r="1192" spans="2:12" s="74" customFormat="1" hidden="1" outlineLevel="1">
      <c r="B1192" s="73">
        <v>1186</v>
      </c>
      <c r="C1192" s="39"/>
      <c r="D1192" s="40"/>
      <c r="E1192" s="34" t="s">
        <v>323</v>
      </c>
      <c r="F1192" s="75" t="s">
        <v>1557</v>
      </c>
      <c r="G1192" s="35" t="s">
        <v>370</v>
      </c>
      <c r="H1192" s="41" t="s">
        <v>371</v>
      </c>
      <c r="I1192" s="44" t="str">
        <f>"0x"&amp;AE_w_WORK!H167</f>
        <v>0x0000</v>
      </c>
      <c r="J1192" s="36">
        <v>41402</v>
      </c>
      <c r="K1192" s="37"/>
      <c r="L1192" s="74">
        <f t="shared" si="20"/>
        <v>2372</v>
      </c>
    </row>
    <row r="1193" spans="2:12" s="74" customFormat="1" hidden="1" outlineLevel="1">
      <c r="B1193" s="73">
        <v>1187</v>
      </c>
      <c r="C1193" s="39"/>
      <c r="D1193" s="40"/>
      <c r="E1193" s="34" t="s">
        <v>323</v>
      </c>
      <c r="F1193" s="75" t="s">
        <v>1558</v>
      </c>
      <c r="G1193" s="35" t="s">
        <v>370</v>
      </c>
      <c r="H1193" s="41" t="s">
        <v>371</v>
      </c>
      <c r="I1193" s="44" t="str">
        <f>"0x"&amp;AE_w_WORK!H168</f>
        <v>0x0000</v>
      </c>
      <c r="J1193" s="36">
        <v>41403</v>
      </c>
      <c r="K1193" s="37"/>
      <c r="L1193" s="74">
        <f t="shared" si="20"/>
        <v>2374</v>
      </c>
    </row>
    <row r="1194" spans="2:12" s="74" customFormat="1" hidden="1" outlineLevel="1">
      <c r="B1194" s="73">
        <v>1188</v>
      </c>
      <c r="C1194" s="39"/>
      <c r="D1194" s="40"/>
      <c r="E1194" s="34" t="s">
        <v>323</v>
      </c>
      <c r="F1194" s="75" t="s">
        <v>1559</v>
      </c>
      <c r="G1194" s="35" t="s">
        <v>370</v>
      </c>
      <c r="H1194" s="41" t="s">
        <v>371</v>
      </c>
      <c r="I1194" s="44" t="str">
        <f>"0x"&amp;AE_w_WORK!H169</f>
        <v>0x0000</v>
      </c>
      <c r="J1194" s="36">
        <v>41404</v>
      </c>
      <c r="K1194" s="37"/>
      <c r="L1194" s="74">
        <f t="shared" si="20"/>
        <v>2376</v>
      </c>
    </row>
    <row r="1195" spans="2:12" s="74" customFormat="1" hidden="1" outlineLevel="1">
      <c r="B1195" s="73">
        <v>1189</v>
      </c>
      <c r="C1195" s="39"/>
      <c r="D1195" s="40"/>
      <c r="E1195" s="34" t="s">
        <v>323</v>
      </c>
      <c r="F1195" s="75" t="s">
        <v>1560</v>
      </c>
      <c r="G1195" s="35" t="s">
        <v>370</v>
      </c>
      <c r="H1195" s="41" t="s">
        <v>371</v>
      </c>
      <c r="I1195" s="44" t="str">
        <f>"0x"&amp;AE_w_WORK!H170</f>
        <v>0x0000</v>
      </c>
      <c r="J1195" s="36">
        <v>41405</v>
      </c>
      <c r="K1195" s="37"/>
      <c r="L1195" s="74">
        <f t="shared" si="20"/>
        <v>2378</v>
      </c>
    </row>
    <row r="1196" spans="2:12" s="74" customFormat="1" hidden="1" outlineLevel="1">
      <c r="B1196" s="73">
        <v>1190</v>
      </c>
      <c r="C1196" s="39"/>
      <c r="D1196" s="40"/>
      <c r="E1196" s="34" t="s">
        <v>323</v>
      </c>
      <c r="F1196" s="75" t="s">
        <v>1561</v>
      </c>
      <c r="G1196" s="35" t="s">
        <v>370</v>
      </c>
      <c r="H1196" s="41" t="s">
        <v>371</v>
      </c>
      <c r="I1196" s="44" t="str">
        <f>"0x"&amp;AE_w_WORK!H171</f>
        <v>0x0000</v>
      </c>
      <c r="J1196" s="36">
        <v>41406</v>
      </c>
      <c r="K1196" s="37"/>
      <c r="L1196" s="74">
        <f t="shared" si="20"/>
        <v>2380</v>
      </c>
    </row>
    <row r="1197" spans="2:12" s="74" customFormat="1" hidden="1" outlineLevel="1">
      <c r="B1197" s="73">
        <v>1191</v>
      </c>
      <c r="C1197" s="39"/>
      <c r="D1197" s="40"/>
      <c r="E1197" s="34" t="s">
        <v>323</v>
      </c>
      <c r="F1197" s="75" t="s">
        <v>1562</v>
      </c>
      <c r="G1197" s="35" t="s">
        <v>370</v>
      </c>
      <c r="H1197" s="41" t="s">
        <v>371</v>
      </c>
      <c r="I1197" s="44" t="str">
        <f>"0x"&amp;AE_w_WORK!H172</f>
        <v>0x0000</v>
      </c>
      <c r="J1197" s="36">
        <v>41407</v>
      </c>
      <c r="K1197" s="37"/>
      <c r="L1197" s="74">
        <f t="shared" si="20"/>
        <v>2382</v>
      </c>
    </row>
    <row r="1198" spans="2:12" s="74" customFormat="1" hidden="1" outlineLevel="1">
      <c r="B1198" s="73">
        <v>1192</v>
      </c>
      <c r="C1198" s="39"/>
      <c r="D1198" s="40"/>
      <c r="E1198" s="34" t="s">
        <v>323</v>
      </c>
      <c r="F1198" s="75" t="s">
        <v>1563</v>
      </c>
      <c r="G1198" s="35" t="s">
        <v>370</v>
      </c>
      <c r="H1198" s="41" t="s">
        <v>371</v>
      </c>
      <c r="I1198" s="44" t="str">
        <f>"0x"&amp;AE_w_WORK!H173</f>
        <v>0x0000</v>
      </c>
      <c r="J1198" s="36">
        <v>41408</v>
      </c>
      <c r="K1198" s="37"/>
      <c r="L1198" s="74">
        <f t="shared" si="20"/>
        <v>2384</v>
      </c>
    </row>
    <row r="1199" spans="2:12" s="74" customFormat="1" hidden="1" outlineLevel="1">
      <c r="B1199" s="73">
        <v>1193</v>
      </c>
      <c r="C1199" s="39"/>
      <c r="D1199" s="40"/>
      <c r="E1199" s="34" t="s">
        <v>323</v>
      </c>
      <c r="F1199" s="75" t="s">
        <v>1564</v>
      </c>
      <c r="G1199" s="35" t="s">
        <v>370</v>
      </c>
      <c r="H1199" s="41" t="s">
        <v>371</v>
      </c>
      <c r="I1199" s="44" t="str">
        <f>"0x"&amp;AE_w_WORK!H174</f>
        <v>0x0000</v>
      </c>
      <c r="J1199" s="36">
        <v>41409</v>
      </c>
      <c r="K1199" s="37"/>
      <c r="L1199" s="74">
        <f t="shared" si="20"/>
        <v>2386</v>
      </c>
    </row>
    <row r="1200" spans="2:12" s="74" customFormat="1" hidden="1" outlineLevel="1">
      <c r="B1200" s="73">
        <v>1194</v>
      </c>
      <c r="C1200" s="39"/>
      <c r="D1200" s="40"/>
      <c r="E1200" s="34" t="s">
        <v>323</v>
      </c>
      <c r="F1200" s="75" t="s">
        <v>1565</v>
      </c>
      <c r="G1200" s="35" t="s">
        <v>370</v>
      </c>
      <c r="H1200" s="41" t="s">
        <v>371</v>
      </c>
      <c r="I1200" s="44" t="str">
        <f>"0x"&amp;AE_w_WORK!H175</f>
        <v>0x0000</v>
      </c>
      <c r="J1200" s="36">
        <v>41410</v>
      </c>
      <c r="K1200" s="37"/>
      <c r="L1200" s="74">
        <f t="shared" si="20"/>
        <v>2388</v>
      </c>
    </row>
    <row r="1201" spans="2:12" s="74" customFormat="1" hidden="1" outlineLevel="1">
      <c r="B1201" s="73">
        <v>1195</v>
      </c>
      <c r="C1201" s="39"/>
      <c r="D1201" s="40"/>
      <c r="E1201" s="34" t="s">
        <v>323</v>
      </c>
      <c r="F1201" s="75" t="s">
        <v>1566</v>
      </c>
      <c r="G1201" s="35" t="s">
        <v>370</v>
      </c>
      <c r="H1201" s="41" t="s">
        <v>371</v>
      </c>
      <c r="I1201" s="44" t="str">
        <f>"0x"&amp;AE_w_WORK!H176</f>
        <v>0x0000</v>
      </c>
      <c r="J1201" s="36">
        <v>41411</v>
      </c>
      <c r="K1201" s="37"/>
      <c r="L1201" s="74">
        <f t="shared" si="20"/>
        <v>2390</v>
      </c>
    </row>
    <row r="1202" spans="2:12" s="74" customFormat="1" hidden="1" outlineLevel="1">
      <c r="B1202" s="73">
        <v>1196</v>
      </c>
      <c r="C1202" s="39"/>
      <c r="D1202" s="40"/>
      <c r="E1202" s="34" t="s">
        <v>323</v>
      </c>
      <c r="F1202" s="75" t="s">
        <v>1567</v>
      </c>
      <c r="G1202" s="35" t="s">
        <v>370</v>
      </c>
      <c r="H1202" s="41" t="s">
        <v>371</v>
      </c>
      <c r="I1202" s="44" t="str">
        <f>"0x"&amp;AE_w_WORK!H177</f>
        <v>0x0000</v>
      </c>
      <c r="J1202" s="36">
        <v>41412</v>
      </c>
      <c r="K1202" s="37"/>
      <c r="L1202" s="74">
        <f t="shared" si="20"/>
        <v>2392</v>
      </c>
    </row>
    <row r="1203" spans="2:12" s="74" customFormat="1" hidden="1" outlineLevel="1">
      <c r="B1203" s="73">
        <v>1197</v>
      </c>
      <c r="C1203" s="39"/>
      <c r="D1203" s="40"/>
      <c r="E1203" s="34" t="s">
        <v>323</v>
      </c>
      <c r="F1203" s="75" t="s">
        <v>1568</v>
      </c>
      <c r="G1203" s="35" t="s">
        <v>370</v>
      </c>
      <c r="H1203" s="41" t="s">
        <v>371</v>
      </c>
      <c r="I1203" s="44" t="str">
        <f>"0x"&amp;AE_w_WORK!H178</f>
        <v>0x0000</v>
      </c>
      <c r="J1203" s="36">
        <v>41413</v>
      </c>
      <c r="K1203" s="37"/>
      <c r="L1203" s="74">
        <f t="shared" si="20"/>
        <v>2394</v>
      </c>
    </row>
    <row r="1204" spans="2:12" s="74" customFormat="1" hidden="1" outlineLevel="1">
      <c r="B1204" s="73">
        <v>1198</v>
      </c>
      <c r="C1204" s="39"/>
      <c r="D1204" s="40"/>
      <c r="E1204" s="34" t="s">
        <v>323</v>
      </c>
      <c r="F1204" s="75" t="s">
        <v>1569</v>
      </c>
      <c r="G1204" s="35" t="s">
        <v>370</v>
      </c>
      <c r="H1204" s="41" t="s">
        <v>371</v>
      </c>
      <c r="I1204" s="44" t="str">
        <f>"0x"&amp;AE_w_WORK!H179</f>
        <v>0x0000</v>
      </c>
      <c r="J1204" s="36">
        <v>41414</v>
      </c>
      <c r="K1204" s="37"/>
      <c r="L1204" s="74">
        <f t="shared" si="20"/>
        <v>2396</v>
      </c>
    </row>
    <row r="1205" spans="2:12" s="74" customFormat="1" hidden="1" outlineLevel="1">
      <c r="B1205" s="73">
        <v>1199</v>
      </c>
      <c r="C1205" s="39"/>
      <c r="D1205" s="40"/>
      <c r="E1205" s="34" t="s">
        <v>323</v>
      </c>
      <c r="F1205" s="75" t="s">
        <v>1570</v>
      </c>
      <c r="G1205" s="35" t="s">
        <v>370</v>
      </c>
      <c r="H1205" s="41" t="s">
        <v>371</v>
      </c>
      <c r="I1205" s="44" t="str">
        <f>"0x"&amp;AE_w_WORK!H180</f>
        <v>0x0000</v>
      </c>
      <c r="J1205" s="36">
        <v>41415</v>
      </c>
      <c r="K1205" s="37"/>
      <c r="L1205" s="74">
        <f t="shared" si="20"/>
        <v>2398</v>
      </c>
    </row>
    <row r="1206" spans="2:12" s="74" customFormat="1" hidden="1" outlineLevel="1">
      <c r="B1206" s="73">
        <v>1200</v>
      </c>
      <c r="C1206" s="39"/>
      <c r="D1206" s="40"/>
      <c r="E1206" s="34" t="s">
        <v>323</v>
      </c>
      <c r="F1206" s="75" t="s">
        <v>1571</v>
      </c>
      <c r="G1206" s="35" t="s">
        <v>370</v>
      </c>
      <c r="H1206" s="41" t="s">
        <v>371</v>
      </c>
      <c r="I1206" s="44" t="str">
        <f>"0x"&amp;AE_w_WORK!H181</f>
        <v>0x0000</v>
      </c>
      <c r="J1206" s="36">
        <v>41416</v>
      </c>
      <c r="K1206" s="37"/>
      <c r="L1206" s="74">
        <f t="shared" si="20"/>
        <v>2400</v>
      </c>
    </row>
    <row r="1207" spans="2:12" s="74" customFormat="1" hidden="1" outlineLevel="1">
      <c r="B1207" s="73">
        <v>1201</v>
      </c>
      <c r="C1207" s="39"/>
      <c r="D1207" s="40"/>
      <c r="E1207" s="34" t="s">
        <v>323</v>
      </c>
      <c r="F1207" s="75" t="s">
        <v>1572</v>
      </c>
      <c r="G1207" s="35" t="s">
        <v>370</v>
      </c>
      <c r="H1207" s="41" t="s">
        <v>371</v>
      </c>
      <c r="I1207" s="44" t="str">
        <f>"0x"&amp;AE_w_WORK!H182</f>
        <v>0x0000</v>
      </c>
      <c r="J1207" s="36">
        <v>41417</v>
      </c>
      <c r="K1207" s="37"/>
      <c r="L1207" s="74">
        <f t="shared" si="20"/>
        <v>2402</v>
      </c>
    </row>
    <row r="1208" spans="2:12" s="74" customFormat="1" hidden="1" outlineLevel="1">
      <c r="B1208" s="73">
        <v>1202</v>
      </c>
      <c r="C1208" s="39"/>
      <c r="D1208" s="40"/>
      <c r="E1208" s="34" t="s">
        <v>323</v>
      </c>
      <c r="F1208" s="75" t="s">
        <v>1573</v>
      </c>
      <c r="G1208" s="35" t="s">
        <v>370</v>
      </c>
      <c r="H1208" s="41" t="s">
        <v>371</v>
      </c>
      <c r="I1208" s="44" t="str">
        <f>"0x"&amp;AE_w_WORK!H183</f>
        <v>0x0000</v>
      </c>
      <c r="J1208" s="36">
        <v>41418</v>
      </c>
      <c r="K1208" s="37"/>
      <c r="L1208" s="74">
        <f t="shared" si="20"/>
        <v>2404</v>
      </c>
    </row>
    <row r="1209" spans="2:12" s="74" customFormat="1" hidden="1" outlineLevel="1">
      <c r="B1209" s="73">
        <v>1203</v>
      </c>
      <c r="C1209" s="39"/>
      <c r="D1209" s="40"/>
      <c r="E1209" s="34" t="s">
        <v>323</v>
      </c>
      <c r="F1209" s="75" t="s">
        <v>1574</v>
      </c>
      <c r="G1209" s="35" t="s">
        <v>370</v>
      </c>
      <c r="H1209" s="41" t="s">
        <v>371</v>
      </c>
      <c r="I1209" s="44" t="str">
        <f>"0x"&amp;AE_w_WORK!H184</f>
        <v>0x0000</v>
      </c>
      <c r="J1209" s="36">
        <v>41419</v>
      </c>
      <c r="K1209" s="37"/>
      <c r="L1209" s="74">
        <f t="shared" si="20"/>
        <v>2406</v>
      </c>
    </row>
    <row r="1210" spans="2:12" s="74" customFormat="1" hidden="1" outlineLevel="1">
      <c r="B1210" s="73">
        <v>1204</v>
      </c>
      <c r="C1210" s="39"/>
      <c r="D1210" s="40"/>
      <c r="E1210" s="34" t="s">
        <v>323</v>
      </c>
      <c r="F1210" s="75" t="s">
        <v>1575</v>
      </c>
      <c r="G1210" s="35" t="s">
        <v>370</v>
      </c>
      <c r="H1210" s="41" t="s">
        <v>371</v>
      </c>
      <c r="I1210" s="44" t="str">
        <f>"0x"&amp;AE_w_WORK!H185</f>
        <v>0x0000</v>
      </c>
      <c r="J1210" s="36">
        <v>41420</v>
      </c>
      <c r="K1210" s="37"/>
      <c r="L1210" s="74">
        <f t="shared" si="20"/>
        <v>2408</v>
      </c>
    </row>
    <row r="1211" spans="2:12" s="74" customFormat="1" hidden="1" outlineLevel="1">
      <c r="B1211" s="73">
        <v>1205</v>
      </c>
      <c r="C1211" s="39"/>
      <c r="D1211" s="40"/>
      <c r="E1211" s="34" t="s">
        <v>323</v>
      </c>
      <c r="F1211" s="75" t="s">
        <v>1576</v>
      </c>
      <c r="G1211" s="35" t="s">
        <v>370</v>
      </c>
      <c r="H1211" s="41" t="s">
        <v>371</v>
      </c>
      <c r="I1211" s="44" t="str">
        <f>"0x"&amp;AE_w_WORK!H186</f>
        <v>0x0000</v>
      </c>
      <c r="J1211" s="36">
        <v>41421</v>
      </c>
      <c r="K1211" s="37"/>
      <c r="L1211" s="74">
        <f t="shared" si="20"/>
        <v>2410</v>
      </c>
    </row>
    <row r="1212" spans="2:12" s="74" customFormat="1" hidden="1" outlineLevel="1">
      <c r="B1212" s="73">
        <v>1206</v>
      </c>
      <c r="C1212" s="39"/>
      <c r="D1212" s="40"/>
      <c r="E1212" s="34" t="s">
        <v>323</v>
      </c>
      <c r="F1212" s="75" t="s">
        <v>1577</v>
      </c>
      <c r="G1212" s="35" t="s">
        <v>370</v>
      </c>
      <c r="H1212" s="41" t="s">
        <v>371</v>
      </c>
      <c r="I1212" s="44" t="str">
        <f>"0x"&amp;AE_w_WORK!H187</f>
        <v>0x0000</v>
      </c>
      <c r="J1212" s="36">
        <v>41422</v>
      </c>
      <c r="K1212" s="37"/>
      <c r="L1212" s="74">
        <f t="shared" si="20"/>
        <v>2412</v>
      </c>
    </row>
    <row r="1213" spans="2:12" s="74" customFormat="1" hidden="1" outlineLevel="1">
      <c r="B1213" s="73">
        <v>1207</v>
      </c>
      <c r="C1213" s="39"/>
      <c r="D1213" s="40"/>
      <c r="E1213" s="34" t="s">
        <v>323</v>
      </c>
      <c r="F1213" s="75" t="s">
        <v>1578</v>
      </c>
      <c r="G1213" s="35" t="s">
        <v>370</v>
      </c>
      <c r="H1213" s="41" t="s">
        <v>371</v>
      </c>
      <c r="I1213" s="44" t="str">
        <f>"0x"&amp;AE_w_WORK!H188</f>
        <v>0x0000</v>
      </c>
      <c r="J1213" s="36">
        <v>41423</v>
      </c>
      <c r="K1213" s="37"/>
      <c r="L1213" s="74">
        <f t="shared" si="20"/>
        <v>2414</v>
      </c>
    </row>
    <row r="1214" spans="2:12" s="74" customFormat="1" hidden="1" outlineLevel="1">
      <c r="B1214" s="73">
        <v>1208</v>
      </c>
      <c r="C1214" s="39"/>
      <c r="D1214" s="40"/>
      <c r="E1214" s="34" t="s">
        <v>323</v>
      </c>
      <c r="F1214" s="75" t="s">
        <v>1579</v>
      </c>
      <c r="G1214" s="35" t="s">
        <v>370</v>
      </c>
      <c r="H1214" s="41" t="s">
        <v>371</v>
      </c>
      <c r="I1214" s="44" t="str">
        <f>"0x"&amp;AE_w_WORK!H189</f>
        <v>0x0000</v>
      </c>
      <c r="J1214" s="36">
        <v>41424</v>
      </c>
      <c r="K1214" s="37"/>
      <c r="L1214" s="74">
        <f t="shared" si="20"/>
        <v>2416</v>
      </c>
    </row>
    <row r="1215" spans="2:12" s="74" customFormat="1" hidden="1" outlineLevel="1">
      <c r="B1215" s="73">
        <v>1209</v>
      </c>
      <c r="C1215" s="39"/>
      <c r="D1215" s="40"/>
      <c r="E1215" s="34" t="s">
        <v>323</v>
      </c>
      <c r="F1215" s="75" t="s">
        <v>1580</v>
      </c>
      <c r="G1215" s="35" t="s">
        <v>370</v>
      </c>
      <c r="H1215" s="41" t="s">
        <v>371</v>
      </c>
      <c r="I1215" s="44" t="str">
        <f>"0x"&amp;AE_w_WORK!H190</f>
        <v>0x0000</v>
      </c>
      <c r="J1215" s="36">
        <v>41425</v>
      </c>
      <c r="K1215" s="37"/>
      <c r="L1215" s="74">
        <f t="shared" si="20"/>
        <v>2418</v>
      </c>
    </row>
    <row r="1216" spans="2:12" s="74" customFormat="1" hidden="1" outlineLevel="1">
      <c r="B1216" s="73">
        <v>1210</v>
      </c>
      <c r="C1216" s="39"/>
      <c r="D1216" s="40"/>
      <c r="E1216" s="34" t="s">
        <v>323</v>
      </c>
      <c r="F1216" s="75" t="s">
        <v>1581</v>
      </c>
      <c r="G1216" s="35" t="s">
        <v>370</v>
      </c>
      <c r="H1216" s="41" t="s">
        <v>371</v>
      </c>
      <c r="I1216" s="44" t="str">
        <f>"0x"&amp;AE_w_WORK!H191</f>
        <v>0x0000</v>
      </c>
      <c r="J1216" s="36">
        <v>41426</v>
      </c>
      <c r="K1216" s="37"/>
      <c r="L1216" s="74">
        <f t="shared" si="20"/>
        <v>2420</v>
      </c>
    </row>
    <row r="1217" spans="2:12" s="74" customFormat="1" hidden="1" outlineLevel="1">
      <c r="B1217" s="73">
        <v>1211</v>
      </c>
      <c r="C1217" s="39"/>
      <c r="D1217" s="40"/>
      <c r="E1217" s="34" t="s">
        <v>323</v>
      </c>
      <c r="F1217" s="75" t="s">
        <v>1582</v>
      </c>
      <c r="G1217" s="35" t="s">
        <v>370</v>
      </c>
      <c r="H1217" s="41" t="s">
        <v>371</v>
      </c>
      <c r="I1217" s="44" t="str">
        <f>"0x"&amp;AE_w_WORK!H192</f>
        <v>0x0000</v>
      </c>
      <c r="J1217" s="36">
        <v>41427</v>
      </c>
      <c r="K1217" s="37"/>
      <c r="L1217" s="74">
        <f t="shared" si="20"/>
        <v>2422</v>
      </c>
    </row>
    <row r="1218" spans="2:12" s="74" customFormat="1" hidden="1" outlineLevel="1">
      <c r="B1218" s="73">
        <v>1212</v>
      </c>
      <c r="C1218" s="39"/>
      <c r="D1218" s="40"/>
      <c r="E1218" s="34" t="s">
        <v>323</v>
      </c>
      <c r="F1218" s="75" t="s">
        <v>1583</v>
      </c>
      <c r="G1218" s="35" t="s">
        <v>370</v>
      </c>
      <c r="H1218" s="41" t="s">
        <v>371</v>
      </c>
      <c r="I1218" s="44" t="str">
        <f>"0x"&amp;AE_w_WORK!H193</f>
        <v>0x0000</v>
      </c>
      <c r="J1218" s="36">
        <v>41428</v>
      </c>
      <c r="K1218" s="37"/>
      <c r="L1218" s="74">
        <f t="shared" si="20"/>
        <v>2424</v>
      </c>
    </row>
    <row r="1219" spans="2:12" s="74" customFormat="1" hidden="1" outlineLevel="1">
      <c r="B1219" s="73">
        <v>1213</v>
      </c>
      <c r="C1219" s="39"/>
      <c r="D1219" s="40"/>
      <c r="E1219" s="34" t="s">
        <v>323</v>
      </c>
      <c r="F1219" s="75" t="s">
        <v>1584</v>
      </c>
      <c r="G1219" s="35" t="s">
        <v>370</v>
      </c>
      <c r="H1219" s="41" t="s">
        <v>371</v>
      </c>
      <c r="I1219" s="44" t="str">
        <f>"0x"&amp;AE_w_WORK!H194</f>
        <v>0x0000</v>
      </c>
      <c r="J1219" s="36">
        <v>41429</v>
      </c>
      <c r="K1219" s="37"/>
      <c r="L1219" s="74">
        <f t="shared" si="20"/>
        <v>2426</v>
      </c>
    </row>
    <row r="1220" spans="2:12" s="74" customFormat="1" hidden="1" outlineLevel="1">
      <c r="B1220" s="73">
        <v>1214</v>
      </c>
      <c r="C1220" s="39"/>
      <c r="D1220" s="40"/>
      <c r="E1220" s="34" t="s">
        <v>323</v>
      </c>
      <c r="F1220" s="75" t="s">
        <v>1585</v>
      </c>
      <c r="G1220" s="35" t="s">
        <v>370</v>
      </c>
      <c r="H1220" s="41" t="s">
        <v>371</v>
      </c>
      <c r="I1220" s="44" t="str">
        <f>"0x"&amp;AE_w_WORK!H195</f>
        <v>0x0000</v>
      </c>
      <c r="J1220" s="36">
        <v>41430</v>
      </c>
      <c r="K1220" s="37"/>
      <c r="L1220" s="74">
        <f t="shared" si="20"/>
        <v>2428</v>
      </c>
    </row>
    <row r="1221" spans="2:12" s="74" customFormat="1" hidden="1" outlineLevel="1">
      <c r="B1221" s="73">
        <v>1215</v>
      </c>
      <c r="C1221" s="39"/>
      <c r="D1221" s="40"/>
      <c r="E1221" s="34" t="s">
        <v>323</v>
      </c>
      <c r="F1221" s="75" t="s">
        <v>1586</v>
      </c>
      <c r="G1221" s="35" t="s">
        <v>370</v>
      </c>
      <c r="H1221" s="41" t="s">
        <v>371</v>
      </c>
      <c r="I1221" s="44" t="str">
        <f>"0x"&amp;AE_w_WORK!H196</f>
        <v>0x0000</v>
      </c>
      <c r="J1221" s="36">
        <v>41431</v>
      </c>
      <c r="K1221" s="37"/>
      <c r="L1221" s="74">
        <f t="shared" si="20"/>
        <v>2430</v>
      </c>
    </row>
    <row r="1222" spans="2:12" s="74" customFormat="1" hidden="1" outlineLevel="1">
      <c r="B1222" s="73">
        <v>1216</v>
      </c>
      <c r="C1222" s="39"/>
      <c r="D1222" s="40"/>
      <c r="E1222" s="34" t="s">
        <v>323</v>
      </c>
      <c r="F1222" s="75" t="s">
        <v>1587</v>
      </c>
      <c r="G1222" s="35" t="s">
        <v>370</v>
      </c>
      <c r="H1222" s="41" t="s">
        <v>371</v>
      </c>
      <c r="I1222" s="44" t="str">
        <f>"0x"&amp;AE_w_WORK!H197</f>
        <v>0x0000</v>
      </c>
      <c r="J1222" s="36">
        <v>41432</v>
      </c>
      <c r="K1222" s="37"/>
      <c r="L1222" s="74">
        <f t="shared" si="20"/>
        <v>2432</v>
      </c>
    </row>
    <row r="1223" spans="2:12" s="74" customFormat="1" hidden="1" outlineLevel="1">
      <c r="B1223" s="73">
        <v>1217</v>
      </c>
      <c r="C1223" s="39"/>
      <c r="D1223" s="40"/>
      <c r="E1223" s="34" t="s">
        <v>323</v>
      </c>
      <c r="F1223" s="75" t="s">
        <v>1588</v>
      </c>
      <c r="G1223" s="35" t="s">
        <v>370</v>
      </c>
      <c r="H1223" s="41" t="s">
        <v>371</v>
      </c>
      <c r="I1223" s="44" t="str">
        <f>"0x"&amp;AE_w_WORK!H198</f>
        <v>0x0000</v>
      </c>
      <c r="J1223" s="36">
        <v>41433</v>
      </c>
      <c r="K1223" s="37"/>
      <c r="L1223" s="74">
        <f t="shared" si="20"/>
        <v>2434</v>
      </c>
    </row>
    <row r="1224" spans="2:12" s="74" customFormat="1" hidden="1" outlineLevel="1">
      <c r="B1224" s="73">
        <v>1218</v>
      </c>
      <c r="C1224" s="39"/>
      <c r="D1224" s="40"/>
      <c r="E1224" s="34" t="s">
        <v>323</v>
      </c>
      <c r="F1224" s="75" t="s">
        <v>1589</v>
      </c>
      <c r="G1224" s="35" t="s">
        <v>370</v>
      </c>
      <c r="H1224" s="41" t="s">
        <v>371</v>
      </c>
      <c r="I1224" s="44" t="str">
        <f>"0x"&amp;AE_w_WORK!H199</f>
        <v>0x0000</v>
      </c>
      <c r="J1224" s="36">
        <v>41434</v>
      </c>
      <c r="K1224" s="37"/>
      <c r="L1224" s="74">
        <f t="shared" si="20"/>
        <v>2436</v>
      </c>
    </row>
    <row r="1225" spans="2:12" s="74" customFormat="1" hidden="1" outlineLevel="1">
      <c r="B1225" s="73">
        <v>1219</v>
      </c>
      <c r="C1225" s="39"/>
      <c r="D1225" s="40"/>
      <c r="E1225" s="34" t="s">
        <v>323</v>
      </c>
      <c r="F1225" s="75" t="s">
        <v>1590</v>
      </c>
      <c r="G1225" s="35" t="s">
        <v>370</v>
      </c>
      <c r="H1225" s="41" t="s">
        <v>371</v>
      </c>
      <c r="I1225" s="44" t="str">
        <f>"0x"&amp;AE_w_WORK!H200</f>
        <v>0x0000</v>
      </c>
      <c r="J1225" s="36">
        <v>41435</v>
      </c>
      <c r="K1225" s="37"/>
      <c r="L1225" s="74">
        <f t="shared" ref="L1225:L1288" si="21">L1224+2</f>
        <v>2438</v>
      </c>
    </row>
    <row r="1226" spans="2:12" s="74" customFormat="1" hidden="1" outlineLevel="1">
      <c r="B1226" s="73">
        <v>1220</v>
      </c>
      <c r="C1226" s="39"/>
      <c r="D1226" s="40"/>
      <c r="E1226" s="34" t="s">
        <v>323</v>
      </c>
      <c r="F1226" s="75" t="s">
        <v>1591</v>
      </c>
      <c r="G1226" s="35" t="s">
        <v>370</v>
      </c>
      <c r="H1226" s="41" t="s">
        <v>371</v>
      </c>
      <c r="I1226" s="44" t="str">
        <f>"0x"&amp;AE_w_WORK!H201</f>
        <v>0x0000</v>
      </c>
      <c r="J1226" s="36">
        <v>41436</v>
      </c>
      <c r="K1226" s="37"/>
      <c r="L1226" s="74">
        <f t="shared" si="21"/>
        <v>2440</v>
      </c>
    </row>
    <row r="1227" spans="2:12" s="74" customFormat="1" hidden="1" outlineLevel="1">
      <c r="B1227" s="73">
        <v>1221</v>
      </c>
      <c r="C1227" s="39"/>
      <c r="D1227" s="40"/>
      <c r="E1227" s="34" t="s">
        <v>323</v>
      </c>
      <c r="F1227" s="75" t="s">
        <v>1592</v>
      </c>
      <c r="G1227" s="35" t="s">
        <v>370</v>
      </c>
      <c r="H1227" s="41" t="s">
        <v>371</v>
      </c>
      <c r="I1227" s="44" t="str">
        <f>"0x"&amp;AE_w_WORK!H202</f>
        <v>0x0000</v>
      </c>
      <c r="J1227" s="36">
        <v>41437</v>
      </c>
      <c r="K1227" s="37"/>
      <c r="L1227" s="74">
        <f t="shared" si="21"/>
        <v>2442</v>
      </c>
    </row>
    <row r="1228" spans="2:12" s="74" customFormat="1" hidden="1" outlineLevel="1">
      <c r="B1228" s="73">
        <v>1222</v>
      </c>
      <c r="C1228" s="39"/>
      <c r="D1228" s="40"/>
      <c r="E1228" s="34" t="s">
        <v>323</v>
      </c>
      <c r="F1228" s="75" t="s">
        <v>1593</v>
      </c>
      <c r="G1228" s="35" t="s">
        <v>370</v>
      </c>
      <c r="H1228" s="41" t="s">
        <v>371</v>
      </c>
      <c r="I1228" s="44" t="str">
        <f>"0x"&amp;AE_w_WORK!H203</f>
        <v>0x0000</v>
      </c>
      <c r="J1228" s="36">
        <v>41438</v>
      </c>
      <c r="K1228" s="37"/>
      <c r="L1228" s="74">
        <f t="shared" si="21"/>
        <v>2444</v>
      </c>
    </row>
    <row r="1229" spans="2:12" s="74" customFormat="1" hidden="1" outlineLevel="1">
      <c r="B1229" s="73">
        <v>1223</v>
      </c>
      <c r="C1229" s="39"/>
      <c r="D1229" s="40"/>
      <c r="E1229" s="34" t="s">
        <v>323</v>
      </c>
      <c r="F1229" s="75" t="s">
        <v>1594</v>
      </c>
      <c r="G1229" s="35" t="s">
        <v>370</v>
      </c>
      <c r="H1229" s="41" t="s">
        <v>371</v>
      </c>
      <c r="I1229" s="44" t="str">
        <f>"0x"&amp;AE_w_WORK!H204</f>
        <v>0x0000</v>
      </c>
      <c r="J1229" s="36">
        <v>41439</v>
      </c>
      <c r="K1229" s="37"/>
      <c r="L1229" s="74">
        <f t="shared" si="21"/>
        <v>2446</v>
      </c>
    </row>
    <row r="1230" spans="2:12" s="74" customFormat="1" hidden="1" outlineLevel="1">
      <c r="B1230" s="73">
        <v>1224</v>
      </c>
      <c r="C1230" s="39"/>
      <c r="D1230" s="40"/>
      <c r="E1230" s="34" t="s">
        <v>323</v>
      </c>
      <c r="F1230" s="75" t="s">
        <v>1595</v>
      </c>
      <c r="G1230" s="35" t="s">
        <v>370</v>
      </c>
      <c r="H1230" s="41" t="s">
        <v>371</v>
      </c>
      <c r="I1230" s="44" t="str">
        <f>"0x"&amp;AE_w_WORK!H205</f>
        <v>0x0000</v>
      </c>
      <c r="J1230" s="36">
        <v>41440</v>
      </c>
      <c r="K1230" s="37"/>
      <c r="L1230" s="74">
        <f t="shared" si="21"/>
        <v>2448</v>
      </c>
    </row>
    <row r="1231" spans="2:12" s="74" customFormat="1" hidden="1" outlineLevel="1">
      <c r="B1231" s="73">
        <v>1225</v>
      </c>
      <c r="C1231" s="39"/>
      <c r="D1231" s="40"/>
      <c r="E1231" s="34" t="s">
        <v>323</v>
      </c>
      <c r="F1231" s="75" t="s">
        <v>1596</v>
      </c>
      <c r="G1231" s="35" t="s">
        <v>370</v>
      </c>
      <c r="H1231" s="41" t="s">
        <v>371</v>
      </c>
      <c r="I1231" s="44" t="str">
        <f>"0x"&amp;AE_w_WORK!H206</f>
        <v>0x0000</v>
      </c>
      <c r="J1231" s="36">
        <v>41441</v>
      </c>
      <c r="K1231" s="37"/>
      <c r="L1231" s="74">
        <f t="shared" si="21"/>
        <v>2450</v>
      </c>
    </row>
    <row r="1232" spans="2:12" s="74" customFormat="1" hidden="1" outlineLevel="1">
      <c r="B1232" s="73">
        <v>1226</v>
      </c>
      <c r="C1232" s="39"/>
      <c r="D1232" s="40"/>
      <c r="E1232" s="34" t="s">
        <v>323</v>
      </c>
      <c r="F1232" s="75" t="s">
        <v>1597</v>
      </c>
      <c r="G1232" s="35" t="s">
        <v>370</v>
      </c>
      <c r="H1232" s="41" t="s">
        <v>371</v>
      </c>
      <c r="I1232" s="44" t="str">
        <f>"0x"&amp;AE_w_WORK!H207</f>
        <v>0x0000</v>
      </c>
      <c r="J1232" s="36">
        <v>41442</v>
      </c>
      <c r="K1232" s="37"/>
      <c r="L1232" s="74">
        <f t="shared" si="21"/>
        <v>2452</v>
      </c>
    </row>
    <row r="1233" spans="2:12" s="74" customFormat="1" hidden="1" outlineLevel="1">
      <c r="B1233" s="73">
        <v>1227</v>
      </c>
      <c r="C1233" s="39"/>
      <c r="D1233" s="40"/>
      <c r="E1233" s="34" t="s">
        <v>323</v>
      </c>
      <c r="F1233" s="75" t="s">
        <v>1598</v>
      </c>
      <c r="G1233" s="35" t="s">
        <v>370</v>
      </c>
      <c r="H1233" s="41" t="s">
        <v>371</v>
      </c>
      <c r="I1233" s="44" t="str">
        <f>"0x"&amp;AE_w_WORK!H208</f>
        <v>0x0000</v>
      </c>
      <c r="J1233" s="36">
        <v>41443</v>
      </c>
      <c r="K1233" s="37"/>
      <c r="L1233" s="74">
        <f t="shared" si="21"/>
        <v>2454</v>
      </c>
    </row>
    <row r="1234" spans="2:12" s="74" customFormat="1" hidden="1" outlineLevel="1">
      <c r="B1234" s="73">
        <v>1228</v>
      </c>
      <c r="C1234" s="39"/>
      <c r="D1234" s="40"/>
      <c r="E1234" s="34" t="s">
        <v>323</v>
      </c>
      <c r="F1234" s="75" t="s">
        <v>1599</v>
      </c>
      <c r="G1234" s="35" t="s">
        <v>370</v>
      </c>
      <c r="H1234" s="41" t="s">
        <v>371</v>
      </c>
      <c r="I1234" s="44" t="str">
        <f>"0x"&amp;AE_w_WORK!H209</f>
        <v>0x0000</v>
      </c>
      <c r="J1234" s="36">
        <v>41444</v>
      </c>
      <c r="K1234" s="37"/>
      <c r="L1234" s="74">
        <f t="shared" si="21"/>
        <v>2456</v>
      </c>
    </row>
    <row r="1235" spans="2:12" s="74" customFormat="1" hidden="1" outlineLevel="1">
      <c r="B1235" s="73">
        <v>1229</v>
      </c>
      <c r="C1235" s="39"/>
      <c r="D1235" s="40"/>
      <c r="E1235" s="34" t="s">
        <v>323</v>
      </c>
      <c r="F1235" s="75" t="s">
        <v>1600</v>
      </c>
      <c r="G1235" s="35" t="s">
        <v>370</v>
      </c>
      <c r="H1235" s="41" t="s">
        <v>371</v>
      </c>
      <c r="I1235" s="44" t="str">
        <f>"0x"&amp;AE_w_WORK!H210</f>
        <v>0x0000</v>
      </c>
      <c r="J1235" s="36">
        <v>41445</v>
      </c>
      <c r="K1235" s="37"/>
      <c r="L1235" s="74">
        <f t="shared" si="21"/>
        <v>2458</v>
      </c>
    </row>
    <row r="1236" spans="2:12" s="74" customFormat="1" hidden="1" outlineLevel="1">
      <c r="B1236" s="73">
        <v>1230</v>
      </c>
      <c r="C1236" s="39"/>
      <c r="D1236" s="40"/>
      <c r="E1236" s="34" t="s">
        <v>323</v>
      </c>
      <c r="F1236" s="75" t="s">
        <v>1601</v>
      </c>
      <c r="G1236" s="35" t="s">
        <v>370</v>
      </c>
      <c r="H1236" s="41" t="s">
        <v>371</v>
      </c>
      <c r="I1236" s="44" t="str">
        <f>"0x"&amp;AE_w_WORK!H211</f>
        <v>0x0000</v>
      </c>
      <c r="J1236" s="36">
        <v>41446</v>
      </c>
      <c r="K1236" s="37"/>
      <c r="L1236" s="74">
        <f t="shared" si="21"/>
        <v>2460</v>
      </c>
    </row>
    <row r="1237" spans="2:12" s="74" customFormat="1" hidden="1" outlineLevel="1">
      <c r="B1237" s="73">
        <v>1231</v>
      </c>
      <c r="C1237" s="39"/>
      <c r="D1237" s="40"/>
      <c r="E1237" s="34" t="s">
        <v>323</v>
      </c>
      <c r="F1237" s="75" t="s">
        <v>1602</v>
      </c>
      <c r="G1237" s="35" t="s">
        <v>370</v>
      </c>
      <c r="H1237" s="41" t="s">
        <v>371</v>
      </c>
      <c r="I1237" s="44" t="str">
        <f>"0x"&amp;AE_w_WORK!H212</f>
        <v>0x0000</v>
      </c>
      <c r="J1237" s="36">
        <v>41447</v>
      </c>
      <c r="K1237" s="37"/>
      <c r="L1237" s="74">
        <f t="shared" si="21"/>
        <v>2462</v>
      </c>
    </row>
    <row r="1238" spans="2:12" s="74" customFormat="1" hidden="1" outlineLevel="1">
      <c r="B1238" s="73">
        <v>1232</v>
      </c>
      <c r="C1238" s="39"/>
      <c r="D1238" s="40"/>
      <c r="E1238" s="34" t="s">
        <v>323</v>
      </c>
      <c r="F1238" s="75" t="s">
        <v>1603</v>
      </c>
      <c r="G1238" s="35" t="s">
        <v>370</v>
      </c>
      <c r="H1238" s="41" t="s">
        <v>371</v>
      </c>
      <c r="I1238" s="44" t="str">
        <f>"0x"&amp;AE_w_WORK!H213</f>
        <v>0x0000</v>
      </c>
      <c r="J1238" s="36">
        <v>41448</v>
      </c>
      <c r="K1238" s="37"/>
      <c r="L1238" s="74">
        <f t="shared" si="21"/>
        <v>2464</v>
      </c>
    </row>
    <row r="1239" spans="2:12" s="74" customFormat="1" hidden="1" outlineLevel="1">
      <c r="B1239" s="73">
        <v>1233</v>
      </c>
      <c r="C1239" s="39"/>
      <c r="D1239" s="40"/>
      <c r="E1239" s="34" t="s">
        <v>323</v>
      </c>
      <c r="F1239" s="75" t="s">
        <v>1604</v>
      </c>
      <c r="G1239" s="35" t="s">
        <v>370</v>
      </c>
      <c r="H1239" s="41" t="s">
        <v>371</v>
      </c>
      <c r="I1239" s="44" t="str">
        <f>"0x"&amp;AE_w_WORK!H214</f>
        <v>0x0000</v>
      </c>
      <c r="J1239" s="36">
        <v>41449</v>
      </c>
      <c r="K1239" s="37"/>
      <c r="L1239" s="74">
        <f t="shared" si="21"/>
        <v>2466</v>
      </c>
    </row>
    <row r="1240" spans="2:12" s="74" customFormat="1" hidden="1" outlineLevel="1">
      <c r="B1240" s="73">
        <v>1234</v>
      </c>
      <c r="C1240" s="39"/>
      <c r="D1240" s="40"/>
      <c r="E1240" s="34" t="s">
        <v>323</v>
      </c>
      <c r="F1240" s="75" t="s">
        <v>1605</v>
      </c>
      <c r="G1240" s="35" t="s">
        <v>370</v>
      </c>
      <c r="H1240" s="41" t="s">
        <v>371</v>
      </c>
      <c r="I1240" s="44" t="str">
        <f>"0x"&amp;AE_w_WORK!H215</f>
        <v>0x0000</v>
      </c>
      <c r="J1240" s="36">
        <v>41450</v>
      </c>
      <c r="K1240" s="37"/>
      <c r="L1240" s="74">
        <f t="shared" si="21"/>
        <v>2468</v>
      </c>
    </row>
    <row r="1241" spans="2:12" s="74" customFormat="1" hidden="1" outlineLevel="1">
      <c r="B1241" s="73">
        <v>1235</v>
      </c>
      <c r="C1241" s="39"/>
      <c r="D1241" s="40"/>
      <c r="E1241" s="34" t="s">
        <v>323</v>
      </c>
      <c r="F1241" s="75" t="s">
        <v>1606</v>
      </c>
      <c r="G1241" s="35" t="s">
        <v>370</v>
      </c>
      <c r="H1241" s="41" t="s">
        <v>371</v>
      </c>
      <c r="I1241" s="44" t="str">
        <f>"0x"&amp;AE_w_WORK!H216</f>
        <v>0x0000</v>
      </c>
      <c r="J1241" s="36">
        <v>41451</v>
      </c>
      <c r="K1241" s="37"/>
      <c r="L1241" s="74">
        <f t="shared" si="21"/>
        <v>2470</v>
      </c>
    </row>
    <row r="1242" spans="2:12" s="74" customFormat="1" hidden="1" outlineLevel="1">
      <c r="B1242" s="73">
        <v>1236</v>
      </c>
      <c r="C1242" s="39"/>
      <c r="D1242" s="40"/>
      <c r="E1242" s="34" t="s">
        <v>323</v>
      </c>
      <c r="F1242" s="75" t="s">
        <v>1607</v>
      </c>
      <c r="G1242" s="35" t="s">
        <v>370</v>
      </c>
      <c r="H1242" s="41" t="s">
        <v>371</v>
      </c>
      <c r="I1242" s="44" t="str">
        <f>"0x"&amp;AE_w_WORK!H217</f>
        <v>0x0000</v>
      </c>
      <c r="J1242" s="36">
        <v>41452</v>
      </c>
      <c r="K1242" s="37"/>
      <c r="L1242" s="74">
        <f t="shared" si="21"/>
        <v>2472</v>
      </c>
    </row>
    <row r="1243" spans="2:12" s="74" customFormat="1" hidden="1" outlineLevel="1">
      <c r="B1243" s="73">
        <v>1237</v>
      </c>
      <c r="C1243" s="39"/>
      <c r="D1243" s="40"/>
      <c r="E1243" s="34" t="s">
        <v>323</v>
      </c>
      <c r="F1243" s="75" t="s">
        <v>1608</v>
      </c>
      <c r="G1243" s="35" t="s">
        <v>370</v>
      </c>
      <c r="H1243" s="41" t="s">
        <v>371</v>
      </c>
      <c r="I1243" s="44" t="str">
        <f>"0x"&amp;AE_w_WORK!H218</f>
        <v>0x0000</v>
      </c>
      <c r="J1243" s="36">
        <v>41453</v>
      </c>
      <c r="K1243" s="37"/>
      <c r="L1243" s="74">
        <f t="shared" si="21"/>
        <v>2474</v>
      </c>
    </row>
    <row r="1244" spans="2:12" s="74" customFormat="1" hidden="1" outlineLevel="1">
      <c r="B1244" s="73">
        <v>1238</v>
      </c>
      <c r="C1244" s="39"/>
      <c r="D1244" s="40"/>
      <c r="E1244" s="34" t="s">
        <v>323</v>
      </c>
      <c r="F1244" s="75" t="s">
        <v>1609</v>
      </c>
      <c r="G1244" s="35" t="s">
        <v>370</v>
      </c>
      <c r="H1244" s="41" t="s">
        <v>371</v>
      </c>
      <c r="I1244" s="44" t="str">
        <f>"0x"&amp;AE_w_WORK!H219</f>
        <v>0x0000</v>
      </c>
      <c r="J1244" s="36">
        <v>41454</v>
      </c>
      <c r="K1244" s="37"/>
      <c r="L1244" s="74">
        <f t="shared" si="21"/>
        <v>2476</v>
      </c>
    </row>
    <row r="1245" spans="2:12" s="74" customFormat="1" hidden="1" outlineLevel="1">
      <c r="B1245" s="73">
        <v>1239</v>
      </c>
      <c r="C1245" s="39"/>
      <c r="D1245" s="40"/>
      <c r="E1245" s="34" t="s">
        <v>323</v>
      </c>
      <c r="F1245" s="75" t="s">
        <v>1610</v>
      </c>
      <c r="G1245" s="35" t="s">
        <v>370</v>
      </c>
      <c r="H1245" s="41" t="s">
        <v>371</v>
      </c>
      <c r="I1245" s="44" t="str">
        <f>"0x"&amp;AE_w_WORK!H220</f>
        <v>0x0000</v>
      </c>
      <c r="J1245" s="36">
        <v>41455</v>
      </c>
      <c r="K1245" s="37"/>
      <c r="L1245" s="74">
        <f t="shared" si="21"/>
        <v>2478</v>
      </c>
    </row>
    <row r="1246" spans="2:12" s="74" customFormat="1" hidden="1" outlineLevel="1">
      <c r="B1246" s="73">
        <v>1240</v>
      </c>
      <c r="C1246" s="39"/>
      <c r="D1246" s="40"/>
      <c r="E1246" s="34" t="s">
        <v>323</v>
      </c>
      <c r="F1246" s="75" t="s">
        <v>1611</v>
      </c>
      <c r="G1246" s="35" t="s">
        <v>370</v>
      </c>
      <c r="H1246" s="41" t="s">
        <v>371</v>
      </c>
      <c r="I1246" s="44" t="str">
        <f>"0x"&amp;AE_w_WORK!H221</f>
        <v>0x0000</v>
      </c>
      <c r="J1246" s="36">
        <v>41456</v>
      </c>
      <c r="K1246" s="37"/>
      <c r="L1246" s="74">
        <f t="shared" si="21"/>
        <v>2480</v>
      </c>
    </row>
    <row r="1247" spans="2:12" s="74" customFormat="1" hidden="1" outlineLevel="1">
      <c r="B1247" s="73">
        <v>1241</v>
      </c>
      <c r="C1247" s="39"/>
      <c r="D1247" s="40"/>
      <c r="E1247" s="34" t="s">
        <v>323</v>
      </c>
      <c r="F1247" s="75" t="s">
        <v>1612</v>
      </c>
      <c r="G1247" s="35" t="s">
        <v>370</v>
      </c>
      <c r="H1247" s="41" t="s">
        <v>371</v>
      </c>
      <c r="I1247" s="44" t="str">
        <f>"0x"&amp;AE_w_WORK!H222</f>
        <v>0x0000</v>
      </c>
      <c r="J1247" s="36">
        <v>41457</v>
      </c>
      <c r="K1247" s="37"/>
      <c r="L1247" s="74">
        <f t="shared" si="21"/>
        <v>2482</v>
      </c>
    </row>
    <row r="1248" spans="2:12" s="74" customFormat="1" hidden="1" outlineLevel="1">
      <c r="B1248" s="73">
        <v>1242</v>
      </c>
      <c r="C1248" s="39"/>
      <c r="D1248" s="40"/>
      <c r="E1248" s="34" t="s">
        <v>323</v>
      </c>
      <c r="F1248" s="75" t="s">
        <v>1613</v>
      </c>
      <c r="G1248" s="35" t="s">
        <v>370</v>
      </c>
      <c r="H1248" s="41" t="s">
        <v>371</v>
      </c>
      <c r="I1248" s="44" t="str">
        <f>"0x"&amp;AE_w_WORK!H223</f>
        <v>0x0000</v>
      </c>
      <c r="J1248" s="36">
        <v>41458</v>
      </c>
      <c r="K1248" s="37"/>
      <c r="L1248" s="74">
        <f t="shared" si="21"/>
        <v>2484</v>
      </c>
    </row>
    <row r="1249" spans="2:12" s="74" customFormat="1" hidden="1" outlineLevel="1">
      <c r="B1249" s="73">
        <v>1243</v>
      </c>
      <c r="C1249" s="39"/>
      <c r="D1249" s="40"/>
      <c r="E1249" s="34" t="s">
        <v>323</v>
      </c>
      <c r="F1249" s="75" t="s">
        <v>1614</v>
      </c>
      <c r="G1249" s="35" t="s">
        <v>370</v>
      </c>
      <c r="H1249" s="41" t="s">
        <v>371</v>
      </c>
      <c r="I1249" s="44" t="str">
        <f>"0x"&amp;AE_w_WORK!H224</f>
        <v>0x0000</v>
      </c>
      <c r="J1249" s="36">
        <v>41459</v>
      </c>
      <c r="K1249" s="37"/>
      <c r="L1249" s="74">
        <f t="shared" si="21"/>
        <v>2486</v>
      </c>
    </row>
    <row r="1250" spans="2:12" s="74" customFormat="1" hidden="1" outlineLevel="1">
      <c r="B1250" s="73">
        <v>1244</v>
      </c>
      <c r="C1250" s="39"/>
      <c r="D1250" s="40"/>
      <c r="E1250" s="34" t="s">
        <v>323</v>
      </c>
      <c r="F1250" s="75" t="s">
        <v>1615</v>
      </c>
      <c r="G1250" s="35" t="s">
        <v>370</v>
      </c>
      <c r="H1250" s="41" t="s">
        <v>371</v>
      </c>
      <c r="I1250" s="44" t="str">
        <f>"0x"&amp;AE_w_WORK!H225</f>
        <v>0x0000</v>
      </c>
      <c r="J1250" s="36">
        <v>41460</v>
      </c>
      <c r="K1250" s="37"/>
      <c r="L1250" s="74">
        <f t="shared" si="21"/>
        <v>2488</v>
      </c>
    </row>
    <row r="1251" spans="2:12" s="74" customFormat="1" hidden="1" outlineLevel="1">
      <c r="B1251" s="73">
        <v>1245</v>
      </c>
      <c r="C1251" s="39"/>
      <c r="D1251" s="40"/>
      <c r="E1251" s="34" t="s">
        <v>323</v>
      </c>
      <c r="F1251" s="75" t="s">
        <v>1616</v>
      </c>
      <c r="G1251" s="35" t="s">
        <v>370</v>
      </c>
      <c r="H1251" s="41" t="s">
        <v>371</v>
      </c>
      <c r="I1251" s="44" t="str">
        <f>"0x"&amp;AE_w_WORK!H226</f>
        <v>0x0000</v>
      </c>
      <c r="J1251" s="36">
        <v>41461</v>
      </c>
      <c r="K1251" s="37"/>
      <c r="L1251" s="74">
        <f t="shared" si="21"/>
        <v>2490</v>
      </c>
    </row>
    <row r="1252" spans="2:12" s="74" customFormat="1" hidden="1" outlineLevel="1">
      <c r="B1252" s="73">
        <v>1246</v>
      </c>
      <c r="C1252" s="39"/>
      <c r="D1252" s="40"/>
      <c r="E1252" s="34" t="s">
        <v>323</v>
      </c>
      <c r="F1252" s="75" t="s">
        <v>1617</v>
      </c>
      <c r="G1252" s="35" t="s">
        <v>370</v>
      </c>
      <c r="H1252" s="41" t="s">
        <v>371</v>
      </c>
      <c r="I1252" s="44" t="str">
        <f>"0x"&amp;AE_w_WORK!H227</f>
        <v>0x0000</v>
      </c>
      <c r="J1252" s="36">
        <v>41462</v>
      </c>
      <c r="K1252" s="37"/>
      <c r="L1252" s="74">
        <f t="shared" si="21"/>
        <v>2492</v>
      </c>
    </row>
    <row r="1253" spans="2:12" s="74" customFormat="1" hidden="1" outlineLevel="1">
      <c r="B1253" s="73">
        <v>1247</v>
      </c>
      <c r="C1253" s="39"/>
      <c r="D1253" s="40"/>
      <c r="E1253" s="34" t="s">
        <v>323</v>
      </c>
      <c r="F1253" s="75" t="s">
        <v>1618</v>
      </c>
      <c r="G1253" s="35" t="s">
        <v>370</v>
      </c>
      <c r="H1253" s="41" t="s">
        <v>371</v>
      </c>
      <c r="I1253" s="44" t="str">
        <f>"0x"&amp;AE_w_WORK!H228</f>
        <v>0x0000</v>
      </c>
      <c r="J1253" s="36">
        <v>41463</v>
      </c>
      <c r="K1253" s="37"/>
      <c r="L1253" s="74">
        <f t="shared" si="21"/>
        <v>2494</v>
      </c>
    </row>
    <row r="1254" spans="2:12" s="74" customFormat="1" hidden="1" outlineLevel="1">
      <c r="B1254" s="73">
        <v>1248</v>
      </c>
      <c r="C1254" s="39"/>
      <c r="D1254" s="40"/>
      <c r="E1254" s="34" t="s">
        <v>323</v>
      </c>
      <c r="F1254" s="75" t="s">
        <v>1619</v>
      </c>
      <c r="G1254" s="35" t="s">
        <v>370</v>
      </c>
      <c r="H1254" s="41" t="s">
        <v>371</v>
      </c>
      <c r="I1254" s="44" t="str">
        <f>"0x"&amp;AE_w_WORK!H229</f>
        <v>0x0000</v>
      </c>
      <c r="J1254" s="36">
        <v>41464</v>
      </c>
      <c r="K1254" s="37"/>
      <c r="L1254" s="74">
        <f t="shared" si="21"/>
        <v>2496</v>
      </c>
    </row>
    <row r="1255" spans="2:12" s="74" customFormat="1" hidden="1" outlineLevel="1">
      <c r="B1255" s="73">
        <v>1249</v>
      </c>
      <c r="C1255" s="39"/>
      <c r="D1255" s="40"/>
      <c r="E1255" s="34" t="s">
        <v>323</v>
      </c>
      <c r="F1255" s="75" t="s">
        <v>1620</v>
      </c>
      <c r="G1255" s="35" t="s">
        <v>370</v>
      </c>
      <c r="H1255" s="41" t="s">
        <v>371</v>
      </c>
      <c r="I1255" s="44" t="str">
        <f>"0x"&amp;AE_w_WORK!H230</f>
        <v>0x0000</v>
      </c>
      <c r="J1255" s="36">
        <v>41465</v>
      </c>
      <c r="K1255" s="37"/>
      <c r="L1255" s="74">
        <f t="shared" si="21"/>
        <v>2498</v>
      </c>
    </row>
    <row r="1256" spans="2:12" s="74" customFormat="1" hidden="1" outlineLevel="1">
      <c r="B1256" s="73">
        <v>1250</v>
      </c>
      <c r="C1256" s="39"/>
      <c r="D1256" s="40"/>
      <c r="E1256" s="34" t="s">
        <v>323</v>
      </c>
      <c r="F1256" s="75" t="s">
        <v>1621</v>
      </c>
      <c r="G1256" s="35" t="s">
        <v>370</v>
      </c>
      <c r="H1256" s="41" t="s">
        <v>371</v>
      </c>
      <c r="I1256" s="44" t="str">
        <f>"0x"&amp;AE_w_WORK!H231</f>
        <v>0x0000</v>
      </c>
      <c r="J1256" s="36">
        <v>41466</v>
      </c>
      <c r="K1256" s="37"/>
      <c r="L1256" s="74">
        <f t="shared" si="21"/>
        <v>2500</v>
      </c>
    </row>
    <row r="1257" spans="2:12" s="74" customFormat="1" hidden="1" outlineLevel="1">
      <c r="B1257" s="73">
        <v>1251</v>
      </c>
      <c r="C1257" s="39"/>
      <c r="D1257" s="40"/>
      <c r="E1257" s="34" t="s">
        <v>323</v>
      </c>
      <c r="F1257" s="75" t="s">
        <v>1622</v>
      </c>
      <c r="G1257" s="35" t="s">
        <v>370</v>
      </c>
      <c r="H1257" s="41" t="s">
        <v>371</v>
      </c>
      <c r="I1257" s="44" t="str">
        <f>"0x"&amp;AE_w_WORK!H232</f>
        <v>0x0000</v>
      </c>
      <c r="J1257" s="36">
        <v>41467</v>
      </c>
      <c r="K1257" s="37"/>
      <c r="L1257" s="74">
        <f t="shared" si="21"/>
        <v>2502</v>
      </c>
    </row>
    <row r="1258" spans="2:12" s="74" customFormat="1" hidden="1" outlineLevel="1">
      <c r="B1258" s="73">
        <v>1252</v>
      </c>
      <c r="C1258" s="39"/>
      <c r="D1258" s="40"/>
      <c r="E1258" s="34" t="s">
        <v>323</v>
      </c>
      <c r="F1258" s="75" t="s">
        <v>1623</v>
      </c>
      <c r="G1258" s="35" t="s">
        <v>370</v>
      </c>
      <c r="H1258" s="41" t="s">
        <v>371</v>
      </c>
      <c r="I1258" s="44" t="str">
        <f>"0x"&amp;AE_w_WORK!H233</f>
        <v>0x0000</v>
      </c>
      <c r="J1258" s="36">
        <v>41468</v>
      </c>
      <c r="K1258" s="37"/>
      <c r="L1258" s="74">
        <f t="shared" si="21"/>
        <v>2504</v>
      </c>
    </row>
    <row r="1259" spans="2:12" s="74" customFormat="1" hidden="1" outlineLevel="1">
      <c r="B1259" s="73">
        <v>1253</v>
      </c>
      <c r="C1259" s="39"/>
      <c r="D1259" s="40"/>
      <c r="E1259" s="34" t="s">
        <v>323</v>
      </c>
      <c r="F1259" s="75" t="s">
        <v>1624</v>
      </c>
      <c r="G1259" s="35" t="s">
        <v>370</v>
      </c>
      <c r="H1259" s="41" t="s">
        <v>371</v>
      </c>
      <c r="I1259" s="44" t="str">
        <f>"0x"&amp;AE_w_WORK!H234</f>
        <v>0x0000</v>
      </c>
      <c r="J1259" s="36">
        <v>41469</v>
      </c>
      <c r="K1259" s="37"/>
      <c r="L1259" s="74">
        <f t="shared" si="21"/>
        <v>2506</v>
      </c>
    </row>
    <row r="1260" spans="2:12" s="74" customFormat="1" hidden="1" outlineLevel="1">
      <c r="B1260" s="73">
        <v>1254</v>
      </c>
      <c r="C1260" s="39"/>
      <c r="D1260" s="40"/>
      <c r="E1260" s="34" t="s">
        <v>323</v>
      </c>
      <c r="F1260" s="75" t="s">
        <v>1625</v>
      </c>
      <c r="G1260" s="35" t="s">
        <v>370</v>
      </c>
      <c r="H1260" s="41" t="s">
        <v>371</v>
      </c>
      <c r="I1260" s="44" t="str">
        <f>"0x"&amp;AE_w_WORK!H235</f>
        <v>0x0000</v>
      </c>
      <c r="J1260" s="36">
        <v>41470</v>
      </c>
      <c r="K1260" s="37"/>
      <c r="L1260" s="74">
        <f t="shared" si="21"/>
        <v>2508</v>
      </c>
    </row>
    <row r="1261" spans="2:12" s="74" customFormat="1" hidden="1" outlineLevel="1">
      <c r="B1261" s="73">
        <v>1255</v>
      </c>
      <c r="C1261" s="39"/>
      <c r="D1261" s="40"/>
      <c r="E1261" s="34" t="s">
        <v>323</v>
      </c>
      <c r="F1261" s="75" t="s">
        <v>1626</v>
      </c>
      <c r="G1261" s="35" t="s">
        <v>370</v>
      </c>
      <c r="H1261" s="41" t="s">
        <v>371</v>
      </c>
      <c r="I1261" s="44" t="str">
        <f>"0x"&amp;AE_w_WORK!H236</f>
        <v>0x0000</v>
      </c>
      <c r="J1261" s="36">
        <v>41471</v>
      </c>
      <c r="K1261" s="37"/>
      <c r="L1261" s="74">
        <f t="shared" si="21"/>
        <v>2510</v>
      </c>
    </row>
    <row r="1262" spans="2:12" s="74" customFormat="1" hidden="1" outlineLevel="1">
      <c r="B1262" s="73">
        <v>1256</v>
      </c>
      <c r="C1262" s="39"/>
      <c r="D1262" s="40"/>
      <c r="E1262" s="34" t="s">
        <v>323</v>
      </c>
      <c r="F1262" s="75" t="s">
        <v>1627</v>
      </c>
      <c r="G1262" s="35" t="s">
        <v>370</v>
      </c>
      <c r="H1262" s="41" t="s">
        <v>371</v>
      </c>
      <c r="I1262" s="44" t="str">
        <f>"0x"&amp;AE_w_WORK!H237</f>
        <v>0x0000</v>
      </c>
      <c r="J1262" s="36">
        <v>41472</v>
      </c>
      <c r="K1262" s="37"/>
      <c r="L1262" s="74">
        <f t="shared" si="21"/>
        <v>2512</v>
      </c>
    </row>
    <row r="1263" spans="2:12" s="74" customFormat="1" hidden="1" outlineLevel="1">
      <c r="B1263" s="73">
        <v>1257</v>
      </c>
      <c r="C1263" s="39"/>
      <c r="D1263" s="40"/>
      <c r="E1263" s="34" t="s">
        <v>323</v>
      </c>
      <c r="F1263" s="75" t="s">
        <v>1628</v>
      </c>
      <c r="G1263" s="35" t="s">
        <v>370</v>
      </c>
      <c r="H1263" s="41" t="s">
        <v>371</v>
      </c>
      <c r="I1263" s="44" t="str">
        <f>"0x"&amp;AE_w_WORK!H238</f>
        <v>0x0000</v>
      </c>
      <c r="J1263" s="36">
        <v>41473</v>
      </c>
      <c r="K1263" s="37"/>
      <c r="L1263" s="74">
        <f t="shared" si="21"/>
        <v>2514</v>
      </c>
    </row>
    <row r="1264" spans="2:12" s="74" customFormat="1" hidden="1" outlineLevel="1">
      <c r="B1264" s="73">
        <v>1258</v>
      </c>
      <c r="C1264" s="39"/>
      <c r="D1264" s="40"/>
      <c r="E1264" s="34" t="s">
        <v>323</v>
      </c>
      <c r="F1264" s="75" t="s">
        <v>1629</v>
      </c>
      <c r="G1264" s="35" t="s">
        <v>370</v>
      </c>
      <c r="H1264" s="41" t="s">
        <v>371</v>
      </c>
      <c r="I1264" s="44" t="str">
        <f>"0x"&amp;AE_w_WORK!H239</f>
        <v>0x0000</v>
      </c>
      <c r="J1264" s="36">
        <v>41474</v>
      </c>
      <c r="K1264" s="37"/>
      <c r="L1264" s="74">
        <f t="shared" si="21"/>
        <v>2516</v>
      </c>
    </row>
    <row r="1265" spans="2:12" s="74" customFormat="1" hidden="1" outlineLevel="1">
      <c r="B1265" s="73">
        <v>1259</v>
      </c>
      <c r="C1265" s="39"/>
      <c r="D1265" s="40"/>
      <c r="E1265" s="34" t="s">
        <v>323</v>
      </c>
      <c r="F1265" s="75" t="s">
        <v>1630</v>
      </c>
      <c r="G1265" s="35" t="s">
        <v>370</v>
      </c>
      <c r="H1265" s="41" t="s">
        <v>371</v>
      </c>
      <c r="I1265" s="44" t="str">
        <f>"0x"&amp;AE_w_WORK!H240</f>
        <v>0x0000</v>
      </c>
      <c r="J1265" s="36">
        <v>41475</v>
      </c>
      <c r="K1265" s="37"/>
      <c r="L1265" s="74">
        <f t="shared" si="21"/>
        <v>2518</v>
      </c>
    </row>
    <row r="1266" spans="2:12" s="74" customFormat="1" hidden="1" outlineLevel="1">
      <c r="B1266" s="73">
        <v>1260</v>
      </c>
      <c r="C1266" s="39"/>
      <c r="D1266" s="40"/>
      <c r="E1266" s="34" t="s">
        <v>323</v>
      </c>
      <c r="F1266" s="75" t="s">
        <v>1631</v>
      </c>
      <c r="G1266" s="35" t="s">
        <v>370</v>
      </c>
      <c r="H1266" s="41" t="s">
        <v>371</v>
      </c>
      <c r="I1266" s="44" t="str">
        <f>"0x"&amp;AE_w_WORK!H241</f>
        <v>0x0000</v>
      </c>
      <c r="J1266" s="36">
        <v>41476</v>
      </c>
      <c r="K1266" s="37"/>
      <c r="L1266" s="74">
        <f t="shared" si="21"/>
        <v>2520</v>
      </c>
    </row>
    <row r="1267" spans="2:12" s="74" customFormat="1" hidden="1" outlineLevel="1">
      <c r="B1267" s="73">
        <v>1261</v>
      </c>
      <c r="C1267" s="39"/>
      <c r="D1267" s="40"/>
      <c r="E1267" s="34" t="s">
        <v>323</v>
      </c>
      <c r="F1267" s="75" t="s">
        <v>1632</v>
      </c>
      <c r="G1267" s="35" t="s">
        <v>370</v>
      </c>
      <c r="H1267" s="41" t="s">
        <v>371</v>
      </c>
      <c r="I1267" s="44" t="str">
        <f>"0x"&amp;AE_w_WORK!H242</f>
        <v>0x0000</v>
      </c>
      <c r="J1267" s="36">
        <v>41477</v>
      </c>
      <c r="K1267" s="37"/>
      <c r="L1267" s="74">
        <f t="shared" si="21"/>
        <v>2522</v>
      </c>
    </row>
    <row r="1268" spans="2:12" s="74" customFormat="1" hidden="1" outlineLevel="1">
      <c r="B1268" s="73">
        <v>1262</v>
      </c>
      <c r="C1268" s="39"/>
      <c r="D1268" s="40"/>
      <c r="E1268" s="34" t="s">
        <v>323</v>
      </c>
      <c r="F1268" s="75" t="s">
        <v>1633</v>
      </c>
      <c r="G1268" s="35" t="s">
        <v>370</v>
      </c>
      <c r="H1268" s="41" t="s">
        <v>371</v>
      </c>
      <c r="I1268" s="44" t="str">
        <f>"0x"&amp;AE_w_WORK!H243</f>
        <v>0x0000</v>
      </c>
      <c r="J1268" s="36">
        <v>41478</v>
      </c>
      <c r="K1268" s="37"/>
      <c r="L1268" s="74">
        <f t="shared" si="21"/>
        <v>2524</v>
      </c>
    </row>
    <row r="1269" spans="2:12" s="74" customFormat="1" hidden="1" outlineLevel="1">
      <c r="B1269" s="73">
        <v>1263</v>
      </c>
      <c r="C1269" s="39"/>
      <c r="D1269" s="40"/>
      <c r="E1269" s="34" t="s">
        <v>323</v>
      </c>
      <c r="F1269" s="75" t="s">
        <v>1634</v>
      </c>
      <c r="G1269" s="35" t="s">
        <v>370</v>
      </c>
      <c r="H1269" s="41" t="s">
        <v>371</v>
      </c>
      <c r="I1269" s="44" t="str">
        <f>"0x"&amp;AE_w_WORK!H244</f>
        <v>0x0000</v>
      </c>
      <c r="J1269" s="36">
        <v>41479</v>
      </c>
      <c r="K1269" s="37"/>
      <c r="L1269" s="74">
        <f t="shared" si="21"/>
        <v>2526</v>
      </c>
    </row>
    <row r="1270" spans="2:12" s="74" customFormat="1" hidden="1" outlineLevel="1">
      <c r="B1270" s="73">
        <v>1264</v>
      </c>
      <c r="C1270" s="39"/>
      <c r="D1270" s="40"/>
      <c r="E1270" s="34" t="s">
        <v>323</v>
      </c>
      <c r="F1270" s="75" t="s">
        <v>1635</v>
      </c>
      <c r="G1270" s="35" t="s">
        <v>370</v>
      </c>
      <c r="H1270" s="41" t="s">
        <v>371</v>
      </c>
      <c r="I1270" s="44" t="str">
        <f>"0x"&amp;AE_w_WORK!H245</f>
        <v>0x0000</v>
      </c>
      <c r="J1270" s="36">
        <v>41480</v>
      </c>
      <c r="K1270" s="37"/>
      <c r="L1270" s="74">
        <f t="shared" si="21"/>
        <v>2528</v>
      </c>
    </row>
    <row r="1271" spans="2:12" s="74" customFormat="1" hidden="1" outlineLevel="1">
      <c r="B1271" s="73">
        <v>1265</v>
      </c>
      <c r="C1271" s="39"/>
      <c r="D1271" s="40"/>
      <c r="E1271" s="34" t="s">
        <v>323</v>
      </c>
      <c r="F1271" s="75" t="s">
        <v>1636</v>
      </c>
      <c r="G1271" s="35" t="s">
        <v>370</v>
      </c>
      <c r="H1271" s="41" t="s">
        <v>371</v>
      </c>
      <c r="I1271" s="44" t="str">
        <f>"0x"&amp;AE_w_WORK!H246</f>
        <v>0x0000</v>
      </c>
      <c r="J1271" s="36">
        <v>41481</v>
      </c>
      <c r="K1271" s="37"/>
      <c r="L1271" s="74">
        <f t="shared" si="21"/>
        <v>2530</v>
      </c>
    </row>
    <row r="1272" spans="2:12" s="74" customFormat="1" hidden="1" outlineLevel="1">
      <c r="B1272" s="73">
        <v>1266</v>
      </c>
      <c r="C1272" s="39"/>
      <c r="D1272" s="40"/>
      <c r="E1272" s="34" t="s">
        <v>323</v>
      </c>
      <c r="F1272" s="75" t="s">
        <v>1637</v>
      </c>
      <c r="G1272" s="35" t="s">
        <v>370</v>
      </c>
      <c r="H1272" s="41" t="s">
        <v>371</v>
      </c>
      <c r="I1272" s="44" t="str">
        <f>"0x"&amp;AE_w_WORK!H247</f>
        <v>0x0000</v>
      </c>
      <c r="J1272" s="36">
        <v>41482</v>
      </c>
      <c r="K1272" s="37"/>
      <c r="L1272" s="74">
        <f t="shared" si="21"/>
        <v>2532</v>
      </c>
    </row>
    <row r="1273" spans="2:12" s="74" customFormat="1" hidden="1" outlineLevel="1">
      <c r="B1273" s="73">
        <v>1267</v>
      </c>
      <c r="C1273" s="39"/>
      <c r="D1273" s="40"/>
      <c r="E1273" s="34" t="s">
        <v>323</v>
      </c>
      <c r="F1273" s="75" t="s">
        <v>1638</v>
      </c>
      <c r="G1273" s="35" t="s">
        <v>370</v>
      </c>
      <c r="H1273" s="41" t="s">
        <v>371</v>
      </c>
      <c r="I1273" s="44" t="str">
        <f>"0x"&amp;AE_w_WORK!H248</f>
        <v>0x0000</v>
      </c>
      <c r="J1273" s="36">
        <v>41483</v>
      </c>
      <c r="K1273" s="37"/>
      <c r="L1273" s="74">
        <f t="shared" si="21"/>
        <v>2534</v>
      </c>
    </row>
    <row r="1274" spans="2:12" s="74" customFormat="1" hidden="1" outlineLevel="1">
      <c r="B1274" s="73">
        <v>1268</v>
      </c>
      <c r="C1274" s="39"/>
      <c r="D1274" s="40"/>
      <c r="E1274" s="34" t="s">
        <v>323</v>
      </c>
      <c r="F1274" s="75" t="s">
        <v>1639</v>
      </c>
      <c r="G1274" s="35" t="s">
        <v>370</v>
      </c>
      <c r="H1274" s="41" t="s">
        <v>371</v>
      </c>
      <c r="I1274" s="44" t="str">
        <f>"0x"&amp;AE_w_WORK!H249</f>
        <v>0x0000</v>
      </c>
      <c r="J1274" s="36">
        <v>41484</v>
      </c>
      <c r="K1274" s="37"/>
      <c r="L1274" s="74">
        <f t="shared" si="21"/>
        <v>2536</v>
      </c>
    </row>
    <row r="1275" spans="2:12" s="74" customFormat="1" hidden="1" outlineLevel="1">
      <c r="B1275" s="73">
        <v>1269</v>
      </c>
      <c r="C1275" s="39"/>
      <c r="D1275" s="40"/>
      <c r="E1275" s="34" t="s">
        <v>323</v>
      </c>
      <c r="F1275" s="75" t="s">
        <v>1640</v>
      </c>
      <c r="G1275" s="35" t="s">
        <v>370</v>
      </c>
      <c r="H1275" s="41" t="s">
        <v>371</v>
      </c>
      <c r="I1275" s="44" t="str">
        <f>"0x"&amp;AE_w_WORK!H250</f>
        <v>0x0000</v>
      </c>
      <c r="J1275" s="36">
        <v>41485</v>
      </c>
      <c r="K1275" s="37"/>
      <c r="L1275" s="74">
        <f t="shared" si="21"/>
        <v>2538</v>
      </c>
    </row>
    <row r="1276" spans="2:12" s="74" customFormat="1" hidden="1" outlineLevel="1">
      <c r="B1276" s="73">
        <v>1270</v>
      </c>
      <c r="C1276" s="39"/>
      <c r="D1276" s="40"/>
      <c r="E1276" s="34" t="s">
        <v>323</v>
      </c>
      <c r="F1276" s="75" t="s">
        <v>1641</v>
      </c>
      <c r="G1276" s="35" t="s">
        <v>370</v>
      </c>
      <c r="H1276" s="41" t="s">
        <v>371</v>
      </c>
      <c r="I1276" s="44" t="str">
        <f>"0x"&amp;AE_w_WORK!H251</f>
        <v>0x0000</v>
      </c>
      <c r="J1276" s="36">
        <v>41486</v>
      </c>
      <c r="K1276" s="37"/>
      <c r="L1276" s="74">
        <f t="shared" si="21"/>
        <v>2540</v>
      </c>
    </row>
    <row r="1277" spans="2:12" s="74" customFormat="1" hidden="1" outlineLevel="1">
      <c r="B1277" s="73">
        <v>1271</v>
      </c>
      <c r="C1277" s="39"/>
      <c r="D1277" s="40"/>
      <c r="E1277" s="34" t="s">
        <v>323</v>
      </c>
      <c r="F1277" s="75" t="s">
        <v>1642</v>
      </c>
      <c r="G1277" s="35" t="s">
        <v>370</v>
      </c>
      <c r="H1277" s="41" t="s">
        <v>371</v>
      </c>
      <c r="I1277" s="44" t="str">
        <f>"0x"&amp;AE_w_WORK!H252</f>
        <v>0x0000</v>
      </c>
      <c r="J1277" s="36">
        <v>41487</v>
      </c>
      <c r="K1277" s="37"/>
      <c r="L1277" s="74">
        <f t="shared" si="21"/>
        <v>2542</v>
      </c>
    </row>
    <row r="1278" spans="2:12" s="74" customFormat="1" hidden="1" outlineLevel="1">
      <c r="B1278" s="73">
        <v>1272</v>
      </c>
      <c r="C1278" s="39"/>
      <c r="D1278" s="40"/>
      <c r="E1278" s="34" t="s">
        <v>323</v>
      </c>
      <c r="F1278" s="75" t="s">
        <v>1643</v>
      </c>
      <c r="G1278" s="35" t="s">
        <v>370</v>
      </c>
      <c r="H1278" s="41" t="s">
        <v>371</v>
      </c>
      <c r="I1278" s="44" t="str">
        <f>"0x"&amp;AE_w_WORK!H253</f>
        <v>0x0000</v>
      </c>
      <c r="J1278" s="36">
        <v>41488</v>
      </c>
      <c r="K1278" s="37"/>
      <c r="L1278" s="74">
        <f t="shared" si="21"/>
        <v>2544</v>
      </c>
    </row>
    <row r="1279" spans="2:12" s="74" customFormat="1" hidden="1" outlineLevel="1">
      <c r="B1279" s="73">
        <v>1273</v>
      </c>
      <c r="C1279" s="39"/>
      <c r="D1279" s="40"/>
      <c r="E1279" s="34" t="s">
        <v>323</v>
      </c>
      <c r="F1279" s="75" t="s">
        <v>1644</v>
      </c>
      <c r="G1279" s="35" t="s">
        <v>370</v>
      </c>
      <c r="H1279" s="41" t="s">
        <v>371</v>
      </c>
      <c r="I1279" s="44" t="str">
        <f>"0x"&amp;AE_w_WORK!H254</f>
        <v>0x0000</v>
      </c>
      <c r="J1279" s="36">
        <v>41489</v>
      </c>
      <c r="K1279" s="37"/>
      <c r="L1279" s="74">
        <f t="shared" si="21"/>
        <v>2546</v>
      </c>
    </row>
    <row r="1280" spans="2:12" s="74" customFormat="1" hidden="1" outlineLevel="1">
      <c r="B1280" s="73">
        <v>1274</v>
      </c>
      <c r="C1280" s="39"/>
      <c r="D1280" s="40"/>
      <c r="E1280" s="34" t="s">
        <v>323</v>
      </c>
      <c r="F1280" s="75" t="s">
        <v>1645</v>
      </c>
      <c r="G1280" s="35" t="s">
        <v>370</v>
      </c>
      <c r="H1280" s="41" t="s">
        <v>371</v>
      </c>
      <c r="I1280" s="44" t="str">
        <f>"0x"&amp;AE_w_WORK!H255</f>
        <v>0x0000</v>
      </c>
      <c r="J1280" s="36">
        <v>41490</v>
      </c>
      <c r="K1280" s="37"/>
      <c r="L1280" s="74">
        <f t="shared" si="21"/>
        <v>2548</v>
      </c>
    </row>
    <row r="1281" spans="2:12" s="74" customFormat="1" hidden="1" outlineLevel="1">
      <c r="B1281" s="73">
        <v>1275</v>
      </c>
      <c r="C1281" s="39"/>
      <c r="D1281" s="40"/>
      <c r="E1281" s="34" t="s">
        <v>323</v>
      </c>
      <c r="F1281" s="75" t="s">
        <v>1646</v>
      </c>
      <c r="G1281" s="35" t="s">
        <v>370</v>
      </c>
      <c r="H1281" s="41" t="s">
        <v>371</v>
      </c>
      <c r="I1281" s="44" t="str">
        <f>"0x"&amp;AE_w_WORK!H256</f>
        <v>0x0000</v>
      </c>
      <c r="J1281" s="36">
        <v>41491</v>
      </c>
      <c r="K1281" s="37"/>
      <c r="L1281" s="74">
        <f t="shared" si="21"/>
        <v>2550</v>
      </c>
    </row>
    <row r="1282" spans="2:12" s="74" customFormat="1" hidden="1" outlineLevel="1">
      <c r="B1282" s="73">
        <v>1276</v>
      </c>
      <c r="C1282" s="39"/>
      <c r="D1282" s="40"/>
      <c r="E1282" s="34" t="s">
        <v>323</v>
      </c>
      <c r="F1282" s="75" t="s">
        <v>1647</v>
      </c>
      <c r="G1282" s="35" t="s">
        <v>370</v>
      </c>
      <c r="H1282" s="41" t="s">
        <v>371</v>
      </c>
      <c r="I1282" s="44" t="str">
        <f>"0x"&amp;AE_w_WORK!H257</f>
        <v>0x0000</v>
      </c>
      <c r="J1282" s="36">
        <v>41492</v>
      </c>
      <c r="K1282" s="37"/>
      <c r="L1282" s="74">
        <f t="shared" si="21"/>
        <v>2552</v>
      </c>
    </row>
    <row r="1283" spans="2:12" s="74" customFormat="1" hidden="1" outlineLevel="1">
      <c r="B1283" s="73">
        <v>1277</v>
      </c>
      <c r="C1283" s="39"/>
      <c r="D1283" s="40"/>
      <c r="E1283" s="34" t="s">
        <v>323</v>
      </c>
      <c r="F1283" s="75" t="s">
        <v>1648</v>
      </c>
      <c r="G1283" s="35" t="s">
        <v>370</v>
      </c>
      <c r="H1283" s="41" t="s">
        <v>371</v>
      </c>
      <c r="I1283" s="44" t="str">
        <f>"0x"&amp;AE_w_WORK!H258</f>
        <v>0x0000</v>
      </c>
      <c r="J1283" s="36">
        <v>41493</v>
      </c>
      <c r="K1283" s="37"/>
      <c r="L1283" s="74">
        <f t="shared" si="21"/>
        <v>2554</v>
      </c>
    </row>
    <row r="1284" spans="2:12" s="74" customFormat="1" hidden="1" outlineLevel="1">
      <c r="B1284" s="73">
        <v>1278</v>
      </c>
      <c r="C1284" s="39"/>
      <c r="D1284" s="40"/>
      <c r="E1284" s="34" t="s">
        <v>323</v>
      </c>
      <c r="F1284" s="75" t="s">
        <v>1649</v>
      </c>
      <c r="G1284" s="35" t="s">
        <v>370</v>
      </c>
      <c r="H1284" s="41" t="s">
        <v>371</v>
      </c>
      <c r="I1284" s="44" t="str">
        <f>"0x"&amp;AE_w_WORK!H259</f>
        <v>0x0000</v>
      </c>
      <c r="J1284" s="36">
        <v>41494</v>
      </c>
      <c r="K1284" s="37"/>
      <c r="L1284" s="74">
        <f t="shared" si="21"/>
        <v>2556</v>
      </c>
    </row>
    <row r="1285" spans="2:12" s="74" customFormat="1" hidden="1" outlineLevel="1">
      <c r="B1285" s="73">
        <v>1279</v>
      </c>
      <c r="C1285" s="39"/>
      <c r="D1285" s="40"/>
      <c r="E1285" s="34" t="s">
        <v>323</v>
      </c>
      <c r="F1285" s="75" t="s">
        <v>1650</v>
      </c>
      <c r="G1285" s="35" t="s">
        <v>370</v>
      </c>
      <c r="H1285" s="41" t="s">
        <v>371</v>
      </c>
      <c r="I1285" s="44" t="str">
        <f>"0x"&amp;AE_w_WORK!H260</f>
        <v>0x0000</v>
      </c>
      <c r="J1285" s="36">
        <v>41495</v>
      </c>
      <c r="K1285" s="37"/>
      <c r="L1285" s="74">
        <f t="shared" si="21"/>
        <v>2558</v>
      </c>
    </row>
    <row r="1286" spans="2:12" s="74" customFormat="1" hidden="1" outlineLevel="1">
      <c r="B1286" s="73">
        <v>1280</v>
      </c>
      <c r="C1286" s="39"/>
      <c r="D1286" s="40"/>
      <c r="E1286" s="34" t="s">
        <v>323</v>
      </c>
      <c r="F1286" s="75" t="s">
        <v>1651</v>
      </c>
      <c r="G1286" s="35" t="s">
        <v>370</v>
      </c>
      <c r="H1286" s="41" t="s">
        <v>371</v>
      </c>
      <c r="I1286" s="44" t="str">
        <f>"0x"&amp;AE_w_WORK!H261</f>
        <v>0x0000</v>
      </c>
      <c r="J1286" s="36">
        <v>41496</v>
      </c>
      <c r="K1286" s="37"/>
      <c r="L1286" s="74">
        <f t="shared" si="21"/>
        <v>2560</v>
      </c>
    </row>
    <row r="1287" spans="2:12" s="74" customFormat="1" collapsed="1">
      <c r="B1287" s="73">
        <v>1281</v>
      </c>
      <c r="C1287" s="39"/>
      <c r="D1287" s="40"/>
      <c r="E1287" s="34" t="s">
        <v>323</v>
      </c>
      <c r="F1287" s="75" t="s">
        <v>1652</v>
      </c>
      <c r="G1287" s="35" t="s">
        <v>370</v>
      </c>
      <c r="H1287" s="41" t="s">
        <v>371</v>
      </c>
      <c r="I1287" s="44" t="str">
        <f>"0x"&amp;AE_w_WORK!I6</f>
        <v>0x0000</v>
      </c>
      <c r="J1287" s="36">
        <v>41497</v>
      </c>
      <c r="K1287" s="37" t="s">
        <v>327</v>
      </c>
      <c r="L1287" s="74">
        <f t="shared" si="21"/>
        <v>2562</v>
      </c>
    </row>
    <row r="1288" spans="2:12" s="74" customFormat="1" hidden="1" outlineLevel="1">
      <c r="B1288" s="73">
        <v>1282</v>
      </c>
      <c r="C1288" s="39"/>
      <c r="D1288" s="40"/>
      <c r="E1288" s="34" t="s">
        <v>323</v>
      </c>
      <c r="F1288" s="75" t="s">
        <v>1653</v>
      </c>
      <c r="G1288" s="35" t="s">
        <v>370</v>
      </c>
      <c r="H1288" s="41" t="s">
        <v>371</v>
      </c>
      <c r="I1288" s="44" t="str">
        <f>"0x"&amp;AE_w_WORK!I7</f>
        <v>0x0000</v>
      </c>
      <c r="J1288" s="36">
        <v>41498</v>
      </c>
      <c r="K1288" s="37"/>
      <c r="L1288" s="74">
        <f t="shared" si="21"/>
        <v>2564</v>
      </c>
    </row>
    <row r="1289" spans="2:12" s="74" customFormat="1" hidden="1" outlineLevel="1">
      <c r="B1289" s="73">
        <v>1283</v>
      </c>
      <c r="C1289" s="39"/>
      <c r="D1289" s="40"/>
      <c r="E1289" s="34" t="s">
        <v>323</v>
      </c>
      <c r="F1289" s="75" t="s">
        <v>1654</v>
      </c>
      <c r="G1289" s="35" t="s">
        <v>370</v>
      </c>
      <c r="H1289" s="41" t="s">
        <v>371</v>
      </c>
      <c r="I1289" s="44" t="str">
        <f>"0x"&amp;AE_w_WORK!I8</f>
        <v>0x0000</v>
      </c>
      <c r="J1289" s="36">
        <v>41499</v>
      </c>
      <c r="K1289" s="37"/>
      <c r="L1289" s="74">
        <f t="shared" ref="L1289:L1352" si="22">L1288+2</f>
        <v>2566</v>
      </c>
    </row>
    <row r="1290" spans="2:12" s="74" customFormat="1" hidden="1" outlineLevel="1">
      <c r="B1290" s="73">
        <v>1284</v>
      </c>
      <c r="C1290" s="39"/>
      <c r="D1290" s="40"/>
      <c r="E1290" s="34" t="s">
        <v>323</v>
      </c>
      <c r="F1290" s="75" t="s">
        <v>1655</v>
      </c>
      <c r="G1290" s="35" t="s">
        <v>370</v>
      </c>
      <c r="H1290" s="41" t="s">
        <v>371</v>
      </c>
      <c r="I1290" s="44" t="str">
        <f>"0x"&amp;AE_w_WORK!I9</f>
        <v>0x0000</v>
      </c>
      <c r="J1290" s="36">
        <v>41500</v>
      </c>
      <c r="K1290" s="37"/>
      <c r="L1290" s="74">
        <f t="shared" si="22"/>
        <v>2568</v>
      </c>
    </row>
    <row r="1291" spans="2:12" s="74" customFormat="1" hidden="1" outlineLevel="1">
      <c r="B1291" s="73">
        <v>1285</v>
      </c>
      <c r="C1291" s="39"/>
      <c r="D1291" s="40"/>
      <c r="E1291" s="34" t="s">
        <v>323</v>
      </c>
      <c r="F1291" s="75" t="s">
        <v>1656</v>
      </c>
      <c r="G1291" s="35" t="s">
        <v>370</v>
      </c>
      <c r="H1291" s="41" t="s">
        <v>371</v>
      </c>
      <c r="I1291" s="44" t="str">
        <f>"0x"&amp;AE_w_WORK!I10</f>
        <v>0x0000</v>
      </c>
      <c r="J1291" s="36">
        <v>41501</v>
      </c>
      <c r="K1291" s="37"/>
      <c r="L1291" s="74">
        <f t="shared" si="22"/>
        <v>2570</v>
      </c>
    </row>
    <row r="1292" spans="2:12" s="74" customFormat="1" hidden="1" outlineLevel="1">
      <c r="B1292" s="73">
        <v>1286</v>
      </c>
      <c r="C1292" s="39"/>
      <c r="D1292" s="40"/>
      <c r="E1292" s="34" t="s">
        <v>323</v>
      </c>
      <c r="F1292" s="75" t="s">
        <v>1657</v>
      </c>
      <c r="G1292" s="35" t="s">
        <v>370</v>
      </c>
      <c r="H1292" s="41" t="s">
        <v>371</v>
      </c>
      <c r="I1292" s="44" t="str">
        <f>"0x"&amp;AE_w_WORK!I11</f>
        <v>0x0000</v>
      </c>
      <c r="J1292" s="36">
        <v>41502</v>
      </c>
      <c r="K1292" s="37"/>
      <c r="L1292" s="74">
        <f t="shared" si="22"/>
        <v>2572</v>
      </c>
    </row>
    <row r="1293" spans="2:12" s="74" customFormat="1" hidden="1" outlineLevel="1">
      <c r="B1293" s="73">
        <v>1287</v>
      </c>
      <c r="C1293" s="39"/>
      <c r="D1293" s="40"/>
      <c r="E1293" s="34" t="s">
        <v>323</v>
      </c>
      <c r="F1293" s="75" t="s">
        <v>1658</v>
      </c>
      <c r="G1293" s="35" t="s">
        <v>370</v>
      </c>
      <c r="H1293" s="41" t="s">
        <v>371</v>
      </c>
      <c r="I1293" s="44" t="str">
        <f>"0x"&amp;AE_w_WORK!I12</f>
        <v>0x0000</v>
      </c>
      <c r="J1293" s="36">
        <v>41503</v>
      </c>
      <c r="K1293" s="37"/>
      <c r="L1293" s="74">
        <f t="shared" si="22"/>
        <v>2574</v>
      </c>
    </row>
    <row r="1294" spans="2:12" s="74" customFormat="1" hidden="1" outlineLevel="1">
      <c r="B1294" s="73">
        <v>1288</v>
      </c>
      <c r="C1294" s="39"/>
      <c r="D1294" s="40"/>
      <c r="E1294" s="34" t="s">
        <v>323</v>
      </c>
      <c r="F1294" s="75" t="s">
        <v>1659</v>
      </c>
      <c r="G1294" s="35" t="s">
        <v>370</v>
      </c>
      <c r="H1294" s="41" t="s">
        <v>371</v>
      </c>
      <c r="I1294" s="44" t="str">
        <f>"0x"&amp;AE_w_WORK!I13</f>
        <v>0x0000</v>
      </c>
      <c r="J1294" s="36">
        <v>41504</v>
      </c>
      <c r="K1294" s="37"/>
      <c r="L1294" s="74">
        <f t="shared" si="22"/>
        <v>2576</v>
      </c>
    </row>
    <row r="1295" spans="2:12" s="74" customFormat="1" hidden="1" outlineLevel="1">
      <c r="B1295" s="73">
        <v>1289</v>
      </c>
      <c r="C1295" s="39"/>
      <c r="D1295" s="40"/>
      <c r="E1295" s="34" t="s">
        <v>323</v>
      </c>
      <c r="F1295" s="75" t="s">
        <v>1660</v>
      </c>
      <c r="G1295" s="35" t="s">
        <v>370</v>
      </c>
      <c r="H1295" s="41" t="s">
        <v>371</v>
      </c>
      <c r="I1295" s="44" t="str">
        <f>"0x"&amp;AE_w_WORK!I14</f>
        <v>0x0000</v>
      </c>
      <c r="J1295" s="36">
        <v>41505</v>
      </c>
      <c r="K1295" s="37"/>
      <c r="L1295" s="74">
        <f t="shared" si="22"/>
        <v>2578</v>
      </c>
    </row>
    <row r="1296" spans="2:12" s="74" customFormat="1" hidden="1" outlineLevel="1">
      <c r="B1296" s="73">
        <v>1290</v>
      </c>
      <c r="C1296" s="39"/>
      <c r="D1296" s="40"/>
      <c r="E1296" s="34" t="s">
        <v>323</v>
      </c>
      <c r="F1296" s="75" t="s">
        <v>1661</v>
      </c>
      <c r="G1296" s="35" t="s">
        <v>370</v>
      </c>
      <c r="H1296" s="41" t="s">
        <v>371</v>
      </c>
      <c r="I1296" s="44" t="str">
        <f>"0x"&amp;AE_w_WORK!I15</f>
        <v>0x0000</v>
      </c>
      <c r="J1296" s="36">
        <v>41506</v>
      </c>
      <c r="K1296" s="37"/>
      <c r="L1296" s="74">
        <f t="shared" si="22"/>
        <v>2580</v>
      </c>
    </row>
    <row r="1297" spans="2:12" s="74" customFormat="1" hidden="1" outlineLevel="1">
      <c r="B1297" s="73">
        <v>1291</v>
      </c>
      <c r="C1297" s="39"/>
      <c r="D1297" s="40"/>
      <c r="E1297" s="34" t="s">
        <v>323</v>
      </c>
      <c r="F1297" s="75" t="s">
        <v>1662</v>
      </c>
      <c r="G1297" s="35" t="s">
        <v>370</v>
      </c>
      <c r="H1297" s="41" t="s">
        <v>371</v>
      </c>
      <c r="I1297" s="44" t="str">
        <f>"0x"&amp;AE_w_WORK!I16</f>
        <v>0x0000</v>
      </c>
      <c r="J1297" s="36">
        <v>41507</v>
      </c>
      <c r="K1297" s="37"/>
      <c r="L1297" s="74">
        <f t="shared" si="22"/>
        <v>2582</v>
      </c>
    </row>
    <row r="1298" spans="2:12" s="74" customFormat="1" hidden="1" outlineLevel="1">
      <c r="B1298" s="73">
        <v>1292</v>
      </c>
      <c r="C1298" s="39"/>
      <c r="D1298" s="40"/>
      <c r="E1298" s="34" t="s">
        <v>323</v>
      </c>
      <c r="F1298" s="75" t="s">
        <v>1663</v>
      </c>
      <c r="G1298" s="35" t="s">
        <v>370</v>
      </c>
      <c r="H1298" s="41" t="s">
        <v>371</v>
      </c>
      <c r="I1298" s="44" t="str">
        <f>"0x"&amp;AE_w_WORK!I17</f>
        <v>0x0000</v>
      </c>
      <c r="J1298" s="36">
        <v>41508</v>
      </c>
      <c r="K1298" s="37"/>
      <c r="L1298" s="74">
        <f t="shared" si="22"/>
        <v>2584</v>
      </c>
    </row>
    <row r="1299" spans="2:12" s="74" customFormat="1" hidden="1" outlineLevel="1">
      <c r="B1299" s="73">
        <v>1293</v>
      </c>
      <c r="C1299" s="39"/>
      <c r="D1299" s="40"/>
      <c r="E1299" s="34" t="s">
        <v>323</v>
      </c>
      <c r="F1299" s="75" t="s">
        <v>1664</v>
      </c>
      <c r="G1299" s="35" t="s">
        <v>370</v>
      </c>
      <c r="H1299" s="41" t="s">
        <v>371</v>
      </c>
      <c r="I1299" s="44" t="str">
        <f>"0x"&amp;AE_w_WORK!I18</f>
        <v>0x0000</v>
      </c>
      <c r="J1299" s="36">
        <v>41509</v>
      </c>
      <c r="K1299" s="37"/>
      <c r="L1299" s="74">
        <f t="shared" si="22"/>
        <v>2586</v>
      </c>
    </row>
    <row r="1300" spans="2:12" s="74" customFormat="1" hidden="1" outlineLevel="1">
      <c r="B1300" s="73">
        <v>1294</v>
      </c>
      <c r="C1300" s="39"/>
      <c r="D1300" s="40"/>
      <c r="E1300" s="34" t="s">
        <v>323</v>
      </c>
      <c r="F1300" s="75" t="s">
        <v>1665</v>
      </c>
      <c r="G1300" s="35" t="s">
        <v>370</v>
      </c>
      <c r="H1300" s="41" t="s">
        <v>371</v>
      </c>
      <c r="I1300" s="44" t="str">
        <f>"0x"&amp;AE_w_WORK!I19</f>
        <v>0x0000</v>
      </c>
      <c r="J1300" s="36">
        <v>41510</v>
      </c>
      <c r="K1300" s="37"/>
      <c r="L1300" s="74">
        <f t="shared" si="22"/>
        <v>2588</v>
      </c>
    </row>
    <row r="1301" spans="2:12" s="74" customFormat="1" hidden="1" outlineLevel="1">
      <c r="B1301" s="73">
        <v>1295</v>
      </c>
      <c r="C1301" s="39"/>
      <c r="D1301" s="40"/>
      <c r="E1301" s="34" t="s">
        <v>323</v>
      </c>
      <c r="F1301" s="75" t="s">
        <v>1666</v>
      </c>
      <c r="G1301" s="35" t="s">
        <v>370</v>
      </c>
      <c r="H1301" s="41" t="s">
        <v>371</v>
      </c>
      <c r="I1301" s="44" t="str">
        <f>"0x"&amp;AE_w_WORK!I20</f>
        <v>0x0000</v>
      </c>
      <c r="J1301" s="36">
        <v>41511</v>
      </c>
      <c r="K1301" s="37"/>
      <c r="L1301" s="74">
        <f t="shared" si="22"/>
        <v>2590</v>
      </c>
    </row>
    <row r="1302" spans="2:12" s="74" customFormat="1" hidden="1" outlineLevel="1">
      <c r="B1302" s="73">
        <v>1296</v>
      </c>
      <c r="C1302" s="39"/>
      <c r="D1302" s="40"/>
      <c r="E1302" s="34" t="s">
        <v>323</v>
      </c>
      <c r="F1302" s="75" t="s">
        <v>1667</v>
      </c>
      <c r="G1302" s="35" t="s">
        <v>370</v>
      </c>
      <c r="H1302" s="41" t="s">
        <v>371</v>
      </c>
      <c r="I1302" s="44" t="str">
        <f>"0x"&amp;AE_w_WORK!I21</f>
        <v>0x0000</v>
      </c>
      <c r="J1302" s="36">
        <v>41512</v>
      </c>
      <c r="K1302" s="37"/>
      <c r="L1302" s="74">
        <f t="shared" si="22"/>
        <v>2592</v>
      </c>
    </row>
    <row r="1303" spans="2:12" s="74" customFormat="1" hidden="1" outlineLevel="1">
      <c r="B1303" s="73">
        <v>1297</v>
      </c>
      <c r="C1303" s="39"/>
      <c r="D1303" s="40"/>
      <c r="E1303" s="34" t="s">
        <v>323</v>
      </c>
      <c r="F1303" s="75" t="s">
        <v>1668</v>
      </c>
      <c r="G1303" s="35" t="s">
        <v>370</v>
      </c>
      <c r="H1303" s="41" t="s">
        <v>371</v>
      </c>
      <c r="I1303" s="44" t="str">
        <f>"0x"&amp;AE_w_WORK!I22</f>
        <v>0x0000</v>
      </c>
      <c r="J1303" s="36">
        <v>41513</v>
      </c>
      <c r="K1303" s="37"/>
      <c r="L1303" s="74">
        <f t="shared" si="22"/>
        <v>2594</v>
      </c>
    </row>
    <row r="1304" spans="2:12" s="74" customFormat="1" hidden="1" outlineLevel="1">
      <c r="B1304" s="73">
        <v>1298</v>
      </c>
      <c r="C1304" s="39"/>
      <c r="D1304" s="40"/>
      <c r="E1304" s="34" t="s">
        <v>323</v>
      </c>
      <c r="F1304" s="75" t="s">
        <v>1669</v>
      </c>
      <c r="G1304" s="35" t="s">
        <v>370</v>
      </c>
      <c r="H1304" s="41" t="s">
        <v>371</v>
      </c>
      <c r="I1304" s="44" t="str">
        <f>"0x"&amp;AE_w_WORK!I23</f>
        <v>0x0000</v>
      </c>
      <c r="J1304" s="36">
        <v>41514</v>
      </c>
      <c r="K1304" s="37"/>
      <c r="L1304" s="74">
        <f t="shared" si="22"/>
        <v>2596</v>
      </c>
    </row>
    <row r="1305" spans="2:12" s="74" customFormat="1" hidden="1" outlineLevel="1">
      <c r="B1305" s="73">
        <v>1299</v>
      </c>
      <c r="C1305" s="39"/>
      <c r="D1305" s="40"/>
      <c r="E1305" s="34" t="s">
        <v>323</v>
      </c>
      <c r="F1305" s="75" t="s">
        <v>1670</v>
      </c>
      <c r="G1305" s="35" t="s">
        <v>370</v>
      </c>
      <c r="H1305" s="41" t="s">
        <v>371</v>
      </c>
      <c r="I1305" s="44" t="str">
        <f>"0x"&amp;AE_w_WORK!I24</f>
        <v>0x0000</v>
      </c>
      <c r="J1305" s="36">
        <v>41515</v>
      </c>
      <c r="K1305" s="37"/>
      <c r="L1305" s="74">
        <f t="shared" si="22"/>
        <v>2598</v>
      </c>
    </row>
    <row r="1306" spans="2:12" s="74" customFormat="1" hidden="1" outlineLevel="1">
      <c r="B1306" s="73">
        <v>1300</v>
      </c>
      <c r="C1306" s="39"/>
      <c r="D1306" s="40"/>
      <c r="E1306" s="34" t="s">
        <v>323</v>
      </c>
      <c r="F1306" s="75" t="s">
        <v>1671</v>
      </c>
      <c r="G1306" s="35" t="s">
        <v>370</v>
      </c>
      <c r="H1306" s="41" t="s">
        <v>371</v>
      </c>
      <c r="I1306" s="44" t="str">
        <f>"0x"&amp;AE_w_WORK!I25</f>
        <v>0x0000</v>
      </c>
      <c r="J1306" s="36">
        <v>41516</v>
      </c>
      <c r="K1306" s="37"/>
      <c r="L1306" s="74">
        <f t="shared" si="22"/>
        <v>2600</v>
      </c>
    </row>
    <row r="1307" spans="2:12" s="74" customFormat="1" hidden="1" outlineLevel="1">
      <c r="B1307" s="73">
        <v>1301</v>
      </c>
      <c r="C1307" s="39"/>
      <c r="D1307" s="40"/>
      <c r="E1307" s="34" t="s">
        <v>323</v>
      </c>
      <c r="F1307" s="75" t="s">
        <v>1672</v>
      </c>
      <c r="G1307" s="35" t="s">
        <v>370</v>
      </c>
      <c r="H1307" s="41" t="s">
        <v>371</v>
      </c>
      <c r="I1307" s="44" t="str">
        <f>"0x"&amp;AE_w_WORK!I26</f>
        <v>0x0000</v>
      </c>
      <c r="J1307" s="36">
        <v>41517</v>
      </c>
      <c r="K1307" s="37"/>
      <c r="L1307" s="74">
        <f t="shared" si="22"/>
        <v>2602</v>
      </c>
    </row>
    <row r="1308" spans="2:12" s="74" customFormat="1" hidden="1" outlineLevel="1">
      <c r="B1308" s="73">
        <v>1302</v>
      </c>
      <c r="C1308" s="39"/>
      <c r="D1308" s="40"/>
      <c r="E1308" s="34" t="s">
        <v>323</v>
      </c>
      <c r="F1308" s="75" t="s">
        <v>1673</v>
      </c>
      <c r="G1308" s="35" t="s">
        <v>370</v>
      </c>
      <c r="H1308" s="41" t="s">
        <v>371</v>
      </c>
      <c r="I1308" s="44" t="str">
        <f>"0x"&amp;AE_w_WORK!I27</f>
        <v>0x0000</v>
      </c>
      <c r="J1308" s="36">
        <v>41518</v>
      </c>
      <c r="K1308" s="37"/>
      <c r="L1308" s="74">
        <f t="shared" si="22"/>
        <v>2604</v>
      </c>
    </row>
    <row r="1309" spans="2:12" s="74" customFormat="1" hidden="1" outlineLevel="1">
      <c r="B1309" s="73">
        <v>1303</v>
      </c>
      <c r="C1309" s="39"/>
      <c r="D1309" s="40"/>
      <c r="E1309" s="34" t="s">
        <v>323</v>
      </c>
      <c r="F1309" s="75" t="s">
        <v>1674</v>
      </c>
      <c r="G1309" s="35" t="s">
        <v>370</v>
      </c>
      <c r="H1309" s="41" t="s">
        <v>371</v>
      </c>
      <c r="I1309" s="44" t="str">
        <f>"0x"&amp;AE_w_WORK!I28</f>
        <v>0x0000</v>
      </c>
      <c r="J1309" s="36">
        <v>41519</v>
      </c>
      <c r="K1309" s="37"/>
      <c r="L1309" s="74">
        <f t="shared" si="22"/>
        <v>2606</v>
      </c>
    </row>
    <row r="1310" spans="2:12" s="74" customFormat="1" hidden="1" outlineLevel="1">
      <c r="B1310" s="73">
        <v>1304</v>
      </c>
      <c r="C1310" s="39"/>
      <c r="D1310" s="40"/>
      <c r="E1310" s="34" t="s">
        <v>323</v>
      </c>
      <c r="F1310" s="75" t="s">
        <v>1675</v>
      </c>
      <c r="G1310" s="35" t="s">
        <v>370</v>
      </c>
      <c r="H1310" s="41" t="s">
        <v>371</v>
      </c>
      <c r="I1310" s="44" t="str">
        <f>"0x"&amp;AE_w_WORK!I29</f>
        <v>0x0000</v>
      </c>
      <c r="J1310" s="36">
        <v>41520</v>
      </c>
      <c r="K1310" s="37"/>
      <c r="L1310" s="74">
        <f t="shared" si="22"/>
        <v>2608</v>
      </c>
    </row>
    <row r="1311" spans="2:12" s="74" customFormat="1" hidden="1" outlineLevel="1">
      <c r="B1311" s="73">
        <v>1305</v>
      </c>
      <c r="C1311" s="39"/>
      <c r="D1311" s="40"/>
      <c r="E1311" s="34" t="s">
        <v>323</v>
      </c>
      <c r="F1311" s="75" t="s">
        <v>1676</v>
      </c>
      <c r="G1311" s="35" t="s">
        <v>370</v>
      </c>
      <c r="H1311" s="41" t="s">
        <v>371</v>
      </c>
      <c r="I1311" s="44" t="str">
        <f>"0x"&amp;AE_w_WORK!I30</f>
        <v>0x0000</v>
      </c>
      <c r="J1311" s="36">
        <v>41521</v>
      </c>
      <c r="K1311" s="37"/>
      <c r="L1311" s="74">
        <f t="shared" si="22"/>
        <v>2610</v>
      </c>
    </row>
    <row r="1312" spans="2:12" s="74" customFormat="1" hidden="1" outlineLevel="1">
      <c r="B1312" s="73">
        <v>1306</v>
      </c>
      <c r="C1312" s="39"/>
      <c r="D1312" s="40"/>
      <c r="E1312" s="34" t="s">
        <v>323</v>
      </c>
      <c r="F1312" s="75" t="s">
        <v>1677</v>
      </c>
      <c r="G1312" s="35" t="s">
        <v>370</v>
      </c>
      <c r="H1312" s="41" t="s">
        <v>371</v>
      </c>
      <c r="I1312" s="44" t="str">
        <f>"0x"&amp;AE_w_WORK!I31</f>
        <v>0x0000</v>
      </c>
      <c r="J1312" s="36">
        <v>41522</v>
      </c>
      <c r="K1312" s="37"/>
      <c r="L1312" s="74">
        <f t="shared" si="22"/>
        <v>2612</v>
      </c>
    </row>
    <row r="1313" spans="2:12" s="74" customFormat="1" hidden="1" outlineLevel="1">
      <c r="B1313" s="73">
        <v>1307</v>
      </c>
      <c r="C1313" s="39"/>
      <c r="D1313" s="40"/>
      <c r="E1313" s="34" t="s">
        <v>323</v>
      </c>
      <c r="F1313" s="75" t="s">
        <v>1678</v>
      </c>
      <c r="G1313" s="35" t="s">
        <v>370</v>
      </c>
      <c r="H1313" s="41" t="s">
        <v>371</v>
      </c>
      <c r="I1313" s="44" t="str">
        <f>"0x"&amp;AE_w_WORK!I32</f>
        <v>0x0000</v>
      </c>
      <c r="J1313" s="36">
        <v>41523</v>
      </c>
      <c r="K1313" s="37"/>
      <c r="L1313" s="74">
        <f t="shared" si="22"/>
        <v>2614</v>
      </c>
    </row>
    <row r="1314" spans="2:12" s="74" customFormat="1" hidden="1" outlineLevel="1">
      <c r="B1314" s="73">
        <v>1308</v>
      </c>
      <c r="C1314" s="39"/>
      <c r="D1314" s="40"/>
      <c r="E1314" s="34" t="s">
        <v>323</v>
      </c>
      <c r="F1314" s="75" t="s">
        <v>1679</v>
      </c>
      <c r="G1314" s="35" t="s">
        <v>370</v>
      </c>
      <c r="H1314" s="41" t="s">
        <v>371</v>
      </c>
      <c r="I1314" s="44" t="str">
        <f>"0x"&amp;AE_w_WORK!I33</f>
        <v>0x0000</v>
      </c>
      <c r="J1314" s="36">
        <v>41524</v>
      </c>
      <c r="K1314" s="37"/>
      <c r="L1314" s="74">
        <f t="shared" si="22"/>
        <v>2616</v>
      </c>
    </row>
    <row r="1315" spans="2:12" s="74" customFormat="1" hidden="1" outlineLevel="1">
      <c r="B1315" s="73">
        <v>1309</v>
      </c>
      <c r="C1315" s="39"/>
      <c r="D1315" s="40"/>
      <c r="E1315" s="34" t="s">
        <v>323</v>
      </c>
      <c r="F1315" s="75" t="s">
        <v>1680</v>
      </c>
      <c r="G1315" s="35" t="s">
        <v>370</v>
      </c>
      <c r="H1315" s="41" t="s">
        <v>371</v>
      </c>
      <c r="I1315" s="44" t="str">
        <f>"0x"&amp;AE_w_WORK!I34</f>
        <v>0x0000</v>
      </c>
      <c r="J1315" s="36">
        <v>41525</v>
      </c>
      <c r="K1315" s="37"/>
      <c r="L1315" s="74">
        <f t="shared" si="22"/>
        <v>2618</v>
      </c>
    </row>
    <row r="1316" spans="2:12" s="74" customFormat="1" hidden="1" outlineLevel="1">
      <c r="B1316" s="73">
        <v>1310</v>
      </c>
      <c r="C1316" s="39"/>
      <c r="D1316" s="40"/>
      <c r="E1316" s="34" t="s">
        <v>323</v>
      </c>
      <c r="F1316" s="75" t="s">
        <v>1681</v>
      </c>
      <c r="G1316" s="35" t="s">
        <v>370</v>
      </c>
      <c r="H1316" s="41" t="s">
        <v>371</v>
      </c>
      <c r="I1316" s="44" t="str">
        <f>"0x"&amp;AE_w_WORK!I35</f>
        <v>0x0000</v>
      </c>
      <c r="J1316" s="36">
        <v>41526</v>
      </c>
      <c r="K1316" s="37"/>
      <c r="L1316" s="74">
        <f t="shared" si="22"/>
        <v>2620</v>
      </c>
    </row>
    <row r="1317" spans="2:12" s="74" customFormat="1" hidden="1" outlineLevel="1">
      <c r="B1317" s="73">
        <v>1311</v>
      </c>
      <c r="C1317" s="39"/>
      <c r="D1317" s="40"/>
      <c r="E1317" s="34" t="s">
        <v>323</v>
      </c>
      <c r="F1317" s="75" t="s">
        <v>1682</v>
      </c>
      <c r="G1317" s="35" t="s">
        <v>370</v>
      </c>
      <c r="H1317" s="41" t="s">
        <v>371</v>
      </c>
      <c r="I1317" s="44" t="str">
        <f>"0x"&amp;AE_w_WORK!I36</f>
        <v>0x0000</v>
      </c>
      <c r="J1317" s="36">
        <v>41527</v>
      </c>
      <c r="K1317" s="37"/>
      <c r="L1317" s="74">
        <f t="shared" si="22"/>
        <v>2622</v>
      </c>
    </row>
    <row r="1318" spans="2:12" s="74" customFormat="1" hidden="1" outlineLevel="1">
      <c r="B1318" s="73">
        <v>1312</v>
      </c>
      <c r="C1318" s="39"/>
      <c r="D1318" s="40"/>
      <c r="E1318" s="34" t="s">
        <v>323</v>
      </c>
      <c r="F1318" s="75" t="s">
        <v>1683</v>
      </c>
      <c r="G1318" s="35" t="s">
        <v>370</v>
      </c>
      <c r="H1318" s="41" t="s">
        <v>371</v>
      </c>
      <c r="I1318" s="44" t="str">
        <f>"0x"&amp;AE_w_WORK!I37</f>
        <v>0x0000</v>
      </c>
      <c r="J1318" s="36">
        <v>41528</v>
      </c>
      <c r="K1318" s="37"/>
      <c r="L1318" s="74">
        <f t="shared" si="22"/>
        <v>2624</v>
      </c>
    </row>
    <row r="1319" spans="2:12" s="74" customFormat="1" hidden="1" outlineLevel="1">
      <c r="B1319" s="73">
        <v>1313</v>
      </c>
      <c r="C1319" s="39"/>
      <c r="D1319" s="40"/>
      <c r="E1319" s="34" t="s">
        <v>323</v>
      </c>
      <c r="F1319" s="75" t="s">
        <v>1684</v>
      </c>
      <c r="G1319" s="35" t="s">
        <v>370</v>
      </c>
      <c r="H1319" s="41" t="s">
        <v>371</v>
      </c>
      <c r="I1319" s="44" t="str">
        <f>"0x"&amp;AE_w_WORK!I38</f>
        <v>0x0000</v>
      </c>
      <c r="J1319" s="36">
        <v>41529</v>
      </c>
      <c r="K1319" s="37"/>
      <c r="L1319" s="74">
        <f t="shared" si="22"/>
        <v>2626</v>
      </c>
    </row>
    <row r="1320" spans="2:12" s="74" customFormat="1" hidden="1" outlineLevel="1">
      <c r="B1320" s="73">
        <v>1314</v>
      </c>
      <c r="C1320" s="39"/>
      <c r="D1320" s="40"/>
      <c r="E1320" s="34" t="s">
        <v>323</v>
      </c>
      <c r="F1320" s="75" t="s">
        <v>1685</v>
      </c>
      <c r="G1320" s="35" t="s">
        <v>370</v>
      </c>
      <c r="H1320" s="41" t="s">
        <v>371</v>
      </c>
      <c r="I1320" s="44" t="str">
        <f>"0x"&amp;AE_w_WORK!I39</f>
        <v>0x0000</v>
      </c>
      <c r="J1320" s="36">
        <v>41530</v>
      </c>
      <c r="K1320" s="37"/>
      <c r="L1320" s="74">
        <f t="shared" si="22"/>
        <v>2628</v>
      </c>
    </row>
    <row r="1321" spans="2:12" s="74" customFormat="1" hidden="1" outlineLevel="1">
      <c r="B1321" s="73">
        <v>1315</v>
      </c>
      <c r="C1321" s="39"/>
      <c r="D1321" s="40"/>
      <c r="E1321" s="34" t="s">
        <v>323</v>
      </c>
      <c r="F1321" s="75" t="s">
        <v>1686</v>
      </c>
      <c r="G1321" s="35" t="s">
        <v>370</v>
      </c>
      <c r="H1321" s="41" t="s">
        <v>371</v>
      </c>
      <c r="I1321" s="44" t="str">
        <f>"0x"&amp;AE_w_WORK!I40</f>
        <v>0x0000</v>
      </c>
      <c r="J1321" s="36">
        <v>41531</v>
      </c>
      <c r="K1321" s="37"/>
      <c r="L1321" s="74">
        <f t="shared" si="22"/>
        <v>2630</v>
      </c>
    </row>
    <row r="1322" spans="2:12" s="74" customFormat="1" hidden="1" outlineLevel="1">
      <c r="B1322" s="73">
        <v>1316</v>
      </c>
      <c r="C1322" s="39"/>
      <c r="D1322" s="40"/>
      <c r="E1322" s="34" t="s">
        <v>323</v>
      </c>
      <c r="F1322" s="75" t="s">
        <v>1687</v>
      </c>
      <c r="G1322" s="35" t="s">
        <v>370</v>
      </c>
      <c r="H1322" s="41" t="s">
        <v>371</v>
      </c>
      <c r="I1322" s="44" t="str">
        <f>"0x"&amp;AE_w_WORK!I41</f>
        <v>0x0000</v>
      </c>
      <c r="J1322" s="36">
        <v>41532</v>
      </c>
      <c r="K1322" s="37"/>
      <c r="L1322" s="74">
        <f t="shared" si="22"/>
        <v>2632</v>
      </c>
    </row>
    <row r="1323" spans="2:12" s="74" customFormat="1" hidden="1" outlineLevel="1">
      <c r="B1323" s="73">
        <v>1317</v>
      </c>
      <c r="C1323" s="39"/>
      <c r="D1323" s="40"/>
      <c r="E1323" s="34" t="s">
        <v>323</v>
      </c>
      <c r="F1323" s="75" t="s">
        <v>1688</v>
      </c>
      <c r="G1323" s="35" t="s">
        <v>370</v>
      </c>
      <c r="H1323" s="41" t="s">
        <v>371</v>
      </c>
      <c r="I1323" s="44" t="str">
        <f>"0x"&amp;AE_w_WORK!I42</f>
        <v>0x0000</v>
      </c>
      <c r="J1323" s="36">
        <v>41533</v>
      </c>
      <c r="K1323" s="37"/>
      <c r="L1323" s="74">
        <f t="shared" si="22"/>
        <v>2634</v>
      </c>
    </row>
    <row r="1324" spans="2:12" s="74" customFormat="1" hidden="1" outlineLevel="1">
      <c r="B1324" s="73">
        <v>1318</v>
      </c>
      <c r="C1324" s="39"/>
      <c r="D1324" s="40"/>
      <c r="E1324" s="34" t="s">
        <v>323</v>
      </c>
      <c r="F1324" s="75" t="s">
        <v>1689</v>
      </c>
      <c r="G1324" s="35" t="s">
        <v>370</v>
      </c>
      <c r="H1324" s="41" t="s">
        <v>371</v>
      </c>
      <c r="I1324" s="44" t="str">
        <f>"0x"&amp;AE_w_WORK!I43</f>
        <v>0x0000</v>
      </c>
      <c r="J1324" s="36">
        <v>41534</v>
      </c>
      <c r="K1324" s="37"/>
      <c r="L1324" s="74">
        <f t="shared" si="22"/>
        <v>2636</v>
      </c>
    </row>
    <row r="1325" spans="2:12" s="74" customFormat="1" hidden="1" outlineLevel="1">
      <c r="B1325" s="73">
        <v>1319</v>
      </c>
      <c r="C1325" s="39"/>
      <c r="D1325" s="40"/>
      <c r="E1325" s="34" t="s">
        <v>323</v>
      </c>
      <c r="F1325" s="75" t="s">
        <v>1690</v>
      </c>
      <c r="G1325" s="35" t="s">
        <v>370</v>
      </c>
      <c r="H1325" s="41" t="s">
        <v>371</v>
      </c>
      <c r="I1325" s="44" t="str">
        <f>"0x"&amp;AE_w_WORK!I44</f>
        <v>0x0000</v>
      </c>
      <c r="J1325" s="36">
        <v>41535</v>
      </c>
      <c r="K1325" s="37"/>
      <c r="L1325" s="74">
        <f t="shared" si="22"/>
        <v>2638</v>
      </c>
    </row>
    <row r="1326" spans="2:12" s="74" customFormat="1" hidden="1" outlineLevel="1">
      <c r="B1326" s="73">
        <v>1320</v>
      </c>
      <c r="C1326" s="39"/>
      <c r="D1326" s="40"/>
      <c r="E1326" s="34" t="s">
        <v>323</v>
      </c>
      <c r="F1326" s="75" t="s">
        <v>1691</v>
      </c>
      <c r="G1326" s="35" t="s">
        <v>370</v>
      </c>
      <c r="H1326" s="41" t="s">
        <v>371</v>
      </c>
      <c r="I1326" s="44" t="str">
        <f>"0x"&amp;AE_w_WORK!I45</f>
        <v>0x0000</v>
      </c>
      <c r="J1326" s="36">
        <v>41536</v>
      </c>
      <c r="K1326" s="37"/>
      <c r="L1326" s="74">
        <f t="shared" si="22"/>
        <v>2640</v>
      </c>
    </row>
    <row r="1327" spans="2:12" s="74" customFormat="1" hidden="1" outlineLevel="1">
      <c r="B1327" s="73">
        <v>1321</v>
      </c>
      <c r="C1327" s="39"/>
      <c r="D1327" s="40"/>
      <c r="E1327" s="34" t="s">
        <v>323</v>
      </c>
      <c r="F1327" s="75" t="s">
        <v>1692</v>
      </c>
      <c r="G1327" s="35" t="s">
        <v>370</v>
      </c>
      <c r="H1327" s="41" t="s">
        <v>371</v>
      </c>
      <c r="I1327" s="44" t="str">
        <f>"0x"&amp;AE_w_WORK!I46</f>
        <v>0x0000</v>
      </c>
      <c r="J1327" s="36">
        <v>41537</v>
      </c>
      <c r="K1327" s="37"/>
      <c r="L1327" s="74">
        <f t="shared" si="22"/>
        <v>2642</v>
      </c>
    </row>
    <row r="1328" spans="2:12" s="74" customFormat="1" hidden="1" outlineLevel="1">
      <c r="B1328" s="73">
        <v>1322</v>
      </c>
      <c r="C1328" s="39"/>
      <c r="D1328" s="40"/>
      <c r="E1328" s="34" t="s">
        <v>323</v>
      </c>
      <c r="F1328" s="75" t="s">
        <v>1693</v>
      </c>
      <c r="G1328" s="35" t="s">
        <v>370</v>
      </c>
      <c r="H1328" s="41" t="s">
        <v>371</v>
      </c>
      <c r="I1328" s="44" t="str">
        <f>"0x"&amp;AE_w_WORK!I47</f>
        <v>0x0000</v>
      </c>
      <c r="J1328" s="36">
        <v>41538</v>
      </c>
      <c r="K1328" s="37"/>
      <c r="L1328" s="74">
        <f t="shared" si="22"/>
        <v>2644</v>
      </c>
    </row>
    <row r="1329" spans="2:12" s="74" customFormat="1" hidden="1" outlineLevel="1">
      <c r="B1329" s="73">
        <v>1323</v>
      </c>
      <c r="C1329" s="39"/>
      <c r="D1329" s="40"/>
      <c r="E1329" s="34" t="s">
        <v>323</v>
      </c>
      <c r="F1329" s="75" t="s">
        <v>1694</v>
      </c>
      <c r="G1329" s="35" t="s">
        <v>370</v>
      </c>
      <c r="H1329" s="41" t="s">
        <v>371</v>
      </c>
      <c r="I1329" s="44" t="str">
        <f>"0x"&amp;AE_w_WORK!I48</f>
        <v>0x0000</v>
      </c>
      <c r="J1329" s="36">
        <v>41539</v>
      </c>
      <c r="K1329" s="37"/>
      <c r="L1329" s="74">
        <f t="shared" si="22"/>
        <v>2646</v>
      </c>
    </row>
    <row r="1330" spans="2:12" s="74" customFormat="1" hidden="1" outlineLevel="1">
      <c r="B1330" s="73">
        <v>1324</v>
      </c>
      <c r="C1330" s="39"/>
      <c r="D1330" s="40"/>
      <c r="E1330" s="34" t="s">
        <v>323</v>
      </c>
      <c r="F1330" s="75" t="s">
        <v>1695</v>
      </c>
      <c r="G1330" s="35" t="s">
        <v>370</v>
      </c>
      <c r="H1330" s="41" t="s">
        <v>371</v>
      </c>
      <c r="I1330" s="44" t="str">
        <f>"0x"&amp;AE_w_WORK!I49</f>
        <v>0x0000</v>
      </c>
      <c r="J1330" s="36">
        <v>41540</v>
      </c>
      <c r="K1330" s="37"/>
      <c r="L1330" s="74">
        <f t="shared" si="22"/>
        <v>2648</v>
      </c>
    </row>
    <row r="1331" spans="2:12" s="74" customFormat="1" hidden="1" outlineLevel="1">
      <c r="B1331" s="73">
        <v>1325</v>
      </c>
      <c r="C1331" s="39"/>
      <c r="D1331" s="40"/>
      <c r="E1331" s="34" t="s">
        <v>323</v>
      </c>
      <c r="F1331" s="75" t="s">
        <v>1696</v>
      </c>
      <c r="G1331" s="35" t="s">
        <v>370</v>
      </c>
      <c r="H1331" s="41" t="s">
        <v>371</v>
      </c>
      <c r="I1331" s="44" t="str">
        <f>"0x"&amp;AE_w_WORK!I50</f>
        <v>0x0000</v>
      </c>
      <c r="J1331" s="36">
        <v>41541</v>
      </c>
      <c r="K1331" s="37"/>
      <c r="L1331" s="74">
        <f t="shared" si="22"/>
        <v>2650</v>
      </c>
    </row>
    <row r="1332" spans="2:12" s="74" customFormat="1" hidden="1" outlineLevel="1">
      <c r="B1332" s="73">
        <v>1326</v>
      </c>
      <c r="C1332" s="39"/>
      <c r="D1332" s="40"/>
      <c r="E1332" s="34" t="s">
        <v>323</v>
      </c>
      <c r="F1332" s="75" t="s">
        <v>1697</v>
      </c>
      <c r="G1332" s="35" t="s">
        <v>370</v>
      </c>
      <c r="H1332" s="41" t="s">
        <v>371</v>
      </c>
      <c r="I1332" s="44" t="str">
        <f>"0x"&amp;AE_w_WORK!I51</f>
        <v>0x0000</v>
      </c>
      <c r="J1332" s="36">
        <v>41542</v>
      </c>
      <c r="K1332" s="37"/>
      <c r="L1332" s="74">
        <f t="shared" si="22"/>
        <v>2652</v>
      </c>
    </row>
    <row r="1333" spans="2:12" s="74" customFormat="1" hidden="1" outlineLevel="1">
      <c r="B1333" s="73">
        <v>1327</v>
      </c>
      <c r="C1333" s="39"/>
      <c r="D1333" s="40"/>
      <c r="E1333" s="34" t="s">
        <v>323</v>
      </c>
      <c r="F1333" s="75" t="s">
        <v>1698</v>
      </c>
      <c r="G1333" s="35" t="s">
        <v>370</v>
      </c>
      <c r="H1333" s="41" t="s">
        <v>371</v>
      </c>
      <c r="I1333" s="44" t="str">
        <f>"0x"&amp;AE_w_WORK!I52</f>
        <v>0x0000</v>
      </c>
      <c r="J1333" s="36">
        <v>41543</v>
      </c>
      <c r="K1333" s="37"/>
      <c r="L1333" s="74">
        <f t="shared" si="22"/>
        <v>2654</v>
      </c>
    </row>
    <row r="1334" spans="2:12" s="74" customFormat="1" hidden="1" outlineLevel="1">
      <c r="B1334" s="73">
        <v>1328</v>
      </c>
      <c r="C1334" s="39"/>
      <c r="D1334" s="40"/>
      <c r="E1334" s="34" t="s">
        <v>323</v>
      </c>
      <c r="F1334" s="75" t="s">
        <v>1699</v>
      </c>
      <c r="G1334" s="35" t="s">
        <v>370</v>
      </c>
      <c r="H1334" s="41" t="s">
        <v>371</v>
      </c>
      <c r="I1334" s="44" t="str">
        <f>"0x"&amp;AE_w_WORK!I53</f>
        <v>0x0000</v>
      </c>
      <c r="J1334" s="36">
        <v>41544</v>
      </c>
      <c r="K1334" s="37"/>
      <c r="L1334" s="74">
        <f t="shared" si="22"/>
        <v>2656</v>
      </c>
    </row>
    <row r="1335" spans="2:12" s="74" customFormat="1" hidden="1" outlineLevel="1">
      <c r="B1335" s="73">
        <v>1329</v>
      </c>
      <c r="C1335" s="39"/>
      <c r="D1335" s="40"/>
      <c r="E1335" s="34" t="s">
        <v>323</v>
      </c>
      <c r="F1335" s="75" t="s">
        <v>1700</v>
      </c>
      <c r="G1335" s="35" t="s">
        <v>370</v>
      </c>
      <c r="H1335" s="41" t="s">
        <v>371</v>
      </c>
      <c r="I1335" s="44" t="str">
        <f>"0x"&amp;AE_w_WORK!I54</f>
        <v>0x0000</v>
      </c>
      <c r="J1335" s="36">
        <v>41545</v>
      </c>
      <c r="K1335" s="37"/>
      <c r="L1335" s="74">
        <f t="shared" si="22"/>
        <v>2658</v>
      </c>
    </row>
    <row r="1336" spans="2:12" s="74" customFormat="1" hidden="1" outlineLevel="1">
      <c r="B1336" s="73">
        <v>1330</v>
      </c>
      <c r="C1336" s="39"/>
      <c r="D1336" s="40"/>
      <c r="E1336" s="34" t="s">
        <v>323</v>
      </c>
      <c r="F1336" s="75" t="s">
        <v>1701</v>
      </c>
      <c r="G1336" s="35" t="s">
        <v>370</v>
      </c>
      <c r="H1336" s="41" t="s">
        <v>371</v>
      </c>
      <c r="I1336" s="44" t="str">
        <f>"0x"&amp;AE_w_WORK!I55</f>
        <v>0x0000</v>
      </c>
      <c r="J1336" s="36">
        <v>41546</v>
      </c>
      <c r="K1336" s="37"/>
      <c r="L1336" s="74">
        <f t="shared" si="22"/>
        <v>2660</v>
      </c>
    </row>
    <row r="1337" spans="2:12" s="74" customFormat="1" hidden="1" outlineLevel="1">
      <c r="B1337" s="73">
        <v>1331</v>
      </c>
      <c r="C1337" s="39"/>
      <c r="D1337" s="40"/>
      <c r="E1337" s="34" t="s">
        <v>323</v>
      </c>
      <c r="F1337" s="75" t="s">
        <v>1702</v>
      </c>
      <c r="G1337" s="35" t="s">
        <v>370</v>
      </c>
      <c r="H1337" s="41" t="s">
        <v>371</v>
      </c>
      <c r="I1337" s="44" t="str">
        <f>"0x"&amp;AE_w_WORK!I56</f>
        <v>0x0000</v>
      </c>
      <c r="J1337" s="36">
        <v>41547</v>
      </c>
      <c r="K1337" s="37"/>
      <c r="L1337" s="74">
        <f t="shared" si="22"/>
        <v>2662</v>
      </c>
    </row>
    <row r="1338" spans="2:12" s="74" customFormat="1" hidden="1" outlineLevel="1">
      <c r="B1338" s="73">
        <v>1332</v>
      </c>
      <c r="C1338" s="39"/>
      <c r="D1338" s="40"/>
      <c r="E1338" s="34" t="s">
        <v>323</v>
      </c>
      <c r="F1338" s="75" t="s">
        <v>1703</v>
      </c>
      <c r="G1338" s="35" t="s">
        <v>370</v>
      </c>
      <c r="H1338" s="41" t="s">
        <v>371</v>
      </c>
      <c r="I1338" s="44" t="str">
        <f>"0x"&amp;AE_w_WORK!I57</f>
        <v>0x0000</v>
      </c>
      <c r="J1338" s="36">
        <v>41548</v>
      </c>
      <c r="K1338" s="37"/>
      <c r="L1338" s="74">
        <f t="shared" si="22"/>
        <v>2664</v>
      </c>
    </row>
    <row r="1339" spans="2:12" s="74" customFormat="1" hidden="1" outlineLevel="1">
      <c r="B1339" s="73">
        <v>1333</v>
      </c>
      <c r="C1339" s="39"/>
      <c r="D1339" s="40"/>
      <c r="E1339" s="34" t="s">
        <v>323</v>
      </c>
      <c r="F1339" s="75" t="s">
        <v>1704</v>
      </c>
      <c r="G1339" s="35" t="s">
        <v>370</v>
      </c>
      <c r="H1339" s="41" t="s">
        <v>371</v>
      </c>
      <c r="I1339" s="44" t="str">
        <f>"0x"&amp;AE_w_WORK!I58</f>
        <v>0x0000</v>
      </c>
      <c r="J1339" s="36">
        <v>41549</v>
      </c>
      <c r="K1339" s="37"/>
      <c r="L1339" s="74">
        <f t="shared" si="22"/>
        <v>2666</v>
      </c>
    </row>
    <row r="1340" spans="2:12" s="74" customFormat="1" hidden="1" outlineLevel="1">
      <c r="B1340" s="73">
        <v>1334</v>
      </c>
      <c r="C1340" s="39"/>
      <c r="D1340" s="40"/>
      <c r="E1340" s="34" t="s">
        <v>323</v>
      </c>
      <c r="F1340" s="75" t="s">
        <v>1705</v>
      </c>
      <c r="G1340" s="35" t="s">
        <v>370</v>
      </c>
      <c r="H1340" s="41" t="s">
        <v>371</v>
      </c>
      <c r="I1340" s="44" t="str">
        <f>"0x"&amp;AE_w_WORK!I59</f>
        <v>0x0000</v>
      </c>
      <c r="J1340" s="36">
        <v>41550</v>
      </c>
      <c r="K1340" s="37"/>
      <c r="L1340" s="74">
        <f t="shared" si="22"/>
        <v>2668</v>
      </c>
    </row>
    <row r="1341" spans="2:12" s="74" customFormat="1" hidden="1" outlineLevel="1">
      <c r="B1341" s="73">
        <v>1335</v>
      </c>
      <c r="C1341" s="39"/>
      <c r="D1341" s="40"/>
      <c r="E1341" s="34" t="s">
        <v>323</v>
      </c>
      <c r="F1341" s="75" t="s">
        <v>1706</v>
      </c>
      <c r="G1341" s="35" t="s">
        <v>370</v>
      </c>
      <c r="H1341" s="41" t="s">
        <v>371</v>
      </c>
      <c r="I1341" s="44" t="str">
        <f>"0x"&amp;AE_w_WORK!I60</f>
        <v>0x0000</v>
      </c>
      <c r="J1341" s="36">
        <v>41551</v>
      </c>
      <c r="K1341" s="37"/>
      <c r="L1341" s="74">
        <f t="shared" si="22"/>
        <v>2670</v>
      </c>
    </row>
    <row r="1342" spans="2:12" s="74" customFormat="1" hidden="1" outlineLevel="1">
      <c r="B1342" s="73">
        <v>1336</v>
      </c>
      <c r="C1342" s="39"/>
      <c r="D1342" s="40"/>
      <c r="E1342" s="34" t="s">
        <v>323</v>
      </c>
      <c r="F1342" s="75" t="s">
        <v>1707</v>
      </c>
      <c r="G1342" s="35" t="s">
        <v>370</v>
      </c>
      <c r="H1342" s="41" t="s">
        <v>371</v>
      </c>
      <c r="I1342" s="44" t="str">
        <f>"0x"&amp;AE_w_WORK!I61</f>
        <v>0x0000</v>
      </c>
      <c r="J1342" s="36">
        <v>41552</v>
      </c>
      <c r="K1342" s="37"/>
      <c r="L1342" s="74">
        <f t="shared" si="22"/>
        <v>2672</v>
      </c>
    </row>
    <row r="1343" spans="2:12" s="74" customFormat="1" hidden="1" outlineLevel="1">
      <c r="B1343" s="73">
        <v>1337</v>
      </c>
      <c r="C1343" s="39"/>
      <c r="D1343" s="40"/>
      <c r="E1343" s="34" t="s">
        <v>323</v>
      </c>
      <c r="F1343" s="75" t="s">
        <v>1708</v>
      </c>
      <c r="G1343" s="35" t="s">
        <v>370</v>
      </c>
      <c r="H1343" s="41" t="s">
        <v>371</v>
      </c>
      <c r="I1343" s="44" t="str">
        <f>"0x"&amp;AE_w_WORK!I62</f>
        <v>0x0000</v>
      </c>
      <c r="J1343" s="36">
        <v>41553</v>
      </c>
      <c r="K1343" s="37"/>
      <c r="L1343" s="74">
        <f t="shared" si="22"/>
        <v>2674</v>
      </c>
    </row>
    <row r="1344" spans="2:12" s="74" customFormat="1" hidden="1" outlineLevel="1">
      <c r="B1344" s="73">
        <v>1338</v>
      </c>
      <c r="C1344" s="39"/>
      <c r="D1344" s="40"/>
      <c r="E1344" s="34" t="s">
        <v>323</v>
      </c>
      <c r="F1344" s="75" t="s">
        <v>1709</v>
      </c>
      <c r="G1344" s="35" t="s">
        <v>370</v>
      </c>
      <c r="H1344" s="41" t="s">
        <v>371</v>
      </c>
      <c r="I1344" s="44" t="str">
        <f>"0x"&amp;AE_w_WORK!I63</f>
        <v>0x0000</v>
      </c>
      <c r="J1344" s="36">
        <v>41554</v>
      </c>
      <c r="K1344" s="37"/>
      <c r="L1344" s="74">
        <f t="shared" si="22"/>
        <v>2676</v>
      </c>
    </row>
    <row r="1345" spans="2:12" s="74" customFormat="1" hidden="1" outlineLevel="1">
      <c r="B1345" s="73">
        <v>1339</v>
      </c>
      <c r="C1345" s="39"/>
      <c r="D1345" s="40"/>
      <c r="E1345" s="34" t="s">
        <v>323</v>
      </c>
      <c r="F1345" s="75" t="s">
        <v>1710</v>
      </c>
      <c r="G1345" s="35" t="s">
        <v>370</v>
      </c>
      <c r="H1345" s="41" t="s">
        <v>371</v>
      </c>
      <c r="I1345" s="44" t="str">
        <f>"0x"&amp;AE_w_WORK!I64</f>
        <v>0x0000</v>
      </c>
      <c r="J1345" s="36">
        <v>41555</v>
      </c>
      <c r="K1345" s="37"/>
      <c r="L1345" s="74">
        <f t="shared" si="22"/>
        <v>2678</v>
      </c>
    </row>
    <row r="1346" spans="2:12" s="74" customFormat="1" hidden="1" outlineLevel="1">
      <c r="B1346" s="73">
        <v>1340</v>
      </c>
      <c r="C1346" s="39"/>
      <c r="D1346" s="40"/>
      <c r="E1346" s="34" t="s">
        <v>323</v>
      </c>
      <c r="F1346" s="75" t="s">
        <v>1711</v>
      </c>
      <c r="G1346" s="35" t="s">
        <v>370</v>
      </c>
      <c r="H1346" s="41" t="s">
        <v>371</v>
      </c>
      <c r="I1346" s="44" t="str">
        <f>"0x"&amp;AE_w_WORK!I65</f>
        <v>0x0000</v>
      </c>
      <c r="J1346" s="36">
        <v>41556</v>
      </c>
      <c r="K1346" s="37"/>
      <c r="L1346" s="74">
        <f t="shared" si="22"/>
        <v>2680</v>
      </c>
    </row>
    <row r="1347" spans="2:12" s="74" customFormat="1" hidden="1" outlineLevel="1">
      <c r="B1347" s="73">
        <v>1341</v>
      </c>
      <c r="C1347" s="39"/>
      <c r="D1347" s="40"/>
      <c r="E1347" s="34" t="s">
        <v>323</v>
      </c>
      <c r="F1347" s="75" t="s">
        <v>1712</v>
      </c>
      <c r="G1347" s="35" t="s">
        <v>370</v>
      </c>
      <c r="H1347" s="41" t="s">
        <v>371</v>
      </c>
      <c r="I1347" s="44" t="str">
        <f>"0x"&amp;AE_w_WORK!I66</f>
        <v>0x0000</v>
      </c>
      <c r="J1347" s="36">
        <v>41557</v>
      </c>
      <c r="K1347" s="37"/>
      <c r="L1347" s="74">
        <f t="shared" si="22"/>
        <v>2682</v>
      </c>
    </row>
    <row r="1348" spans="2:12" s="74" customFormat="1" hidden="1" outlineLevel="1">
      <c r="B1348" s="73">
        <v>1342</v>
      </c>
      <c r="C1348" s="39"/>
      <c r="D1348" s="40"/>
      <c r="E1348" s="34" t="s">
        <v>323</v>
      </c>
      <c r="F1348" s="75" t="s">
        <v>1713</v>
      </c>
      <c r="G1348" s="35" t="s">
        <v>370</v>
      </c>
      <c r="H1348" s="41" t="s">
        <v>371</v>
      </c>
      <c r="I1348" s="44" t="str">
        <f>"0x"&amp;AE_w_WORK!I67</f>
        <v>0x0000</v>
      </c>
      <c r="J1348" s="36">
        <v>41558</v>
      </c>
      <c r="K1348" s="37"/>
      <c r="L1348" s="74">
        <f t="shared" si="22"/>
        <v>2684</v>
      </c>
    </row>
    <row r="1349" spans="2:12" s="74" customFormat="1" hidden="1" outlineLevel="1">
      <c r="B1349" s="73">
        <v>1343</v>
      </c>
      <c r="C1349" s="39"/>
      <c r="D1349" s="40"/>
      <c r="E1349" s="34" t="s">
        <v>323</v>
      </c>
      <c r="F1349" s="75" t="s">
        <v>1714</v>
      </c>
      <c r="G1349" s="35" t="s">
        <v>370</v>
      </c>
      <c r="H1349" s="41" t="s">
        <v>371</v>
      </c>
      <c r="I1349" s="44" t="str">
        <f>"0x"&amp;AE_w_WORK!I68</f>
        <v>0x0000</v>
      </c>
      <c r="J1349" s="36">
        <v>41559</v>
      </c>
      <c r="K1349" s="37"/>
      <c r="L1349" s="74">
        <f t="shared" si="22"/>
        <v>2686</v>
      </c>
    </row>
    <row r="1350" spans="2:12" s="74" customFormat="1" hidden="1" outlineLevel="1">
      <c r="B1350" s="73">
        <v>1344</v>
      </c>
      <c r="C1350" s="39"/>
      <c r="D1350" s="40"/>
      <c r="E1350" s="34" t="s">
        <v>323</v>
      </c>
      <c r="F1350" s="75" t="s">
        <v>1715</v>
      </c>
      <c r="G1350" s="35" t="s">
        <v>370</v>
      </c>
      <c r="H1350" s="41" t="s">
        <v>371</v>
      </c>
      <c r="I1350" s="44" t="str">
        <f>"0x"&amp;AE_w_WORK!I69</f>
        <v>0x0000</v>
      </c>
      <c r="J1350" s="36">
        <v>41560</v>
      </c>
      <c r="K1350" s="37"/>
      <c r="L1350" s="74">
        <f t="shared" si="22"/>
        <v>2688</v>
      </c>
    </row>
    <row r="1351" spans="2:12" s="74" customFormat="1" hidden="1" outlineLevel="1">
      <c r="B1351" s="73">
        <v>1345</v>
      </c>
      <c r="C1351" s="39"/>
      <c r="D1351" s="40"/>
      <c r="E1351" s="34" t="s">
        <v>323</v>
      </c>
      <c r="F1351" s="75" t="s">
        <v>1716</v>
      </c>
      <c r="G1351" s="35" t="s">
        <v>370</v>
      </c>
      <c r="H1351" s="41" t="s">
        <v>371</v>
      </c>
      <c r="I1351" s="44" t="str">
        <f>"0x"&amp;AE_w_WORK!I70</f>
        <v>0x0000</v>
      </c>
      <c r="J1351" s="36">
        <v>41561</v>
      </c>
      <c r="K1351" s="37"/>
      <c r="L1351" s="74">
        <f t="shared" si="22"/>
        <v>2690</v>
      </c>
    </row>
    <row r="1352" spans="2:12" s="74" customFormat="1" hidden="1" outlineLevel="1">
      <c r="B1352" s="73">
        <v>1346</v>
      </c>
      <c r="C1352" s="39"/>
      <c r="D1352" s="40"/>
      <c r="E1352" s="34" t="s">
        <v>323</v>
      </c>
      <c r="F1352" s="75" t="s">
        <v>1717</v>
      </c>
      <c r="G1352" s="35" t="s">
        <v>370</v>
      </c>
      <c r="H1352" s="41" t="s">
        <v>371</v>
      </c>
      <c r="I1352" s="44" t="str">
        <f>"0x"&amp;AE_w_WORK!I71</f>
        <v>0x0000</v>
      </c>
      <c r="J1352" s="36">
        <v>41562</v>
      </c>
      <c r="K1352" s="37"/>
      <c r="L1352" s="74">
        <f t="shared" si="22"/>
        <v>2692</v>
      </c>
    </row>
    <row r="1353" spans="2:12" s="74" customFormat="1" hidden="1" outlineLevel="1">
      <c r="B1353" s="73">
        <v>1347</v>
      </c>
      <c r="C1353" s="39"/>
      <c r="D1353" s="40"/>
      <c r="E1353" s="34" t="s">
        <v>323</v>
      </c>
      <c r="F1353" s="75" t="s">
        <v>1718</v>
      </c>
      <c r="G1353" s="35" t="s">
        <v>370</v>
      </c>
      <c r="H1353" s="41" t="s">
        <v>371</v>
      </c>
      <c r="I1353" s="44" t="str">
        <f>"0x"&amp;AE_w_WORK!I72</f>
        <v>0x0000</v>
      </c>
      <c r="J1353" s="36">
        <v>41563</v>
      </c>
      <c r="K1353" s="37"/>
      <c r="L1353" s="74">
        <f t="shared" ref="L1353:L1416" si="23">L1352+2</f>
        <v>2694</v>
      </c>
    </row>
    <row r="1354" spans="2:12" s="74" customFormat="1" hidden="1" outlineLevel="1">
      <c r="B1354" s="73">
        <v>1348</v>
      </c>
      <c r="C1354" s="39"/>
      <c r="D1354" s="40"/>
      <c r="E1354" s="34" t="s">
        <v>323</v>
      </c>
      <c r="F1354" s="75" t="s">
        <v>1719</v>
      </c>
      <c r="G1354" s="35" t="s">
        <v>370</v>
      </c>
      <c r="H1354" s="41" t="s">
        <v>371</v>
      </c>
      <c r="I1354" s="44" t="str">
        <f>"0x"&amp;AE_w_WORK!I73</f>
        <v>0x0000</v>
      </c>
      <c r="J1354" s="36">
        <v>41564</v>
      </c>
      <c r="K1354" s="37"/>
      <c r="L1354" s="74">
        <f t="shared" si="23"/>
        <v>2696</v>
      </c>
    </row>
    <row r="1355" spans="2:12" s="74" customFormat="1" hidden="1" outlineLevel="1">
      <c r="B1355" s="73">
        <v>1349</v>
      </c>
      <c r="C1355" s="39"/>
      <c r="D1355" s="40"/>
      <c r="E1355" s="34" t="s">
        <v>323</v>
      </c>
      <c r="F1355" s="75" t="s">
        <v>1720</v>
      </c>
      <c r="G1355" s="35" t="s">
        <v>370</v>
      </c>
      <c r="H1355" s="41" t="s">
        <v>371</v>
      </c>
      <c r="I1355" s="44" t="str">
        <f>"0x"&amp;AE_w_WORK!I74</f>
        <v>0x0000</v>
      </c>
      <c r="J1355" s="36">
        <v>41565</v>
      </c>
      <c r="K1355" s="37"/>
      <c r="L1355" s="74">
        <f t="shared" si="23"/>
        <v>2698</v>
      </c>
    </row>
    <row r="1356" spans="2:12" s="74" customFormat="1" hidden="1" outlineLevel="1">
      <c r="B1356" s="73">
        <v>1350</v>
      </c>
      <c r="C1356" s="39"/>
      <c r="D1356" s="40"/>
      <c r="E1356" s="34" t="s">
        <v>323</v>
      </c>
      <c r="F1356" s="75" t="s">
        <v>1721</v>
      </c>
      <c r="G1356" s="35" t="s">
        <v>370</v>
      </c>
      <c r="H1356" s="41" t="s">
        <v>371</v>
      </c>
      <c r="I1356" s="44" t="str">
        <f>"0x"&amp;AE_w_WORK!I75</f>
        <v>0x0000</v>
      </c>
      <c r="J1356" s="36">
        <v>41566</v>
      </c>
      <c r="K1356" s="37"/>
      <c r="L1356" s="74">
        <f t="shared" si="23"/>
        <v>2700</v>
      </c>
    </row>
    <row r="1357" spans="2:12" s="74" customFormat="1" hidden="1" outlineLevel="1">
      <c r="B1357" s="73">
        <v>1351</v>
      </c>
      <c r="C1357" s="39"/>
      <c r="D1357" s="40"/>
      <c r="E1357" s="34" t="s">
        <v>323</v>
      </c>
      <c r="F1357" s="75" t="s">
        <v>1722</v>
      </c>
      <c r="G1357" s="35" t="s">
        <v>370</v>
      </c>
      <c r="H1357" s="41" t="s">
        <v>371</v>
      </c>
      <c r="I1357" s="44" t="str">
        <f>"0x"&amp;AE_w_WORK!I76</f>
        <v>0x0000</v>
      </c>
      <c r="J1357" s="36">
        <v>41567</v>
      </c>
      <c r="K1357" s="37"/>
      <c r="L1357" s="74">
        <f t="shared" si="23"/>
        <v>2702</v>
      </c>
    </row>
    <row r="1358" spans="2:12" s="74" customFormat="1" hidden="1" outlineLevel="1">
      <c r="B1358" s="73">
        <v>1352</v>
      </c>
      <c r="C1358" s="39"/>
      <c r="D1358" s="40"/>
      <c r="E1358" s="34" t="s">
        <v>323</v>
      </c>
      <c r="F1358" s="75" t="s">
        <v>1723</v>
      </c>
      <c r="G1358" s="35" t="s">
        <v>370</v>
      </c>
      <c r="H1358" s="41" t="s">
        <v>371</v>
      </c>
      <c r="I1358" s="44" t="str">
        <f>"0x"&amp;AE_w_WORK!I77</f>
        <v>0x0000</v>
      </c>
      <c r="J1358" s="36">
        <v>41568</v>
      </c>
      <c r="K1358" s="37"/>
      <c r="L1358" s="74">
        <f t="shared" si="23"/>
        <v>2704</v>
      </c>
    </row>
    <row r="1359" spans="2:12" s="74" customFormat="1" hidden="1" outlineLevel="1">
      <c r="B1359" s="73">
        <v>1353</v>
      </c>
      <c r="C1359" s="39"/>
      <c r="D1359" s="40"/>
      <c r="E1359" s="34" t="s">
        <v>323</v>
      </c>
      <c r="F1359" s="75" t="s">
        <v>1724</v>
      </c>
      <c r="G1359" s="35" t="s">
        <v>370</v>
      </c>
      <c r="H1359" s="41" t="s">
        <v>371</v>
      </c>
      <c r="I1359" s="44" t="str">
        <f>"0x"&amp;AE_w_WORK!I78</f>
        <v>0x0000</v>
      </c>
      <c r="J1359" s="36">
        <v>41569</v>
      </c>
      <c r="K1359" s="37"/>
      <c r="L1359" s="74">
        <f t="shared" si="23"/>
        <v>2706</v>
      </c>
    </row>
    <row r="1360" spans="2:12" s="74" customFormat="1" hidden="1" outlineLevel="1">
      <c r="B1360" s="73">
        <v>1354</v>
      </c>
      <c r="C1360" s="39"/>
      <c r="D1360" s="40"/>
      <c r="E1360" s="34" t="s">
        <v>323</v>
      </c>
      <c r="F1360" s="75" t="s">
        <v>1725</v>
      </c>
      <c r="G1360" s="35" t="s">
        <v>370</v>
      </c>
      <c r="H1360" s="41" t="s">
        <v>371</v>
      </c>
      <c r="I1360" s="44" t="str">
        <f>"0x"&amp;AE_w_WORK!I79</f>
        <v>0x0000</v>
      </c>
      <c r="J1360" s="36">
        <v>41570</v>
      </c>
      <c r="K1360" s="37"/>
      <c r="L1360" s="74">
        <f t="shared" si="23"/>
        <v>2708</v>
      </c>
    </row>
    <row r="1361" spans="2:12" s="74" customFormat="1" hidden="1" outlineLevel="1">
      <c r="B1361" s="73">
        <v>1355</v>
      </c>
      <c r="C1361" s="39"/>
      <c r="D1361" s="40"/>
      <c r="E1361" s="34" t="s">
        <v>323</v>
      </c>
      <c r="F1361" s="75" t="s">
        <v>1726</v>
      </c>
      <c r="G1361" s="35" t="s">
        <v>370</v>
      </c>
      <c r="H1361" s="41" t="s">
        <v>371</v>
      </c>
      <c r="I1361" s="44" t="str">
        <f>"0x"&amp;AE_w_WORK!I80</f>
        <v>0x0000</v>
      </c>
      <c r="J1361" s="36">
        <v>41571</v>
      </c>
      <c r="K1361" s="37"/>
      <c r="L1361" s="74">
        <f t="shared" si="23"/>
        <v>2710</v>
      </c>
    </row>
    <row r="1362" spans="2:12" s="74" customFormat="1" hidden="1" outlineLevel="1">
      <c r="B1362" s="73">
        <v>1356</v>
      </c>
      <c r="C1362" s="39"/>
      <c r="D1362" s="40"/>
      <c r="E1362" s="34" t="s">
        <v>323</v>
      </c>
      <c r="F1362" s="75" t="s">
        <v>1727</v>
      </c>
      <c r="G1362" s="35" t="s">
        <v>370</v>
      </c>
      <c r="H1362" s="41" t="s">
        <v>371</v>
      </c>
      <c r="I1362" s="44" t="str">
        <f>"0x"&amp;AE_w_WORK!I81</f>
        <v>0x0000</v>
      </c>
      <c r="J1362" s="36">
        <v>41572</v>
      </c>
      <c r="K1362" s="37"/>
      <c r="L1362" s="74">
        <f t="shared" si="23"/>
        <v>2712</v>
      </c>
    </row>
    <row r="1363" spans="2:12" s="74" customFormat="1" hidden="1" outlineLevel="1">
      <c r="B1363" s="73">
        <v>1357</v>
      </c>
      <c r="C1363" s="39"/>
      <c r="D1363" s="40"/>
      <c r="E1363" s="34" t="s">
        <v>323</v>
      </c>
      <c r="F1363" s="75" t="s">
        <v>1728</v>
      </c>
      <c r="G1363" s="35" t="s">
        <v>370</v>
      </c>
      <c r="H1363" s="41" t="s">
        <v>371</v>
      </c>
      <c r="I1363" s="44" t="str">
        <f>"0x"&amp;AE_w_WORK!I82</f>
        <v>0x0000</v>
      </c>
      <c r="J1363" s="36">
        <v>41573</v>
      </c>
      <c r="K1363" s="37"/>
      <c r="L1363" s="74">
        <f t="shared" si="23"/>
        <v>2714</v>
      </c>
    </row>
    <row r="1364" spans="2:12" s="74" customFormat="1" hidden="1" outlineLevel="1">
      <c r="B1364" s="73">
        <v>1358</v>
      </c>
      <c r="C1364" s="39"/>
      <c r="D1364" s="40"/>
      <c r="E1364" s="34" t="s">
        <v>323</v>
      </c>
      <c r="F1364" s="75" t="s">
        <v>1729</v>
      </c>
      <c r="G1364" s="35" t="s">
        <v>370</v>
      </c>
      <c r="H1364" s="41" t="s">
        <v>371</v>
      </c>
      <c r="I1364" s="44" t="str">
        <f>"0x"&amp;AE_w_WORK!I83</f>
        <v>0x0000</v>
      </c>
      <c r="J1364" s="36">
        <v>41574</v>
      </c>
      <c r="K1364" s="37"/>
      <c r="L1364" s="74">
        <f t="shared" si="23"/>
        <v>2716</v>
      </c>
    </row>
    <row r="1365" spans="2:12" s="74" customFormat="1" hidden="1" outlineLevel="1">
      <c r="B1365" s="73">
        <v>1359</v>
      </c>
      <c r="C1365" s="39"/>
      <c r="D1365" s="40"/>
      <c r="E1365" s="34" t="s">
        <v>323</v>
      </c>
      <c r="F1365" s="75" t="s">
        <v>1730</v>
      </c>
      <c r="G1365" s="35" t="s">
        <v>370</v>
      </c>
      <c r="H1365" s="41" t="s">
        <v>371</v>
      </c>
      <c r="I1365" s="44" t="str">
        <f>"0x"&amp;AE_w_WORK!I84</f>
        <v>0x0000</v>
      </c>
      <c r="J1365" s="36">
        <v>41575</v>
      </c>
      <c r="K1365" s="37"/>
      <c r="L1365" s="74">
        <f t="shared" si="23"/>
        <v>2718</v>
      </c>
    </row>
    <row r="1366" spans="2:12" s="74" customFormat="1" hidden="1" outlineLevel="1">
      <c r="B1366" s="73">
        <v>1360</v>
      </c>
      <c r="C1366" s="39"/>
      <c r="D1366" s="40"/>
      <c r="E1366" s="34" t="s">
        <v>323</v>
      </c>
      <c r="F1366" s="75" t="s">
        <v>1731</v>
      </c>
      <c r="G1366" s="35" t="s">
        <v>370</v>
      </c>
      <c r="H1366" s="41" t="s">
        <v>371</v>
      </c>
      <c r="I1366" s="44" t="str">
        <f>"0x"&amp;AE_w_WORK!I85</f>
        <v>0x0000</v>
      </c>
      <c r="J1366" s="36">
        <v>41576</v>
      </c>
      <c r="K1366" s="37"/>
      <c r="L1366" s="74">
        <f t="shared" si="23"/>
        <v>2720</v>
      </c>
    </row>
    <row r="1367" spans="2:12" s="74" customFormat="1" hidden="1" outlineLevel="1">
      <c r="B1367" s="73">
        <v>1361</v>
      </c>
      <c r="C1367" s="39"/>
      <c r="D1367" s="40"/>
      <c r="E1367" s="34" t="s">
        <v>323</v>
      </c>
      <c r="F1367" s="75" t="s">
        <v>1732</v>
      </c>
      <c r="G1367" s="35" t="s">
        <v>370</v>
      </c>
      <c r="H1367" s="41" t="s">
        <v>371</v>
      </c>
      <c r="I1367" s="44" t="str">
        <f>"0x"&amp;AE_w_WORK!I86</f>
        <v>0x0000</v>
      </c>
      <c r="J1367" s="36">
        <v>41577</v>
      </c>
      <c r="K1367" s="37"/>
      <c r="L1367" s="74">
        <f t="shared" si="23"/>
        <v>2722</v>
      </c>
    </row>
    <row r="1368" spans="2:12" s="74" customFormat="1" hidden="1" outlineLevel="1">
      <c r="B1368" s="73">
        <v>1362</v>
      </c>
      <c r="C1368" s="39"/>
      <c r="D1368" s="40"/>
      <c r="E1368" s="34" t="s">
        <v>323</v>
      </c>
      <c r="F1368" s="75" t="s">
        <v>1733</v>
      </c>
      <c r="G1368" s="35" t="s">
        <v>370</v>
      </c>
      <c r="H1368" s="41" t="s">
        <v>371</v>
      </c>
      <c r="I1368" s="44" t="str">
        <f>"0x"&amp;AE_w_WORK!I87</f>
        <v>0x0000</v>
      </c>
      <c r="J1368" s="36">
        <v>41578</v>
      </c>
      <c r="K1368" s="37"/>
      <c r="L1368" s="74">
        <f t="shared" si="23"/>
        <v>2724</v>
      </c>
    </row>
    <row r="1369" spans="2:12" s="74" customFormat="1" hidden="1" outlineLevel="1">
      <c r="B1369" s="73">
        <v>1363</v>
      </c>
      <c r="C1369" s="39"/>
      <c r="D1369" s="40"/>
      <c r="E1369" s="34" t="s">
        <v>323</v>
      </c>
      <c r="F1369" s="75" t="s">
        <v>1734</v>
      </c>
      <c r="G1369" s="35" t="s">
        <v>370</v>
      </c>
      <c r="H1369" s="41" t="s">
        <v>371</v>
      </c>
      <c r="I1369" s="44" t="str">
        <f>"0x"&amp;AE_w_WORK!I88</f>
        <v>0x0000</v>
      </c>
      <c r="J1369" s="36">
        <v>41579</v>
      </c>
      <c r="K1369" s="37"/>
      <c r="L1369" s="74">
        <f t="shared" si="23"/>
        <v>2726</v>
      </c>
    </row>
    <row r="1370" spans="2:12" s="74" customFormat="1" hidden="1" outlineLevel="1">
      <c r="B1370" s="73">
        <v>1364</v>
      </c>
      <c r="C1370" s="39"/>
      <c r="D1370" s="40"/>
      <c r="E1370" s="34" t="s">
        <v>323</v>
      </c>
      <c r="F1370" s="75" t="s">
        <v>1735</v>
      </c>
      <c r="G1370" s="35" t="s">
        <v>370</v>
      </c>
      <c r="H1370" s="41" t="s">
        <v>371</v>
      </c>
      <c r="I1370" s="44" t="str">
        <f>"0x"&amp;AE_w_WORK!I89</f>
        <v>0xDDDD</v>
      </c>
      <c r="J1370" s="36">
        <v>41580</v>
      </c>
      <c r="K1370" s="37"/>
      <c r="L1370" s="74">
        <f t="shared" si="23"/>
        <v>2728</v>
      </c>
    </row>
    <row r="1371" spans="2:12" s="74" customFormat="1" hidden="1" outlineLevel="1">
      <c r="B1371" s="73">
        <v>1365</v>
      </c>
      <c r="C1371" s="39"/>
      <c r="D1371" s="40"/>
      <c r="E1371" s="34" t="s">
        <v>323</v>
      </c>
      <c r="F1371" s="75" t="s">
        <v>1736</v>
      </c>
      <c r="G1371" s="35" t="s">
        <v>370</v>
      </c>
      <c r="H1371" s="41" t="s">
        <v>371</v>
      </c>
      <c r="I1371" s="44" t="str">
        <f>"0x"&amp;AE_w_WORK!I90</f>
        <v>0xDDDD</v>
      </c>
      <c r="J1371" s="36">
        <v>41581</v>
      </c>
      <c r="K1371" s="37"/>
      <c r="L1371" s="74">
        <f t="shared" si="23"/>
        <v>2730</v>
      </c>
    </row>
    <row r="1372" spans="2:12" s="74" customFormat="1" hidden="1" outlineLevel="1">
      <c r="B1372" s="73">
        <v>1366</v>
      </c>
      <c r="C1372" s="39"/>
      <c r="D1372" s="40"/>
      <c r="E1372" s="34" t="s">
        <v>323</v>
      </c>
      <c r="F1372" s="75" t="s">
        <v>1737</v>
      </c>
      <c r="G1372" s="35" t="s">
        <v>370</v>
      </c>
      <c r="H1372" s="41" t="s">
        <v>371</v>
      </c>
      <c r="I1372" s="44" t="str">
        <f>"0x"&amp;AE_w_WORK!I91</f>
        <v>0x0000</v>
      </c>
      <c r="J1372" s="36">
        <v>41582</v>
      </c>
      <c r="K1372" s="37"/>
      <c r="L1372" s="74">
        <f t="shared" si="23"/>
        <v>2732</v>
      </c>
    </row>
    <row r="1373" spans="2:12" s="74" customFormat="1" hidden="1" outlineLevel="1">
      <c r="B1373" s="73">
        <v>1367</v>
      </c>
      <c r="C1373" s="39"/>
      <c r="D1373" s="40"/>
      <c r="E1373" s="34" t="s">
        <v>323</v>
      </c>
      <c r="F1373" s="75" t="s">
        <v>1738</v>
      </c>
      <c r="G1373" s="35" t="s">
        <v>370</v>
      </c>
      <c r="H1373" s="41" t="s">
        <v>371</v>
      </c>
      <c r="I1373" s="44" t="str">
        <f>"0x"&amp;AE_w_WORK!I92</f>
        <v>0x0000</v>
      </c>
      <c r="J1373" s="36">
        <v>41583</v>
      </c>
      <c r="K1373" s="37"/>
      <c r="L1373" s="74">
        <f t="shared" si="23"/>
        <v>2734</v>
      </c>
    </row>
    <row r="1374" spans="2:12" s="74" customFormat="1" hidden="1" outlineLevel="1">
      <c r="B1374" s="73">
        <v>1368</v>
      </c>
      <c r="C1374" s="39"/>
      <c r="D1374" s="40"/>
      <c r="E1374" s="34" t="s">
        <v>323</v>
      </c>
      <c r="F1374" s="75" t="s">
        <v>1739</v>
      </c>
      <c r="G1374" s="35" t="s">
        <v>370</v>
      </c>
      <c r="H1374" s="41" t="s">
        <v>371</v>
      </c>
      <c r="I1374" s="44" t="str">
        <f>"0x"&amp;AE_w_WORK!I93</f>
        <v>0x0000</v>
      </c>
      <c r="J1374" s="36">
        <v>41584</v>
      </c>
      <c r="K1374" s="37"/>
      <c r="L1374" s="74">
        <f t="shared" si="23"/>
        <v>2736</v>
      </c>
    </row>
    <row r="1375" spans="2:12" s="74" customFormat="1" hidden="1" outlineLevel="1">
      <c r="B1375" s="73">
        <v>1369</v>
      </c>
      <c r="C1375" s="39"/>
      <c r="D1375" s="40"/>
      <c r="E1375" s="34" t="s">
        <v>323</v>
      </c>
      <c r="F1375" s="75" t="s">
        <v>1740</v>
      </c>
      <c r="G1375" s="35" t="s">
        <v>370</v>
      </c>
      <c r="H1375" s="41" t="s">
        <v>371</v>
      </c>
      <c r="I1375" s="44" t="str">
        <f>"0x"&amp;AE_w_WORK!I94</f>
        <v>0x0000</v>
      </c>
      <c r="J1375" s="36">
        <v>41585</v>
      </c>
      <c r="K1375" s="37"/>
      <c r="L1375" s="74">
        <f t="shared" si="23"/>
        <v>2738</v>
      </c>
    </row>
    <row r="1376" spans="2:12" s="74" customFormat="1" hidden="1" outlineLevel="1">
      <c r="B1376" s="73">
        <v>1370</v>
      </c>
      <c r="C1376" s="39"/>
      <c r="D1376" s="40"/>
      <c r="E1376" s="34" t="s">
        <v>323</v>
      </c>
      <c r="F1376" s="75" t="s">
        <v>1741</v>
      </c>
      <c r="G1376" s="35" t="s">
        <v>370</v>
      </c>
      <c r="H1376" s="41" t="s">
        <v>371</v>
      </c>
      <c r="I1376" s="44" t="str">
        <f>"0x"&amp;AE_w_WORK!I95</f>
        <v>0x0000</v>
      </c>
      <c r="J1376" s="36">
        <v>41586</v>
      </c>
      <c r="K1376" s="37"/>
      <c r="L1376" s="74">
        <f t="shared" si="23"/>
        <v>2740</v>
      </c>
    </row>
    <row r="1377" spans="2:12" s="74" customFormat="1" hidden="1" outlineLevel="1">
      <c r="B1377" s="73">
        <v>1371</v>
      </c>
      <c r="C1377" s="39"/>
      <c r="D1377" s="40"/>
      <c r="E1377" s="34" t="s">
        <v>323</v>
      </c>
      <c r="F1377" s="75" t="s">
        <v>1742</v>
      </c>
      <c r="G1377" s="35" t="s">
        <v>370</v>
      </c>
      <c r="H1377" s="41" t="s">
        <v>371</v>
      </c>
      <c r="I1377" s="44" t="str">
        <f>"0x"&amp;AE_w_WORK!I96</f>
        <v>0x0000</v>
      </c>
      <c r="J1377" s="36">
        <v>41587</v>
      </c>
      <c r="K1377" s="37"/>
      <c r="L1377" s="74">
        <f t="shared" si="23"/>
        <v>2742</v>
      </c>
    </row>
    <row r="1378" spans="2:12" s="74" customFormat="1" hidden="1" outlineLevel="1">
      <c r="B1378" s="73">
        <v>1372</v>
      </c>
      <c r="C1378" s="39"/>
      <c r="D1378" s="40"/>
      <c r="E1378" s="34" t="s">
        <v>323</v>
      </c>
      <c r="F1378" s="75" t="s">
        <v>1743</v>
      </c>
      <c r="G1378" s="35" t="s">
        <v>370</v>
      </c>
      <c r="H1378" s="41" t="s">
        <v>371</v>
      </c>
      <c r="I1378" s="44" t="str">
        <f>"0x"&amp;AE_w_WORK!I97</f>
        <v>0xDDDD</v>
      </c>
      <c r="J1378" s="36">
        <v>41588</v>
      </c>
      <c r="K1378" s="37"/>
      <c r="L1378" s="74">
        <f t="shared" si="23"/>
        <v>2744</v>
      </c>
    </row>
    <row r="1379" spans="2:12" s="74" customFormat="1" hidden="1" outlineLevel="1">
      <c r="B1379" s="73">
        <v>1373</v>
      </c>
      <c r="C1379" s="39"/>
      <c r="D1379" s="40"/>
      <c r="E1379" s="34" t="s">
        <v>323</v>
      </c>
      <c r="F1379" s="75" t="s">
        <v>1744</v>
      </c>
      <c r="G1379" s="35" t="s">
        <v>370</v>
      </c>
      <c r="H1379" s="41" t="s">
        <v>371</v>
      </c>
      <c r="I1379" s="44" t="str">
        <f>"0x"&amp;AE_w_WORK!I98</f>
        <v>0xDDDD</v>
      </c>
      <c r="J1379" s="36">
        <v>41589</v>
      </c>
      <c r="K1379" s="37"/>
      <c r="L1379" s="74">
        <f t="shared" si="23"/>
        <v>2746</v>
      </c>
    </row>
    <row r="1380" spans="2:12" s="74" customFormat="1" hidden="1" outlineLevel="1">
      <c r="B1380" s="73">
        <v>1374</v>
      </c>
      <c r="C1380" s="39"/>
      <c r="D1380" s="40"/>
      <c r="E1380" s="34" t="s">
        <v>323</v>
      </c>
      <c r="F1380" s="75" t="s">
        <v>1745</v>
      </c>
      <c r="G1380" s="35" t="s">
        <v>370</v>
      </c>
      <c r="H1380" s="41" t="s">
        <v>371</v>
      </c>
      <c r="I1380" s="44" t="str">
        <f>"0x"&amp;AE_w_WORK!I99</f>
        <v>0x0000</v>
      </c>
      <c r="J1380" s="36">
        <v>41590</v>
      </c>
      <c r="K1380" s="37"/>
      <c r="L1380" s="74">
        <f t="shared" si="23"/>
        <v>2748</v>
      </c>
    </row>
    <row r="1381" spans="2:12" s="74" customFormat="1" hidden="1" outlineLevel="1">
      <c r="B1381" s="73">
        <v>1375</v>
      </c>
      <c r="C1381" s="39"/>
      <c r="D1381" s="40"/>
      <c r="E1381" s="34" t="s">
        <v>323</v>
      </c>
      <c r="F1381" s="75" t="s">
        <v>1746</v>
      </c>
      <c r="G1381" s="35" t="s">
        <v>370</v>
      </c>
      <c r="H1381" s="41" t="s">
        <v>371</v>
      </c>
      <c r="I1381" s="44" t="str">
        <f>"0x"&amp;AE_w_WORK!I100</f>
        <v>0x0000</v>
      </c>
      <c r="J1381" s="36">
        <v>41591</v>
      </c>
      <c r="K1381" s="37"/>
      <c r="L1381" s="74">
        <f t="shared" si="23"/>
        <v>2750</v>
      </c>
    </row>
    <row r="1382" spans="2:12" s="74" customFormat="1" hidden="1" outlineLevel="1">
      <c r="B1382" s="73">
        <v>1376</v>
      </c>
      <c r="C1382" s="39"/>
      <c r="D1382" s="40"/>
      <c r="E1382" s="34" t="s">
        <v>323</v>
      </c>
      <c r="F1382" s="75" t="s">
        <v>1747</v>
      </c>
      <c r="G1382" s="35" t="s">
        <v>370</v>
      </c>
      <c r="H1382" s="41" t="s">
        <v>371</v>
      </c>
      <c r="I1382" s="44" t="str">
        <f>"0x"&amp;AE_w_WORK!I101</f>
        <v>0x0000</v>
      </c>
      <c r="J1382" s="36">
        <v>41592</v>
      </c>
      <c r="K1382" s="37"/>
      <c r="L1382" s="74">
        <f t="shared" si="23"/>
        <v>2752</v>
      </c>
    </row>
    <row r="1383" spans="2:12" s="74" customFormat="1" hidden="1" outlineLevel="1">
      <c r="B1383" s="73">
        <v>1377</v>
      </c>
      <c r="C1383" s="39"/>
      <c r="D1383" s="40"/>
      <c r="E1383" s="34" t="s">
        <v>323</v>
      </c>
      <c r="F1383" s="75" t="s">
        <v>1748</v>
      </c>
      <c r="G1383" s="35" t="s">
        <v>370</v>
      </c>
      <c r="H1383" s="41" t="s">
        <v>371</v>
      </c>
      <c r="I1383" s="44" t="str">
        <f>"0x"&amp;AE_w_WORK!I102</f>
        <v>0x0000</v>
      </c>
      <c r="J1383" s="36">
        <v>41593</v>
      </c>
      <c r="K1383" s="37"/>
      <c r="L1383" s="74">
        <f t="shared" si="23"/>
        <v>2754</v>
      </c>
    </row>
    <row r="1384" spans="2:12" s="74" customFormat="1" hidden="1" outlineLevel="1">
      <c r="B1384" s="73">
        <v>1378</v>
      </c>
      <c r="C1384" s="39"/>
      <c r="D1384" s="40"/>
      <c r="E1384" s="34" t="s">
        <v>323</v>
      </c>
      <c r="F1384" s="75" t="s">
        <v>1749</v>
      </c>
      <c r="G1384" s="35" t="s">
        <v>370</v>
      </c>
      <c r="H1384" s="41" t="s">
        <v>371</v>
      </c>
      <c r="I1384" s="44" t="str">
        <f>"0x"&amp;AE_w_WORK!I103</f>
        <v>0x0000</v>
      </c>
      <c r="J1384" s="36">
        <v>41594</v>
      </c>
      <c r="K1384" s="37"/>
      <c r="L1384" s="74">
        <f t="shared" si="23"/>
        <v>2756</v>
      </c>
    </row>
    <row r="1385" spans="2:12" s="74" customFormat="1" hidden="1" outlineLevel="1">
      <c r="B1385" s="73">
        <v>1379</v>
      </c>
      <c r="C1385" s="39"/>
      <c r="D1385" s="40"/>
      <c r="E1385" s="34" t="s">
        <v>323</v>
      </c>
      <c r="F1385" s="75" t="s">
        <v>1750</v>
      </c>
      <c r="G1385" s="35" t="s">
        <v>370</v>
      </c>
      <c r="H1385" s="41" t="s">
        <v>371</v>
      </c>
      <c r="I1385" s="44" t="str">
        <f>"0x"&amp;AE_w_WORK!I104</f>
        <v>0x00DD</v>
      </c>
      <c r="J1385" s="36">
        <v>41595</v>
      </c>
      <c r="K1385" s="37"/>
      <c r="L1385" s="74">
        <f t="shared" si="23"/>
        <v>2758</v>
      </c>
    </row>
    <row r="1386" spans="2:12" s="74" customFormat="1" hidden="1" outlineLevel="1">
      <c r="B1386" s="73">
        <v>1380</v>
      </c>
      <c r="C1386" s="39"/>
      <c r="D1386" s="40"/>
      <c r="E1386" s="34" t="s">
        <v>323</v>
      </c>
      <c r="F1386" s="75" t="s">
        <v>1751</v>
      </c>
      <c r="G1386" s="35" t="s">
        <v>370</v>
      </c>
      <c r="H1386" s="41" t="s">
        <v>371</v>
      </c>
      <c r="I1386" s="44" t="str">
        <f>"0x"&amp;AE_w_WORK!I105</f>
        <v>0xDDFF</v>
      </c>
      <c r="J1386" s="36">
        <v>41596</v>
      </c>
      <c r="K1386" s="37"/>
      <c r="L1386" s="74">
        <f t="shared" si="23"/>
        <v>2760</v>
      </c>
    </row>
    <row r="1387" spans="2:12" s="74" customFormat="1" hidden="1" outlineLevel="1">
      <c r="B1387" s="73">
        <v>1381</v>
      </c>
      <c r="C1387" s="39"/>
      <c r="D1387" s="40"/>
      <c r="E1387" s="34" t="s">
        <v>323</v>
      </c>
      <c r="F1387" s="75" t="s">
        <v>1752</v>
      </c>
      <c r="G1387" s="35" t="s">
        <v>370</v>
      </c>
      <c r="H1387" s="41" t="s">
        <v>371</v>
      </c>
      <c r="I1387" s="44" t="str">
        <f>"0x"&amp;AE_w_WORK!I106</f>
        <v>0xFFDD</v>
      </c>
      <c r="J1387" s="36">
        <v>41597</v>
      </c>
      <c r="K1387" s="37"/>
      <c r="L1387" s="74">
        <f t="shared" si="23"/>
        <v>2762</v>
      </c>
    </row>
    <row r="1388" spans="2:12" s="74" customFormat="1" hidden="1" outlineLevel="1">
      <c r="B1388" s="73">
        <v>1382</v>
      </c>
      <c r="C1388" s="39"/>
      <c r="D1388" s="40"/>
      <c r="E1388" s="34" t="s">
        <v>323</v>
      </c>
      <c r="F1388" s="75" t="s">
        <v>1753</v>
      </c>
      <c r="G1388" s="35" t="s">
        <v>370</v>
      </c>
      <c r="H1388" s="41" t="s">
        <v>371</v>
      </c>
      <c r="I1388" s="44" t="str">
        <f>"0x"&amp;AE_w_WORK!I107</f>
        <v>0xDD00</v>
      </c>
      <c r="J1388" s="36">
        <v>41598</v>
      </c>
      <c r="K1388" s="37"/>
      <c r="L1388" s="74">
        <f t="shared" si="23"/>
        <v>2764</v>
      </c>
    </row>
    <row r="1389" spans="2:12" s="74" customFormat="1" hidden="1" outlineLevel="1">
      <c r="B1389" s="73">
        <v>1383</v>
      </c>
      <c r="C1389" s="39"/>
      <c r="D1389" s="40"/>
      <c r="E1389" s="34" t="s">
        <v>323</v>
      </c>
      <c r="F1389" s="75" t="s">
        <v>1754</v>
      </c>
      <c r="G1389" s="35" t="s">
        <v>370</v>
      </c>
      <c r="H1389" s="41" t="s">
        <v>371</v>
      </c>
      <c r="I1389" s="44" t="str">
        <f>"0x"&amp;AE_w_WORK!I108</f>
        <v>0x0000</v>
      </c>
      <c r="J1389" s="36">
        <v>41599</v>
      </c>
      <c r="K1389" s="37"/>
      <c r="L1389" s="74">
        <f t="shared" si="23"/>
        <v>2766</v>
      </c>
    </row>
    <row r="1390" spans="2:12" s="74" customFormat="1" hidden="1" outlineLevel="1">
      <c r="B1390" s="73">
        <v>1384</v>
      </c>
      <c r="C1390" s="39"/>
      <c r="D1390" s="40"/>
      <c r="E1390" s="34" t="s">
        <v>323</v>
      </c>
      <c r="F1390" s="75" t="s">
        <v>1755</v>
      </c>
      <c r="G1390" s="35" t="s">
        <v>370</v>
      </c>
      <c r="H1390" s="41" t="s">
        <v>371</v>
      </c>
      <c r="I1390" s="44" t="str">
        <f>"0x"&amp;AE_w_WORK!I109</f>
        <v>0x0000</v>
      </c>
      <c r="J1390" s="36">
        <v>41600</v>
      </c>
      <c r="K1390" s="37"/>
      <c r="L1390" s="74">
        <f t="shared" si="23"/>
        <v>2768</v>
      </c>
    </row>
    <row r="1391" spans="2:12" s="74" customFormat="1" hidden="1" outlineLevel="1">
      <c r="B1391" s="73">
        <v>1385</v>
      </c>
      <c r="C1391" s="39"/>
      <c r="D1391" s="40"/>
      <c r="E1391" s="34" t="s">
        <v>323</v>
      </c>
      <c r="F1391" s="75" t="s">
        <v>1756</v>
      </c>
      <c r="G1391" s="35" t="s">
        <v>370</v>
      </c>
      <c r="H1391" s="41" t="s">
        <v>371</v>
      </c>
      <c r="I1391" s="44" t="str">
        <f>"0x"&amp;AE_w_WORK!I110</f>
        <v>0x0000</v>
      </c>
      <c r="J1391" s="36">
        <v>41601</v>
      </c>
      <c r="K1391" s="37"/>
      <c r="L1391" s="74">
        <f t="shared" si="23"/>
        <v>2770</v>
      </c>
    </row>
    <row r="1392" spans="2:12" s="74" customFormat="1" hidden="1" outlineLevel="1">
      <c r="B1392" s="73">
        <v>1386</v>
      </c>
      <c r="C1392" s="39"/>
      <c r="D1392" s="40"/>
      <c r="E1392" s="34" t="s">
        <v>323</v>
      </c>
      <c r="F1392" s="75" t="s">
        <v>1757</v>
      </c>
      <c r="G1392" s="35" t="s">
        <v>370</v>
      </c>
      <c r="H1392" s="41" t="s">
        <v>371</v>
      </c>
      <c r="I1392" s="44" t="str">
        <f>"0x"&amp;AE_w_WORK!I111</f>
        <v>0x0000</v>
      </c>
      <c r="J1392" s="36">
        <v>41602</v>
      </c>
      <c r="K1392" s="37"/>
      <c r="L1392" s="74">
        <f t="shared" si="23"/>
        <v>2772</v>
      </c>
    </row>
    <row r="1393" spans="2:12" s="74" customFormat="1" hidden="1" outlineLevel="1">
      <c r="B1393" s="73">
        <v>1387</v>
      </c>
      <c r="C1393" s="39"/>
      <c r="D1393" s="40"/>
      <c r="E1393" s="34" t="s">
        <v>323</v>
      </c>
      <c r="F1393" s="75" t="s">
        <v>1758</v>
      </c>
      <c r="G1393" s="35" t="s">
        <v>370</v>
      </c>
      <c r="H1393" s="41" t="s">
        <v>371</v>
      </c>
      <c r="I1393" s="44" t="str">
        <f>"0x"&amp;AE_w_WORK!I112</f>
        <v>0x00DD</v>
      </c>
      <c r="J1393" s="36">
        <v>41603</v>
      </c>
      <c r="K1393" s="37"/>
      <c r="L1393" s="74">
        <f t="shared" si="23"/>
        <v>2774</v>
      </c>
    </row>
    <row r="1394" spans="2:12" s="74" customFormat="1" hidden="1" outlineLevel="1">
      <c r="B1394" s="73">
        <v>1388</v>
      </c>
      <c r="C1394" s="39"/>
      <c r="D1394" s="40"/>
      <c r="E1394" s="34" t="s">
        <v>323</v>
      </c>
      <c r="F1394" s="75" t="s">
        <v>1759</v>
      </c>
      <c r="G1394" s="35" t="s">
        <v>370</v>
      </c>
      <c r="H1394" s="41" t="s">
        <v>371</v>
      </c>
      <c r="I1394" s="44" t="str">
        <f>"0x"&amp;AE_w_WORK!I113</f>
        <v>0xDDFF</v>
      </c>
      <c r="J1394" s="36">
        <v>41604</v>
      </c>
      <c r="K1394" s="37"/>
      <c r="L1394" s="74">
        <f t="shared" si="23"/>
        <v>2776</v>
      </c>
    </row>
    <row r="1395" spans="2:12" s="74" customFormat="1" hidden="1" outlineLevel="1">
      <c r="B1395" s="73">
        <v>1389</v>
      </c>
      <c r="C1395" s="39"/>
      <c r="D1395" s="40"/>
      <c r="E1395" s="34" t="s">
        <v>323</v>
      </c>
      <c r="F1395" s="75" t="s">
        <v>1760</v>
      </c>
      <c r="G1395" s="35" t="s">
        <v>370</v>
      </c>
      <c r="H1395" s="41" t="s">
        <v>371</v>
      </c>
      <c r="I1395" s="44" t="str">
        <f>"0x"&amp;AE_w_WORK!I114</f>
        <v>0xFFDD</v>
      </c>
      <c r="J1395" s="36">
        <v>41605</v>
      </c>
      <c r="K1395" s="37"/>
      <c r="L1395" s="74">
        <f t="shared" si="23"/>
        <v>2778</v>
      </c>
    </row>
    <row r="1396" spans="2:12" s="74" customFormat="1" hidden="1" outlineLevel="1">
      <c r="B1396" s="73">
        <v>1390</v>
      </c>
      <c r="C1396" s="39"/>
      <c r="D1396" s="40"/>
      <c r="E1396" s="34" t="s">
        <v>323</v>
      </c>
      <c r="F1396" s="75" t="s">
        <v>1761</v>
      </c>
      <c r="G1396" s="35" t="s">
        <v>370</v>
      </c>
      <c r="H1396" s="41" t="s">
        <v>371</v>
      </c>
      <c r="I1396" s="44" t="str">
        <f>"0x"&amp;AE_w_WORK!I115</f>
        <v>0xDD00</v>
      </c>
      <c r="J1396" s="36">
        <v>41606</v>
      </c>
      <c r="K1396" s="37"/>
      <c r="L1396" s="74">
        <f t="shared" si="23"/>
        <v>2780</v>
      </c>
    </row>
    <row r="1397" spans="2:12" s="74" customFormat="1" hidden="1" outlineLevel="1">
      <c r="B1397" s="73">
        <v>1391</v>
      </c>
      <c r="C1397" s="39"/>
      <c r="D1397" s="40"/>
      <c r="E1397" s="34" t="s">
        <v>323</v>
      </c>
      <c r="F1397" s="75" t="s">
        <v>1762</v>
      </c>
      <c r="G1397" s="35" t="s">
        <v>370</v>
      </c>
      <c r="H1397" s="41" t="s">
        <v>371</v>
      </c>
      <c r="I1397" s="44" t="str">
        <f>"0x"&amp;AE_w_WORK!I116</f>
        <v>0x0000</v>
      </c>
      <c r="J1397" s="36">
        <v>41607</v>
      </c>
      <c r="K1397" s="37"/>
      <c r="L1397" s="74">
        <f t="shared" si="23"/>
        <v>2782</v>
      </c>
    </row>
    <row r="1398" spans="2:12" s="74" customFormat="1" hidden="1" outlineLevel="1">
      <c r="B1398" s="73">
        <v>1392</v>
      </c>
      <c r="C1398" s="39"/>
      <c r="D1398" s="40"/>
      <c r="E1398" s="34" t="s">
        <v>323</v>
      </c>
      <c r="F1398" s="75" t="s">
        <v>1763</v>
      </c>
      <c r="G1398" s="35" t="s">
        <v>370</v>
      </c>
      <c r="H1398" s="41" t="s">
        <v>371</v>
      </c>
      <c r="I1398" s="44" t="str">
        <f>"0x"&amp;AE_w_WORK!I117</f>
        <v>0x0000</v>
      </c>
      <c r="J1398" s="36">
        <v>41608</v>
      </c>
      <c r="K1398" s="37"/>
      <c r="L1398" s="74">
        <f t="shared" si="23"/>
        <v>2784</v>
      </c>
    </row>
    <row r="1399" spans="2:12" s="74" customFormat="1" hidden="1" outlineLevel="1">
      <c r="B1399" s="73">
        <v>1393</v>
      </c>
      <c r="C1399" s="39"/>
      <c r="D1399" s="40"/>
      <c r="E1399" s="34" t="s">
        <v>323</v>
      </c>
      <c r="F1399" s="75" t="s">
        <v>1764</v>
      </c>
      <c r="G1399" s="35" t="s">
        <v>370</v>
      </c>
      <c r="H1399" s="41" t="s">
        <v>371</v>
      </c>
      <c r="I1399" s="44" t="str">
        <f>"0x"&amp;AE_w_WORK!I118</f>
        <v>0x0000</v>
      </c>
      <c r="J1399" s="36">
        <v>41609</v>
      </c>
      <c r="K1399" s="37"/>
      <c r="L1399" s="74">
        <f t="shared" si="23"/>
        <v>2786</v>
      </c>
    </row>
    <row r="1400" spans="2:12" s="74" customFormat="1" hidden="1" outlineLevel="1">
      <c r="B1400" s="73">
        <v>1394</v>
      </c>
      <c r="C1400" s="39"/>
      <c r="D1400" s="40"/>
      <c r="E1400" s="34" t="s">
        <v>323</v>
      </c>
      <c r="F1400" s="75" t="s">
        <v>1765</v>
      </c>
      <c r="G1400" s="35" t="s">
        <v>370</v>
      </c>
      <c r="H1400" s="41" t="s">
        <v>371</v>
      </c>
      <c r="I1400" s="44" t="str">
        <f>"0x"&amp;AE_w_WORK!I119</f>
        <v>0x0000</v>
      </c>
      <c r="J1400" s="36">
        <v>41610</v>
      </c>
      <c r="K1400" s="37"/>
      <c r="L1400" s="74">
        <f t="shared" si="23"/>
        <v>2788</v>
      </c>
    </row>
    <row r="1401" spans="2:12" s="74" customFormat="1" hidden="1" outlineLevel="1">
      <c r="B1401" s="73">
        <v>1395</v>
      </c>
      <c r="C1401" s="39"/>
      <c r="D1401" s="40"/>
      <c r="E1401" s="34" t="s">
        <v>323</v>
      </c>
      <c r="F1401" s="75" t="s">
        <v>1766</v>
      </c>
      <c r="G1401" s="35" t="s">
        <v>370</v>
      </c>
      <c r="H1401" s="41" t="s">
        <v>371</v>
      </c>
      <c r="I1401" s="44" t="str">
        <f>"0x"&amp;AE_w_WORK!I120</f>
        <v>0x00DD</v>
      </c>
      <c r="J1401" s="36">
        <v>41611</v>
      </c>
      <c r="K1401" s="37"/>
      <c r="L1401" s="74">
        <f t="shared" si="23"/>
        <v>2790</v>
      </c>
    </row>
    <row r="1402" spans="2:12" s="74" customFormat="1" hidden="1" outlineLevel="1">
      <c r="B1402" s="73">
        <v>1396</v>
      </c>
      <c r="C1402" s="39"/>
      <c r="D1402" s="40"/>
      <c r="E1402" s="34" t="s">
        <v>323</v>
      </c>
      <c r="F1402" s="75" t="s">
        <v>1767</v>
      </c>
      <c r="G1402" s="35" t="s">
        <v>370</v>
      </c>
      <c r="H1402" s="41" t="s">
        <v>371</v>
      </c>
      <c r="I1402" s="44" t="str">
        <f>"0x"&amp;AE_w_WORK!I121</f>
        <v>0xFFFF</v>
      </c>
      <c r="J1402" s="36">
        <v>41612</v>
      </c>
      <c r="K1402" s="37"/>
      <c r="L1402" s="74">
        <f t="shared" si="23"/>
        <v>2792</v>
      </c>
    </row>
    <row r="1403" spans="2:12" s="74" customFormat="1" hidden="1" outlineLevel="1">
      <c r="B1403" s="73">
        <v>1397</v>
      </c>
      <c r="C1403" s="39"/>
      <c r="D1403" s="40"/>
      <c r="E1403" s="34" t="s">
        <v>323</v>
      </c>
      <c r="F1403" s="75" t="s">
        <v>1768</v>
      </c>
      <c r="G1403" s="35" t="s">
        <v>370</v>
      </c>
      <c r="H1403" s="41" t="s">
        <v>371</v>
      </c>
      <c r="I1403" s="44" t="str">
        <f>"0x"&amp;AE_w_WORK!I122</f>
        <v>0xFFFF</v>
      </c>
      <c r="J1403" s="36">
        <v>41613</v>
      </c>
      <c r="K1403" s="37"/>
      <c r="L1403" s="74">
        <f t="shared" si="23"/>
        <v>2794</v>
      </c>
    </row>
    <row r="1404" spans="2:12" s="74" customFormat="1" hidden="1" outlineLevel="1">
      <c r="B1404" s="73">
        <v>1398</v>
      </c>
      <c r="C1404" s="39"/>
      <c r="D1404" s="40"/>
      <c r="E1404" s="34" t="s">
        <v>323</v>
      </c>
      <c r="F1404" s="75" t="s">
        <v>1769</v>
      </c>
      <c r="G1404" s="35" t="s">
        <v>370</v>
      </c>
      <c r="H1404" s="41" t="s">
        <v>371</v>
      </c>
      <c r="I1404" s="44" t="str">
        <f>"0x"&amp;AE_w_WORK!I123</f>
        <v>0xDD00</v>
      </c>
      <c r="J1404" s="36">
        <v>41614</v>
      </c>
      <c r="K1404" s="37"/>
      <c r="L1404" s="74">
        <f t="shared" si="23"/>
        <v>2796</v>
      </c>
    </row>
    <row r="1405" spans="2:12" s="74" customFormat="1" hidden="1" outlineLevel="1">
      <c r="B1405" s="73">
        <v>1399</v>
      </c>
      <c r="C1405" s="39"/>
      <c r="D1405" s="40"/>
      <c r="E1405" s="34" t="s">
        <v>323</v>
      </c>
      <c r="F1405" s="75" t="s">
        <v>1770</v>
      </c>
      <c r="G1405" s="35" t="s">
        <v>370</v>
      </c>
      <c r="H1405" s="41" t="s">
        <v>371</v>
      </c>
      <c r="I1405" s="44" t="str">
        <f>"0x"&amp;AE_w_WORK!I124</f>
        <v>0x0000</v>
      </c>
      <c r="J1405" s="36">
        <v>41615</v>
      </c>
      <c r="K1405" s="37"/>
      <c r="L1405" s="74">
        <f t="shared" si="23"/>
        <v>2798</v>
      </c>
    </row>
    <row r="1406" spans="2:12" s="74" customFormat="1" hidden="1" outlineLevel="1">
      <c r="B1406" s="73">
        <v>1400</v>
      </c>
      <c r="C1406" s="39"/>
      <c r="D1406" s="40"/>
      <c r="E1406" s="34" t="s">
        <v>323</v>
      </c>
      <c r="F1406" s="75" t="s">
        <v>1771</v>
      </c>
      <c r="G1406" s="35" t="s">
        <v>370</v>
      </c>
      <c r="H1406" s="41" t="s">
        <v>371</v>
      </c>
      <c r="I1406" s="44" t="str">
        <f>"0x"&amp;AE_w_WORK!I125</f>
        <v>0x0000</v>
      </c>
      <c r="J1406" s="36">
        <v>41616</v>
      </c>
      <c r="K1406" s="37"/>
      <c r="L1406" s="74">
        <f t="shared" si="23"/>
        <v>2800</v>
      </c>
    </row>
    <row r="1407" spans="2:12" s="74" customFormat="1" hidden="1" outlineLevel="1">
      <c r="B1407" s="73">
        <v>1401</v>
      </c>
      <c r="C1407" s="39"/>
      <c r="D1407" s="40"/>
      <c r="E1407" s="34" t="s">
        <v>323</v>
      </c>
      <c r="F1407" s="75" t="s">
        <v>1772</v>
      </c>
      <c r="G1407" s="35" t="s">
        <v>370</v>
      </c>
      <c r="H1407" s="41" t="s">
        <v>371</v>
      </c>
      <c r="I1407" s="44" t="str">
        <f>"0x"&amp;AE_w_WORK!I126</f>
        <v>0x0000</v>
      </c>
      <c r="J1407" s="36">
        <v>41617</v>
      </c>
      <c r="K1407" s="37"/>
      <c r="L1407" s="74">
        <f t="shared" si="23"/>
        <v>2802</v>
      </c>
    </row>
    <row r="1408" spans="2:12" s="74" customFormat="1" hidden="1" outlineLevel="1">
      <c r="B1408" s="73">
        <v>1402</v>
      </c>
      <c r="C1408" s="39"/>
      <c r="D1408" s="40"/>
      <c r="E1408" s="34" t="s">
        <v>323</v>
      </c>
      <c r="F1408" s="75" t="s">
        <v>1773</v>
      </c>
      <c r="G1408" s="35" t="s">
        <v>370</v>
      </c>
      <c r="H1408" s="41" t="s">
        <v>371</v>
      </c>
      <c r="I1408" s="44" t="str">
        <f>"0x"&amp;AE_w_WORK!I127</f>
        <v>0x0000</v>
      </c>
      <c r="J1408" s="36">
        <v>41618</v>
      </c>
      <c r="K1408" s="37"/>
      <c r="L1408" s="74">
        <f t="shared" si="23"/>
        <v>2804</v>
      </c>
    </row>
    <row r="1409" spans="2:12" s="74" customFormat="1" hidden="1" outlineLevel="1">
      <c r="B1409" s="73">
        <v>1403</v>
      </c>
      <c r="C1409" s="39"/>
      <c r="D1409" s="40"/>
      <c r="E1409" s="34" t="s">
        <v>323</v>
      </c>
      <c r="F1409" s="75" t="s">
        <v>1774</v>
      </c>
      <c r="G1409" s="35" t="s">
        <v>370</v>
      </c>
      <c r="H1409" s="41" t="s">
        <v>371</v>
      </c>
      <c r="I1409" s="44" t="str">
        <f>"0x"&amp;AE_w_WORK!I128</f>
        <v>0x00DD</v>
      </c>
      <c r="J1409" s="36">
        <v>41619</v>
      </c>
      <c r="K1409" s="37"/>
      <c r="L1409" s="74">
        <f t="shared" si="23"/>
        <v>2806</v>
      </c>
    </row>
    <row r="1410" spans="2:12" s="74" customFormat="1" hidden="1" outlineLevel="1">
      <c r="B1410" s="73">
        <v>1404</v>
      </c>
      <c r="C1410" s="39"/>
      <c r="D1410" s="40"/>
      <c r="E1410" s="34" t="s">
        <v>323</v>
      </c>
      <c r="F1410" s="75" t="s">
        <v>1775</v>
      </c>
      <c r="G1410" s="35" t="s">
        <v>370</v>
      </c>
      <c r="H1410" s="41" t="s">
        <v>371</v>
      </c>
      <c r="I1410" s="44" t="str">
        <f>"0x"&amp;AE_w_WORK!I129</f>
        <v>0xFFFF</v>
      </c>
      <c r="J1410" s="36">
        <v>41620</v>
      </c>
      <c r="K1410" s="37"/>
      <c r="L1410" s="74">
        <f t="shared" si="23"/>
        <v>2808</v>
      </c>
    </row>
    <row r="1411" spans="2:12" s="74" customFormat="1" hidden="1" outlineLevel="1">
      <c r="B1411" s="73">
        <v>1405</v>
      </c>
      <c r="C1411" s="39"/>
      <c r="D1411" s="40"/>
      <c r="E1411" s="34" t="s">
        <v>323</v>
      </c>
      <c r="F1411" s="75" t="s">
        <v>1776</v>
      </c>
      <c r="G1411" s="35" t="s">
        <v>370</v>
      </c>
      <c r="H1411" s="41" t="s">
        <v>371</v>
      </c>
      <c r="I1411" s="44" t="str">
        <f>"0x"&amp;AE_w_WORK!I130</f>
        <v>0xFFFF</v>
      </c>
      <c r="J1411" s="36">
        <v>41621</v>
      </c>
      <c r="K1411" s="37"/>
      <c r="L1411" s="74">
        <f t="shared" si="23"/>
        <v>2810</v>
      </c>
    </row>
    <row r="1412" spans="2:12" s="74" customFormat="1" hidden="1" outlineLevel="1">
      <c r="B1412" s="73">
        <v>1406</v>
      </c>
      <c r="C1412" s="39"/>
      <c r="D1412" s="40"/>
      <c r="E1412" s="34" t="s">
        <v>323</v>
      </c>
      <c r="F1412" s="75" t="s">
        <v>1777</v>
      </c>
      <c r="G1412" s="35" t="s">
        <v>370</v>
      </c>
      <c r="H1412" s="41" t="s">
        <v>371</v>
      </c>
      <c r="I1412" s="44" t="str">
        <f>"0x"&amp;AE_w_WORK!I131</f>
        <v>0xDD00</v>
      </c>
      <c r="J1412" s="36">
        <v>41622</v>
      </c>
      <c r="K1412" s="37"/>
      <c r="L1412" s="74">
        <f t="shared" si="23"/>
        <v>2812</v>
      </c>
    </row>
    <row r="1413" spans="2:12" s="74" customFormat="1" hidden="1" outlineLevel="1">
      <c r="B1413" s="73">
        <v>1407</v>
      </c>
      <c r="C1413" s="39"/>
      <c r="D1413" s="40"/>
      <c r="E1413" s="34" t="s">
        <v>323</v>
      </c>
      <c r="F1413" s="75" t="s">
        <v>1778</v>
      </c>
      <c r="G1413" s="35" t="s">
        <v>370</v>
      </c>
      <c r="H1413" s="41" t="s">
        <v>371</v>
      </c>
      <c r="I1413" s="44" t="str">
        <f>"0x"&amp;AE_w_WORK!I132</f>
        <v>0x0000</v>
      </c>
      <c r="J1413" s="36">
        <v>41623</v>
      </c>
      <c r="K1413" s="37"/>
      <c r="L1413" s="74">
        <f t="shared" si="23"/>
        <v>2814</v>
      </c>
    </row>
    <row r="1414" spans="2:12" s="74" customFormat="1" hidden="1" outlineLevel="1">
      <c r="B1414" s="73">
        <v>1408</v>
      </c>
      <c r="C1414" s="39"/>
      <c r="D1414" s="40"/>
      <c r="E1414" s="34" t="s">
        <v>323</v>
      </c>
      <c r="F1414" s="75" t="s">
        <v>1779</v>
      </c>
      <c r="G1414" s="35" t="s">
        <v>370</v>
      </c>
      <c r="H1414" s="41" t="s">
        <v>371</v>
      </c>
      <c r="I1414" s="44" t="str">
        <f>"0x"&amp;AE_w_WORK!I133</f>
        <v>0x0000</v>
      </c>
      <c r="J1414" s="36">
        <v>41624</v>
      </c>
      <c r="K1414" s="37"/>
      <c r="L1414" s="74">
        <f t="shared" si="23"/>
        <v>2816</v>
      </c>
    </row>
    <row r="1415" spans="2:12" s="74" customFormat="1" hidden="1" outlineLevel="1" collapsed="1">
      <c r="B1415" s="73">
        <v>1409</v>
      </c>
      <c r="C1415" s="39"/>
      <c r="D1415" s="40"/>
      <c r="E1415" s="34" t="s">
        <v>323</v>
      </c>
      <c r="F1415" s="75" t="s">
        <v>1780</v>
      </c>
      <c r="G1415" s="35" t="s">
        <v>370</v>
      </c>
      <c r="H1415" s="41" t="s">
        <v>371</v>
      </c>
      <c r="I1415" s="44" t="str">
        <f>"0x"&amp;AE_w_WORK!I134</f>
        <v>0x0000</v>
      </c>
      <c r="J1415" s="36">
        <v>41625</v>
      </c>
      <c r="K1415" s="37"/>
      <c r="L1415" s="74">
        <f t="shared" si="23"/>
        <v>2818</v>
      </c>
    </row>
    <row r="1416" spans="2:12" s="74" customFormat="1" hidden="1" outlineLevel="1">
      <c r="B1416" s="73">
        <v>1410</v>
      </c>
      <c r="C1416" s="39"/>
      <c r="D1416" s="40"/>
      <c r="E1416" s="34" t="s">
        <v>323</v>
      </c>
      <c r="F1416" s="75" t="s">
        <v>1781</v>
      </c>
      <c r="G1416" s="35" t="s">
        <v>370</v>
      </c>
      <c r="H1416" s="41" t="s">
        <v>371</v>
      </c>
      <c r="I1416" s="44" t="str">
        <f>"0x"&amp;AE_w_WORK!I135</f>
        <v>0x0000</v>
      </c>
      <c r="J1416" s="36">
        <v>41626</v>
      </c>
      <c r="K1416" s="37"/>
      <c r="L1416" s="74">
        <f t="shared" si="23"/>
        <v>2820</v>
      </c>
    </row>
    <row r="1417" spans="2:12" s="74" customFormat="1" hidden="1" outlineLevel="1">
      <c r="B1417" s="73">
        <v>1411</v>
      </c>
      <c r="C1417" s="39"/>
      <c r="D1417" s="40"/>
      <c r="E1417" s="34" t="s">
        <v>323</v>
      </c>
      <c r="F1417" s="75" t="s">
        <v>1782</v>
      </c>
      <c r="G1417" s="35" t="s">
        <v>370</v>
      </c>
      <c r="H1417" s="41" t="s">
        <v>371</v>
      </c>
      <c r="I1417" s="44" t="str">
        <f>"0x"&amp;AE_w_WORK!I136</f>
        <v>0x00DD</v>
      </c>
      <c r="J1417" s="36">
        <v>41627</v>
      </c>
      <c r="K1417" s="37"/>
      <c r="L1417" s="74">
        <f t="shared" ref="L1417:L1480" si="24">L1416+2</f>
        <v>2822</v>
      </c>
    </row>
    <row r="1418" spans="2:12" s="74" customFormat="1" hidden="1" outlineLevel="1">
      <c r="B1418" s="73">
        <v>1412</v>
      </c>
      <c r="C1418" s="39"/>
      <c r="D1418" s="40"/>
      <c r="E1418" s="34" t="s">
        <v>323</v>
      </c>
      <c r="F1418" s="75" t="s">
        <v>1783</v>
      </c>
      <c r="G1418" s="35" t="s">
        <v>370</v>
      </c>
      <c r="H1418" s="41" t="s">
        <v>371</v>
      </c>
      <c r="I1418" s="44" t="str">
        <f>"0x"&amp;AE_w_WORK!I137</f>
        <v>0xFFFF</v>
      </c>
      <c r="J1418" s="36">
        <v>41628</v>
      </c>
      <c r="K1418" s="37"/>
      <c r="L1418" s="74">
        <f t="shared" si="24"/>
        <v>2824</v>
      </c>
    </row>
    <row r="1419" spans="2:12" s="74" customFormat="1" hidden="1" outlineLevel="1">
      <c r="B1419" s="73">
        <v>1413</v>
      </c>
      <c r="C1419" s="39"/>
      <c r="D1419" s="40"/>
      <c r="E1419" s="34" t="s">
        <v>323</v>
      </c>
      <c r="F1419" s="75" t="s">
        <v>1784</v>
      </c>
      <c r="G1419" s="35" t="s">
        <v>370</v>
      </c>
      <c r="H1419" s="41" t="s">
        <v>371</v>
      </c>
      <c r="I1419" s="44" t="str">
        <f>"0x"&amp;AE_w_WORK!I138</f>
        <v>0xFFFF</v>
      </c>
      <c r="J1419" s="36">
        <v>41629</v>
      </c>
      <c r="K1419" s="37"/>
      <c r="L1419" s="74">
        <f t="shared" si="24"/>
        <v>2826</v>
      </c>
    </row>
    <row r="1420" spans="2:12" s="74" customFormat="1" hidden="1" outlineLevel="1">
      <c r="B1420" s="73">
        <v>1414</v>
      </c>
      <c r="C1420" s="39"/>
      <c r="D1420" s="40"/>
      <c r="E1420" s="34" t="s">
        <v>323</v>
      </c>
      <c r="F1420" s="75" t="s">
        <v>1785</v>
      </c>
      <c r="G1420" s="35" t="s">
        <v>370</v>
      </c>
      <c r="H1420" s="41" t="s">
        <v>371</v>
      </c>
      <c r="I1420" s="44" t="str">
        <f>"0x"&amp;AE_w_WORK!I139</f>
        <v>0xDD00</v>
      </c>
      <c r="J1420" s="36">
        <v>41630</v>
      </c>
      <c r="K1420" s="37"/>
      <c r="L1420" s="74">
        <f t="shared" si="24"/>
        <v>2828</v>
      </c>
    </row>
    <row r="1421" spans="2:12" s="74" customFormat="1" hidden="1" outlineLevel="1">
      <c r="B1421" s="73">
        <v>1415</v>
      </c>
      <c r="C1421" s="39"/>
      <c r="D1421" s="40"/>
      <c r="E1421" s="34" t="s">
        <v>323</v>
      </c>
      <c r="F1421" s="75" t="s">
        <v>1786</v>
      </c>
      <c r="G1421" s="35" t="s">
        <v>370</v>
      </c>
      <c r="H1421" s="41" t="s">
        <v>371</v>
      </c>
      <c r="I1421" s="44" t="str">
        <f>"0x"&amp;AE_w_WORK!I140</f>
        <v>0x0000</v>
      </c>
      <c r="J1421" s="36">
        <v>41631</v>
      </c>
      <c r="K1421" s="37"/>
      <c r="L1421" s="74">
        <f t="shared" si="24"/>
        <v>2830</v>
      </c>
    </row>
    <row r="1422" spans="2:12" s="74" customFormat="1" hidden="1" outlineLevel="1">
      <c r="B1422" s="73">
        <v>1416</v>
      </c>
      <c r="C1422" s="39"/>
      <c r="D1422" s="40"/>
      <c r="E1422" s="34" t="s">
        <v>323</v>
      </c>
      <c r="F1422" s="75" t="s">
        <v>1787</v>
      </c>
      <c r="G1422" s="35" t="s">
        <v>370</v>
      </c>
      <c r="H1422" s="41" t="s">
        <v>371</v>
      </c>
      <c r="I1422" s="44" t="str">
        <f>"0x"&amp;AE_w_WORK!I141</f>
        <v>0x0000</v>
      </c>
      <c r="J1422" s="36">
        <v>41632</v>
      </c>
      <c r="K1422" s="37"/>
      <c r="L1422" s="74">
        <f t="shared" si="24"/>
        <v>2832</v>
      </c>
    </row>
    <row r="1423" spans="2:12" s="74" customFormat="1" hidden="1" outlineLevel="1">
      <c r="B1423" s="73">
        <v>1417</v>
      </c>
      <c r="C1423" s="39"/>
      <c r="D1423" s="40"/>
      <c r="E1423" s="34" t="s">
        <v>323</v>
      </c>
      <c r="F1423" s="75" t="s">
        <v>1788</v>
      </c>
      <c r="G1423" s="35" t="s">
        <v>370</v>
      </c>
      <c r="H1423" s="41" t="s">
        <v>371</v>
      </c>
      <c r="I1423" s="44" t="str">
        <f>"0x"&amp;AE_w_WORK!I142</f>
        <v>0x0000</v>
      </c>
      <c r="J1423" s="36">
        <v>41633</v>
      </c>
      <c r="K1423" s="37"/>
      <c r="L1423" s="74">
        <f t="shared" si="24"/>
        <v>2834</v>
      </c>
    </row>
    <row r="1424" spans="2:12" s="74" customFormat="1" hidden="1" outlineLevel="1">
      <c r="B1424" s="73">
        <v>1418</v>
      </c>
      <c r="C1424" s="39"/>
      <c r="D1424" s="40"/>
      <c r="E1424" s="34" t="s">
        <v>323</v>
      </c>
      <c r="F1424" s="75" t="s">
        <v>1789</v>
      </c>
      <c r="G1424" s="35" t="s">
        <v>370</v>
      </c>
      <c r="H1424" s="41" t="s">
        <v>371</v>
      </c>
      <c r="I1424" s="44" t="str">
        <f>"0x"&amp;AE_w_WORK!I143</f>
        <v>0x0000</v>
      </c>
      <c r="J1424" s="36">
        <v>41634</v>
      </c>
      <c r="K1424" s="37"/>
      <c r="L1424" s="74">
        <f t="shared" si="24"/>
        <v>2836</v>
      </c>
    </row>
    <row r="1425" spans="2:12" s="74" customFormat="1" hidden="1" outlineLevel="1">
      <c r="B1425" s="73">
        <v>1419</v>
      </c>
      <c r="C1425" s="39"/>
      <c r="D1425" s="40"/>
      <c r="E1425" s="34" t="s">
        <v>323</v>
      </c>
      <c r="F1425" s="75" t="s">
        <v>1790</v>
      </c>
      <c r="G1425" s="35" t="s">
        <v>370</v>
      </c>
      <c r="H1425" s="41" t="s">
        <v>371</v>
      </c>
      <c r="I1425" s="44" t="str">
        <f>"0x"&amp;AE_w_WORK!I144</f>
        <v>0x00DD</v>
      </c>
      <c r="J1425" s="36">
        <v>41635</v>
      </c>
      <c r="K1425" s="37"/>
      <c r="L1425" s="74">
        <f t="shared" si="24"/>
        <v>2838</v>
      </c>
    </row>
    <row r="1426" spans="2:12" s="74" customFormat="1" hidden="1" outlineLevel="1">
      <c r="B1426" s="73">
        <v>1420</v>
      </c>
      <c r="C1426" s="39"/>
      <c r="D1426" s="40"/>
      <c r="E1426" s="34" t="s">
        <v>323</v>
      </c>
      <c r="F1426" s="75" t="s">
        <v>1791</v>
      </c>
      <c r="G1426" s="35" t="s">
        <v>370</v>
      </c>
      <c r="H1426" s="41" t="s">
        <v>371</v>
      </c>
      <c r="I1426" s="44" t="str">
        <f>"0x"&amp;AE_w_WORK!I145</f>
        <v>0xFFFF</v>
      </c>
      <c r="J1426" s="36">
        <v>41636</v>
      </c>
      <c r="K1426" s="37"/>
      <c r="L1426" s="74">
        <f t="shared" si="24"/>
        <v>2840</v>
      </c>
    </row>
    <row r="1427" spans="2:12" s="74" customFormat="1" hidden="1" outlineLevel="1">
      <c r="B1427" s="73">
        <v>1421</v>
      </c>
      <c r="C1427" s="39"/>
      <c r="D1427" s="40"/>
      <c r="E1427" s="34" t="s">
        <v>323</v>
      </c>
      <c r="F1427" s="75" t="s">
        <v>1792</v>
      </c>
      <c r="G1427" s="35" t="s">
        <v>370</v>
      </c>
      <c r="H1427" s="41" t="s">
        <v>371</v>
      </c>
      <c r="I1427" s="44" t="str">
        <f>"0x"&amp;AE_w_WORK!I146</f>
        <v>0xFFFF</v>
      </c>
      <c r="J1427" s="36">
        <v>41637</v>
      </c>
      <c r="K1427" s="37"/>
      <c r="L1427" s="74">
        <f t="shared" si="24"/>
        <v>2842</v>
      </c>
    </row>
    <row r="1428" spans="2:12" s="74" customFormat="1" hidden="1" outlineLevel="1">
      <c r="B1428" s="73">
        <v>1422</v>
      </c>
      <c r="C1428" s="39"/>
      <c r="D1428" s="40"/>
      <c r="E1428" s="34" t="s">
        <v>323</v>
      </c>
      <c r="F1428" s="75" t="s">
        <v>1793</v>
      </c>
      <c r="G1428" s="35" t="s">
        <v>370</v>
      </c>
      <c r="H1428" s="41" t="s">
        <v>371</v>
      </c>
      <c r="I1428" s="44" t="str">
        <f>"0x"&amp;AE_w_WORK!I147</f>
        <v>0xDD00</v>
      </c>
      <c r="J1428" s="36">
        <v>41638</v>
      </c>
      <c r="K1428" s="37"/>
      <c r="L1428" s="74">
        <f t="shared" si="24"/>
        <v>2844</v>
      </c>
    </row>
    <row r="1429" spans="2:12" s="74" customFormat="1" hidden="1" outlineLevel="1">
      <c r="B1429" s="73">
        <v>1423</v>
      </c>
      <c r="C1429" s="39"/>
      <c r="D1429" s="40"/>
      <c r="E1429" s="34" t="s">
        <v>323</v>
      </c>
      <c r="F1429" s="75" t="s">
        <v>1794</v>
      </c>
      <c r="G1429" s="35" t="s">
        <v>370</v>
      </c>
      <c r="H1429" s="41" t="s">
        <v>371</v>
      </c>
      <c r="I1429" s="44" t="str">
        <f>"0x"&amp;AE_w_WORK!I148</f>
        <v>0x0000</v>
      </c>
      <c r="J1429" s="36">
        <v>41639</v>
      </c>
      <c r="K1429" s="37"/>
      <c r="L1429" s="74">
        <f t="shared" si="24"/>
        <v>2846</v>
      </c>
    </row>
    <row r="1430" spans="2:12" s="74" customFormat="1" hidden="1" outlineLevel="1">
      <c r="B1430" s="73">
        <v>1424</v>
      </c>
      <c r="C1430" s="39"/>
      <c r="D1430" s="40"/>
      <c r="E1430" s="34" t="s">
        <v>323</v>
      </c>
      <c r="F1430" s="75" t="s">
        <v>1795</v>
      </c>
      <c r="G1430" s="35" t="s">
        <v>370</v>
      </c>
      <c r="H1430" s="41" t="s">
        <v>371</v>
      </c>
      <c r="I1430" s="44" t="str">
        <f>"0x"&amp;AE_w_WORK!I149</f>
        <v>0x0000</v>
      </c>
      <c r="J1430" s="36">
        <v>41640</v>
      </c>
      <c r="K1430" s="37"/>
      <c r="L1430" s="74">
        <f t="shared" si="24"/>
        <v>2848</v>
      </c>
    </row>
    <row r="1431" spans="2:12" s="74" customFormat="1" hidden="1" outlineLevel="1">
      <c r="B1431" s="73">
        <v>1425</v>
      </c>
      <c r="C1431" s="39"/>
      <c r="D1431" s="40"/>
      <c r="E1431" s="34" t="s">
        <v>323</v>
      </c>
      <c r="F1431" s="75" t="s">
        <v>1796</v>
      </c>
      <c r="G1431" s="35" t="s">
        <v>370</v>
      </c>
      <c r="H1431" s="41" t="s">
        <v>371</v>
      </c>
      <c r="I1431" s="44" t="str">
        <f>"0x"&amp;AE_w_WORK!I150</f>
        <v>0x0000</v>
      </c>
      <c r="J1431" s="36">
        <v>41641</v>
      </c>
      <c r="K1431" s="37"/>
      <c r="L1431" s="74">
        <f t="shared" si="24"/>
        <v>2850</v>
      </c>
    </row>
    <row r="1432" spans="2:12" s="74" customFormat="1" hidden="1" outlineLevel="1">
      <c r="B1432" s="73">
        <v>1426</v>
      </c>
      <c r="C1432" s="39"/>
      <c r="D1432" s="40"/>
      <c r="E1432" s="34" t="s">
        <v>323</v>
      </c>
      <c r="F1432" s="75" t="s">
        <v>1797</v>
      </c>
      <c r="G1432" s="35" t="s">
        <v>370</v>
      </c>
      <c r="H1432" s="41" t="s">
        <v>371</v>
      </c>
      <c r="I1432" s="44" t="str">
        <f>"0x"&amp;AE_w_WORK!I151</f>
        <v>0x0000</v>
      </c>
      <c r="J1432" s="36">
        <v>41642</v>
      </c>
      <c r="K1432" s="37"/>
      <c r="L1432" s="74">
        <f t="shared" si="24"/>
        <v>2852</v>
      </c>
    </row>
    <row r="1433" spans="2:12" s="74" customFormat="1" hidden="1" outlineLevel="1">
      <c r="B1433" s="73">
        <v>1427</v>
      </c>
      <c r="C1433" s="39"/>
      <c r="D1433" s="40"/>
      <c r="E1433" s="34" t="s">
        <v>323</v>
      </c>
      <c r="F1433" s="75" t="s">
        <v>1798</v>
      </c>
      <c r="G1433" s="35" t="s">
        <v>370</v>
      </c>
      <c r="H1433" s="41" t="s">
        <v>371</v>
      </c>
      <c r="I1433" s="44" t="str">
        <f>"0x"&amp;AE_w_WORK!I152</f>
        <v>0x00DD</v>
      </c>
      <c r="J1433" s="36">
        <v>41643</v>
      </c>
      <c r="K1433" s="37"/>
      <c r="L1433" s="74">
        <f t="shared" si="24"/>
        <v>2854</v>
      </c>
    </row>
    <row r="1434" spans="2:12" s="74" customFormat="1" hidden="1" outlineLevel="1">
      <c r="B1434" s="73">
        <v>1428</v>
      </c>
      <c r="C1434" s="39"/>
      <c r="D1434" s="40"/>
      <c r="E1434" s="34" t="s">
        <v>323</v>
      </c>
      <c r="F1434" s="75" t="s">
        <v>1799</v>
      </c>
      <c r="G1434" s="35" t="s">
        <v>370</v>
      </c>
      <c r="H1434" s="41" t="s">
        <v>371</v>
      </c>
      <c r="I1434" s="44" t="str">
        <f>"0x"&amp;AE_w_WORK!I153</f>
        <v>0xDDFF</v>
      </c>
      <c r="J1434" s="36">
        <v>41644</v>
      </c>
      <c r="K1434" s="37"/>
      <c r="L1434" s="74">
        <f t="shared" si="24"/>
        <v>2856</v>
      </c>
    </row>
    <row r="1435" spans="2:12" s="74" customFormat="1" hidden="1" outlineLevel="1">
      <c r="B1435" s="73">
        <v>1429</v>
      </c>
      <c r="C1435" s="39"/>
      <c r="D1435" s="40"/>
      <c r="E1435" s="34" t="s">
        <v>323</v>
      </c>
      <c r="F1435" s="75" t="s">
        <v>1800</v>
      </c>
      <c r="G1435" s="35" t="s">
        <v>370</v>
      </c>
      <c r="H1435" s="41" t="s">
        <v>371</v>
      </c>
      <c r="I1435" s="44" t="str">
        <f>"0x"&amp;AE_w_WORK!I154</f>
        <v>0xFFDD</v>
      </c>
      <c r="J1435" s="36">
        <v>41645</v>
      </c>
      <c r="K1435" s="37"/>
      <c r="L1435" s="74">
        <f t="shared" si="24"/>
        <v>2858</v>
      </c>
    </row>
    <row r="1436" spans="2:12" s="74" customFormat="1" hidden="1" outlineLevel="1">
      <c r="B1436" s="73">
        <v>1430</v>
      </c>
      <c r="C1436" s="39"/>
      <c r="D1436" s="40"/>
      <c r="E1436" s="34" t="s">
        <v>323</v>
      </c>
      <c r="F1436" s="75" t="s">
        <v>1801</v>
      </c>
      <c r="G1436" s="35" t="s">
        <v>370</v>
      </c>
      <c r="H1436" s="41" t="s">
        <v>371</v>
      </c>
      <c r="I1436" s="44" t="str">
        <f>"0x"&amp;AE_w_WORK!I155</f>
        <v>0xDD00</v>
      </c>
      <c r="J1436" s="36">
        <v>41646</v>
      </c>
      <c r="K1436" s="37"/>
      <c r="L1436" s="74">
        <f t="shared" si="24"/>
        <v>2860</v>
      </c>
    </row>
    <row r="1437" spans="2:12" s="74" customFormat="1" hidden="1" outlineLevel="1">
      <c r="B1437" s="73">
        <v>1431</v>
      </c>
      <c r="C1437" s="39"/>
      <c r="D1437" s="40"/>
      <c r="E1437" s="34" t="s">
        <v>323</v>
      </c>
      <c r="F1437" s="75" t="s">
        <v>1802</v>
      </c>
      <c r="G1437" s="35" t="s">
        <v>370</v>
      </c>
      <c r="H1437" s="41" t="s">
        <v>371</v>
      </c>
      <c r="I1437" s="44" t="str">
        <f>"0x"&amp;AE_w_WORK!I156</f>
        <v>0x0000</v>
      </c>
      <c r="J1437" s="36">
        <v>41647</v>
      </c>
      <c r="K1437" s="37"/>
      <c r="L1437" s="74">
        <f t="shared" si="24"/>
        <v>2862</v>
      </c>
    </row>
    <row r="1438" spans="2:12" s="74" customFormat="1" hidden="1" outlineLevel="1">
      <c r="B1438" s="73">
        <v>1432</v>
      </c>
      <c r="C1438" s="39"/>
      <c r="D1438" s="40"/>
      <c r="E1438" s="34" t="s">
        <v>323</v>
      </c>
      <c r="F1438" s="75" t="s">
        <v>1803</v>
      </c>
      <c r="G1438" s="35" t="s">
        <v>370</v>
      </c>
      <c r="H1438" s="41" t="s">
        <v>371</v>
      </c>
      <c r="I1438" s="44" t="str">
        <f>"0x"&amp;AE_w_WORK!I157</f>
        <v>0x0000</v>
      </c>
      <c r="J1438" s="36">
        <v>41648</v>
      </c>
      <c r="K1438" s="37"/>
      <c r="L1438" s="74">
        <f t="shared" si="24"/>
        <v>2864</v>
      </c>
    </row>
    <row r="1439" spans="2:12" s="74" customFormat="1" hidden="1" outlineLevel="1">
      <c r="B1439" s="73">
        <v>1433</v>
      </c>
      <c r="C1439" s="39"/>
      <c r="D1439" s="40"/>
      <c r="E1439" s="34" t="s">
        <v>323</v>
      </c>
      <c r="F1439" s="75" t="s">
        <v>1804</v>
      </c>
      <c r="G1439" s="35" t="s">
        <v>370</v>
      </c>
      <c r="H1439" s="41" t="s">
        <v>371</v>
      </c>
      <c r="I1439" s="44" t="str">
        <f>"0x"&amp;AE_w_WORK!I158</f>
        <v>0x0000</v>
      </c>
      <c r="J1439" s="36">
        <v>41649</v>
      </c>
      <c r="K1439" s="37"/>
      <c r="L1439" s="74">
        <f t="shared" si="24"/>
        <v>2866</v>
      </c>
    </row>
    <row r="1440" spans="2:12" s="74" customFormat="1" hidden="1" outlineLevel="1">
      <c r="B1440" s="73">
        <v>1434</v>
      </c>
      <c r="C1440" s="39"/>
      <c r="D1440" s="40"/>
      <c r="E1440" s="34" t="s">
        <v>323</v>
      </c>
      <c r="F1440" s="75" t="s">
        <v>1805</v>
      </c>
      <c r="G1440" s="35" t="s">
        <v>370</v>
      </c>
      <c r="H1440" s="41" t="s">
        <v>371</v>
      </c>
      <c r="I1440" s="44" t="str">
        <f>"0x"&amp;AE_w_WORK!I159</f>
        <v>0x0000</v>
      </c>
      <c r="J1440" s="36">
        <v>41650</v>
      </c>
      <c r="K1440" s="37"/>
      <c r="L1440" s="74">
        <f t="shared" si="24"/>
        <v>2868</v>
      </c>
    </row>
    <row r="1441" spans="2:12" s="74" customFormat="1" hidden="1" outlineLevel="1">
      <c r="B1441" s="73">
        <v>1435</v>
      </c>
      <c r="C1441" s="39"/>
      <c r="D1441" s="40"/>
      <c r="E1441" s="34" t="s">
        <v>323</v>
      </c>
      <c r="F1441" s="75" t="s">
        <v>1806</v>
      </c>
      <c r="G1441" s="35" t="s">
        <v>370</v>
      </c>
      <c r="H1441" s="41" t="s">
        <v>371</v>
      </c>
      <c r="I1441" s="44" t="str">
        <f>"0x"&amp;AE_w_WORK!I160</f>
        <v>0x00DD</v>
      </c>
      <c r="J1441" s="36">
        <v>41651</v>
      </c>
      <c r="K1441" s="37"/>
      <c r="L1441" s="74">
        <f t="shared" si="24"/>
        <v>2870</v>
      </c>
    </row>
    <row r="1442" spans="2:12" s="74" customFormat="1" hidden="1" outlineLevel="1">
      <c r="B1442" s="73">
        <v>1436</v>
      </c>
      <c r="C1442" s="39"/>
      <c r="D1442" s="40"/>
      <c r="E1442" s="34" t="s">
        <v>323</v>
      </c>
      <c r="F1442" s="75" t="s">
        <v>1807</v>
      </c>
      <c r="G1442" s="35" t="s">
        <v>370</v>
      </c>
      <c r="H1442" s="41" t="s">
        <v>371</v>
      </c>
      <c r="I1442" s="44" t="str">
        <f>"0x"&amp;AE_w_WORK!I161</f>
        <v>0xDDFF</v>
      </c>
      <c r="J1442" s="36">
        <v>41652</v>
      </c>
      <c r="K1442" s="37"/>
      <c r="L1442" s="74">
        <f t="shared" si="24"/>
        <v>2872</v>
      </c>
    </row>
    <row r="1443" spans="2:12" s="74" customFormat="1" hidden="1" outlineLevel="1">
      <c r="B1443" s="73">
        <v>1437</v>
      </c>
      <c r="C1443" s="39"/>
      <c r="D1443" s="40"/>
      <c r="E1443" s="34" t="s">
        <v>323</v>
      </c>
      <c r="F1443" s="75" t="s">
        <v>1808</v>
      </c>
      <c r="G1443" s="35" t="s">
        <v>370</v>
      </c>
      <c r="H1443" s="41" t="s">
        <v>371</v>
      </c>
      <c r="I1443" s="44" t="str">
        <f>"0x"&amp;AE_w_WORK!I162</f>
        <v>0xFFDD</v>
      </c>
      <c r="J1443" s="36">
        <v>41653</v>
      </c>
      <c r="K1443" s="37"/>
      <c r="L1443" s="74">
        <f t="shared" si="24"/>
        <v>2874</v>
      </c>
    </row>
    <row r="1444" spans="2:12" s="74" customFormat="1" hidden="1" outlineLevel="1">
      <c r="B1444" s="73">
        <v>1438</v>
      </c>
      <c r="C1444" s="39"/>
      <c r="D1444" s="40"/>
      <c r="E1444" s="34" t="s">
        <v>323</v>
      </c>
      <c r="F1444" s="75" t="s">
        <v>1809</v>
      </c>
      <c r="G1444" s="35" t="s">
        <v>370</v>
      </c>
      <c r="H1444" s="41" t="s">
        <v>371</v>
      </c>
      <c r="I1444" s="44" t="str">
        <f>"0x"&amp;AE_w_WORK!I163</f>
        <v>0xDD00</v>
      </c>
      <c r="J1444" s="36">
        <v>41654</v>
      </c>
      <c r="K1444" s="37"/>
      <c r="L1444" s="74">
        <f t="shared" si="24"/>
        <v>2876</v>
      </c>
    </row>
    <row r="1445" spans="2:12" s="74" customFormat="1" hidden="1" outlineLevel="1">
      <c r="B1445" s="73">
        <v>1439</v>
      </c>
      <c r="C1445" s="39"/>
      <c r="D1445" s="40"/>
      <c r="E1445" s="34" t="s">
        <v>323</v>
      </c>
      <c r="F1445" s="75" t="s">
        <v>1810</v>
      </c>
      <c r="G1445" s="35" t="s">
        <v>370</v>
      </c>
      <c r="H1445" s="41" t="s">
        <v>371</v>
      </c>
      <c r="I1445" s="44" t="str">
        <f>"0x"&amp;AE_w_WORK!I164</f>
        <v>0x0000</v>
      </c>
      <c r="J1445" s="36">
        <v>41655</v>
      </c>
      <c r="K1445" s="37"/>
      <c r="L1445" s="74">
        <f t="shared" si="24"/>
        <v>2878</v>
      </c>
    </row>
    <row r="1446" spans="2:12" s="74" customFormat="1" hidden="1" outlineLevel="1">
      <c r="B1446" s="73">
        <v>1440</v>
      </c>
      <c r="C1446" s="39"/>
      <c r="D1446" s="40"/>
      <c r="E1446" s="34" t="s">
        <v>323</v>
      </c>
      <c r="F1446" s="75" t="s">
        <v>1811</v>
      </c>
      <c r="G1446" s="35" t="s">
        <v>370</v>
      </c>
      <c r="H1446" s="41" t="s">
        <v>371</v>
      </c>
      <c r="I1446" s="44" t="str">
        <f>"0x"&amp;AE_w_WORK!I165</f>
        <v>0x0000</v>
      </c>
      <c r="J1446" s="36">
        <v>41656</v>
      </c>
      <c r="K1446" s="37"/>
      <c r="L1446" s="74">
        <f t="shared" si="24"/>
        <v>2880</v>
      </c>
    </row>
    <row r="1447" spans="2:12" s="74" customFormat="1" hidden="1" outlineLevel="1">
      <c r="B1447" s="73">
        <v>1441</v>
      </c>
      <c r="C1447" s="39"/>
      <c r="D1447" s="40"/>
      <c r="E1447" s="34" t="s">
        <v>323</v>
      </c>
      <c r="F1447" s="75" t="s">
        <v>1812</v>
      </c>
      <c r="G1447" s="35" t="s">
        <v>370</v>
      </c>
      <c r="H1447" s="41" t="s">
        <v>371</v>
      </c>
      <c r="I1447" s="44" t="str">
        <f>"0x"&amp;AE_w_WORK!I166</f>
        <v>0x0000</v>
      </c>
      <c r="J1447" s="36">
        <v>41657</v>
      </c>
      <c r="K1447" s="37"/>
      <c r="L1447" s="74">
        <f t="shared" si="24"/>
        <v>2882</v>
      </c>
    </row>
    <row r="1448" spans="2:12" s="74" customFormat="1" hidden="1" outlineLevel="1">
      <c r="B1448" s="73">
        <v>1442</v>
      </c>
      <c r="C1448" s="39"/>
      <c r="D1448" s="40"/>
      <c r="E1448" s="34" t="s">
        <v>323</v>
      </c>
      <c r="F1448" s="75" t="s">
        <v>1813</v>
      </c>
      <c r="G1448" s="35" t="s">
        <v>370</v>
      </c>
      <c r="H1448" s="41" t="s">
        <v>371</v>
      </c>
      <c r="I1448" s="44" t="str">
        <f>"0x"&amp;AE_w_WORK!I167</f>
        <v>0x0000</v>
      </c>
      <c r="J1448" s="36">
        <v>41658</v>
      </c>
      <c r="K1448" s="37"/>
      <c r="L1448" s="74">
        <f t="shared" si="24"/>
        <v>2884</v>
      </c>
    </row>
    <row r="1449" spans="2:12" s="74" customFormat="1" hidden="1" outlineLevel="1">
      <c r="B1449" s="73">
        <v>1443</v>
      </c>
      <c r="C1449" s="39"/>
      <c r="D1449" s="40"/>
      <c r="E1449" s="34" t="s">
        <v>323</v>
      </c>
      <c r="F1449" s="75" t="s">
        <v>1814</v>
      </c>
      <c r="G1449" s="35" t="s">
        <v>370</v>
      </c>
      <c r="H1449" s="41" t="s">
        <v>371</v>
      </c>
      <c r="I1449" s="44" t="str">
        <f>"0x"&amp;AE_w_WORK!I168</f>
        <v>0x0000</v>
      </c>
      <c r="J1449" s="36">
        <v>41659</v>
      </c>
      <c r="K1449" s="37"/>
      <c r="L1449" s="74">
        <f t="shared" si="24"/>
        <v>2886</v>
      </c>
    </row>
    <row r="1450" spans="2:12" s="74" customFormat="1" hidden="1" outlineLevel="1">
      <c r="B1450" s="73">
        <v>1444</v>
      </c>
      <c r="C1450" s="39"/>
      <c r="D1450" s="40"/>
      <c r="E1450" s="34" t="s">
        <v>323</v>
      </c>
      <c r="F1450" s="75" t="s">
        <v>1815</v>
      </c>
      <c r="G1450" s="35" t="s">
        <v>370</v>
      </c>
      <c r="H1450" s="41" t="s">
        <v>371</v>
      </c>
      <c r="I1450" s="44" t="str">
        <f>"0x"&amp;AE_w_WORK!I169</f>
        <v>0xDDDD</v>
      </c>
      <c r="J1450" s="36">
        <v>41660</v>
      </c>
      <c r="K1450" s="37"/>
      <c r="L1450" s="74">
        <f t="shared" si="24"/>
        <v>2888</v>
      </c>
    </row>
    <row r="1451" spans="2:12" s="74" customFormat="1" hidden="1" outlineLevel="1">
      <c r="B1451" s="73">
        <v>1445</v>
      </c>
      <c r="C1451" s="39"/>
      <c r="D1451" s="40"/>
      <c r="E1451" s="34" t="s">
        <v>323</v>
      </c>
      <c r="F1451" s="75" t="s">
        <v>1816</v>
      </c>
      <c r="G1451" s="35" t="s">
        <v>370</v>
      </c>
      <c r="H1451" s="41" t="s">
        <v>371</v>
      </c>
      <c r="I1451" s="44" t="str">
        <f>"0x"&amp;AE_w_WORK!I170</f>
        <v>0xDDDD</v>
      </c>
      <c r="J1451" s="36">
        <v>41661</v>
      </c>
      <c r="K1451" s="37"/>
      <c r="L1451" s="74">
        <f t="shared" si="24"/>
        <v>2890</v>
      </c>
    </row>
    <row r="1452" spans="2:12" s="74" customFormat="1" hidden="1" outlineLevel="1">
      <c r="B1452" s="73">
        <v>1446</v>
      </c>
      <c r="C1452" s="39"/>
      <c r="D1452" s="40"/>
      <c r="E1452" s="34" t="s">
        <v>323</v>
      </c>
      <c r="F1452" s="75" t="s">
        <v>1817</v>
      </c>
      <c r="G1452" s="35" t="s">
        <v>370</v>
      </c>
      <c r="H1452" s="41" t="s">
        <v>371</v>
      </c>
      <c r="I1452" s="44" t="str">
        <f>"0x"&amp;AE_w_WORK!I171</f>
        <v>0x0000</v>
      </c>
      <c r="J1452" s="36">
        <v>41662</v>
      </c>
      <c r="K1452" s="37"/>
      <c r="L1452" s="74">
        <f t="shared" si="24"/>
        <v>2892</v>
      </c>
    </row>
    <row r="1453" spans="2:12" s="74" customFormat="1" hidden="1" outlineLevel="1">
      <c r="B1453" s="73">
        <v>1447</v>
      </c>
      <c r="C1453" s="39"/>
      <c r="D1453" s="40"/>
      <c r="E1453" s="34" t="s">
        <v>323</v>
      </c>
      <c r="F1453" s="75" t="s">
        <v>1818</v>
      </c>
      <c r="G1453" s="35" t="s">
        <v>370</v>
      </c>
      <c r="H1453" s="41" t="s">
        <v>371</v>
      </c>
      <c r="I1453" s="44" t="str">
        <f>"0x"&amp;AE_w_WORK!I172</f>
        <v>0x0000</v>
      </c>
      <c r="J1453" s="36">
        <v>41663</v>
      </c>
      <c r="K1453" s="37"/>
      <c r="L1453" s="74">
        <f t="shared" si="24"/>
        <v>2894</v>
      </c>
    </row>
    <row r="1454" spans="2:12" s="74" customFormat="1" hidden="1" outlineLevel="1">
      <c r="B1454" s="73">
        <v>1448</v>
      </c>
      <c r="C1454" s="39"/>
      <c r="D1454" s="40"/>
      <c r="E1454" s="34" t="s">
        <v>323</v>
      </c>
      <c r="F1454" s="75" t="s">
        <v>1819</v>
      </c>
      <c r="G1454" s="35" t="s">
        <v>370</v>
      </c>
      <c r="H1454" s="41" t="s">
        <v>371</v>
      </c>
      <c r="I1454" s="44" t="str">
        <f>"0x"&amp;AE_w_WORK!I173</f>
        <v>0x0000</v>
      </c>
      <c r="J1454" s="36">
        <v>41664</v>
      </c>
      <c r="K1454" s="37"/>
      <c r="L1454" s="74">
        <f t="shared" si="24"/>
        <v>2896</v>
      </c>
    </row>
    <row r="1455" spans="2:12" s="74" customFormat="1" hidden="1" outlineLevel="1">
      <c r="B1455" s="73">
        <v>1449</v>
      </c>
      <c r="C1455" s="39"/>
      <c r="D1455" s="40"/>
      <c r="E1455" s="34" t="s">
        <v>323</v>
      </c>
      <c r="F1455" s="75" t="s">
        <v>1820</v>
      </c>
      <c r="G1455" s="35" t="s">
        <v>370</v>
      </c>
      <c r="H1455" s="41" t="s">
        <v>371</v>
      </c>
      <c r="I1455" s="44" t="str">
        <f>"0x"&amp;AE_w_WORK!I174</f>
        <v>0x0000</v>
      </c>
      <c r="J1455" s="36">
        <v>41665</v>
      </c>
      <c r="K1455" s="37"/>
      <c r="L1455" s="74">
        <f t="shared" si="24"/>
        <v>2898</v>
      </c>
    </row>
    <row r="1456" spans="2:12" s="74" customFormat="1" hidden="1" outlineLevel="1">
      <c r="B1456" s="73">
        <v>1450</v>
      </c>
      <c r="C1456" s="39"/>
      <c r="D1456" s="40"/>
      <c r="E1456" s="34" t="s">
        <v>323</v>
      </c>
      <c r="F1456" s="75" t="s">
        <v>1821</v>
      </c>
      <c r="G1456" s="35" t="s">
        <v>370</v>
      </c>
      <c r="H1456" s="41" t="s">
        <v>371</v>
      </c>
      <c r="I1456" s="44" t="str">
        <f>"0x"&amp;AE_w_WORK!I175</f>
        <v>0x0000</v>
      </c>
      <c r="J1456" s="36">
        <v>41666</v>
      </c>
      <c r="K1456" s="37"/>
      <c r="L1456" s="74">
        <f t="shared" si="24"/>
        <v>2900</v>
      </c>
    </row>
    <row r="1457" spans="2:12" s="74" customFormat="1" hidden="1" outlineLevel="1">
      <c r="B1457" s="73">
        <v>1451</v>
      </c>
      <c r="C1457" s="39"/>
      <c r="D1457" s="40"/>
      <c r="E1457" s="34" t="s">
        <v>323</v>
      </c>
      <c r="F1457" s="75" t="s">
        <v>1822</v>
      </c>
      <c r="G1457" s="35" t="s">
        <v>370</v>
      </c>
      <c r="H1457" s="41" t="s">
        <v>371</v>
      </c>
      <c r="I1457" s="44" t="str">
        <f>"0x"&amp;AE_w_WORK!I176</f>
        <v>0x0000</v>
      </c>
      <c r="J1457" s="36">
        <v>41667</v>
      </c>
      <c r="K1457" s="37"/>
      <c r="L1457" s="74">
        <f t="shared" si="24"/>
        <v>2902</v>
      </c>
    </row>
    <row r="1458" spans="2:12" s="74" customFormat="1" hidden="1" outlineLevel="1">
      <c r="B1458" s="73">
        <v>1452</v>
      </c>
      <c r="C1458" s="39"/>
      <c r="D1458" s="40"/>
      <c r="E1458" s="34" t="s">
        <v>323</v>
      </c>
      <c r="F1458" s="75" t="s">
        <v>1823</v>
      </c>
      <c r="G1458" s="35" t="s">
        <v>370</v>
      </c>
      <c r="H1458" s="41" t="s">
        <v>371</v>
      </c>
      <c r="I1458" s="44" t="str">
        <f>"0x"&amp;AE_w_WORK!I177</f>
        <v>0xDDDD</v>
      </c>
      <c r="J1458" s="36">
        <v>41668</v>
      </c>
      <c r="K1458" s="37"/>
      <c r="L1458" s="74">
        <f t="shared" si="24"/>
        <v>2904</v>
      </c>
    </row>
    <row r="1459" spans="2:12" s="74" customFormat="1" hidden="1" outlineLevel="1">
      <c r="B1459" s="73">
        <v>1453</v>
      </c>
      <c r="C1459" s="39"/>
      <c r="D1459" s="40"/>
      <c r="E1459" s="34" t="s">
        <v>323</v>
      </c>
      <c r="F1459" s="75" t="s">
        <v>1824</v>
      </c>
      <c r="G1459" s="35" t="s">
        <v>370</v>
      </c>
      <c r="H1459" s="41" t="s">
        <v>371</v>
      </c>
      <c r="I1459" s="44" t="str">
        <f>"0x"&amp;AE_w_WORK!I178</f>
        <v>0xDDDD</v>
      </c>
      <c r="J1459" s="36">
        <v>41669</v>
      </c>
      <c r="K1459" s="37"/>
      <c r="L1459" s="74">
        <f t="shared" si="24"/>
        <v>2906</v>
      </c>
    </row>
    <row r="1460" spans="2:12" s="74" customFormat="1" hidden="1" outlineLevel="1">
      <c r="B1460" s="73">
        <v>1454</v>
      </c>
      <c r="C1460" s="39"/>
      <c r="D1460" s="40"/>
      <c r="E1460" s="34" t="s">
        <v>323</v>
      </c>
      <c r="F1460" s="75" t="s">
        <v>1825</v>
      </c>
      <c r="G1460" s="35" t="s">
        <v>370</v>
      </c>
      <c r="H1460" s="41" t="s">
        <v>371</v>
      </c>
      <c r="I1460" s="44" t="str">
        <f>"0x"&amp;AE_w_WORK!I179</f>
        <v>0x0000</v>
      </c>
      <c r="J1460" s="36">
        <v>41670</v>
      </c>
      <c r="K1460" s="37"/>
      <c r="L1460" s="74">
        <f t="shared" si="24"/>
        <v>2908</v>
      </c>
    </row>
    <row r="1461" spans="2:12" s="74" customFormat="1" hidden="1" outlineLevel="1">
      <c r="B1461" s="73">
        <v>1455</v>
      </c>
      <c r="C1461" s="39"/>
      <c r="D1461" s="40"/>
      <c r="E1461" s="34" t="s">
        <v>323</v>
      </c>
      <c r="F1461" s="75" t="s">
        <v>1826</v>
      </c>
      <c r="G1461" s="35" t="s">
        <v>370</v>
      </c>
      <c r="H1461" s="41" t="s">
        <v>371</v>
      </c>
      <c r="I1461" s="44" t="str">
        <f>"0x"&amp;AE_w_WORK!I180</f>
        <v>0x0000</v>
      </c>
      <c r="J1461" s="36">
        <v>41671</v>
      </c>
      <c r="K1461" s="37"/>
      <c r="L1461" s="74">
        <f t="shared" si="24"/>
        <v>2910</v>
      </c>
    </row>
    <row r="1462" spans="2:12" s="74" customFormat="1" hidden="1" outlineLevel="1">
      <c r="B1462" s="73">
        <v>1456</v>
      </c>
      <c r="C1462" s="39"/>
      <c r="D1462" s="40"/>
      <c r="E1462" s="34" t="s">
        <v>323</v>
      </c>
      <c r="F1462" s="75" t="s">
        <v>1827</v>
      </c>
      <c r="G1462" s="35" t="s">
        <v>370</v>
      </c>
      <c r="H1462" s="41" t="s">
        <v>371</v>
      </c>
      <c r="I1462" s="44" t="str">
        <f>"0x"&amp;AE_w_WORK!I181</f>
        <v>0x0000</v>
      </c>
      <c r="J1462" s="36">
        <v>41672</v>
      </c>
      <c r="K1462" s="37"/>
      <c r="L1462" s="74">
        <f t="shared" si="24"/>
        <v>2912</v>
      </c>
    </row>
    <row r="1463" spans="2:12" s="74" customFormat="1" hidden="1" outlineLevel="1">
      <c r="B1463" s="73">
        <v>1457</v>
      </c>
      <c r="C1463" s="39"/>
      <c r="D1463" s="40"/>
      <c r="E1463" s="34" t="s">
        <v>323</v>
      </c>
      <c r="F1463" s="75" t="s">
        <v>1828</v>
      </c>
      <c r="G1463" s="35" t="s">
        <v>370</v>
      </c>
      <c r="H1463" s="41" t="s">
        <v>371</v>
      </c>
      <c r="I1463" s="44" t="str">
        <f>"0x"&amp;AE_w_WORK!I182</f>
        <v>0x0000</v>
      </c>
      <c r="J1463" s="36">
        <v>41673</v>
      </c>
      <c r="K1463" s="37"/>
      <c r="L1463" s="74">
        <f t="shared" si="24"/>
        <v>2914</v>
      </c>
    </row>
    <row r="1464" spans="2:12" s="74" customFormat="1" hidden="1" outlineLevel="1">
      <c r="B1464" s="73">
        <v>1458</v>
      </c>
      <c r="C1464" s="39"/>
      <c r="D1464" s="40"/>
      <c r="E1464" s="34" t="s">
        <v>323</v>
      </c>
      <c r="F1464" s="75" t="s">
        <v>1829</v>
      </c>
      <c r="G1464" s="35" t="s">
        <v>370</v>
      </c>
      <c r="H1464" s="41" t="s">
        <v>371</v>
      </c>
      <c r="I1464" s="44" t="str">
        <f>"0x"&amp;AE_w_WORK!I183</f>
        <v>0x0000</v>
      </c>
      <c r="J1464" s="36">
        <v>41674</v>
      </c>
      <c r="K1464" s="37"/>
      <c r="L1464" s="74">
        <f t="shared" si="24"/>
        <v>2916</v>
      </c>
    </row>
    <row r="1465" spans="2:12" s="74" customFormat="1" hidden="1" outlineLevel="1">
      <c r="B1465" s="73">
        <v>1459</v>
      </c>
      <c r="C1465" s="39"/>
      <c r="D1465" s="40"/>
      <c r="E1465" s="34" t="s">
        <v>323</v>
      </c>
      <c r="F1465" s="75" t="s">
        <v>1830</v>
      </c>
      <c r="G1465" s="35" t="s">
        <v>370</v>
      </c>
      <c r="H1465" s="41" t="s">
        <v>371</v>
      </c>
      <c r="I1465" s="44" t="str">
        <f>"0x"&amp;AE_w_WORK!I184</f>
        <v>0x0000</v>
      </c>
      <c r="J1465" s="36">
        <v>41675</v>
      </c>
      <c r="K1465" s="37"/>
      <c r="L1465" s="74">
        <f t="shared" si="24"/>
        <v>2918</v>
      </c>
    </row>
    <row r="1466" spans="2:12" s="74" customFormat="1" hidden="1" outlineLevel="1">
      <c r="B1466" s="73">
        <v>1460</v>
      </c>
      <c r="C1466" s="39"/>
      <c r="D1466" s="40"/>
      <c r="E1466" s="34" t="s">
        <v>323</v>
      </c>
      <c r="F1466" s="75" t="s">
        <v>1831</v>
      </c>
      <c r="G1466" s="35" t="s">
        <v>370</v>
      </c>
      <c r="H1466" s="41" t="s">
        <v>371</v>
      </c>
      <c r="I1466" s="44" t="str">
        <f>"0x"&amp;AE_w_WORK!I185</f>
        <v>0x0000</v>
      </c>
      <c r="J1466" s="36">
        <v>41676</v>
      </c>
      <c r="K1466" s="37"/>
      <c r="L1466" s="74">
        <f t="shared" si="24"/>
        <v>2920</v>
      </c>
    </row>
    <row r="1467" spans="2:12" s="74" customFormat="1" hidden="1" outlineLevel="1">
      <c r="B1467" s="73">
        <v>1461</v>
      </c>
      <c r="C1467" s="39"/>
      <c r="D1467" s="40"/>
      <c r="E1467" s="34" t="s">
        <v>323</v>
      </c>
      <c r="F1467" s="75" t="s">
        <v>1832</v>
      </c>
      <c r="G1467" s="35" t="s">
        <v>370</v>
      </c>
      <c r="H1467" s="41" t="s">
        <v>371</v>
      </c>
      <c r="I1467" s="44" t="str">
        <f>"0x"&amp;AE_w_WORK!I186</f>
        <v>0x0000</v>
      </c>
      <c r="J1467" s="36">
        <v>41677</v>
      </c>
      <c r="K1467" s="37"/>
      <c r="L1467" s="74">
        <f t="shared" si="24"/>
        <v>2922</v>
      </c>
    </row>
    <row r="1468" spans="2:12" s="74" customFormat="1" hidden="1" outlineLevel="1">
      <c r="B1468" s="73">
        <v>1462</v>
      </c>
      <c r="C1468" s="39"/>
      <c r="D1468" s="40"/>
      <c r="E1468" s="34" t="s">
        <v>323</v>
      </c>
      <c r="F1468" s="75" t="s">
        <v>1833</v>
      </c>
      <c r="G1468" s="35" t="s">
        <v>370</v>
      </c>
      <c r="H1468" s="41" t="s">
        <v>371</v>
      </c>
      <c r="I1468" s="44" t="str">
        <f>"0x"&amp;AE_w_WORK!I187</f>
        <v>0x0000</v>
      </c>
      <c r="J1468" s="36">
        <v>41678</v>
      </c>
      <c r="K1468" s="37"/>
      <c r="L1468" s="74">
        <f t="shared" si="24"/>
        <v>2924</v>
      </c>
    </row>
    <row r="1469" spans="2:12" s="74" customFormat="1" hidden="1" outlineLevel="1">
      <c r="B1469" s="73">
        <v>1463</v>
      </c>
      <c r="C1469" s="39"/>
      <c r="D1469" s="40"/>
      <c r="E1469" s="34" t="s">
        <v>323</v>
      </c>
      <c r="F1469" s="75" t="s">
        <v>1834</v>
      </c>
      <c r="G1469" s="35" t="s">
        <v>370</v>
      </c>
      <c r="H1469" s="41" t="s">
        <v>371</v>
      </c>
      <c r="I1469" s="44" t="str">
        <f>"0x"&amp;AE_w_WORK!I188</f>
        <v>0x0000</v>
      </c>
      <c r="J1469" s="36">
        <v>41679</v>
      </c>
      <c r="K1469" s="37"/>
      <c r="L1469" s="74">
        <f t="shared" si="24"/>
        <v>2926</v>
      </c>
    </row>
    <row r="1470" spans="2:12" s="74" customFormat="1" hidden="1" outlineLevel="1">
      <c r="B1470" s="73">
        <v>1464</v>
      </c>
      <c r="C1470" s="39"/>
      <c r="D1470" s="40"/>
      <c r="E1470" s="34" t="s">
        <v>323</v>
      </c>
      <c r="F1470" s="75" t="s">
        <v>1835</v>
      </c>
      <c r="G1470" s="35" t="s">
        <v>370</v>
      </c>
      <c r="H1470" s="41" t="s">
        <v>371</v>
      </c>
      <c r="I1470" s="44" t="str">
        <f>"0x"&amp;AE_w_WORK!I189</f>
        <v>0x0000</v>
      </c>
      <c r="J1470" s="36">
        <v>41680</v>
      </c>
      <c r="K1470" s="37"/>
      <c r="L1470" s="74">
        <f t="shared" si="24"/>
        <v>2928</v>
      </c>
    </row>
    <row r="1471" spans="2:12" s="74" customFormat="1" hidden="1" outlineLevel="1">
      <c r="B1471" s="73">
        <v>1465</v>
      </c>
      <c r="C1471" s="39"/>
      <c r="D1471" s="40"/>
      <c r="E1471" s="34" t="s">
        <v>323</v>
      </c>
      <c r="F1471" s="75" t="s">
        <v>1836</v>
      </c>
      <c r="G1471" s="35" t="s">
        <v>370</v>
      </c>
      <c r="H1471" s="41" t="s">
        <v>371</v>
      </c>
      <c r="I1471" s="44" t="str">
        <f>"0x"&amp;AE_w_WORK!I190</f>
        <v>0x0000</v>
      </c>
      <c r="J1471" s="36">
        <v>41681</v>
      </c>
      <c r="K1471" s="37"/>
      <c r="L1471" s="74">
        <f t="shared" si="24"/>
        <v>2930</v>
      </c>
    </row>
    <row r="1472" spans="2:12" s="74" customFormat="1" hidden="1" outlineLevel="1">
      <c r="B1472" s="73">
        <v>1466</v>
      </c>
      <c r="C1472" s="39"/>
      <c r="D1472" s="40"/>
      <c r="E1472" s="34" t="s">
        <v>323</v>
      </c>
      <c r="F1472" s="75" t="s">
        <v>1837</v>
      </c>
      <c r="G1472" s="35" t="s">
        <v>370</v>
      </c>
      <c r="H1472" s="41" t="s">
        <v>371</v>
      </c>
      <c r="I1472" s="44" t="str">
        <f>"0x"&amp;AE_w_WORK!I191</f>
        <v>0x0000</v>
      </c>
      <c r="J1472" s="36">
        <v>41682</v>
      </c>
      <c r="K1472" s="37"/>
      <c r="L1472" s="74">
        <f t="shared" si="24"/>
        <v>2932</v>
      </c>
    </row>
    <row r="1473" spans="2:12" s="74" customFormat="1" hidden="1" outlineLevel="1">
      <c r="B1473" s="73">
        <v>1467</v>
      </c>
      <c r="C1473" s="39"/>
      <c r="D1473" s="40"/>
      <c r="E1473" s="34" t="s">
        <v>323</v>
      </c>
      <c r="F1473" s="75" t="s">
        <v>1838</v>
      </c>
      <c r="G1473" s="35" t="s">
        <v>370</v>
      </c>
      <c r="H1473" s="41" t="s">
        <v>371</v>
      </c>
      <c r="I1473" s="44" t="str">
        <f>"0x"&amp;AE_w_WORK!I192</f>
        <v>0x0000</v>
      </c>
      <c r="J1473" s="36">
        <v>41683</v>
      </c>
      <c r="K1473" s="37"/>
      <c r="L1473" s="74">
        <f t="shared" si="24"/>
        <v>2934</v>
      </c>
    </row>
    <row r="1474" spans="2:12" s="74" customFormat="1" hidden="1" outlineLevel="1">
      <c r="B1474" s="73">
        <v>1468</v>
      </c>
      <c r="C1474" s="39"/>
      <c r="D1474" s="40"/>
      <c r="E1474" s="34" t="s">
        <v>323</v>
      </c>
      <c r="F1474" s="75" t="s">
        <v>1839</v>
      </c>
      <c r="G1474" s="35" t="s">
        <v>370</v>
      </c>
      <c r="H1474" s="41" t="s">
        <v>371</v>
      </c>
      <c r="I1474" s="44" t="str">
        <f>"0x"&amp;AE_w_WORK!I193</f>
        <v>0x0000</v>
      </c>
      <c r="J1474" s="36">
        <v>41684</v>
      </c>
      <c r="K1474" s="37"/>
      <c r="L1474" s="74">
        <f t="shared" si="24"/>
        <v>2936</v>
      </c>
    </row>
    <row r="1475" spans="2:12" s="74" customFormat="1" hidden="1" outlineLevel="1">
      <c r="B1475" s="73">
        <v>1469</v>
      </c>
      <c r="C1475" s="39"/>
      <c r="D1475" s="40"/>
      <c r="E1475" s="34" t="s">
        <v>323</v>
      </c>
      <c r="F1475" s="75" t="s">
        <v>1840</v>
      </c>
      <c r="G1475" s="35" t="s">
        <v>370</v>
      </c>
      <c r="H1475" s="41" t="s">
        <v>371</v>
      </c>
      <c r="I1475" s="44" t="str">
        <f>"0x"&amp;AE_w_WORK!I194</f>
        <v>0x0000</v>
      </c>
      <c r="J1475" s="36">
        <v>41685</v>
      </c>
      <c r="K1475" s="37"/>
      <c r="L1475" s="74">
        <f t="shared" si="24"/>
        <v>2938</v>
      </c>
    </row>
    <row r="1476" spans="2:12" s="74" customFormat="1" hidden="1" outlineLevel="1">
      <c r="B1476" s="73">
        <v>1470</v>
      </c>
      <c r="C1476" s="39"/>
      <c r="D1476" s="40"/>
      <c r="E1476" s="34" t="s">
        <v>323</v>
      </c>
      <c r="F1476" s="75" t="s">
        <v>1841</v>
      </c>
      <c r="G1476" s="35" t="s">
        <v>370</v>
      </c>
      <c r="H1476" s="41" t="s">
        <v>371</v>
      </c>
      <c r="I1476" s="44" t="str">
        <f>"0x"&amp;AE_w_WORK!I195</f>
        <v>0x0000</v>
      </c>
      <c r="J1476" s="36">
        <v>41686</v>
      </c>
      <c r="K1476" s="37"/>
      <c r="L1476" s="74">
        <f t="shared" si="24"/>
        <v>2940</v>
      </c>
    </row>
    <row r="1477" spans="2:12" s="74" customFormat="1" hidden="1" outlineLevel="1">
      <c r="B1477" s="73">
        <v>1471</v>
      </c>
      <c r="C1477" s="39"/>
      <c r="D1477" s="40"/>
      <c r="E1477" s="34" t="s">
        <v>323</v>
      </c>
      <c r="F1477" s="75" t="s">
        <v>1842</v>
      </c>
      <c r="G1477" s="35" t="s">
        <v>370</v>
      </c>
      <c r="H1477" s="41" t="s">
        <v>371</v>
      </c>
      <c r="I1477" s="44" t="str">
        <f>"0x"&amp;AE_w_WORK!I196</f>
        <v>0x0000</v>
      </c>
      <c r="J1477" s="36">
        <v>41687</v>
      </c>
      <c r="K1477" s="37"/>
      <c r="L1477" s="74">
        <f t="shared" si="24"/>
        <v>2942</v>
      </c>
    </row>
    <row r="1478" spans="2:12" s="74" customFormat="1" hidden="1" outlineLevel="1">
      <c r="B1478" s="73">
        <v>1472</v>
      </c>
      <c r="C1478" s="39"/>
      <c r="D1478" s="40"/>
      <c r="E1478" s="34" t="s">
        <v>323</v>
      </c>
      <c r="F1478" s="75" t="s">
        <v>1843</v>
      </c>
      <c r="G1478" s="35" t="s">
        <v>370</v>
      </c>
      <c r="H1478" s="41" t="s">
        <v>371</v>
      </c>
      <c r="I1478" s="44" t="str">
        <f>"0x"&amp;AE_w_WORK!I197</f>
        <v>0x0000</v>
      </c>
      <c r="J1478" s="36">
        <v>41688</v>
      </c>
      <c r="K1478" s="37"/>
      <c r="L1478" s="74">
        <f t="shared" si="24"/>
        <v>2944</v>
      </c>
    </row>
    <row r="1479" spans="2:12" s="74" customFormat="1" hidden="1" outlineLevel="1">
      <c r="B1479" s="73">
        <v>1473</v>
      </c>
      <c r="C1479" s="39"/>
      <c r="D1479" s="40"/>
      <c r="E1479" s="34" t="s">
        <v>323</v>
      </c>
      <c r="F1479" s="75" t="s">
        <v>1844</v>
      </c>
      <c r="G1479" s="35" t="s">
        <v>370</v>
      </c>
      <c r="H1479" s="41" t="s">
        <v>371</v>
      </c>
      <c r="I1479" s="44" t="str">
        <f>"0x"&amp;AE_w_WORK!I198</f>
        <v>0x0000</v>
      </c>
      <c r="J1479" s="36">
        <v>41689</v>
      </c>
      <c r="K1479" s="37"/>
      <c r="L1479" s="74">
        <f t="shared" si="24"/>
        <v>2946</v>
      </c>
    </row>
    <row r="1480" spans="2:12" s="74" customFormat="1" hidden="1" outlineLevel="1">
      <c r="B1480" s="73">
        <v>1474</v>
      </c>
      <c r="C1480" s="39"/>
      <c r="D1480" s="40"/>
      <c r="E1480" s="34" t="s">
        <v>323</v>
      </c>
      <c r="F1480" s="75" t="s">
        <v>1845</v>
      </c>
      <c r="G1480" s="35" t="s">
        <v>370</v>
      </c>
      <c r="H1480" s="41" t="s">
        <v>371</v>
      </c>
      <c r="I1480" s="44" t="str">
        <f>"0x"&amp;AE_w_WORK!I199</f>
        <v>0x0000</v>
      </c>
      <c r="J1480" s="36">
        <v>41690</v>
      </c>
      <c r="K1480" s="37"/>
      <c r="L1480" s="74">
        <f t="shared" si="24"/>
        <v>2948</v>
      </c>
    </row>
    <row r="1481" spans="2:12" s="74" customFormat="1" hidden="1" outlineLevel="1">
      <c r="B1481" s="73">
        <v>1475</v>
      </c>
      <c r="C1481" s="39"/>
      <c r="D1481" s="40"/>
      <c r="E1481" s="34" t="s">
        <v>323</v>
      </c>
      <c r="F1481" s="75" t="s">
        <v>1846</v>
      </c>
      <c r="G1481" s="35" t="s">
        <v>370</v>
      </c>
      <c r="H1481" s="41" t="s">
        <v>371</v>
      </c>
      <c r="I1481" s="44" t="str">
        <f>"0x"&amp;AE_w_WORK!I200</f>
        <v>0x0000</v>
      </c>
      <c r="J1481" s="36">
        <v>41691</v>
      </c>
      <c r="K1481" s="37"/>
      <c r="L1481" s="74">
        <f t="shared" ref="L1481:L1544" si="25">L1480+2</f>
        <v>2950</v>
      </c>
    </row>
    <row r="1482" spans="2:12" s="74" customFormat="1" hidden="1" outlineLevel="1">
      <c r="B1482" s="73">
        <v>1476</v>
      </c>
      <c r="C1482" s="39"/>
      <c r="D1482" s="40"/>
      <c r="E1482" s="34" t="s">
        <v>323</v>
      </c>
      <c r="F1482" s="75" t="s">
        <v>1847</v>
      </c>
      <c r="G1482" s="35" t="s">
        <v>370</v>
      </c>
      <c r="H1482" s="41" t="s">
        <v>371</v>
      </c>
      <c r="I1482" s="44" t="str">
        <f>"0x"&amp;AE_w_WORK!I201</f>
        <v>0x0000</v>
      </c>
      <c r="J1482" s="36">
        <v>41692</v>
      </c>
      <c r="K1482" s="37"/>
      <c r="L1482" s="74">
        <f t="shared" si="25"/>
        <v>2952</v>
      </c>
    </row>
    <row r="1483" spans="2:12" s="74" customFormat="1" hidden="1" outlineLevel="1">
      <c r="B1483" s="73">
        <v>1477</v>
      </c>
      <c r="C1483" s="39"/>
      <c r="D1483" s="40"/>
      <c r="E1483" s="34" t="s">
        <v>323</v>
      </c>
      <c r="F1483" s="75" t="s">
        <v>1848</v>
      </c>
      <c r="G1483" s="35" t="s">
        <v>370</v>
      </c>
      <c r="H1483" s="41" t="s">
        <v>371</v>
      </c>
      <c r="I1483" s="44" t="str">
        <f>"0x"&amp;AE_w_WORK!I202</f>
        <v>0x0000</v>
      </c>
      <c r="J1483" s="36">
        <v>41693</v>
      </c>
      <c r="K1483" s="37"/>
      <c r="L1483" s="74">
        <f t="shared" si="25"/>
        <v>2954</v>
      </c>
    </row>
    <row r="1484" spans="2:12" s="74" customFormat="1" hidden="1" outlineLevel="1">
      <c r="B1484" s="73">
        <v>1478</v>
      </c>
      <c r="C1484" s="39"/>
      <c r="D1484" s="40"/>
      <c r="E1484" s="34" t="s">
        <v>323</v>
      </c>
      <c r="F1484" s="75" t="s">
        <v>1849</v>
      </c>
      <c r="G1484" s="35" t="s">
        <v>370</v>
      </c>
      <c r="H1484" s="41" t="s">
        <v>371</v>
      </c>
      <c r="I1484" s="44" t="str">
        <f>"0x"&amp;AE_w_WORK!I203</f>
        <v>0x0000</v>
      </c>
      <c r="J1484" s="36">
        <v>41694</v>
      </c>
      <c r="K1484" s="37"/>
      <c r="L1484" s="74">
        <f t="shared" si="25"/>
        <v>2956</v>
      </c>
    </row>
    <row r="1485" spans="2:12" s="74" customFormat="1" hidden="1" outlineLevel="1">
      <c r="B1485" s="73">
        <v>1479</v>
      </c>
      <c r="C1485" s="39"/>
      <c r="D1485" s="40"/>
      <c r="E1485" s="34" t="s">
        <v>323</v>
      </c>
      <c r="F1485" s="75" t="s">
        <v>1850</v>
      </c>
      <c r="G1485" s="35" t="s">
        <v>370</v>
      </c>
      <c r="H1485" s="41" t="s">
        <v>371</v>
      </c>
      <c r="I1485" s="44" t="str">
        <f>"0x"&amp;AE_w_WORK!I204</f>
        <v>0x0000</v>
      </c>
      <c r="J1485" s="36">
        <v>41695</v>
      </c>
      <c r="K1485" s="37"/>
      <c r="L1485" s="74">
        <f t="shared" si="25"/>
        <v>2958</v>
      </c>
    </row>
    <row r="1486" spans="2:12" s="74" customFormat="1" hidden="1" outlineLevel="1">
      <c r="B1486" s="73">
        <v>1480</v>
      </c>
      <c r="C1486" s="39"/>
      <c r="D1486" s="40"/>
      <c r="E1486" s="34" t="s">
        <v>323</v>
      </c>
      <c r="F1486" s="75" t="s">
        <v>1851</v>
      </c>
      <c r="G1486" s="35" t="s">
        <v>370</v>
      </c>
      <c r="H1486" s="41" t="s">
        <v>371</v>
      </c>
      <c r="I1486" s="44" t="str">
        <f>"0x"&amp;AE_w_WORK!I205</f>
        <v>0x0000</v>
      </c>
      <c r="J1486" s="36">
        <v>41696</v>
      </c>
      <c r="K1486" s="37"/>
      <c r="L1486" s="74">
        <f t="shared" si="25"/>
        <v>2960</v>
      </c>
    </row>
    <row r="1487" spans="2:12" s="74" customFormat="1" hidden="1" outlineLevel="1">
      <c r="B1487" s="73">
        <v>1481</v>
      </c>
      <c r="C1487" s="39"/>
      <c r="D1487" s="40"/>
      <c r="E1487" s="34" t="s">
        <v>323</v>
      </c>
      <c r="F1487" s="75" t="s">
        <v>1852</v>
      </c>
      <c r="G1487" s="35" t="s">
        <v>370</v>
      </c>
      <c r="H1487" s="41" t="s">
        <v>371</v>
      </c>
      <c r="I1487" s="44" t="str">
        <f>"0x"&amp;AE_w_WORK!I206</f>
        <v>0x0000</v>
      </c>
      <c r="J1487" s="36">
        <v>41697</v>
      </c>
      <c r="K1487" s="37"/>
      <c r="L1487" s="74">
        <f t="shared" si="25"/>
        <v>2962</v>
      </c>
    </row>
    <row r="1488" spans="2:12" s="74" customFormat="1" hidden="1" outlineLevel="1">
      <c r="B1488" s="73">
        <v>1482</v>
      </c>
      <c r="C1488" s="39"/>
      <c r="D1488" s="40"/>
      <c r="E1488" s="34" t="s">
        <v>323</v>
      </c>
      <c r="F1488" s="75" t="s">
        <v>1853</v>
      </c>
      <c r="G1488" s="35" t="s">
        <v>370</v>
      </c>
      <c r="H1488" s="41" t="s">
        <v>371</v>
      </c>
      <c r="I1488" s="44" t="str">
        <f>"0x"&amp;AE_w_WORK!I207</f>
        <v>0x0000</v>
      </c>
      <c r="J1488" s="36">
        <v>41698</v>
      </c>
      <c r="K1488" s="37"/>
      <c r="L1488" s="74">
        <f t="shared" si="25"/>
        <v>2964</v>
      </c>
    </row>
    <row r="1489" spans="2:12" s="74" customFormat="1" hidden="1" outlineLevel="1">
      <c r="B1489" s="73">
        <v>1483</v>
      </c>
      <c r="C1489" s="39"/>
      <c r="D1489" s="40"/>
      <c r="E1489" s="34" t="s">
        <v>323</v>
      </c>
      <c r="F1489" s="75" t="s">
        <v>1854</v>
      </c>
      <c r="G1489" s="35" t="s">
        <v>370</v>
      </c>
      <c r="H1489" s="41" t="s">
        <v>371</v>
      </c>
      <c r="I1489" s="44" t="str">
        <f>"0x"&amp;AE_w_WORK!I208</f>
        <v>0x0000</v>
      </c>
      <c r="J1489" s="36">
        <v>41699</v>
      </c>
      <c r="K1489" s="37"/>
      <c r="L1489" s="74">
        <f t="shared" si="25"/>
        <v>2966</v>
      </c>
    </row>
    <row r="1490" spans="2:12" s="74" customFormat="1" hidden="1" outlineLevel="1">
      <c r="B1490" s="73">
        <v>1484</v>
      </c>
      <c r="C1490" s="39"/>
      <c r="D1490" s="40"/>
      <c r="E1490" s="34" t="s">
        <v>323</v>
      </c>
      <c r="F1490" s="75" t="s">
        <v>1855</v>
      </c>
      <c r="G1490" s="35" t="s">
        <v>370</v>
      </c>
      <c r="H1490" s="41" t="s">
        <v>371</v>
      </c>
      <c r="I1490" s="44" t="str">
        <f>"0x"&amp;AE_w_WORK!I209</f>
        <v>0x0000</v>
      </c>
      <c r="J1490" s="36">
        <v>41700</v>
      </c>
      <c r="K1490" s="37"/>
      <c r="L1490" s="74">
        <f t="shared" si="25"/>
        <v>2968</v>
      </c>
    </row>
    <row r="1491" spans="2:12" s="74" customFormat="1" hidden="1" outlineLevel="1">
      <c r="B1491" s="73">
        <v>1485</v>
      </c>
      <c r="C1491" s="39"/>
      <c r="D1491" s="40"/>
      <c r="E1491" s="34" t="s">
        <v>323</v>
      </c>
      <c r="F1491" s="75" t="s">
        <v>1856</v>
      </c>
      <c r="G1491" s="35" t="s">
        <v>370</v>
      </c>
      <c r="H1491" s="41" t="s">
        <v>371</v>
      </c>
      <c r="I1491" s="44" t="str">
        <f>"0x"&amp;AE_w_WORK!I210</f>
        <v>0x0000</v>
      </c>
      <c r="J1491" s="36">
        <v>41701</v>
      </c>
      <c r="K1491" s="37"/>
      <c r="L1491" s="74">
        <f t="shared" si="25"/>
        <v>2970</v>
      </c>
    </row>
    <row r="1492" spans="2:12" s="74" customFormat="1" hidden="1" outlineLevel="1">
      <c r="B1492" s="73">
        <v>1486</v>
      </c>
      <c r="C1492" s="39"/>
      <c r="D1492" s="40"/>
      <c r="E1492" s="34" t="s">
        <v>323</v>
      </c>
      <c r="F1492" s="75" t="s">
        <v>1857</v>
      </c>
      <c r="G1492" s="35" t="s">
        <v>370</v>
      </c>
      <c r="H1492" s="41" t="s">
        <v>371</v>
      </c>
      <c r="I1492" s="44" t="str">
        <f>"0x"&amp;AE_w_WORK!I211</f>
        <v>0x0000</v>
      </c>
      <c r="J1492" s="36">
        <v>41702</v>
      </c>
      <c r="K1492" s="37"/>
      <c r="L1492" s="74">
        <f t="shared" si="25"/>
        <v>2972</v>
      </c>
    </row>
    <row r="1493" spans="2:12" s="74" customFormat="1" hidden="1" outlineLevel="1">
      <c r="B1493" s="73">
        <v>1487</v>
      </c>
      <c r="C1493" s="39"/>
      <c r="D1493" s="40"/>
      <c r="E1493" s="34" t="s">
        <v>323</v>
      </c>
      <c r="F1493" s="75" t="s">
        <v>1858</v>
      </c>
      <c r="G1493" s="35" t="s">
        <v>370</v>
      </c>
      <c r="H1493" s="41" t="s">
        <v>371</v>
      </c>
      <c r="I1493" s="44" t="str">
        <f>"0x"&amp;AE_w_WORK!I212</f>
        <v>0x0000</v>
      </c>
      <c r="J1493" s="36">
        <v>41703</v>
      </c>
      <c r="K1493" s="37"/>
      <c r="L1493" s="74">
        <f t="shared" si="25"/>
        <v>2974</v>
      </c>
    </row>
    <row r="1494" spans="2:12" s="74" customFormat="1" hidden="1" outlineLevel="1">
      <c r="B1494" s="73">
        <v>1488</v>
      </c>
      <c r="C1494" s="39"/>
      <c r="D1494" s="40"/>
      <c r="E1494" s="34" t="s">
        <v>323</v>
      </c>
      <c r="F1494" s="75" t="s">
        <v>1859</v>
      </c>
      <c r="G1494" s="35" t="s">
        <v>370</v>
      </c>
      <c r="H1494" s="41" t="s">
        <v>371</v>
      </c>
      <c r="I1494" s="44" t="str">
        <f>"0x"&amp;AE_w_WORK!I213</f>
        <v>0x0000</v>
      </c>
      <c r="J1494" s="36">
        <v>41704</v>
      </c>
      <c r="K1494" s="37"/>
      <c r="L1494" s="74">
        <f t="shared" si="25"/>
        <v>2976</v>
      </c>
    </row>
    <row r="1495" spans="2:12" s="74" customFormat="1" hidden="1" outlineLevel="1">
      <c r="B1495" s="73">
        <v>1489</v>
      </c>
      <c r="C1495" s="39"/>
      <c r="D1495" s="40"/>
      <c r="E1495" s="34" t="s">
        <v>323</v>
      </c>
      <c r="F1495" s="75" t="s">
        <v>1860</v>
      </c>
      <c r="G1495" s="35" t="s">
        <v>370</v>
      </c>
      <c r="H1495" s="41" t="s">
        <v>371</v>
      </c>
      <c r="I1495" s="44" t="str">
        <f>"0x"&amp;AE_w_WORK!I214</f>
        <v>0x0000</v>
      </c>
      <c r="J1495" s="36">
        <v>41705</v>
      </c>
      <c r="K1495" s="37"/>
      <c r="L1495" s="74">
        <f t="shared" si="25"/>
        <v>2978</v>
      </c>
    </row>
    <row r="1496" spans="2:12" s="74" customFormat="1" hidden="1" outlineLevel="1">
      <c r="B1496" s="73">
        <v>1490</v>
      </c>
      <c r="C1496" s="39"/>
      <c r="D1496" s="40"/>
      <c r="E1496" s="34" t="s">
        <v>323</v>
      </c>
      <c r="F1496" s="75" t="s">
        <v>1861</v>
      </c>
      <c r="G1496" s="35" t="s">
        <v>370</v>
      </c>
      <c r="H1496" s="41" t="s">
        <v>371</v>
      </c>
      <c r="I1496" s="44" t="str">
        <f>"0x"&amp;AE_w_WORK!I215</f>
        <v>0x0000</v>
      </c>
      <c r="J1496" s="36">
        <v>41706</v>
      </c>
      <c r="K1496" s="37"/>
      <c r="L1496" s="74">
        <f t="shared" si="25"/>
        <v>2980</v>
      </c>
    </row>
    <row r="1497" spans="2:12" s="74" customFormat="1" hidden="1" outlineLevel="1">
      <c r="B1497" s="73">
        <v>1491</v>
      </c>
      <c r="C1497" s="39"/>
      <c r="D1497" s="40"/>
      <c r="E1497" s="34" t="s">
        <v>323</v>
      </c>
      <c r="F1497" s="75" t="s">
        <v>1862</v>
      </c>
      <c r="G1497" s="35" t="s">
        <v>370</v>
      </c>
      <c r="H1497" s="41" t="s">
        <v>371</v>
      </c>
      <c r="I1497" s="44" t="str">
        <f>"0x"&amp;AE_w_WORK!I216</f>
        <v>0x0000</v>
      </c>
      <c r="J1497" s="36">
        <v>41707</v>
      </c>
      <c r="K1497" s="37"/>
      <c r="L1497" s="74">
        <f t="shared" si="25"/>
        <v>2982</v>
      </c>
    </row>
    <row r="1498" spans="2:12" s="74" customFormat="1" hidden="1" outlineLevel="1">
      <c r="B1498" s="73">
        <v>1492</v>
      </c>
      <c r="C1498" s="39"/>
      <c r="D1498" s="40"/>
      <c r="E1498" s="34" t="s">
        <v>323</v>
      </c>
      <c r="F1498" s="75" t="s">
        <v>1863</v>
      </c>
      <c r="G1498" s="35" t="s">
        <v>370</v>
      </c>
      <c r="H1498" s="41" t="s">
        <v>371</v>
      </c>
      <c r="I1498" s="44" t="str">
        <f>"0x"&amp;AE_w_WORK!I217</f>
        <v>0x0000</v>
      </c>
      <c r="J1498" s="36">
        <v>41708</v>
      </c>
      <c r="K1498" s="37"/>
      <c r="L1498" s="74">
        <f t="shared" si="25"/>
        <v>2984</v>
      </c>
    </row>
    <row r="1499" spans="2:12" s="74" customFormat="1" hidden="1" outlineLevel="1">
      <c r="B1499" s="73">
        <v>1493</v>
      </c>
      <c r="C1499" s="39"/>
      <c r="D1499" s="40"/>
      <c r="E1499" s="34" t="s">
        <v>323</v>
      </c>
      <c r="F1499" s="75" t="s">
        <v>1864</v>
      </c>
      <c r="G1499" s="35" t="s">
        <v>370</v>
      </c>
      <c r="H1499" s="41" t="s">
        <v>371</v>
      </c>
      <c r="I1499" s="44" t="str">
        <f>"0x"&amp;AE_w_WORK!I218</f>
        <v>0x0000</v>
      </c>
      <c r="J1499" s="36">
        <v>41709</v>
      </c>
      <c r="K1499" s="37"/>
      <c r="L1499" s="74">
        <f t="shared" si="25"/>
        <v>2986</v>
      </c>
    </row>
    <row r="1500" spans="2:12" s="74" customFormat="1" hidden="1" outlineLevel="1">
      <c r="B1500" s="73">
        <v>1494</v>
      </c>
      <c r="C1500" s="39"/>
      <c r="D1500" s="40"/>
      <c r="E1500" s="34" t="s">
        <v>323</v>
      </c>
      <c r="F1500" s="75" t="s">
        <v>1865</v>
      </c>
      <c r="G1500" s="35" t="s">
        <v>370</v>
      </c>
      <c r="H1500" s="41" t="s">
        <v>371</v>
      </c>
      <c r="I1500" s="44" t="str">
        <f>"0x"&amp;AE_w_WORK!I219</f>
        <v>0x0000</v>
      </c>
      <c r="J1500" s="36">
        <v>41710</v>
      </c>
      <c r="K1500" s="37"/>
      <c r="L1500" s="74">
        <f t="shared" si="25"/>
        <v>2988</v>
      </c>
    </row>
    <row r="1501" spans="2:12" s="74" customFormat="1" hidden="1" outlineLevel="1">
      <c r="B1501" s="73">
        <v>1495</v>
      </c>
      <c r="C1501" s="39"/>
      <c r="D1501" s="40"/>
      <c r="E1501" s="34" t="s">
        <v>323</v>
      </c>
      <c r="F1501" s="75" t="s">
        <v>1866</v>
      </c>
      <c r="G1501" s="35" t="s">
        <v>370</v>
      </c>
      <c r="H1501" s="41" t="s">
        <v>371</v>
      </c>
      <c r="I1501" s="44" t="str">
        <f>"0x"&amp;AE_w_WORK!I220</f>
        <v>0x0000</v>
      </c>
      <c r="J1501" s="36">
        <v>41711</v>
      </c>
      <c r="K1501" s="37"/>
      <c r="L1501" s="74">
        <f t="shared" si="25"/>
        <v>2990</v>
      </c>
    </row>
    <row r="1502" spans="2:12" s="74" customFormat="1" hidden="1" outlineLevel="1">
      <c r="B1502" s="73">
        <v>1496</v>
      </c>
      <c r="C1502" s="39"/>
      <c r="D1502" s="40"/>
      <c r="E1502" s="34" t="s">
        <v>323</v>
      </c>
      <c r="F1502" s="75" t="s">
        <v>1867</v>
      </c>
      <c r="G1502" s="35" t="s">
        <v>370</v>
      </c>
      <c r="H1502" s="41" t="s">
        <v>371</v>
      </c>
      <c r="I1502" s="44" t="str">
        <f>"0x"&amp;AE_w_WORK!I221</f>
        <v>0x0000</v>
      </c>
      <c r="J1502" s="36">
        <v>41712</v>
      </c>
      <c r="K1502" s="37"/>
      <c r="L1502" s="74">
        <f t="shared" si="25"/>
        <v>2992</v>
      </c>
    </row>
    <row r="1503" spans="2:12" s="74" customFormat="1" hidden="1" outlineLevel="1">
      <c r="B1503" s="73">
        <v>1497</v>
      </c>
      <c r="C1503" s="39"/>
      <c r="D1503" s="40"/>
      <c r="E1503" s="34" t="s">
        <v>323</v>
      </c>
      <c r="F1503" s="75" t="s">
        <v>1868</v>
      </c>
      <c r="G1503" s="35" t="s">
        <v>370</v>
      </c>
      <c r="H1503" s="41" t="s">
        <v>371</v>
      </c>
      <c r="I1503" s="44" t="str">
        <f>"0x"&amp;AE_w_WORK!I222</f>
        <v>0x0000</v>
      </c>
      <c r="J1503" s="36">
        <v>41713</v>
      </c>
      <c r="K1503" s="37"/>
      <c r="L1503" s="74">
        <f t="shared" si="25"/>
        <v>2994</v>
      </c>
    </row>
    <row r="1504" spans="2:12" s="74" customFormat="1" hidden="1" outlineLevel="1">
      <c r="B1504" s="73">
        <v>1498</v>
      </c>
      <c r="C1504" s="39"/>
      <c r="D1504" s="40"/>
      <c r="E1504" s="34" t="s">
        <v>323</v>
      </c>
      <c r="F1504" s="75" t="s">
        <v>1869</v>
      </c>
      <c r="G1504" s="35" t="s">
        <v>370</v>
      </c>
      <c r="H1504" s="41" t="s">
        <v>371</v>
      </c>
      <c r="I1504" s="44" t="str">
        <f>"0x"&amp;AE_w_WORK!I223</f>
        <v>0x0000</v>
      </c>
      <c r="J1504" s="36">
        <v>41714</v>
      </c>
      <c r="K1504" s="37"/>
      <c r="L1504" s="74">
        <f t="shared" si="25"/>
        <v>2996</v>
      </c>
    </row>
    <row r="1505" spans="2:12" s="74" customFormat="1" hidden="1" outlineLevel="1">
      <c r="B1505" s="73">
        <v>1499</v>
      </c>
      <c r="C1505" s="39"/>
      <c r="D1505" s="40"/>
      <c r="E1505" s="34" t="s">
        <v>323</v>
      </c>
      <c r="F1505" s="75" t="s">
        <v>1870</v>
      </c>
      <c r="G1505" s="35" t="s">
        <v>370</v>
      </c>
      <c r="H1505" s="41" t="s">
        <v>371</v>
      </c>
      <c r="I1505" s="44" t="str">
        <f>"0x"&amp;AE_w_WORK!I224</f>
        <v>0x0000</v>
      </c>
      <c r="J1505" s="36">
        <v>41715</v>
      </c>
      <c r="K1505" s="37"/>
      <c r="L1505" s="74">
        <f t="shared" si="25"/>
        <v>2998</v>
      </c>
    </row>
    <row r="1506" spans="2:12" s="74" customFormat="1" hidden="1" outlineLevel="1">
      <c r="B1506" s="73">
        <v>1500</v>
      </c>
      <c r="C1506" s="39"/>
      <c r="D1506" s="40"/>
      <c r="E1506" s="34" t="s">
        <v>323</v>
      </c>
      <c r="F1506" s="75" t="s">
        <v>1871</v>
      </c>
      <c r="G1506" s="35" t="s">
        <v>370</v>
      </c>
      <c r="H1506" s="41" t="s">
        <v>371</v>
      </c>
      <c r="I1506" s="44" t="str">
        <f>"0x"&amp;AE_w_WORK!I225</f>
        <v>0x0000</v>
      </c>
      <c r="J1506" s="36">
        <v>41716</v>
      </c>
      <c r="K1506" s="37"/>
      <c r="L1506" s="74">
        <f t="shared" si="25"/>
        <v>3000</v>
      </c>
    </row>
    <row r="1507" spans="2:12" s="74" customFormat="1" hidden="1" outlineLevel="1">
      <c r="B1507" s="73">
        <v>1501</v>
      </c>
      <c r="C1507" s="39"/>
      <c r="D1507" s="40"/>
      <c r="E1507" s="34" t="s">
        <v>323</v>
      </c>
      <c r="F1507" s="75" t="s">
        <v>1872</v>
      </c>
      <c r="G1507" s="35" t="s">
        <v>370</v>
      </c>
      <c r="H1507" s="41" t="s">
        <v>371</v>
      </c>
      <c r="I1507" s="44" t="str">
        <f>"0x"&amp;AE_w_WORK!I226</f>
        <v>0x0000</v>
      </c>
      <c r="J1507" s="36">
        <v>41717</v>
      </c>
      <c r="K1507" s="37"/>
      <c r="L1507" s="74">
        <f t="shared" si="25"/>
        <v>3002</v>
      </c>
    </row>
    <row r="1508" spans="2:12" s="74" customFormat="1" hidden="1" outlineLevel="1">
      <c r="B1508" s="73">
        <v>1502</v>
      </c>
      <c r="C1508" s="39"/>
      <c r="D1508" s="40"/>
      <c r="E1508" s="34" t="s">
        <v>323</v>
      </c>
      <c r="F1508" s="75" t="s">
        <v>1873</v>
      </c>
      <c r="G1508" s="35" t="s">
        <v>370</v>
      </c>
      <c r="H1508" s="41" t="s">
        <v>371</v>
      </c>
      <c r="I1508" s="44" t="str">
        <f>"0x"&amp;AE_w_WORK!I227</f>
        <v>0x0000</v>
      </c>
      <c r="J1508" s="36">
        <v>41718</v>
      </c>
      <c r="K1508" s="37"/>
      <c r="L1508" s="74">
        <f t="shared" si="25"/>
        <v>3004</v>
      </c>
    </row>
    <row r="1509" spans="2:12" s="74" customFormat="1" hidden="1" outlineLevel="1">
      <c r="B1509" s="73">
        <v>1503</v>
      </c>
      <c r="C1509" s="39"/>
      <c r="D1509" s="40"/>
      <c r="E1509" s="34" t="s">
        <v>323</v>
      </c>
      <c r="F1509" s="75" t="s">
        <v>1874</v>
      </c>
      <c r="G1509" s="35" t="s">
        <v>370</v>
      </c>
      <c r="H1509" s="41" t="s">
        <v>371</v>
      </c>
      <c r="I1509" s="44" t="str">
        <f>"0x"&amp;AE_w_WORK!I228</f>
        <v>0x0000</v>
      </c>
      <c r="J1509" s="36">
        <v>41719</v>
      </c>
      <c r="K1509" s="37"/>
      <c r="L1509" s="74">
        <f t="shared" si="25"/>
        <v>3006</v>
      </c>
    </row>
    <row r="1510" spans="2:12" s="74" customFormat="1" hidden="1" outlineLevel="1">
      <c r="B1510" s="73">
        <v>1504</v>
      </c>
      <c r="C1510" s="39"/>
      <c r="D1510" s="40"/>
      <c r="E1510" s="34" t="s">
        <v>323</v>
      </c>
      <c r="F1510" s="75" t="s">
        <v>1875</v>
      </c>
      <c r="G1510" s="35" t="s">
        <v>370</v>
      </c>
      <c r="H1510" s="41" t="s">
        <v>371</v>
      </c>
      <c r="I1510" s="44" t="str">
        <f>"0x"&amp;AE_w_WORK!I229</f>
        <v>0x0000</v>
      </c>
      <c r="J1510" s="36">
        <v>41720</v>
      </c>
      <c r="K1510" s="37"/>
      <c r="L1510" s="74">
        <f t="shared" si="25"/>
        <v>3008</v>
      </c>
    </row>
    <row r="1511" spans="2:12" s="74" customFormat="1" hidden="1" outlineLevel="1">
      <c r="B1511" s="73">
        <v>1505</v>
      </c>
      <c r="C1511" s="39"/>
      <c r="D1511" s="40"/>
      <c r="E1511" s="34" t="s">
        <v>323</v>
      </c>
      <c r="F1511" s="75" t="s">
        <v>1876</v>
      </c>
      <c r="G1511" s="35" t="s">
        <v>370</v>
      </c>
      <c r="H1511" s="41" t="s">
        <v>371</v>
      </c>
      <c r="I1511" s="44" t="str">
        <f>"0x"&amp;AE_w_WORK!I230</f>
        <v>0x0000</v>
      </c>
      <c r="J1511" s="36">
        <v>41721</v>
      </c>
      <c r="K1511" s="37"/>
      <c r="L1511" s="74">
        <f t="shared" si="25"/>
        <v>3010</v>
      </c>
    </row>
    <row r="1512" spans="2:12" s="74" customFormat="1" hidden="1" outlineLevel="1">
      <c r="B1512" s="73">
        <v>1506</v>
      </c>
      <c r="C1512" s="39"/>
      <c r="D1512" s="40"/>
      <c r="E1512" s="34" t="s">
        <v>323</v>
      </c>
      <c r="F1512" s="75" t="s">
        <v>1877</v>
      </c>
      <c r="G1512" s="35" t="s">
        <v>370</v>
      </c>
      <c r="H1512" s="41" t="s">
        <v>371</v>
      </c>
      <c r="I1512" s="44" t="str">
        <f>"0x"&amp;AE_w_WORK!I231</f>
        <v>0x0000</v>
      </c>
      <c r="J1512" s="36">
        <v>41722</v>
      </c>
      <c r="K1512" s="37"/>
      <c r="L1512" s="74">
        <f t="shared" si="25"/>
        <v>3012</v>
      </c>
    </row>
    <row r="1513" spans="2:12" s="74" customFormat="1" hidden="1" outlineLevel="1">
      <c r="B1513" s="73">
        <v>1507</v>
      </c>
      <c r="C1513" s="39"/>
      <c r="D1513" s="40"/>
      <c r="E1513" s="34" t="s">
        <v>323</v>
      </c>
      <c r="F1513" s="75" t="s">
        <v>1878</v>
      </c>
      <c r="G1513" s="35" t="s">
        <v>370</v>
      </c>
      <c r="H1513" s="41" t="s">
        <v>371</v>
      </c>
      <c r="I1513" s="44" t="str">
        <f>"0x"&amp;AE_w_WORK!I232</f>
        <v>0x0000</v>
      </c>
      <c r="J1513" s="36">
        <v>41723</v>
      </c>
      <c r="K1513" s="37"/>
      <c r="L1513" s="74">
        <f t="shared" si="25"/>
        <v>3014</v>
      </c>
    </row>
    <row r="1514" spans="2:12" s="74" customFormat="1" hidden="1" outlineLevel="1">
      <c r="B1514" s="73">
        <v>1508</v>
      </c>
      <c r="C1514" s="39"/>
      <c r="D1514" s="40"/>
      <c r="E1514" s="34" t="s">
        <v>323</v>
      </c>
      <c r="F1514" s="75" t="s">
        <v>1879</v>
      </c>
      <c r="G1514" s="35" t="s">
        <v>370</v>
      </c>
      <c r="H1514" s="41" t="s">
        <v>371</v>
      </c>
      <c r="I1514" s="44" t="str">
        <f>"0x"&amp;AE_w_WORK!I233</f>
        <v>0x0000</v>
      </c>
      <c r="J1514" s="36">
        <v>41724</v>
      </c>
      <c r="K1514" s="37"/>
      <c r="L1514" s="74">
        <f t="shared" si="25"/>
        <v>3016</v>
      </c>
    </row>
    <row r="1515" spans="2:12" s="74" customFormat="1" hidden="1" outlineLevel="1">
      <c r="B1515" s="73">
        <v>1509</v>
      </c>
      <c r="C1515" s="39"/>
      <c r="D1515" s="40"/>
      <c r="E1515" s="34" t="s">
        <v>323</v>
      </c>
      <c r="F1515" s="75" t="s">
        <v>1880</v>
      </c>
      <c r="G1515" s="35" t="s">
        <v>370</v>
      </c>
      <c r="H1515" s="41" t="s">
        <v>371</v>
      </c>
      <c r="I1515" s="44" t="str">
        <f>"0x"&amp;AE_w_WORK!I234</f>
        <v>0x0000</v>
      </c>
      <c r="J1515" s="36">
        <v>41725</v>
      </c>
      <c r="K1515" s="37"/>
      <c r="L1515" s="74">
        <f t="shared" si="25"/>
        <v>3018</v>
      </c>
    </row>
    <row r="1516" spans="2:12" s="74" customFormat="1" hidden="1" outlineLevel="1">
      <c r="B1516" s="73">
        <v>1510</v>
      </c>
      <c r="C1516" s="39"/>
      <c r="D1516" s="40"/>
      <c r="E1516" s="34" t="s">
        <v>323</v>
      </c>
      <c r="F1516" s="75" t="s">
        <v>1881</v>
      </c>
      <c r="G1516" s="35" t="s">
        <v>370</v>
      </c>
      <c r="H1516" s="41" t="s">
        <v>371</v>
      </c>
      <c r="I1516" s="44" t="str">
        <f>"0x"&amp;AE_w_WORK!I235</f>
        <v>0x0000</v>
      </c>
      <c r="J1516" s="36">
        <v>41726</v>
      </c>
      <c r="K1516" s="37"/>
      <c r="L1516" s="74">
        <f t="shared" si="25"/>
        <v>3020</v>
      </c>
    </row>
    <row r="1517" spans="2:12" s="74" customFormat="1" hidden="1" outlineLevel="1">
      <c r="B1517" s="73">
        <v>1511</v>
      </c>
      <c r="C1517" s="39"/>
      <c r="D1517" s="40"/>
      <c r="E1517" s="34" t="s">
        <v>323</v>
      </c>
      <c r="F1517" s="75" t="s">
        <v>1882</v>
      </c>
      <c r="G1517" s="35" t="s">
        <v>370</v>
      </c>
      <c r="H1517" s="41" t="s">
        <v>371</v>
      </c>
      <c r="I1517" s="44" t="str">
        <f>"0x"&amp;AE_w_WORK!I236</f>
        <v>0x0000</v>
      </c>
      <c r="J1517" s="36">
        <v>41727</v>
      </c>
      <c r="K1517" s="37"/>
      <c r="L1517" s="74">
        <f t="shared" si="25"/>
        <v>3022</v>
      </c>
    </row>
    <row r="1518" spans="2:12" s="74" customFormat="1" hidden="1" outlineLevel="1">
      <c r="B1518" s="73">
        <v>1512</v>
      </c>
      <c r="C1518" s="39"/>
      <c r="D1518" s="40"/>
      <c r="E1518" s="34" t="s">
        <v>323</v>
      </c>
      <c r="F1518" s="75" t="s">
        <v>1883</v>
      </c>
      <c r="G1518" s="35" t="s">
        <v>370</v>
      </c>
      <c r="H1518" s="41" t="s">
        <v>371</v>
      </c>
      <c r="I1518" s="44" t="str">
        <f>"0x"&amp;AE_w_WORK!I237</f>
        <v>0x0000</v>
      </c>
      <c r="J1518" s="36">
        <v>41728</v>
      </c>
      <c r="K1518" s="37"/>
      <c r="L1518" s="74">
        <f t="shared" si="25"/>
        <v>3024</v>
      </c>
    </row>
    <row r="1519" spans="2:12" s="74" customFormat="1" hidden="1" outlineLevel="1">
      <c r="B1519" s="73">
        <v>1513</v>
      </c>
      <c r="C1519" s="39"/>
      <c r="D1519" s="40"/>
      <c r="E1519" s="34" t="s">
        <v>323</v>
      </c>
      <c r="F1519" s="75" t="s">
        <v>1884</v>
      </c>
      <c r="G1519" s="35" t="s">
        <v>370</v>
      </c>
      <c r="H1519" s="41" t="s">
        <v>371</v>
      </c>
      <c r="I1519" s="44" t="str">
        <f>"0x"&amp;AE_w_WORK!I238</f>
        <v>0x0000</v>
      </c>
      <c r="J1519" s="36">
        <v>41729</v>
      </c>
      <c r="K1519" s="37"/>
      <c r="L1519" s="74">
        <f t="shared" si="25"/>
        <v>3026</v>
      </c>
    </row>
    <row r="1520" spans="2:12" s="74" customFormat="1" hidden="1" outlineLevel="1">
      <c r="B1520" s="73">
        <v>1514</v>
      </c>
      <c r="C1520" s="39"/>
      <c r="D1520" s="40"/>
      <c r="E1520" s="34" t="s">
        <v>323</v>
      </c>
      <c r="F1520" s="75" t="s">
        <v>1885</v>
      </c>
      <c r="G1520" s="35" t="s">
        <v>370</v>
      </c>
      <c r="H1520" s="41" t="s">
        <v>371</v>
      </c>
      <c r="I1520" s="44" t="str">
        <f>"0x"&amp;AE_w_WORK!I239</f>
        <v>0x0000</v>
      </c>
      <c r="J1520" s="36">
        <v>41730</v>
      </c>
      <c r="K1520" s="37"/>
      <c r="L1520" s="74">
        <f t="shared" si="25"/>
        <v>3028</v>
      </c>
    </row>
    <row r="1521" spans="2:12" s="74" customFormat="1" hidden="1" outlineLevel="1">
      <c r="B1521" s="73">
        <v>1515</v>
      </c>
      <c r="C1521" s="39"/>
      <c r="D1521" s="40"/>
      <c r="E1521" s="34" t="s">
        <v>323</v>
      </c>
      <c r="F1521" s="75" t="s">
        <v>1886</v>
      </c>
      <c r="G1521" s="35" t="s">
        <v>370</v>
      </c>
      <c r="H1521" s="41" t="s">
        <v>371</v>
      </c>
      <c r="I1521" s="44" t="str">
        <f>"0x"&amp;AE_w_WORK!I240</f>
        <v>0x0000</v>
      </c>
      <c r="J1521" s="36">
        <v>41731</v>
      </c>
      <c r="K1521" s="37"/>
      <c r="L1521" s="74">
        <f t="shared" si="25"/>
        <v>3030</v>
      </c>
    </row>
    <row r="1522" spans="2:12" s="74" customFormat="1" hidden="1" outlineLevel="1">
      <c r="B1522" s="73">
        <v>1516</v>
      </c>
      <c r="C1522" s="39"/>
      <c r="D1522" s="40"/>
      <c r="E1522" s="34" t="s">
        <v>323</v>
      </c>
      <c r="F1522" s="75" t="s">
        <v>1887</v>
      </c>
      <c r="G1522" s="35" t="s">
        <v>370</v>
      </c>
      <c r="H1522" s="41" t="s">
        <v>371</v>
      </c>
      <c r="I1522" s="44" t="str">
        <f>"0x"&amp;AE_w_WORK!I241</f>
        <v>0x0000</v>
      </c>
      <c r="J1522" s="36">
        <v>41732</v>
      </c>
      <c r="K1522" s="37"/>
      <c r="L1522" s="74">
        <f t="shared" si="25"/>
        <v>3032</v>
      </c>
    </row>
    <row r="1523" spans="2:12" s="74" customFormat="1" hidden="1" outlineLevel="1">
      <c r="B1523" s="73">
        <v>1517</v>
      </c>
      <c r="C1523" s="39"/>
      <c r="D1523" s="40"/>
      <c r="E1523" s="34" t="s">
        <v>323</v>
      </c>
      <c r="F1523" s="75" t="s">
        <v>1888</v>
      </c>
      <c r="G1523" s="35" t="s">
        <v>370</v>
      </c>
      <c r="H1523" s="41" t="s">
        <v>371</v>
      </c>
      <c r="I1523" s="44" t="str">
        <f>"0x"&amp;AE_w_WORK!I242</f>
        <v>0x0000</v>
      </c>
      <c r="J1523" s="36">
        <v>41733</v>
      </c>
      <c r="K1523" s="37"/>
      <c r="L1523" s="74">
        <f t="shared" si="25"/>
        <v>3034</v>
      </c>
    </row>
    <row r="1524" spans="2:12" s="74" customFormat="1" hidden="1" outlineLevel="1">
      <c r="B1524" s="73">
        <v>1518</v>
      </c>
      <c r="C1524" s="39"/>
      <c r="D1524" s="40"/>
      <c r="E1524" s="34" t="s">
        <v>323</v>
      </c>
      <c r="F1524" s="75" t="s">
        <v>1889</v>
      </c>
      <c r="G1524" s="35" t="s">
        <v>370</v>
      </c>
      <c r="H1524" s="41" t="s">
        <v>371</v>
      </c>
      <c r="I1524" s="44" t="str">
        <f>"0x"&amp;AE_w_WORK!I243</f>
        <v>0x0000</v>
      </c>
      <c r="J1524" s="36">
        <v>41734</v>
      </c>
      <c r="K1524" s="37"/>
      <c r="L1524" s="74">
        <f t="shared" si="25"/>
        <v>3036</v>
      </c>
    </row>
    <row r="1525" spans="2:12" s="74" customFormat="1" hidden="1" outlineLevel="1">
      <c r="B1525" s="73">
        <v>1519</v>
      </c>
      <c r="C1525" s="39"/>
      <c r="D1525" s="40"/>
      <c r="E1525" s="34" t="s">
        <v>323</v>
      </c>
      <c r="F1525" s="75" t="s">
        <v>1890</v>
      </c>
      <c r="G1525" s="35" t="s">
        <v>370</v>
      </c>
      <c r="H1525" s="41" t="s">
        <v>371</v>
      </c>
      <c r="I1525" s="44" t="str">
        <f>"0x"&amp;AE_w_WORK!I244</f>
        <v>0x0000</v>
      </c>
      <c r="J1525" s="36">
        <v>41735</v>
      </c>
      <c r="K1525" s="37"/>
      <c r="L1525" s="74">
        <f t="shared" si="25"/>
        <v>3038</v>
      </c>
    </row>
    <row r="1526" spans="2:12" s="74" customFormat="1" hidden="1" outlineLevel="1">
      <c r="B1526" s="73">
        <v>1520</v>
      </c>
      <c r="C1526" s="39"/>
      <c r="D1526" s="40"/>
      <c r="E1526" s="34" t="s">
        <v>323</v>
      </c>
      <c r="F1526" s="75" t="s">
        <v>1891</v>
      </c>
      <c r="G1526" s="35" t="s">
        <v>370</v>
      </c>
      <c r="H1526" s="41" t="s">
        <v>371</v>
      </c>
      <c r="I1526" s="44" t="str">
        <f>"0x"&amp;AE_w_WORK!I245</f>
        <v>0x0000</v>
      </c>
      <c r="J1526" s="36">
        <v>41736</v>
      </c>
      <c r="K1526" s="37"/>
      <c r="L1526" s="74">
        <f t="shared" si="25"/>
        <v>3040</v>
      </c>
    </row>
    <row r="1527" spans="2:12" s="74" customFormat="1" hidden="1" outlineLevel="1">
      <c r="B1527" s="73">
        <v>1521</v>
      </c>
      <c r="C1527" s="39"/>
      <c r="D1527" s="40"/>
      <c r="E1527" s="34" t="s">
        <v>323</v>
      </c>
      <c r="F1527" s="75" t="s">
        <v>1892</v>
      </c>
      <c r="G1527" s="35" t="s">
        <v>370</v>
      </c>
      <c r="H1527" s="41" t="s">
        <v>371</v>
      </c>
      <c r="I1527" s="44" t="str">
        <f>"0x"&amp;AE_w_WORK!I246</f>
        <v>0x0000</v>
      </c>
      <c r="J1527" s="36">
        <v>41737</v>
      </c>
      <c r="K1527" s="37"/>
      <c r="L1527" s="74">
        <f t="shared" si="25"/>
        <v>3042</v>
      </c>
    </row>
    <row r="1528" spans="2:12" s="74" customFormat="1" hidden="1" outlineLevel="1">
      <c r="B1528" s="73">
        <v>1522</v>
      </c>
      <c r="C1528" s="39"/>
      <c r="D1528" s="40"/>
      <c r="E1528" s="34" t="s">
        <v>323</v>
      </c>
      <c r="F1528" s="75" t="s">
        <v>1893</v>
      </c>
      <c r="G1528" s="35" t="s">
        <v>370</v>
      </c>
      <c r="H1528" s="41" t="s">
        <v>371</v>
      </c>
      <c r="I1528" s="44" t="str">
        <f>"0x"&amp;AE_w_WORK!I247</f>
        <v>0x0000</v>
      </c>
      <c r="J1528" s="36">
        <v>41738</v>
      </c>
      <c r="K1528" s="37"/>
      <c r="L1528" s="74">
        <f t="shared" si="25"/>
        <v>3044</v>
      </c>
    </row>
    <row r="1529" spans="2:12" s="74" customFormat="1" hidden="1" outlineLevel="1">
      <c r="B1529" s="73">
        <v>1523</v>
      </c>
      <c r="C1529" s="39"/>
      <c r="D1529" s="40"/>
      <c r="E1529" s="34" t="s">
        <v>323</v>
      </c>
      <c r="F1529" s="75" t="s">
        <v>1894</v>
      </c>
      <c r="G1529" s="35" t="s">
        <v>370</v>
      </c>
      <c r="H1529" s="41" t="s">
        <v>371</v>
      </c>
      <c r="I1529" s="44" t="str">
        <f>"0x"&amp;AE_w_WORK!I248</f>
        <v>0x0000</v>
      </c>
      <c r="J1529" s="36">
        <v>41739</v>
      </c>
      <c r="K1529" s="37"/>
      <c r="L1529" s="74">
        <f t="shared" si="25"/>
        <v>3046</v>
      </c>
    </row>
    <row r="1530" spans="2:12" s="74" customFormat="1" hidden="1" outlineLevel="1">
      <c r="B1530" s="73">
        <v>1524</v>
      </c>
      <c r="C1530" s="39"/>
      <c r="D1530" s="40"/>
      <c r="E1530" s="34" t="s">
        <v>323</v>
      </c>
      <c r="F1530" s="75" t="s">
        <v>1895</v>
      </c>
      <c r="G1530" s="35" t="s">
        <v>370</v>
      </c>
      <c r="H1530" s="41" t="s">
        <v>371</v>
      </c>
      <c r="I1530" s="44" t="str">
        <f>"0x"&amp;AE_w_WORK!I249</f>
        <v>0x0000</v>
      </c>
      <c r="J1530" s="36">
        <v>41740</v>
      </c>
      <c r="K1530" s="37"/>
      <c r="L1530" s="74">
        <f t="shared" si="25"/>
        <v>3048</v>
      </c>
    </row>
    <row r="1531" spans="2:12" s="74" customFormat="1" hidden="1" outlineLevel="1">
      <c r="B1531" s="73">
        <v>1525</v>
      </c>
      <c r="C1531" s="39"/>
      <c r="D1531" s="40"/>
      <c r="E1531" s="34" t="s">
        <v>323</v>
      </c>
      <c r="F1531" s="75" t="s">
        <v>1896</v>
      </c>
      <c r="G1531" s="35" t="s">
        <v>370</v>
      </c>
      <c r="H1531" s="41" t="s">
        <v>371</v>
      </c>
      <c r="I1531" s="44" t="str">
        <f>"0x"&amp;AE_w_WORK!I250</f>
        <v>0x0000</v>
      </c>
      <c r="J1531" s="36">
        <v>41741</v>
      </c>
      <c r="K1531" s="37"/>
      <c r="L1531" s="74">
        <f t="shared" si="25"/>
        <v>3050</v>
      </c>
    </row>
    <row r="1532" spans="2:12" s="74" customFormat="1" hidden="1" outlineLevel="1">
      <c r="B1532" s="73">
        <v>1526</v>
      </c>
      <c r="C1532" s="39"/>
      <c r="D1532" s="40"/>
      <c r="E1532" s="34" t="s">
        <v>323</v>
      </c>
      <c r="F1532" s="75" t="s">
        <v>1897</v>
      </c>
      <c r="G1532" s="35" t="s">
        <v>370</v>
      </c>
      <c r="H1532" s="41" t="s">
        <v>371</v>
      </c>
      <c r="I1532" s="44" t="str">
        <f>"0x"&amp;AE_w_WORK!I251</f>
        <v>0x0000</v>
      </c>
      <c r="J1532" s="36">
        <v>41742</v>
      </c>
      <c r="K1532" s="37"/>
      <c r="L1532" s="74">
        <f t="shared" si="25"/>
        <v>3052</v>
      </c>
    </row>
    <row r="1533" spans="2:12" s="74" customFormat="1" hidden="1" outlineLevel="1">
      <c r="B1533" s="73">
        <v>1527</v>
      </c>
      <c r="C1533" s="39"/>
      <c r="D1533" s="40"/>
      <c r="E1533" s="34" t="s">
        <v>323</v>
      </c>
      <c r="F1533" s="75" t="s">
        <v>1898</v>
      </c>
      <c r="G1533" s="35" t="s">
        <v>370</v>
      </c>
      <c r="H1533" s="41" t="s">
        <v>371</v>
      </c>
      <c r="I1533" s="44" t="str">
        <f>"0x"&amp;AE_w_WORK!I252</f>
        <v>0x0000</v>
      </c>
      <c r="J1533" s="36">
        <v>41743</v>
      </c>
      <c r="K1533" s="37"/>
      <c r="L1533" s="74">
        <f t="shared" si="25"/>
        <v>3054</v>
      </c>
    </row>
    <row r="1534" spans="2:12" s="74" customFormat="1" hidden="1" outlineLevel="1">
      <c r="B1534" s="73">
        <v>1528</v>
      </c>
      <c r="C1534" s="39"/>
      <c r="D1534" s="40"/>
      <c r="E1534" s="34" t="s">
        <v>323</v>
      </c>
      <c r="F1534" s="75" t="s">
        <v>1899</v>
      </c>
      <c r="G1534" s="35" t="s">
        <v>370</v>
      </c>
      <c r="H1534" s="41" t="s">
        <v>371</v>
      </c>
      <c r="I1534" s="44" t="str">
        <f>"0x"&amp;AE_w_WORK!I253</f>
        <v>0x0000</v>
      </c>
      <c r="J1534" s="36">
        <v>41744</v>
      </c>
      <c r="K1534" s="37"/>
      <c r="L1534" s="74">
        <f t="shared" si="25"/>
        <v>3056</v>
      </c>
    </row>
    <row r="1535" spans="2:12" s="74" customFormat="1" hidden="1" outlineLevel="1">
      <c r="B1535" s="73">
        <v>1529</v>
      </c>
      <c r="C1535" s="39"/>
      <c r="D1535" s="40"/>
      <c r="E1535" s="34" t="s">
        <v>323</v>
      </c>
      <c r="F1535" s="75" t="s">
        <v>1900</v>
      </c>
      <c r="G1535" s="35" t="s">
        <v>370</v>
      </c>
      <c r="H1535" s="41" t="s">
        <v>371</v>
      </c>
      <c r="I1535" s="44" t="str">
        <f>"0x"&amp;AE_w_WORK!I254</f>
        <v>0x0000</v>
      </c>
      <c r="J1535" s="36">
        <v>41745</v>
      </c>
      <c r="K1535" s="37"/>
      <c r="L1535" s="74">
        <f t="shared" si="25"/>
        <v>3058</v>
      </c>
    </row>
    <row r="1536" spans="2:12" s="74" customFormat="1" hidden="1" outlineLevel="1">
      <c r="B1536" s="73">
        <v>1530</v>
      </c>
      <c r="C1536" s="39"/>
      <c r="D1536" s="40"/>
      <c r="E1536" s="34" t="s">
        <v>323</v>
      </c>
      <c r="F1536" s="75" t="s">
        <v>1901</v>
      </c>
      <c r="G1536" s="35" t="s">
        <v>370</v>
      </c>
      <c r="H1536" s="41" t="s">
        <v>371</v>
      </c>
      <c r="I1536" s="44" t="str">
        <f>"0x"&amp;AE_w_WORK!I255</f>
        <v>0x0000</v>
      </c>
      <c r="J1536" s="36">
        <v>41746</v>
      </c>
      <c r="K1536" s="37"/>
      <c r="L1536" s="74">
        <f t="shared" si="25"/>
        <v>3060</v>
      </c>
    </row>
    <row r="1537" spans="2:12" s="74" customFormat="1" hidden="1" outlineLevel="1">
      <c r="B1537" s="73">
        <v>1531</v>
      </c>
      <c r="C1537" s="39"/>
      <c r="D1537" s="40"/>
      <c r="E1537" s="34" t="s">
        <v>323</v>
      </c>
      <c r="F1537" s="75" t="s">
        <v>1902</v>
      </c>
      <c r="G1537" s="35" t="s">
        <v>370</v>
      </c>
      <c r="H1537" s="41" t="s">
        <v>371</v>
      </c>
      <c r="I1537" s="44" t="str">
        <f>"0x"&amp;AE_w_WORK!I256</f>
        <v>0x0000</v>
      </c>
      <c r="J1537" s="36">
        <v>41747</v>
      </c>
      <c r="K1537" s="37"/>
      <c r="L1537" s="74">
        <f t="shared" si="25"/>
        <v>3062</v>
      </c>
    </row>
    <row r="1538" spans="2:12" s="74" customFormat="1" hidden="1" outlineLevel="1">
      <c r="B1538" s="73">
        <v>1532</v>
      </c>
      <c r="C1538" s="39"/>
      <c r="D1538" s="40"/>
      <c r="E1538" s="34" t="s">
        <v>323</v>
      </c>
      <c r="F1538" s="75" t="s">
        <v>1903</v>
      </c>
      <c r="G1538" s="35" t="s">
        <v>370</v>
      </c>
      <c r="H1538" s="41" t="s">
        <v>371</v>
      </c>
      <c r="I1538" s="44" t="str">
        <f>"0x"&amp;AE_w_WORK!I257</f>
        <v>0x0000</v>
      </c>
      <c r="J1538" s="36">
        <v>41748</v>
      </c>
      <c r="K1538" s="37"/>
      <c r="L1538" s="74">
        <f t="shared" si="25"/>
        <v>3064</v>
      </c>
    </row>
    <row r="1539" spans="2:12" s="74" customFormat="1" hidden="1" outlineLevel="1">
      <c r="B1539" s="73">
        <v>1533</v>
      </c>
      <c r="C1539" s="39"/>
      <c r="D1539" s="40"/>
      <c r="E1539" s="34" t="s">
        <v>323</v>
      </c>
      <c r="F1539" s="75" t="s">
        <v>1904</v>
      </c>
      <c r="G1539" s="35" t="s">
        <v>370</v>
      </c>
      <c r="H1539" s="41" t="s">
        <v>371</v>
      </c>
      <c r="I1539" s="44" t="str">
        <f>"0x"&amp;AE_w_WORK!I258</f>
        <v>0x0000</v>
      </c>
      <c r="J1539" s="36">
        <v>41749</v>
      </c>
      <c r="K1539" s="37"/>
      <c r="L1539" s="74">
        <f t="shared" si="25"/>
        <v>3066</v>
      </c>
    </row>
    <row r="1540" spans="2:12" s="74" customFormat="1" hidden="1" outlineLevel="1">
      <c r="B1540" s="73">
        <v>1534</v>
      </c>
      <c r="C1540" s="39"/>
      <c r="D1540" s="40"/>
      <c r="E1540" s="34" t="s">
        <v>323</v>
      </c>
      <c r="F1540" s="75" t="s">
        <v>1905</v>
      </c>
      <c r="G1540" s="35" t="s">
        <v>370</v>
      </c>
      <c r="H1540" s="41" t="s">
        <v>371</v>
      </c>
      <c r="I1540" s="44" t="str">
        <f>"0x"&amp;AE_w_WORK!I259</f>
        <v>0x0000</v>
      </c>
      <c r="J1540" s="36">
        <v>41750</v>
      </c>
      <c r="K1540" s="37"/>
      <c r="L1540" s="74">
        <f t="shared" si="25"/>
        <v>3068</v>
      </c>
    </row>
    <row r="1541" spans="2:12" s="74" customFormat="1" hidden="1" outlineLevel="1">
      <c r="B1541" s="73">
        <v>1535</v>
      </c>
      <c r="C1541" s="39"/>
      <c r="D1541" s="40"/>
      <c r="E1541" s="34" t="s">
        <v>323</v>
      </c>
      <c r="F1541" s="75" t="s">
        <v>1906</v>
      </c>
      <c r="G1541" s="35" t="s">
        <v>370</v>
      </c>
      <c r="H1541" s="41" t="s">
        <v>371</v>
      </c>
      <c r="I1541" s="44" t="str">
        <f>"0x"&amp;AE_w_WORK!I260</f>
        <v>0x0000</v>
      </c>
      <c r="J1541" s="36">
        <v>41751</v>
      </c>
      <c r="K1541" s="37"/>
      <c r="L1541" s="74">
        <f t="shared" si="25"/>
        <v>3070</v>
      </c>
    </row>
    <row r="1542" spans="2:12" s="74" customFormat="1" hidden="1" outlineLevel="1">
      <c r="B1542" s="73">
        <v>1536</v>
      </c>
      <c r="C1542" s="39"/>
      <c r="D1542" s="40"/>
      <c r="E1542" s="34" t="s">
        <v>323</v>
      </c>
      <c r="F1542" s="75" t="s">
        <v>1907</v>
      </c>
      <c r="G1542" s="35" t="s">
        <v>370</v>
      </c>
      <c r="H1542" s="41" t="s">
        <v>371</v>
      </c>
      <c r="I1542" s="44" t="str">
        <f>"0x"&amp;AE_w_WORK!I261</f>
        <v>0x0000</v>
      </c>
      <c r="J1542" s="36">
        <v>41752</v>
      </c>
      <c r="K1542" s="37"/>
      <c r="L1542" s="74">
        <f t="shared" si="25"/>
        <v>3072</v>
      </c>
    </row>
    <row r="1543" spans="2:12" s="74" customFormat="1" collapsed="1">
      <c r="B1543" s="73">
        <v>1537</v>
      </c>
      <c r="C1543" s="39"/>
      <c r="D1543" s="40"/>
      <c r="E1543" s="34" t="s">
        <v>323</v>
      </c>
      <c r="F1543" s="75" t="s">
        <v>1908</v>
      </c>
      <c r="G1543" s="35" t="s">
        <v>370</v>
      </c>
      <c r="H1543" s="41" t="s">
        <v>371</v>
      </c>
      <c r="I1543" s="44" t="str">
        <f>"0x"&amp;AE_w_WORK!J6</f>
        <v>0x0000</v>
      </c>
      <c r="J1543" s="36">
        <v>41753</v>
      </c>
      <c r="K1543" s="37" t="s">
        <v>347</v>
      </c>
      <c r="L1543" s="74">
        <f t="shared" si="25"/>
        <v>3074</v>
      </c>
    </row>
    <row r="1544" spans="2:12" s="74" customFormat="1" hidden="1" outlineLevel="1">
      <c r="B1544" s="73">
        <v>1538</v>
      </c>
      <c r="C1544" s="39"/>
      <c r="D1544" s="40"/>
      <c r="E1544" s="34" t="s">
        <v>323</v>
      </c>
      <c r="F1544" s="75" t="s">
        <v>1909</v>
      </c>
      <c r="G1544" s="35" t="s">
        <v>370</v>
      </c>
      <c r="H1544" s="41" t="s">
        <v>371</v>
      </c>
      <c r="I1544" s="44" t="str">
        <f>"0x"&amp;AE_w_WORK!J7</f>
        <v>0x0000</v>
      </c>
      <c r="J1544" s="36">
        <v>41754</v>
      </c>
      <c r="K1544" s="37"/>
      <c r="L1544" s="74">
        <f t="shared" si="25"/>
        <v>3076</v>
      </c>
    </row>
    <row r="1545" spans="2:12" s="74" customFormat="1" hidden="1" outlineLevel="1">
      <c r="B1545" s="73">
        <v>1539</v>
      </c>
      <c r="C1545" s="39"/>
      <c r="D1545" s="40"/>
      <c r="E1545" s="34" t="s">
        <v>323</v>
      </c>
      <c r="F1545" s="75" t="s">
        <v>1910</v>
      </c>
      <c r="G1545" s="35" t="s">
        <v>370</v>
      </c>
      <c r="H1545" s="41" t="s">
        <v>371</v>
      </c>
      <c r="I1545" s="44" t="str">
        <f>"0x"&amp;AE_w_WORK!J8</f>
        <v>0x0000</v>
      </c>
      <c r="J1545" s="36">
        <v>41755</v>
      </c>
      <c r="K1545" s="37"/>
      <c r="L1545" s="74">
        <f t="shared" ref="L1545:L1608" si="26">L1544+2</f>
        <v>3078</v>
      </c>
    </row>
    <row r="1546" spans="2:12" s="74" customFormat="1" hidden="1" outlineLevel="1">
      <c r="B1546" s="73">
        <v>1540</v>
      </c>
      <c r="C1546" s="39"/>
      <c r="D1546" s="40"/>
      <c r="E1546" s="34" t="s">
        <v>323</v>
      </c>
      <c r="F1546" s="75" t="s">
        <v>1911</v>
      </c>
      <c r="G1546" s="35" t="s">
        <v>370</v>
      </c>
      <c r="H1546" s="41" t="s">
        <v>371</v>
      </c>
      <c r="I1546" s="44" t="str">
        <f>"0x"&amp;AE_w_WORK!J9</f>
        <v>0x0000</v>
      </c>
      <c r="J1546" s="36">
        <v>41756</v>
      </c>
      <c r="K1546" s="37"/>
      <c r="L1546" s="74">
        <f t="shared" si="26"/>
        <v>3080</v>
      </c>
    </row>
    <row r="1547" spans="2:12" s="74" customFormat="1" hidden="1" outlineLevel="1">
      <c r="B1547" s="73">
        <v>1541</v>
      </c>
      <c r="C1547" s="39"/>
      <c r="D1547" s="40"/>
      <c r="E1547" s="34" t="s">
        <v>323</v>
      </c>
      <c r="F1547" s="75" t="s">
        <v>1912</v>
      </c>
      <c r="G1547" s="35" t="s">
        <v>370</v>
      </c>
      <c r="H1547" s="41" t="s">
        <v>371</v>
      </c>
      <c r="I1547" s="44" t="str">
        <f>"0x"&amp;AE_w_WORK!J10</f>
        <v>0x0000</v>
      </c>
      <c r="J1547" s="36">
        <v>41757</v>
      </c>
      <c r="K1547" s="37"/>
      <c r="L1547" s="74">
        <f t="shared" si="26"/>
        <v>3082</v>
      </c>
    </row>
    <row r="1548" spans="2:12" s="74" customFormat="1" hidden="1" outlineLevel="1">
      <c r="B1548" s="73">
        <v>1542</v>
      </c>
      <c r="C1548" s="39"/>
      <c r="D1548" s="40"/>
      <c r="E1548" s="34" t="s">
        <v>323</v>
      </c>
      <c r="F1548" s="75" t="s">
        <v>1913</v>
      </c>
      <c r="G1548" s="35" t="s">
        <v>370</v>
      </c>
      <c r="H1548" s="41" t="s">
        <v>371</v>
      </c>
      <c r="I1548" s="44" t="str">
        <f>"0x"&amp;AE_w_WORK!J11</f>
        <v>0x0000</v>
      </c>
      <c r="J1548" s="36">
        <v>41758</v>
      </c>
      <c r="K1548" s="37"/>
      <c r="L1548" s="74">
        <f t="shared" si="26"/>
        <v>3084</v>
      </c>
    </row>
    <row r="1549" spans="2:12" s="74" customFormat="1" hidden="1" outlineLevel="1">
      <c r="B1549" s="73">
        <v>1543</v>
      </c>
      <c r="C1549" s="39"/>
      <c r="D1549" s="40"/>
      <c r="E1549" s="34" t="s">
        <v>323</v>
      </c>
      <c r="F1549" s="75" t="s">
        <v>1914</v>
      </c>
      <c r="G1549" s="35" t="s">
        <v>370</v>
      </c>
      <c r="H1549" s="41" t="s">
        <v>371</v>
      </c>
      <c r="I1549" s="44" t="str">
        <f>"0x"&amp;AE_w_WORK!J12</f>
        <v>0x0000</v>
      </c>
      <c r="J1549" s="36">
        <v>41759</v>
      </c>
      <c r="K1549" s="37"/>
      <c r="L1549" s="74">
        <f t="shared" si="26"/>
        <v>3086</v>
      </c>
    </row>
    <row r="1550" spans="2:12" s="74" customFormat="1" hidden="1" outlineLevel="1">
      <c r="B1550" s="73">
        <v>1544</v>
      </c>
      <c r="C1550" s="39"/>
      <c r="D1550" s="40"/>
      <c r="E1550" s="34" t="s">
        <v>323</v>
      </c>
      <c r="F1550" s="75" t="s">
        <v>1915</v>
      </c>
      <c r="G1550" s="35" t="s">
        <v>370</v>
      </c>
      <c r="H1550" s="41" t="s">
        <v>371</v>
      </c>
      <c r="I1550" s="44" t="str">
        <f>"0x"&amp;AE_w_WORK!J13</f>
        <v>0x0000</v>
      </c>
      <c r="J1550" s="36">
        <v>41760</v>
      </c>
      <c r="K1550" s="37"/>
      <c r="L1550" s="74">
        <f t="shared" si="26"/>
        <v>3088</v>
      </c>
    </row>
    <row r="1551" spans="2:12" s="74" customFormat="1" hidden="1" outlineLevel="1">
      <c r="B1551" s="73">
        <v>1545</v>
      </c>
      <c r="C1551" s="39"/>
      <c r="D1551" s="40"/>
      <c r="E1551" s="34" t="s">
        <v>323</v>
      </c>
      <c r="F1551" s="75" t="s">
        <v>1916</v>
      </c>
      <c r="G1551" s="35" t="s">
        <v>370</v>
      </c>
      <c r="H1551" s="41" t="s">
        <v>371</v>
      </c>
      <c r="I1551" s="44" t="str">
        <f>"0x"&amp;AE_w_WORK!J14</f>
        <v>0x0000</v>
      </c>
      <c r="J1551" s="36">
        <v>41761</v>
      </c>
      <c r="K1551" s="37"/>
      <c r="L1551" s="74">
        <f t="shared" si="26"/>
        <v>3090</v>
      </c>
    </row>
    <row r="1552" spans="2:12" s="74" customFormat="1" hidden="1" outlineLevel="1">
      <c r="B1552" s="73">
        <v>1546</v>
      </c>
      <c r="C1552" s="39"/>
      <c r="D1552" s="40"/>
      <c r="E1552" s="34" t="s">
        <v>323</v>
      </c>
      <c r="F1552" s="75" t="s">
        <v>1917</v>
      </c>
      <c r="G1552" s="35" t="s">
        <v>370</v>
      </c>
      <c r="H1552" s="41" t="s">
        <v>371</v>
      </c>
      <c r="I1552" s="44" t="str">
        <f>"0x"&amp;AE_w_WORK!J15</f>
        <v>0x0000</v>
      </c>
      <c r="J1552" s="36">
        <v>41762</v>
      </c>
      <c r="K1552" s="37"/>
      <c r="L1552" s="74">
        <f t="shared" si="26"/>
        <v>3092</v>
      </c>
    </row>
    <row r="1553" spans="2:12" s="74" customFormat="1" hidden="1" outlineLevel="1">
      <c r="B1553" s="73">
        <v>1547</v>
      </c>
      <c r="C1553" s="39"/>
      <c r="D1553" s="40"/>
      <c r="E1553" s="34" t="s">
        <v>323</v>
      </c>
      <c r="F1553" s="75" t="s">
        <v>1918</v>
      </c>
      <c r="G1553" s="35" t="s">
        <v>370</v>
      </c>
      <c r="H1553" s="41" t="s">
        <v>371</v>
      </c>
      <c r="I1553" s="44" t="str">
        <f>"0x"&amp;AE_w_WORK!J16</f>
        <v>0x0000</v>
      </c>
      <c r="J1553" s="36">
        <v>41763</v>
      </c>
      <c r="K1553" s="37"/>
      <c r="L1553" s="74">
        <f t="shared" si="26"/>
        <v>3094</v>
      </c>
    </row>
    <row r="1554" spans="2:12" s="74" customFormat="1" hidden="1" outlineLevel="1">
      <c r="B1554" s="73">
        <v>1548</v>
      </c>
      <c r="C1554" s="39"/>
      <c r="D1554" s="40"/>
      <c r="E1554" s="34" t="s">
        <v>323</v>
      </c>
      <c r="F1554" s="75" t="s">
        <v>1919</v>
      </c>
      <c r="G1554" s="35" t="s">
        <v>370</v>
      </c>
      <c r="H1554" s="41" t="s">
        <v>371</v>
      </c>
      <c r="I1554" s="44" t="str">
        <f>"0x"&amp;AE_w_WORK!J17</f>
        <v>0x0000</v>
      </c>
      <c r="J1554" s="36">
        <v>41764</v>
      </c>
      <c r="K1554" s="37"/>
      <c r="L1554" s="74">
        <f t="shared" si="26"/>
        <v>3096</v>
      </c>
    </row>
    <row r="1555" spans="2:12" s="74" customFormat="1" hidden="1" outlineLevel="1">
      <c r="B1555" s="73">
        <v>1549</v>
      </c>
      <c r="C1555" s="39"/>
      <c r="D1555" s="40"/>
      <c r="E1555" s="34" t="s">
        <v>323</v>
      </c>
      <c r="F1555" s="75" t="s">
        <v>1920</v>
      </c>
      <c r="G1555" s="35" t="s">
        <v>370</v>
      </c>
      <c r="H1555" s="41" t="s">
        <v>371</v>
      </c>
      <c r="I1555" s="44" t="str">
        <f>"0x"&amp;AE_w_WORK!J18</f>
        <v>0x0000</v>
      </c>
      <c r="J1555" s="36">
        <v>41765</v>
      </c>
      <c r="K1555" s="37"/>
      <c r="L1555" s="74">
        <f t="shared" si="26"/>
        <v>3098</v>
      </c>
    </row>
    <row r="1556" spans="2:12" s="74" customFormat="1" hidden="1" outlineLevel="1">
      <c r="B1556" s="73">
        <v>1550</v>
      </c>
      <c r="C1556" s="39"/>
      <c r="D1556" s="40"/>
      <c r="E1556" s="34" t="s">
        <v>323</v>
      </c>
      <c r="F1556" s="75" t="s">
        <v>1921</v>
      </c>
      <c r="G1556" s="35" t="s">
        <v>370</v>
      </c>
      <c r="H1556" s="41" t="s">
        <v>371</v>
      </c>
      <c r="I1556" s="44" t="str">
        <f>"0x"&amp;AE_w_WORK!J19</f>
        <v>0x0000</v>
      </c>
      <c r="J1556" s="36">
        <v>41766</v>
      </c>
      <c r="K1556" s="37"/>
      <c r="L1556" s="74">
        <f t="shared" si="26"/>
        <v>3100</v>
      </c>
    </row>
    <row r="1557" spans="2:12" s="74" customFormat="1" hidden="1" outlineLevel="1">
      <c r="B1557" s="73">
        <v>1551</v>
      </c>
      <c r="C1557" s="39"/>
      <c r="D1557" s="40"/>
      <c r="E1557" s="34" t="s">
        <v>323</v>
      </c>
      <c r="F1557" s="75" t="s">
        <v>1922</v>
      </c>
      <c r="G1557" s="35" t="s">
        <v>370</v>
      </c>
      <c r="H1557" s="41" t="s">
        <v>371</v>
      </c>
      <c r="I1557" s="44" t="str">
        <f>"0x"&amp;AE_w_WORK!J20</f>
        <v>0x0000</v>
      </c>
      <c r="J1557" s="36">
        <v>41767</v>
      </c>
      <c r="K1557" s="37"/>
      <c r="L1557" s="74">
        <f t="shared" si="26"/>
        <v>3102</v>
      </c>
    </row>
    <row r="1558" spans="2:12" s="74" customFormat="1" hidden="1" outlineLevel="1">
      <c r="B1558" s="73">
        <v>1552</v>
      </c>
      <c r="C1558" s="39"/>
      <c r="D1558" s="40"/>
      <c r="E1558" s="34" t="s">
        <v>323</v>
      </c>
      <c r="F1558" s="75" t="s">
        <v>1923</v>
      </c>
      <c r="G1558" s="35" t="s">
        <v>370</v>
      </c>
      <c r="H1558" s="41" t="s">
        <v>371</v>
      </c>
      <c r="I1558" s="44" t="str">
        <f>"0x"&amp;AE_w_WORK!J21</f>
        <v>0x0000</v>
      </c>
      <c r="J1558" s="36">
        <v>41768</v>
      </c>
      <c r="K1558" s="37"/>
      <c r="L1558" s="74">
        <f t="shared" si="26"/>
        <v>3104</v>
      </c>
    </row>
    <row r="1559" spans="2:12" s="74" customFormat="1" hidden="1" outlineLevel="1">
      <c r="B1559" s="73">
        <v>1553</v>
      </c>
      <c r="C1559" s="39"/>
      <c r="D1559" s="40"/>
      <c r="E1559" s="34" t="s">
        <v>323</v>
      </c>
      <c r="F1559" s="75" t="s">
        <v>1924</v>
      </c>
      <c r="G1559" s="35" t="s">
        <v>370</v>
      </c>
      <c r="H1559" s="41" t="s">
        <v>371</v>
      </c>
      <c r="I1559" s="44" t="str">
        <f>"0x"&amp;AE_w_WORK!J22</f>
        <v>0x0000</v>
      </c>
      <c r="J1559" s="36">
        <v>41769</v>
      </c>
      <c r="K1559" s="37"/>
      <c r="L1559" s="74">
        <f t="shared" si="26"/>
        <v>3106</v>
      </c>
    </row>
    <row r="1560" spans="2:12" s="74" customFormat="1" hidden="1" outlineLevel="1">
      <c r="B1560" s="73">
        <v>1554</v>
      </c>
      <c r="C1560" s="39"/>
      <c r="D1560" s="40"/>
      <c r="E1560" s="34" t="s">
        <v>323</v>
      </c>
      <c r="F1560" s="75" t="s">
        <v>1925</v>
      </c>
      <c r="G1560" s="35" t="s">
        <v>370</v>
      </c>
      <c r="H1560" s="41" t="s">
        <v>371</v>
      </c>
      <c r="I1560" s="44" t="str">
        <f>"0x"&amp;AE_w_WORK!J23</f>
        <v>0x0000</v>
      </c>
      <c r="J1560" s="36">
        <v>41770</v>
      </c>
      <c r="K1560" s="37"/>
      <c r="L1560" s="74">
        <f t="shared" si="26"/>
        <v>3108</v>
      </c>
    </row>
    <row r="1561" spans="2:12" s="74" customFormat="1" hidden="1" outlineLevel="1">
      <c r="B1561" s="73">
        <v>1555</v>
      </c>
      <c r="C1561" s="39"/>
      <c r="D1561" s="40"/>
      <c r="E1561" s="34" t="s">
        <v>323</v>
      </c>
      <c r="F1561" s="75" t="s">
        <v>1926</v>
      </c>
      <c r="G1561" s="35" t="s">
        <v>370</v>
      </c>
      <c r="H1561" s="41" t="s">
        <v>371</v>
      </c>
      <c r="I1561" s="44" t="str">
        <f>"0x"&amp;AE_w_WORK!J24</f>
        <v>0x0000</v>
      </c>
      <c r="J1561" s="36">
        <v>41771</v>
      </c>
      <c r="K1561" s="37"/>
      <c r="L1561" s="74">
        <f t="shared" si="26"/>
        <v>3110</v>
      </c>
    </row>
    <row r="1562" spans="2:12" s="74" customFormat="1" hidden="1" outlineLevel="1">
      <c r="B1562" s="73">
        <v>1556</v>
      </c>
      <c r="C1562" s="39"/>
      <c r="D1562" s="40"/>
      <c r="E1562" s="34" t="s">
        <v>323</v>
      </c>
      <c r="F1562" s="75" t="s">
        <v>1927</v>
      </c>
      <c r="G1562" s="35" t="s">
        <v>370</v>
      </c>
      <c r="H1562" s="41" t="s">
        <v>371</v>
      </c>
      <c r="I1562" s="44" t="str">
        <f>"0x"&amp;AE_w_WORK!J25</f>
        <v>0x0000</v>
      </c>
      <c r="J1562" s="36">
        <v>41772</v>
      </c>
      <c r="K1562" s="37"/>
      <c r="L1562" s="74">
        <f t="shared" si="26"/>
        <v>3112</v>
      </c>
    </row>
    <row r="1563" spans="2:12" s="74" customFormat="1" hidden="1" outlineLevel="1">
      <c r="B1563" s="73">
        <v>1557</v>
      </c>
      <c r="C1563" s="39"/>
      <c r="D1563" s="40"/>
      <c r="E1563" s="34" t="s">
        <v>323</v>
      </c>
      <c r="F1563" s="75" t="s">
        <v>1928</v>
      </c>
      <c r="G1563" s="35" t="s">
        <v>370</v>
      </c>
      <c r="H1563" s="41" t="s">
        <v>371</v>
      </c>
      <c r="I1563" s="44" t="str">
        <f>"0x"&amp;AE_w_WORK!J26</f>
        <v>0x0000</v>
      </c>
      <c r="J1563" s="36">
        <v>41773</v>
      </c>
      <c r="K1563" s="37"/>
      <c r="L1563" s="74">
        <f t="shared" si="26"/>
        <v>3114</v>
      </c>
    </row>
    <row r="1564" spans="2:12" s="74" customFormat="1" hidden="1" outlineLevel="1">
      <c r="B1564" s="73">
        <v>1558</v>
      </c>
      <c r="C1564" s="39"/>
      <c r="D1564" s="40"/>
      <c r="E1564" s="34" t="s">
        <v>323</v>
      </c>
      <c r="F1564" s="75" t="s">
        <v>1929</v>
      </c>
      <c r="G1564" s="35" t="s">
        <v>370</v>
      </c>
      <c r="H1564" s="41" t="s">
        <v>371</v>
      </c>
      <c r="I1564" s="44" t="str">
        <f>"0x"&amp;AE_w_WORK!J27</f>
        <v>0x0000</v>
      </c>
      <c r="J1564" s="36">
        <v>41774</v>
      </c>
      <c r="K1564" s="37"/>
      <c r="L1564" s="74">
        <f t="shared" si="26"/>
        <v>3116</v>
      </c>
    </row>
    <row r="1565" spans="2:12" s="74" customFormat="1" hidden="1" outlineLevel="1">
      <c r="B1565" s="73">
        <v>1559</v>
      </c>
      <c r="C1565" s="39"/>
      <c r="D1565" s="40"/>
      <c r="E1565" s="34" t="s">
        <v>323</v>
      </c>
      <c r="F1565" s="75" t="s">
        <v>1930</v>
      </c>
      <c r="G1565" s="35" t="s">
        <v>370</v>
      </c>
      <c r="H1565" s="41" t="s">
        <v>371</v>
      </c>
      <c r="I1565" s="44" t="str">
        <f>"0x"&amp;AE_w_WORK!J28</f>
        <v>0x0000</v>
      </c>
      <c r="J1565" s="36">
        <v>41775</v>
      </c>
      <c r="K1565" s="37"/>
      <c r="L1565" s="74">
        <f t="shared" si="26"/>
        <v>3118</v>
      </c>
    </row>
    <row r="1566" spans="2:12" s="74" customFormat="1" hidden="1" outlineLevel="1">
      <c r="B1566" s="73">
        <v>1560</v>
      </c>
      <c r="C1566" s="39"/>
      <c r="D1566" s="40"/>
      <c r="E1566" s="34" t="s">
        <v>323</v>
      </c>
      <c r="F1566" s="75" t="s">
        <v>1931</v>
      </c>
      <c r="G1566" s="35" t="s">
        <v>370</v>
      </c>
      <c r="H1566" s="41" t="s">
        <v>371</v>
      </c>
      <c r="I1566" s="44" t="str">
        <f>"0x"&amp;AE_w_WORK!J29</f>
        <v>0x0000</v>
      </c>
      <c r="J1566" s="36">
        <v>41776</v>
      </c>
      <c r="K1566" s="37"/>
      <c r="L1566" s="74">
        <f t="shared" si="26"/>
        <v>3120</v>
      </c>
    </row>
    <row r="1567" spans="2:12" s="74" customFormat="1" hidden="1" outlineLevel="1">
      <c r="B1567" s="73">
        <v>1561</v>
      </c>
      <c r="C1567" s="39"/>
      <c r="D1567" s="40"/>
      <c r="E1567" s="34" t="s">
        <v>323</v>
      </c>
      <c r="F1567" s="75" t="s">
        <v>1932</v>
      </c>
      <c r="G1567" s="35" t="s">
        <v>370</v>
      </c>
      <c r="H1567" s="41" t="s">
        <v>371</v>
      </c>
      <c r="I1567" s="44" t="str">
        <f>"0x"&amp;AE_w_WORK!J30</f>
        <v>0x0000</v>
      </c>
      <c r="J1567" s="36">
        <v>41777</v>
      </c>
      <c r="K1567" s="37"/>
      <c r="L1567" s="74">
        <f t="shared" si="26"/>
        <v>3122</v>
      </c>
    </row>
    <row r="1568" spans="2:12" s="74" customFormat="1" hidden="1" outlineLevel="1">
      <c r="B1568" s="73">
        <v>1562</v>
      </c>
      <c r="C1568" s="39"/>
      <c r="D1568" s="40"/>
      <c r="E1568" s="34" t="s">
        <v>323</v>
      </c>
      <c r="F1568" s="75" t="s">
        <v>1933</v>
      </c>
      <c r="G1568" s="35" t="s">
        <v>370</v>
      </c>
      <c r="H1568" s="41" t="s">
        <v>371</v>
      </c>
      <c r="I1568" s="44" t="str">
        <f>"0x"&amp;AE_w_WORK!J31</f>
        <v>0x0000</v>
      </c>
      <c r="J1568" s="36">
        <v>41778</v>
      </c>
      <c r="K1568" s="37"/>
      <c r="L1568" s="74">
        <f t="shared" si="26"/>
        <v>3124</v>
      </c>
    </row>
    <row r="1569" spans="2:12" s="74" customFormat="1" hidden="1" outlineLevel="1">
      <c r="B1569" s="73">
        <v>1563</v>
      </c>
      <c r="C1569" s="39"/>
      <c r="D1569" s="40"/>
      <c r="E1569" s="34" t="s">
        <v>323</v>
      </c>
      <c r="F1569" s="75" t="s">
        <v>1934</v>
      </c>
      <c r="G1569" s="35" t="s">
        <v>370</v>
      </c>
      <c r="H1569" s="41" t="s">
        <v>371</v>
      </c>
      <c r="I1569" s="44" t="str">
        <f>"0x"&amp;AE_w_WORK!J32</f>
        <v>0x0000</v>
      </c>
      <c r="J1569" s="36">
        <v>41779</v>
      </c>
      <c r="K1569" s="37"/>
      <c r="L1569" s="74">
        <f t="shared" si="26"/>
        <v>3126</v>
      </c>
    </row>
    <row r="1570" spans="2:12" s="74" customFormat="1" hidden="1" outlineLevel="1">
      <c r="B1570" s="73">
        <v>1564</v>
      </c>
      <c r="C1570" s="39"/>
      <c r="D1570" s="40"/>
      <c r="E1570" s="34" t="s">
        <v>323</v>
      </c>
      <c r="F1570" s="75" t="s">
        <v>1935</v>
      </c>
      <c r="G1570" s="35" t="s">
        <v>370</v>
      </c>
      <c r="H1570" s="41" t="s">
        <v>371</v>
      </c>
      <c r="I1570" s="44" t="str">
        <f>"0x"&amp;AE_w_WORK!J33</f>
        <v>0x0000</v>
      </c>
      <c r="J1570" s="36">
        <v>41780</v>
      </c>
      <c r="K1570" s="37"/>
      <c r="L1570" s="74">
        <f t="shared" si="26"/>
        <v>3128</v>
      </c>
    </row>
    <row r="1571" spans="2:12" s="74" customFormat="1" hidden="1" outlineLevel="1">
      <c r="B1571" s="73">
        <v>1565</v>
      </c>
      <c r="C1571" s="39"/>
      <c r="D1571" s="40"/>
      <c r="E1571" s="34" t="s">
        <v>323</v>
      </c>
      <c r="F1571" s="75" t="s">
        <v>1936</v>
      </c>
      <c r="G1571" s="35" t="s">
        <v>370</v>
      </c>
      <c r="H1571" s="41" t="s">
        <v>371</v>
      </c>
      <c r="I1571" s="44" t="str">
        <f>"0x"&amp;AE_w_WORK!J34</f>
        <v>0x0000</v>
      </c>
      <c r="J1571" s="36">
        <v>41781</v>
      </c>
      <c r="K1571" s="37"/>
      <c r="L1571" s="74">
        <f t="shared" si="26"/>
        <v>3130</v>
      </c>
    </row>
    <row r="1572" spans="2:12" s="74" customFormat="1" hidden="1" outlineLevel="1">
      <c r="B1572" s="73">
        <v>1566</v>
      </c>
      <c r="C1572" s="39"/>
      <c r="D1572" s="40"/>
      <c r="E1572" s="34" t="s">
        <v>323</v>
      </c>
      <c r="F1572" s="75" t="s">
        <v>1937</v>
      </c>
      <c r="G1572" s="35" t="s">
        <v>370</v>
      </c>
      <c r="H1572" s="41" t="s">
        <v>371</v>
      </c>
      <c r="I1572" s="44" t="str">
        <f>"0x"&amp;AE_w_WORK!J35</f>
        <v>0x0000</v>
      </c>
      <c r="J1572" s="36">
        <v>41782</v>
      </c>
      <c r="K1572" s="37"/>
      <c r="L1572" s="74">
        <f t="shared" si="26"/>
        <v>3132</v>
      </c>
    </row>
    <row r="1573" spans="2:12" s="74" customFormat="1" hidden="1" outlineLevel="1">
      <c r="B1573" s="73">
        <v>1567</v>
      </c>
      <c r="C1573" s="39"/>
      <c r="D1573" s="40"/>
      <c r="E1573" s="34" t="s">
        <v>323</v>
      </c>
      <c r="F1573" s="75" t="s">
        <v>1938</v>
      </c>
      <c r="G1573" s="35" t="s">
        <v>370</v>
      </c>
      <c r="H1573" s="41" t="s">
        <v>371</v>
      </c>
      <c r="I1573" s="44" t="str">
        <f>"0x"&amp;AE_w_WORK!J36</f>
        <v>0x0000</v>
      </c>
      <c r="J1573" s="36">
        <v>41783</v>
      </c>
      <c r="K1573" s="37"/>
      <c r="L1573" s="74">
        <f t="shared" si="26"/>
        <v>3134</v>
      </c>
    </row>
    <row r="1574" spans="2:12" s="74" customFormat="1" hidden="1" outlineLevel="1">
      <c r="B1574" s="73">
        <v>1568</v>
      </c>
      <c r="C1574" s="39"/>
      <c r="D1574" s="40"/>
      <c r="E1574" s="34" t="s">
        <v>323</v>
      </c>
      <c r="F1574" s="75" t="s">
        <v>1939</v>
      </c>
      <c r="G1574" s="35" t="s">
        <v>370</v>
      </c>
      <c r="H1574" s="41" t="s">
        <v>371</v>
      </c>
      <c r="I1574" s="44" t="str">
        <f>"0x"&amp;AE_w_WORK!J37</f>
        <v>0x0000</v>
      </c>
      <c r="J1574" s="36">
        <v>41784</v>
      </c>
      <c r="K1574" s="37"/>
      <c r="L1574" s="74">
        <f t="shared" si="26"/>
        <v>3136</v>
      </c>
    </row>
    <row r="1575" spans="2:12" s="74" customFormat="1" hidden="1" outlineLevel="1">
      <c r="B1575" s="73">
        <v>1569</v>
      </c>
      <c r="C1575" s="39"/>
      <c r="D1575" s="40"/>
      <c r="E1575" s="34" t="s">
        <v>323</v>
      </c>
      <c r="F1575" s="75" t="s">
        <v>1940</v>
      </c>
      <c r="G1575" s="35" t="s">
        <v>370</v>
      </c>
      <c r="H1575" s="41" t="s">
        <v>371</v>
      </c>
      <c r="I1575" s="44" t="str">
        <f>"0x"&amp;AE_w_WORK!J38</f>
        <v>0x0000</v>
      </c>
      <c r="J1575" s="36">
        <v>41785</v>
      </c>
      <c r="K1575" s="37"/>
      <c r="L1575" s="74">
        <f t="shared" si="26"/>
        <v>3138</v>
      </c>
    </row>
    <row r="1576" spans="2:12" s="74" customFormat="1" hidden="1" outlineLevel="1">
      <c r="B1576" s="73">
        <v>1570</v>
      </c>
      <c r="C1576" s="39"/>
      <c r="D1576" s="40"/>
      <c r="E1576" s="34" t="s">
        <v>323</v>
      </c>
      <c r="F1576" s="75" t="s">
        <v>1941</v>
      </c>
      <c r="G1576" s="35" t="s">
        <v>370</v>
      </c>
      <c r="H1576" s="41" t="s">
        <v>371</v>
      </c>
      <c r="I1576" s="44" t="str">
        <f>"0x"&amp;AE_w_WORK!J39</f>
        <v>0x0000</v>
      </c>
      <c r="J1576" s="36">
        <v>41786</v>
      </c>
      <c r="K1576" s="37"/>
      <c r="L1576" s="74">
        <f t="shared" si="26"/>
        <v>3140</v>
      </c>
    </row>
    <row r="1577" spans="2:12" s="74" customFormat="1" hidden="1" outlineLevel="1">
      <c r="B1577" s="73">
        <v>1571</v>
      </c>
      <c r="C1577" s="39"/>
      <c r="D1577" s="40"/>
      <c r="E1577" s="34" t="s">
        <v>323</v>
      </c>
      <c r="F1577" s="75" t="s">
        <v>1942</v>
      </c>
      <c r="G1577" s="35" t="s">
        <v>370</v>
      </c>
      <c r="H1577" s="41" t="s">
        <v>371</v>
      </c>
      <c r="I1577" s="44" t="str">
        <f>"0x"&amp;AE_w_WORK!J40</f>
        <v>0x0000</v>
      </c>
      <c r="J1577" s="36">
        <v>41787</v>
      </c>
      <c r="K1577" s="37"/>
      <c r="L1577" s="74">
        <f t="shared" si="26"/>
        <v>3142</v>
      </c>
    </row>
    <row r="1578" spans="2:12" s="74" customFormat="1" hidden="1" outlineLevel="1">
      <c r="B1578" s="73">
        <v>1572</v>
      </c>
      <c r="C1578" s="39"/>
      <c r="D1578" s="40"/>
      <c r="E1578" s="34" t="s">
        <v>323</v>
      </c>
      <c r="F1578" s="75" t="s">
        <v>1943</v>
      </c>
      <c r="G1578" s="35" t="s">
        <v>370</v>
      </c>
      <c r="H1578" s="41" t="s">
        <v>371</v>
      </c>
      <c r="I1578" s="44" t="str">
        <f>"0x"&amp;AE_w_WORK!J41</f>
        <v>0x0000</v>
      </c>
      <c r="J1578" s="36">
        <v>41788</v>
      </c>
      <c r="K1578" s="37"/>
      <c r="L1578" s="74">
        <f t="shared" si="26"/>
        <v>3144</v>
      </c>
    </row>
    <row r="1579" spans="2:12" s="74" customFormat="1" hidden="1" outlineLevel="1">
      <c r="B1579" s="73">
        <v>1573</v>
      </c>
      <c r="C1579" s="39"/>
      <c r="D1579" s="40"/>
      <c r="E1579" s="34" t="s">
        <v>323</v>
      </c>
      <c r="F1579" s="75" t="s">
        <v>1944</v>
      </c>
      <c r="G1579" s="35" t="s">
        <v>370</v>
      </c>
      <c r="H1579" s="41" t="s">
        <v>371</v>
      </c>
      <c r="I1579" s="44" t="str">
        <f>"0x"&amp;AE_w_WORK!J42</f>
        <v>0x0000</v>
      </c>
      <c r="J1579" s="36">
        <v>41789</v>
      </c>
      <c r="K1579" s="37"/>
      <c r="L1579" s="74">
        <f t="shared" si="26"/>
        <v>3146</v>
      </c>
    </row>
    <row r="1580" spans="2:12" s="74" customFormat="1" hidden="1" outlineLevel="1">
      <c r="B1580" s="73">
        <v>1574</v>
      </c>
      <c r="C1580" s="39"/>
      <c r="D1580" s="40"/>
      <c r="E1580" s="34" t="s">
        <v>323</v>
      </c>
      <c r="F1580" s="75" t="s">
        <v>1945</v>
      </c>
      <c r="G1580" s="35" t="s">
        <v>370</v>
      </c>
      <c r="H1580" s="41" t="s">
        <v>371</v>
      </c>
      <c r="I1580" s="44" t="str">
        <f>"0x"&amp;AE_w_WORK!J43</f>
        <v>0x0000</v>
      </c>
      <c r="J1580" s="36">
        <v>41790</v>
      </c>
      <c r="K1580" s="37"/>
      <c r="L1580" s="74">
        <f t="shared" si="26"/>
        <v>3148</v>
      </c>
    </row>
    <row r="1581" spans="2:12" s="74" customFormat="1" hidden="1" outlineLevel="1">
      <c r="B1581" s="73">
        <v>1575</v>
      </c>
      <c r="C1581" s="39"/>
      <c r="D1581" s="40"/>
      <c r="E1581" s="34" t="s">
        <v>323</v>
      </c>
      <c r="F1581" s="75" t="s">
        <v>1946</v>
      </c>
      <c r="G1581" s="35" t="s">
        <v>370</v>
      </c>
      <c r="H1581" s="41" t="s">
        <v>371</v>
      </c>
      <c r="I1581" s="44" t="str">
        <f>"0x"&amp;AE_w_WORK!J44</f>
        <v>0x0000</v>
      </c>
      <c r="J1581" s="36">
        <v>41791</v>
      </c>
      <c r="K1581" s="37"/>
      <c r="L1581" s="74">
        <f t="shared" si="26"/>
        <v>3150</v>
      </c>
    </row>
    <row r="1582" spans="2:12" s="74" customFormat="1" hidden="1" outlineLevel="1">
      <c r="B1582" s="73">
        <v>1576</v>
      </c>
      <c r="C1582" s="39"/>
      <c r="D1582" s="40"/>
      <c r="E1582" s="34" t="s">
        <v>323</v>
      </c>
      <c r="F1582" s="75" t="s">
        <v>1947</v>
      </c>
      <c r="G1582" s="35" t="s">
        <v>370</v>
      </c>
      <c r="H1582" s="41" t="s">
        <v>371</v>
      </c>
      <c r="I1582" s="44" t="str">
        <f>"0x"&amp;AE_w_WORK!J45</f>
        <v>0x0000</v>
      </c>
      <c r="J1582" s="36">
        <v>41792</v>
      </c>
      <c r="K1582" s="37"/>
      <c r="L1582" s="74">
        <f t="shared" si="26"/>
        <v>3152</v>
      </c>
    </row>
    <row r="1583" spans="2:12" s="74" customFormat="1" hidden="1" outlineLevel="1">
      <c r="B1583" s="73">
        <v>1577</v>
      </c>
      <c r="C1583" s="39"/>
      <c r="D1583" s="40"/>
      <c r="E1583" s="34" t="s">
        <v>323</v>
      </c>
      <c r="F1583" s="75" t="s">
        <v>1948</v>
      </c>
      <c r="G1583" s="35" t="s">
        <v>370</v>
      </c>
      <c r="H1583" s="41" t="s">
        <v>371</v>
      </c>
      <c r="I1583" s="44" t="str">
        <f>"0x"&amp;AE_w_WORK!J46</f>
        <v>0x0000</v>
      </c>
      <c r="J1583" s="36">
        <v>41793</v>
      </c>
      <c r="K1583" s="37"/>
      <c r="L1583" s="74">
        <f t="shared" si="26"/>
        <v>3154</v>
      </c>
    </row>
    <row r="1584" spans="2:12" s="74" customFormat="1" hidden="1" outlineLevel="1">
      <c r="B1584" s="73">
        <v>1578</v>
      </c>
      <c r="C1584" s="39"/>
      <c r="D1584" s="40"/>
      <c r="E1584" s="34" t="s">
        <v>323</v>
      </c>
      <c r="F1584" s="75" t="s">
        <v>1949</v>
      </c>
      <c r="G1584" s="35" t="s">
        <v>370</v>
      </c>
      <c r="H1584" s="41" t="s">
        <v>371</v>
      </c>
      <c r="I1584" s="44" t="str">
        <f>"0x"&amp;AE_w_WORK!J47</f>
        <v>0x0000</v>
      </c>
      <c r="J1584" s="36">
        <v>41794</v>
      </c>
      <c r="K1584" s="37"/>
      <c r="L1584" s="74">
        <f t="shared" si="26"/>
        <v>3156</v>
      </c>
    </row>
    <row r="1585" spans="2:12" s="74" customFormat="1" hidden="1" outlineLevel="1">
      <c r="B1585" s="73">
        <v>1579</v>
      </c>
      <c r="C1585" s="39"/>
      <c r="D1585" s="40"/>
      <c r="E1585" s="34" t="s">
        <v>323</v>
      </c>
      <c r="F1585" s="75" t="s">
        <v>1950</v>
      </c>
      <c r="G1585" s="35" t="s">
        <v>370</v>
      </c>
      <c r="H1585" s="41" t="s">
        <v>371</v>
      </c>
      <c r="I1585" s="44" t="str">
        <f>"0x"&amp;AE_w_WORK!J48</f>
        <v>0x0000</v>
      </c>
      <c r="J1585" s="36">
        <v>41795</v>
      </c>
      <c r="K1585" s="37"/>
      <c r="L1585" s="74">
        <f t="shared" si="26"/>
        <v>3158</v>
      </c>
    </row>
    <row r="1586" spans="2:12" s="74" customFormat="1" hidden="1" outlineLevel="1">
      <c r="B1586" s="73">
        <v>1580</v>
      </c>
      <c r="C1586" s="39"/>
      <c r="D1586" s="40"/>
      <c r="E1586" s="34" t="s">
        <v>323</v>
      </c>
      <c r="F1586" s="75" t="s">
        <v>1951</v>
      </c>
      <c r="G1586" s="35" t="s">
        <v>370</v>
      </c>
      <c r="H1586" s="41" t="s">
        <v>371</v>
      </c>
      <c r="I1586" s="44" t="str">
        <f>"0x"&amp;AE_w_WORK!J49</f>
        <v>0x0000</v>
      </c>
      <c r="J1586" s="36">
        <v>41796</v>
      </c>
      <c r="K1586" s="37"/>
      <c r="L1586" s="74">
        <f t="shared" si="26"/>
        <v>3160</v>
      </c>
    </row>
    <row r="1587" spans="2:12" s="74" customFormat="1" hidden="1" outlineLevel="1">
      <c r="B1587" s="73">
        <v>1581</v>
      </c>
      <c r="C1587" s="39"/>
      <c r="D1587" s="40"/>
      <c r="E1587" s="34" t="s">
        <v>323</v>
      </c>
      <c r="F1587" s="75" t="s">
        <v>1952</v>
      </c>
      <c r="G1587" s="35" t="s">
        <v>370</v>
      </c>
      <c r="H1587" s="41" t="s">
        <v>371</v>
      </c>
      <c r="I1587" s="44" t="str">
        <f>"0x"&amp;AE_w_WORK!J50</f>
        <v>0x0000</v>
      </c>
      <c r="J1587" s="36">
        <v>41797</v>
      </c>
      <c r="K1587" s="37"/>
      <c r="L1587" s="74">
        <f t="shared" si="26"/>
        <v>3162</v>
      </c>
    </row>
    <row r="1588" spans="2:12" s="74" customFormat="1" hidden="1" outlineLevel="1">
      <c r="B1588" s="73">
        <v>1582</v>
      </c>
      <c r="C1588" s="39"/>
      <c r="D1588" s="40"/>
      <c r="E1588" s="34" t="s">
        <v>323</v>
      </c>
      <c r="F1588" s="75" t="s">
        <v>1953</v>
      </c>
      <c r="G1588" s="35" t="s">
        <v>370</v>
      </c>
      <c r="H1588" s="41" t="s">
        <v>371</v>
      </c>
      <c r="I1588" s="44" t="str">
        <f>"0x"&amp;AE_w_WORK!J51</f>
        <v>0x0000</v>
      </c>
      <c r="J1588" s="36">
        <v>41798</v>
      </c>
      <c r="K1588" s="37"/>
      <c r="L1588" s="74">
        <f t="shared" si="26"/>
        <v>3164</v>
      </c>
    </row>
    <row r="1589" spans="2:12" s="74" customFormat="1" hidden="1" outlineLevel="1">
      <c r="B1589" s="73">
        <v>1583</v>
      </c>
      <c r="C1589" s="39"/>
      <c r="D1589" s="40"/>
      <c r="E1589" s="34" t="s">
        <v>323</v>
      </c>
      <c r="F1589" s="75" t="s">
        <v>1954</v>
      </c>
      <c r="G1589" s="35" t="s">
        <v>370</v>
      </c>
      <c r="H1589" s="41" t="s">
        <v>371</v>
      </c>
      <c r="I1589" s="44" t="str">
        <f>"0x"&amp;AE_w_WORK!J52</f>
        <v>0x0000</v>
      </c>
      <c r="J1589" s="36">
        <v>41799</v>
      </c>
      <c r="K1589" s="37"/>
      <c r="L1589" s="74">
        <f t="shared" si="26"/>
        <v>3166</v>
      </c>
    </row>
    <row r="1590" spans="2:12" s="74" customFormat="1" hidden="1" outlineLevel="1">
      <c r="B1590" s="73">
        <v>1584</v>
      </c>
      <c r="C1590" s="39"/>
      <c r="D1590" s="40"/>
      <c r="E1590" s="34" t="s">
        <v>323</v>
      </c>
      <c r="F1590" s="75" t="s">
        <v>1955</v>
      </c>
      <c r="G1590" s="35" t="s">
        <v>370</v>
      </c>
      <c r="H1590" s="41" t="s">
        <v>371</v>
      </c>
      <c r="I1590" s="44" t="str">
        <f>"0x"&amp;AE_w_WORK!J53</f>
        <v>0x0000</v>
      </c>
      <c r="J1590" s="36">
        <v>41800</v>
      </c>
      <c r="K1590" s="37"/>
      <c r="L1590" s="74">
        <f t="shared" si="26"/>
        <v>3168</v>
      </c>
    </row>
    <row r="1591" spans="2:12" s="74" customFormat="1" hidden="1" outlineLevel="1">
      <c r="B1591" s="73">
        <v>1585</v>
      </c>
      <c r="C1591" s="39"/>
      <c r="D1591" s="40"/>
      <c r="E1591" s="34" t="s">
        <v>323</v>
      </c>
      <c r="F1591" s="75" t="s">
        <v>1956</v>
      </c>
      <c r="G1591" s="35" t="s">
        <v>370</v>
      </c>
      <c r="H1591" s="41" t="s">
        <v>371</v>
      </c>
      <c r="I1591" s="44" t="str">
        <f>"0x"&amp;AE_w_WORK!J54</f>
        <v>0x0000</v>
      </c>
      <c r="J1591" s="36">
        <v>41801</v>
      </c>
      <c r="K1591" s="37"/>
      <c r="L1591" s="74">
        <f t="shared" si="26"/>
        <v>3170</v>
      </c>
    </row>
    <row r="1592" spans="2:12" s="74" customFormat="1" hidden="1" outlineLevel="1">
      <c r="B1592" s="73">
        <v>1586</v>
      </c>
      <c r="C1592" s="39"/>
      <c r="D1592" s="40"/>
      <c r="E1592" s="34" t="s">
        <v>323</v>
      </c>
      <c r="F1592" s="75" t="s">
        <v>1957</v>
      </c>
      <c r="G1592" s="35" t="s">
        <v>370</v>
      </c>
      <c r="H1592" s="41" t="s">
        <v>371</v>
      </c>
      <c r="I1592" s="44" t="str">
        <f>"0x"&amp;AE_w_WORK!J55</f>
        <v>0x0000</v>
      </c>
      <c r="J1592" s="36">
        <v>41802</v>
      </c>
      <c r="K1592" s="37"/>
      <c r="L1592" s="74">
        <f t="shared" si="26"/>
        <v>3172</v>
      </c>
    </row>
    <row r="1593" spans="2:12" s="74" customFormat="1" hidden="1" outlineLevel="1">
      <c r="B1593" s="73">
        <v>1587</v>
      </c>
      <c r="C1593" s="39"/>
      <c r="D1593" s="40"/>
      <c r="E1593" s="34" t="s">
        <v>323</v>
      </c>
      <c r="F1593" s="75" t="s">
        <v>1958</v>
      </c>
      <c r="G1593" s="35" t="s">
        <v>370</v>
      </c>
      <c r="H1593" s="41" t="s">
        <v>371</v>
      </c>
      <c r="I1593" s="44" t="str">
        <f>"0x"&amp;AE_w_WORK!J56</f>
        <v>0x0000</v>
      </c>
      <c r="J1593" s="36">
        <v>41803</v>
      </c>
      <c r="K1593" s="37"/>
      <c r="L1593" s="74">
        <f t="shared" si="26"/>
        <v>3174</v>
      </c>
    </row>
    <row r="1594" spans="2:12" s="74" customFormat="1" hidden="1" outlineLevel="1">
      <c r="B1594" s="73">
        <v>1588</v>
      </c>
      <c r="C1594" s="39"/>
      <c r="D1594" s="40"/>
      <c r="E1594" s="34" t="s">
        <v>323</v>
      </c>
      <c r="F1594" s="75" t="s">
        <v>1959</v>
      </c>
      <c r="G1594" s="35" t="s">
        <v>370</v>
      </c>
      <c r="H1594" s="41" t="s">
        <v>371</v>
      </c>
      <c r="I1594" s="44" t="str">
        <f>"0x"&amp;AE_w_WORK!J57</f>
        <v>0x0077</v>
      </c>
      <c r="J1594" s="36">
        <v>41804</v>
      </c>
      <c r="K1594" s="37"/>
      <c r="L1594" s="74">
        <f t="shared" si="26"/>
        <v>3176</v>
      </c>
    </row>
    <row r="1595" spans="2:12" s="74" customFormat="1" hidden="1" outlineLevel="1">
      <c r="B1595" s="73">
        <v>1589</v>
      </c>
      <c r="C1595" s="39"/>
      <c r="D1595" s="40"/>
      <c r="E1595" s="34" t="s">
        <v>323</v>
      </c>
      <c r="F1595" s="75" t="s">
        <v>1960</v>
      </c>
      <c r="G1595" s="35" t="s">
        <v>370</v>
      </c>
      <c r="H1595" s="41" t="s">
        <v>371</v>
      </c>
      <c r="I1595" s="44" t="str">
        <f>"0x"&amp;AE_w_WORK!J58</f>
        <v>0x7700</v>
      </c>
      <c r="J1595" s="36">
        <v>41805</v>
      </c>
      <c r="K1595" s="37"/>
      <c r="L1595" s="74">
        <f t="shared" si="26"/>
        <v>3178</v>
      </c>
    </row>
    <row r="1596" spans="2:12" s="74" customFormat="1" hidden="1" outlineLevel="1">
      <c r="B1596" s="73">
        <v>1590</v>
      </c>
      <c r="C1596" s="39"/>
      <c r="D1596" s="40"/>
      <c r="E1596" s="34" t="s">
        <v>323</v>
      </c>
      <c r="F1596" s="75" t="s">
        <v>1961</v>
      </c>
      <c r="G1596" s="35" t="s">
        <v>370</v>
      </c>
      <c r="H1596" s="41" t="s">
        <v>371</v>
      </c>
      <c r="I1596" s="44" t="str">
        <f>"0x"&amp;AE_w_WORK!J59</f>
        <v>0x0000</v>
      </c>
      <c r="J1596" s="36">
        <v>41806</v>
      </c>
      <c r="K1596" s="37"/>
      <c r="L1596" s="74">
        <f t="shared" si="26"/>
        <v>3180</v>
      </c>
    </row>
    <row r="1597" spans="2:12" s="74" customFormat="1" hidden="1" outlineLevel="1">
      <c r="B1597" s="73">
        <v>1591</v>
      </c>
      <c r="C1597" s="39"/>
      <c r="D1597" s="40"/>
      <c r="E1597" s="34" t="s">
        <v>323</v>
      </c>
      <c r="F1597" s="75" t="s">
        <v>1962</v>
      </c>
      <c r="G1597" s="35" t="s">
        <v>370</v>
      </c>
      <c r="H1597" s="41" t="s">
        <v>371</v>
      </c>
      <c r="I1597" s="44" t="str">
        <f>"0x"&amp;AE_w_WORK!J60</f>
        <v>0x0000</v>
      </c>
      <c r="J1597" s="36">
        <v>41807</v>
      </c>
      <c r="K1597" s="37"/>
      <c r="L1597" s="74">
        <f t="shared" si="26"/>
        <v>3182</v>
      </c>
    </row>
    <row r="1598" spans="2:12" s="74" customFormat="1" hidden="1" outlineLevel="1">
      <c r="B1598" s="73">
        <v>1592</v>
      </c>
      <c r="C1598" s="39"/>
      <c r="D1598" s="40"/>
      <c r="E1598" s="34" t="s">
        <v>323</v>
      </c>
      <c r="F1598" s="75" t="s">
        <v>1963</v>
      </c>
      <c r="G1598" s="35" t="s">
        <v>370</v>
      </c>
      <c r="H1598" s="41" t="s">
        <v>371</v>
      </c>
      <c r="I1598" s="44" t="str">
        <f>"0x"&amp;AE_w_WORK!J61</f>
        <v>0x0000</v>
      </c>
      <c r="J1598" s="36">
        <v>41808</v>
      </c>
      <c r="K1598" s="37"/>
      <c r="L1598" s="74">
        <f t="shared" si="26"/>
        <v>3184</v>
      </c>
    </row>
    <row r="1599" spans="2:12" s="74" customFormat="1" hidden="1" outlineLevel="1">
      <c r="B1599" s="73">
        <v>1593</v>
      </c>
      <c r="C1599" s="39"/>
      <c r="D1599" s="40"/>
      <c r="E1599" s="34" t="s">
        <v>323</v>
      </c>
      <c r="F1599" s="75" t="s">
        <v>1964</v>
      </c>
      <c r="G1599" s="35" t="s">
        <v>370</v>
      </c>
      <c r="H1599" s="41" t="s">
        <v>371</v>
      </c>
      <c r="I1599" s="44" t="str">
        <f>"0x"&amp;AE_w_WORK!J62</f>
        <v>0x0000</v>
      </c>
      <c r="J1599" s="36">
        <v>41809</v>
      </c>
      <c r="K1599" s="37"/>
      <c r="L1599" s="74">
        <f t="shared" si="26"/>
        <v>3186</v>
      </c>
    </row>
    <row r="1600" spans="2:12" s="74" customFormat="1" hidden="1" outlineLevel="1">
      <c r="B1600" s="73">
        <v>1594</v>
      </c>
      <c r="C1600" s="39"/>
      <c r="D1600" s="40"/>
      <c r="E1600" s="34" t="s">
        <v>323</v>
      </c>
      <c r="F1600" s="75" t="s">
        <v>1965</v>
      </c>
      <c r="G1600" s="35" t="s">
        <v>370</v>
      </c>
      <c r="H1600" s="41" t="s">
        <v>371</v>
      </c>
      <c r="I1600" s="44" t="str">
        <f>"0x"&amp;AE_w_WORK!J63</f>
        <v>0x0000</v>
      </c>
      <c r="J1600" s="36">
        <v>41810</v>
      </c>
      <c r="K1600" s="37"/>
      <c r="L1600" s="74">
        <f t="shared" si="26"/>
        <v>3188</v>
      </c>
    </row>
    <row r="1601" spans="2:12" s="74" customFormat="1" hidden="1" outlineLevel="1">
      <c r="B1601" s="73">
        <v>1595</v>
      </c>
      <c r="C1601" s="39"/>
      <c r="D1601" s="40"/>
      <c r="E1601" s="34" t="s">
        <v>323</v>
      </c>
      <c r="F1601" s="75" t="s">
        <v>1966</v>
      </c>
      <c r="G1601" s="35" t="s">
        <v>370</v>
      </c>
      <c r="H1601" s="41" t="s">
        <v>371</v>
      </c>
      <c r="I1601" s="44" t="str">
        <f>"0x"&amp;AE_w_WORK!J64</f>
        <v>0x0000</v>
      </c>
      <c r="J1601" s="36">
        <v>41811</v>
      </c>
      <c r="K1601" s="37"/>
      <c r="L1601" s="74">
        <f t="shared" si="26"/>
        <v>3190</v>
      </c>
    </row>
    <row r="1602" spans="2:12" s="74" customFormat="1" hidden="1" outlineLevel="1">
      <c r="B1602" s="73">
        <v>1596</v>
      </c>
      <c r="C1602" s="39"/>
      <c r="D1602" s="40"/>
      <c r="E1602" s="34" t="s">
        <v>323</v>
      </c>
      <c r="F1602" s="75" t="s">
        <v>1967</v>
      </c>
      <c r="G1602" s="35" t="s">
        <v>370</v>
      </c>
      <c r="H1602" s="41" t="s">
        <v>371</v>
      </c>
      <c r="I1602" s="44" t="str">
        <f>"0x"&amp;AE_w_WORK!J65</f>
        <v>0x0077</v>
      </c>
      <c r="J1602" s="36">
        <v>41812</v>
      </c>
      <c r="K1602" s="37"/>
      <c r="L1602" s="74">
        <f t="shared" si="26"/>
        <v>3192</v>
      </c>
    </row>
    <row r="1603" spans="2:12" s="74" customFormat="1" hidden="1" outlineLevel="1">
      <c r="B1603" s="73">
        <v>1597</v>
      </c>
      <c r="C1603" s="39"/>
      <c r="D1603" s="40"/>
      <c r="E1603" s="34" t="s">
        <v>323</v>
      </c>
      <c r="F1603" s="75" t="s">
        <v>1968</v>
      </c>
      <c r="G1603" s="35" t="s">
        <v>370</v>
      </c>
      <c r="H1603" s="41" t="s">
        <v>371</v>
      </c>
      <c r="I1603" s="44" t="str">
        <f>"0x"&amp;AE_w_WORK!J66</f>
        <v>0x7700</v>
      </c>
      <c r="J1603" s="36">
        <v>41813</v>
      </c>
      <c r="K1603" s="37"/>
      <c r="L1603" s="74">
        <f t="shared" si="26"/>
        <v>3194</v>
      </c>
    </row>
    <row r="1604" spans="2:12" s="74" customFormat="1" hidden="1" outlineLevel="1">
      <c r="B1604" s="73">
        <v>1598</v>
      </c>
      <c r="C1604" s="39"/>
      <c r="D1604" s="40"/>
      <c r="E1604" s="34" t="s">
        <v>323</v>
      </c>
      <c r="F1604" s="75" t="s">
        <v>1969</v>
      </c>
      <c r="G1604" s="35" t="s">
        <v>370</v>
      </c>
      <c r="H1604" s="41" t="s">
        <v>371</v>
      </c>
      <c r="I1604" s="44" t="str">
        <f>"0x"&amp;AE_w_WORK!J67</f>
        <v>0x0000</v>
      </c>
      <c r="J1604" s="36">
        <v>41814</v>
      </c>
      <c r="K1604" s="37"/>
      <c r="L1604" s="74">
        <f t="shared" si="26"/>
        <v>3196</v>
      </c>
    </row>
    <row r="1605" spans="2:12" s="74" customFormat="1" hidden="1" outlineLevel="1">
      <c r="B1605" s="73">
        <v>1599</v>
      </c>
      <c r="C1605" s="39"/>
      <c r="D1605" s="40"/>
      <c r="E1605" s="34" t="s">
        <v>323</v>
      </c>
      <c r="F1605" s="75" t="s">
        <v>1970</v>
      </c>
      <c r="G1605" s="35" t="s">
        <v>370</v>
      </c>
      <c r="H1605" s="41" t="s">
        <v>371</v>
      </c>
      <c r="I1605" s="44" t="str">
        <f>"0x"&amp;AE_w_WORK!J68</f>
        <v>0x0000</v>
      </c>
      <c r="J1605" s="36">
        <v>41815</v>
      </c>
      <c r="K1605" s="37"/>
      <c r="L1605" s="74">
        <f t="shared" si="26"/>
        <v>3198</v>
      </c>
    </row>
    <row r="1606" spans="2:12" s="74" customFormat="1" hidden="1" outlineLevel="1">
      <c r="B1606" s="73">
        <v>1600</v>
      </c>
      <c r="C1606" s="39"/>
      <c r="D1606" s="40"/>
      <c r="E1606" s="34" t="s">
        <v>323</v>
      </c>
      <c r="F1606" s="75" t="s">
        <v>1971</v>
      </c>
      <c r="G1606" s="35" t="s">
        <v>370</v>
      </c>
      <c r="H1606" s="41" t="s">
        <v>371</v>
      </c>
      <c r="I1606" s="44" t="str">
        <f>"0x"&amp;AE_w_WORK!J69</f>
        <v>0x0000</v>
      </c>
      <c r="J1606" s="36">
        <v>41816</v>
      </c>
      <c r="K1606" s="37"/>
      <c r="L1606" s="74">
        <f t="shared" si="26"/>
        <v>3200</v>
      </c>
    </row>
    <row r="1607" spans="2:12" s="74" customFormat="1" hidden="1" outlineLevel="1">
      <c r="B1607" s="73">
        <v>1601</v>
      </c>
      <c r="C1607" s="39"/>
      <c r="D1607" s="40"/>
      <c r="E1607" s="34" t="s">
        <v>323</v>
      </c>
      <c r="F1607" s="75" t="s">
        <v>1972</v>
      </c>
      <c r="G1607" s="35" t="s">
        <v>370</v>
      </c>
      <c r="H1607" s="41" t="s">
        <v>371</v>
      </c>
      <c r="I1607" s="44" t="str">
        <f>"0x"&amp;AE_w_WORK!J70</f>
        <v>0x0000</v>
      </c>
      <c r="J1607" s="36">
        <v>41817</v>
      </c>
      <c r="K1607" s="37"/>
      <c r="L1607" s="74">
        <f t="shared" si="26"/>
        <v>3202</v>
      </c>
    </row>
    <row r="1608" spans="2:12" s="74" customFormat="1" hidden="1" outlineLevel="1">
      <c r="B1608" s="73">
        <v>1602</v>
      </c>
      <c r="C1608" s="39"/>
      <c r="D1608" s="40"/>
      <c r="E1608" s="34" t="s">
        <v>323</v>
      </c>
      <c r="F1608" s="75" t="s">
        <v>1973</v>
      </c>
      <c r="G1608" s="35" t="s">
        <v>370</v>
      </c>
      <c r="H1608" s="41" t="s">
        <v>371</v>
      </c>
      <c r="I1608" s="44" t="str">
        <f>"0x"&amp;AE_w_WORK!J71</f>
        <v>0x0000</v>
      </c>
      <c r="J1608" s="36">
        <v>41818</v>
      </c>
      <c r="K1608" s="37"/>
      <c r="L1608" s="74">
        <f t="shared" si="26"/>
        <v>3204</v>
      </c>
    </row>
    <row r="1609" spans="2:12" s="74" customFormat="1" hidden="1" outlineLevel="1">
      <c r="B1609" s="73">
        <v>1603</v>
      </c>
      <c r="C1609" s="39"/>
      <c r="D1609" s="40"/>
      <c r="E1609" s="34" t="s">
        <v>323</v>
      </c>
      <c r="F1609" s="75" t="s">
        <v>1974</v>
      </c>
      <c r="G1609" s="35" t="s">
        <v>370</v>
      </c>
      <c r="H1609" s="41" t="s">
        <v>371</v>
      </c>
      <c r="I1609" s="44" t="str">
        <f>"0x"&amp;AE_w_WORK!J72</f>
        <v>0x0077</v>
      </c>
      <c r="J1609" s="36">
        <v>41819</v>
      </c>
      <c r="K1609" s="37"/>
      <c r="L1609" s="74">
        <f t="shared" ref="L1609:L1672" si="27">L1608+2</f>
        <v>3206</v>
      </c>
    </row>
    <row r="1610" spans="2:12" s="74" customFormat="1" hidden="1" outlineLevel="1">
      <c r="B1610" s="73">
        <v>1604</v>
      </c>
      <c r="C1610" s="39"/>
      <c r="D1610" s="40"/>
      <c r="E1610" s="34" t="s">
        <v>323</v>
      </c>
      <c r="F1610" s="75" t="s">
        <v>1975</v>
      </c>
      <c r="G1610" s="35" t="s">
        <v>370</v>
      </c>
      <c r="H1610" s="41" t="s">
        <v>371</v>
      </c>
      <c r="I1610" s="44" t="str">
        <f>"0x"&amp;AE_w_WORK!J73</f>
        <v>0x7777</v>
      </c>
      <c r="J1610" s="36">
        <v>41820</v>
      </c>
      <c r="K1610" s="37"/>
      <c r="L1610" s="74">
        <f t="shared" si="27"/>
        <v>3208</v>
      </c>
    </row>
    <row r="1611" spans="2:12" s="74" customFormat="1" hidden="1" outlineLevel="1">
      <c r="B1611" s="73">
        <v>1605</v>
      </c>
      <c r="C1611" s="39"/>
      <c r="D1611" s="40"/>
      <c r="E1611" s="34" t="s">
        <v>323</v>
      </c>
      <c r="F1611" s="75" t="s">
        <v>1976</v>
      </c>
      <c r="G1611" s="35" t="s">
        <v>370</v>
      </c>
      <c r="H1611" s="41" t="s">
        <v>371</v>
      </c>
      <c r="I1611" s="44" t="str">
        <f>"0x"&amp;AE_w_WORK!J74</f>
        <v>0x7777</v>
      </c>
      <c r="J1611" s="36">
        <v>41821</v>
      </c>
      <c r="K1611" s="37"/>
      <c r="L1611" s="74">
        <f t="shared" si="27"/>
        <v>3210</v>
      </c>
    </row>
    <row r="1612" spans="2:12" s="74" customFormat="1" hidden="1" outlineLevel="1">
      <c r="B1612" s="73">
        <v>1606</v>
      </c>
      <c r="C1612" s="39"/>
      <c r="D1612" s="40"/>
      <c r="E1612" s="34" t="s">
        <v>323</v>
      </c>
      <c r="F1612" s="75" t="s">
        <v>1977</v>
      </c>
      <c r="G1612" s="35" t="s">
        <v>370</v>
      </c>
      <c r="H1612" s="41" t="s">
        <v>371</v>
      </c>
      <c r="I1612" s="44" t="str">
        <f>"0x"&amp;AE_w_WORK!J75</f>
        <v>0x0000</v>
      </c>
      <c r="J1612" s="36">
        <v>41822</v>
      </c>
      <c r="K1612" s="37"/>
      <c r="L1612" s="74">
        <f t="shared" si="27"/>
        <v>3212</v>
      </c>
    </row>
    <row r="1613" spans="2:12" s="74" customFormat="1" hidden="1" outlineLevel="1">
      <c r="B1613" s="73">
        <v>1607</v>
      </c>
      <c r="C1613" s="39"/>
      <c r="D1613" s="40"/>
      <c r="E1613" s="34" t="s">
        <v>323</v>
      </c>
      <c r="F1613" s="75" t="s">
        <v>1978</v>
      </c>
      <c r="G1613" s="35" t="s">
        <v>370</v>
      </c>
      <c r="H1613" s="41" t="s">
        <v>371</v>
      </c>
      <c r="I1613" s="44" t="str">
        <f>"0x"&amp;AE_w_WORK!J76</f>
        <v>0x0000</v>
      </c>
      <c r="J1613" s="36">
        <v>41823</v>
      </c>
      <c r="K1613" s="37"/>
      <c r="L1613" s="74">
        <f t="shared" si="27"/>
        <v>3214</v>
      </c>
    </row>
    <row r="1614" spans="2:12" s="74" customFormat="1" hidden="1" outlineLevel="1">
      <c r="B1614" s="73">
        <v>1608</v>
      </c>
      <c r="C1614" s="39"/>
      <c r="D1614" s="40"/>
      <c r="E1614" s="34" t="s">
        <v>323</v>
      </c>
      <c r="F1614" s="75" t="s">
        <v>1979</v>
      </c>
      <c r="G1614" s="35" t="s">
        <v>370</v>
      </c>
      <c r="H1614" s="41" t="s">
        <v>371</v>
      </c>
      <c r="I1614" s="44" t="str">
        <f>"0x"&amp;AE_w_WORK!J77</f>
        <v>0x0000</v>
      </c>
      <c r="J1614" s="36">
        <v>41824</v>
      </c>
      <c r="K1614" s="37"/>
      <c r="L1614" s="74">
        <f t="shared" si="27"/>
        <v>3216</v>
      </c>
    </row>
    <row r="1615" spans="2:12" s="74" customFormat="1" hidden="1" outlineLevel="1">
      <c r="B1615" s="73">
        <v>1609</v>
      </c>
      <c r="C1615" s="39"/>
      <c r="D1615" s="40"/>
      <c r="E1615" s="34" t="s">
        <v>323</v>
      </c>
      <c r="F1615" s="75" t="s">
        <v>1980</v>
      </c>
      <c r="G1615" s="35" t="s">
        <v>370</v>
      </c>
      <c r="H1615" s="41" t="s">
        <v>371</v>
      </c>
      <c r="I1615" s="44" t="str">
        <f>"0x"&amp;AE_w_WORK!J78</f>
        <v>0x0000</v>
      </c>
      <c r="J1615" s="36">
        <v>41825</v>
      </c>
      <c r="K1615" s="37"/>
      <c r="L1615" s="74">
        <f t="shared" si="27"/>
        <v>3218</v>
      </c>
    </row>
    <row r="1616" spans="2:12" s="74" customFormat="1" hidden="1" outlineLevel="1">
      <c r="B1616" s="73">
        <v>1610</v>
      </c>
      <c r="C1616" s="39"/>
      <c r="D1616" s="40"/>
      <c r="E1616" s="34" t="s">
        <v>323</v>
      </c>
      <c r="F1616" s="75" t="s">
        <v>1981</v>
      </c>
      <c r="G1616" s="35" t="s">
        <v>370</v>
      </c>
      <c r="H1616" s="41" t="s">
        <v>371</v>
      </c>
      <c r="I1616" s="44" t="str">
        <f>"0x"&amp;AE_w_WORK!J79</f>
        <v>0x0000</v>
      </c>
      <c r="J1616" s="36">
        <v>41826</v>
      </c>
      <c r="K1616" s="37"/>
      <c r="L1616" s="74">
        <f t="shared" si="27"/>
        <v>3220</v>
      </c>
    </row>
    <row r="1617" spans="2:12" s="74" customFormat="1" hidden="1" outlineLevel="1">
      <c r="B1617" s="73">
        <v>1611</v>
      </c>
      <c r="C1617" s="39"/>
      <c r="D1617" s="40"/>
      <c r="E1617" s="34" t="s">
        <v>323</v>
      </c>
      <c r="F1617" s="75" t="s">
        <v>1982</v>
      </c>
      <c r="G1617" s="35" t="s">
        <v>370</v>
      </c>
      <c r="H1617" s="41" t="s">
        <v>371</v>
      </c>
      <c r="I1617" s="44" t="str">
        <f>"0x"&amp;AE_w_WORK!J80</f>
        <v>0x0077</v>
      </c>
      <c r="J1617" s="36">
        <v>41827</v>
      </c>
      <c r="K1617" s="37"/>
      <c r="L1617" s="74">
        <f t="shared" si="27"/>
        <v>3222</v>
      </c>
    </row>
    <row r="1618" spans="2:12" s="74" customFormat="1" hidden="1" outlineLevel="1">
      <c r="B1618" s="73">
        <v>1612</v>
      </c>
      <c r="C1618" s="39"/>
      <c r="D1618" s="40"/>
      <c r="E1618" s="34" t="s">
        <v>323</v>
      </c>
      <c r="F1618" s="75" t="s">
        <v>1983</v>
      </c>
      <c r="G1618" s="35" t="s">
        <v>370</v>
      </c>
      <c r="H1618" s="41" t="s">
        <v>371</v>
      </c>
      <c r="I1618" s="44" t="str">
        <f>"0x"&amp;AE_w_WORK!J81</f>
        <v>0x7777</v>
      </c>
      <c r="J1618" s="36">
        <v>41828</v>
      </c>
      <c r="K1618" s="37"/>
      <c r="L1618" s="74">
        <f t="shared" si="27"/>
        <v>3224</v>
      </c>
    </row>
    <row r="1619" spans="2:12" s="74" customFormat="1" hidden="1" outlineLevel="1">
      <c r="B1619" s="73">
        <v>1613</v>
      </c>
      <c r="C1619" s="39"/>
      <c r="D1619" s="40"/>
      <c r="E1619" s="34" t="s">
        <v>323</v>
      </c>
      <c r="F1619" s="75" t="s">
        <v>1984</v>
      </c>
      <c r="G1619" s="35" t="s">
        <v>370</v>
      </c>
      <c r="H1619" s="41" t="s">
        <v>371</v>
      </c>
      <c r="I1619" s="44" t="str">
        <f>"0x"&amp;AE_w_WORK!J82</f>
        <v>0x7777</v>
      </c>
      <c r="J1619" s="36">
        <v>41829</v>
      </c>
      <c r="K1619" s="37"/>
      <c r="L1619" s="74">
        <f t="shared" si="27"/>
        <v>3226</v>
      </c>
    </row>
    <row r="1620" spans="2:12" s="74" customFormat="1" hidden="1" outlineLevel="1">
      <c r="B1620" s="73">
        <v>1614</v>
      </c>
      <c r="C1620" s="39"/>
      <c r="D1620" s="40"/>
      <c r="E1620" s="34" t="s">
        <v>323</v>
      </c>
      <c r="F1620" s="75" t="s">
        <v>1985</v>
      </c>
      <c r="G1620" s="35" t="s">
        <v>370</v>
      </c>
      <c r="H1620" s="41" t="s">
        <v>371</v>
      </c>
      <c r="I1620" s="44" t="str">
        <f>"0x"&amp;AE_w_WORK!J83</f>
        <v>0x0000</v>
      </c>
      <c r="J1620" s="36">
        <v>41830</v>
      </c>
      <c r="K1620" s="37"/>
      <c r="L1620" s="74">
        <f t="shared" si="27"/>
        <v>3228</v>
      </c>
    </row>
    <row r="1621" spans="2:12" s="74" customFormat="1" hidden="1" outlineLevel="1">
      <c r="B1621" s="73">
        <v>1615</v>
      </c>
      <c r="C1621" s="39"/>
      <c r="D1621" s="40"/>
      <c r="E1621" s="34" t="s">
        <v>323</v>
      </c>
      <c r="F1621" s="75" t="s">
        <v>1986</v>
      </c>
      <c r="G1621" s="35" t="s">
        <v>370</v>
      </c>
      <c r="H1621" s="41" t="s">
        <v>371</v>
      </c>
      <c r="I1621" s="44" t="str">
        <f>"0x"&amp;AE_w_WORK!J84</f>
        <v>0x0000</v>
      </c>
      <c r="J1621" s="36">
        <v>41831</v>
      </c>
      <c r="K1621" s="37"/>
      <c r="L1621" s="74">
        <f t="shared" si="27"/>
        <v>3230</v>
      </c>
    </row>
    <row r="1622" spans="2:12" s="74" customFormat="1" hidden="1" outlineLevel="1">
      <c r="B1622" s="73">
        <v>1616</v>
      </c>
      <c r="C1622" s="39"/>
      <c r="D1622" s="40"/>
      <c r="E1622" s="34" t="s">
        <v>323</v>
      </c>
      <c r="F1622" s="75" t="s">
        <v>1987</v>
      </c>
      <c r="G1622" s="35" t="s">
        <v>370</v>
      </c>
      <c r="H1622" s="41" t="s">
        <v>371</v>
      </c>
      <c r="I1622" s="44" t="str">
        <f>"0x"&amp;AE_w_WORK!J85</f>
        <v>0x0000</v>
      </c>
      <c r="J1622" s="36">
        <v>41832</v>
      </c>
      <c r="K1622" s="37"/>
      <c r="L1622" s="74">
        <f t="shared" si="27"/>
        <v>3232</v>
      </c>
    </row>
    <row r="1623" spans="2:12" s="74" customFormat="1" hidden="1" outlineLevel="1">
      <c r="B1623" s="73">
        <v>1617</v>
      </c>
      <c r="C1623" s="39"/>
      <c r="D1623" s="40"/>
      <c r="E1623" s="34" t="s">
        <v>323</v>
      </c>
      <c r="F1623" s="75" t="s">
        <v>1988</v>
      </c>
      <c r="G1623" s="35" t="s">
        <v>370</v>
      </c>
      <c r="H1623" s="41" t="s">
        <v>371</v>
      </c>
      <c r="I1623" s="44" t="str">
        <f>"0x"&amp;AE_w_WORK!J86</f>
        <v>0x0000</v>
      </c>
      <c r="J1623" s="36">
        <v>41833</v>
      </c>
      <c r="K1623" s="37"/>
      <c r="L1623" s="74">
        <f t="shared" si="27"/>
        <v>3234</v>
      </c>
    </row>
    <row r="1624" spans="2:12" s="74" customFormat="1" hidden="1" outlineLevel="1">
      <c r="B1624" s="73">
        <v>1618</v>
      </c>
      <c r="C1624" s="39"/>
      <c r="D1624" s="40"/>
      <c r="E1624" s="34" t="s">
        <v>323</v>
      </c>
      <c r="F1624" s="75" t="s">
        <v>1989</v>
      </c>
      <c r="G1624" s="35" t="s">
        <v>370</v>
      </c>
      <c r="H1624" s="41" t="s">
        <v>371</v>
      </c>
      <c r="I1624" s="44" t="str">
        <f>"0x"&amp;AE_w_WORK!J87</f>
        <v>0x0000</v>
      </c>
      <c r="J1624" s="36">
        <v>41834</v>
      </c>
      <c r="K1624" s="37"/>
      <c r="L1624" s="74">
        <f t="shared" si="27"/>
        <v>3236</v>
      </c>
    </row>
    <row r="1625" spans="2:12" s="74" customFormat="1" hidden="1" outlineLevel="1">
      <c r="B1625" s="73">
        <v>1619</v>
      </c>
      <c r="C1625" s="39"/>
      <c r="D1625" s="40"/>
      <c r="E1625" s="34" t="s">
        <v>323</v>
      </c>
      <c r="F1625" s="75" t="s">
        <v>1990</v>
      </c>
      <c r="G1625" s="35" t="s">
        <v>370</v>
      </c>
      <c r="H1625" s="41" t="s">
        <v>371</v>
      </c>
      <c r="I1625" s="44" t="str">
        <f>"0x"&amp;AE_w_WORK!J88</f>
        <v>0x7777</v>
      </c>
      <c r="J1625" s="36">
        <v>41835</v>
      </c>
      <c r="K1625" s="37"/>
      <c r="L1625" s="74">
        <f t="shared" si="27"/>
        <v>3238</v>
      </c>
    </row>
    <row r="1626" spans="2:12" s="74" customFormat="1" hidden="1" outlineLevel="1">
      <c r="B1626" s="73">
        <v>1620</v>
      </c>
      <c r="C1626" s="39"/>
      <c r="D1626" s="40"/>
      <c r="E1626" s="34" t="s">
        <v>323</v>
      </c>
      <c r="F1626" s="75" t="s">
        <v>1991</v>
      </c>
      <c r="G1626" s="35" t="s">
        <v>370</v>
      </c>
      <c r="H1626" s="41" t="s">
        <v>371</v>
      </c>
      <c r="I1626" s="44" t="str">
        <f>"0x"&amp;AE_w_WORK!J89</f>
        <v>0xBBBB</v>
      </c>
      <c r="J1626" s="36">
        <v>41836</v>
      </c>
      <c r="K1626" s="37"/>
      <c r="L1626" s="74">
        <f t="shared" si="27"/>
        <v>3240</v>
      </c>
    </row>
    <row r="1627" spans="2:12" s="74" customFormat="1" hidden="1" outlineLevel="1">
      <c r="B1627" s="73">
        <v>1621</v>
      </c>
      <c r="C1627" s="39"/>
      <c r="D1627" s="40"/>
      <c r="E1627" s="34" t="s">
        <v>323</v>
      </c>
      <c r="F1627" s="75" t="s">
        <v>1992</v>
      </c>
      <c r="G1627" s="35" t="s">
        <v>370</v>
      </c>
      <c r="H1627" s="41" t="s">
        <v>371</v>
      </c>
      <c r="I1627" s="44" t="str">
        <f>"0x"&amp;AE_w_WORK!J90</f>
        <v>0xBBBB</v>
      </c>
      <c r="J1627" s="36">
        <v>41837</v>
      </c>
      <c r="K1627" s="37"/>
      <c r="L1627" s="74">
        <f t="shared" si="27"/>
        <v>3242</v>
      </c>
    </row>
    <row r="1628" spans="2:12" s="74" customFormat="1" hidden="1" outlineLevel="1">
      <c r="B1628" s="73">
        <v>1622</v>
      </c>
      <c r="C1628" s="39"/>
      <c r="D1628" s="40"/>
      <c r="E1628" s="34" t="s">
        <v>323</v>
      </c>
      <c r="F1628" s="75" t="s">
        <v>1993</v>
      </c>
      <c r="G1628" s="35" t="s">
        <v>370</v>
      </c>
      <c r="H1628" s="41" t="s">
        <v>371</v>
      </c>
      <c r="I1628" s="44" t="str">
        <f>"0x"&amp;AE_w_WORK!J91</f>
        <v>0x7777</v>
      </c>
      <c r="J1628" s="36">
        <v>41838</v>
      </c>
      <c r="K1628" s="37"/>
      <c r="L1628" s="74">
        <f t="shared" si="27"/>
        <v>3244</v>
      </c>
    </row>
    <row r="1629" spans="2:12" s="74" customFormat="1" hidden="1" outlineLevel="1">
      <c r="B1629" s="73">
        <v>1623</v>
      </c>
      <c r="C1629" s="39"/>
      <c r="D1629" s="40"/>
      <c r="E1629" s="34" t="s">
        <v>323</v>
      </c>
      <c r="F1629" s="75" t="s">
        <v>1994</v>
      </c>
      <c r="G1629" s="35" t="s">
        <v>370</v>
      </c>
      <c r="H1629" s="41" t="s">
        <v>371</v>
      </c>
      <c r="I1629" s="44" t="str">
        <f>"0x"&amp;AE_w_WORK!J92</f>
        <v>0x0000</v>
      </c>
      <c r="J1629" s="36">
        <v>41839</v>
      </c>
      <c r="K1629" s="37"/>
      <c r="L1629" s="74">
        <f t="shared" si="27"/>
        <v>3246</v>
      </c>
    </row>
    <row r="1630" spans="2:12" s="74" customFormat="1" hidden="1" outlineLevel="1">
      <c r="B1630" s="73">
        <v>1624</v>
      </c>
      <c r="C1630" s="39"/>
      <c r="D1630" s="40"/>
      <c r="E1630" s="34" t="s">
        <v>323</v>
      </c>
      <c r="F1630" s="75" t="s">
        <v>1995</v>
      </c>
      <c r="G1630" s="35" t="s">
        <v>370</v>
      </c>
      <c r="H1630" s="41" t="s">
        <v>371</v>
      </c>
      <c r="I1630" s="44" t="str">
        <f>"0x"&amp;AE_w_WORK!J93</f>
        <v>0x0000</v>
      </c>
      <c r="J1630" s="36">
        <v>41840</v>
      </c>
      <c r="K1630" s="37"/>
      <c r="L1630" s="74">
        <f t="shared" si="27"/>
        <v>3248</v>
      </c>
    </row>
    <row r="1631" spans="2:12" s="74" customFormat="1" hidden="1" outlineLevel="1">
      <c r="B1631" s="73">
        <v>1625</v>
      </c>
      <c r="C1631" s="39"/>
      <c r="D1631" s="40"/>
      <c r="E1631" s="34" t="s">
        <v>323</v>
      </c>
      <c r="F1631" s="75" t="s">
        <v>1996</v>
      </c>
      <c r="G1631" s="35" t="s">
        <v>370</v>
      </c>
      <c r="H1631" s="41" t="s">
        <v>371</v>
      </c>
      <c r="I1631" s="44" t="str">
        <f>"0x"&amp;AE_w_WORK!J94</f>
        <v>0x0000</v>
      </c>
      <c r="J1631" s="36">
        <v>41841</v>
      </c>
      <c r="K1631" s="37"/>
      <c r="L1631" s="74">
        <f t="shared" si="27"/>
        <v>3250</v>
      </c>
    </row>
    <row r="1632" spans="2:12" s="74" customFormat="1" hidden="1" outlineLevel="1">
      <c r="B1632" s="73">
        <v>1626</v>
      </c>
      <c r="C1632" s="39"/>
      <c r="D1632" s="40"/>
      <c r="E1632" s="34" t="s">
        <v>323</v>
      </c>
      <c r="F1632" s="75" t="s">
        <v>1997</v>
      </c>
      <c r="G1632" s="35" t="s">
        <v>370</v>
      </c>
      <c r="H1632" s="41" t="s">
        <v>371</v>
      </c>
      <c r="I1632" s="44" t="str">
        <f>"0x"&amp;AE_w_WORK!J95</f>
        <v>0x0000</v>
      </c>
      <c r="J1632" s="36">
        <v>41842</v>
      </c>
      <c r="K1632" s="37"/>
      <c r="L1632" s="74">
        <f t="shared" si="27"/>
        <v>3252</v>
      </c>
    </row>
    <row r="1633" spans="2:12" s="74" customFormat="1" hidden="1" outlineLevel="1">
      <c r="B1633" s="73">
        <v>1627</v>
      </c>
      <c r="C1633" s="39"/>
      <c r="D1633" s="40"/>
      <c r="E1633" s="34" t="s">
        <v>323</v>
      </c>
      <c r="F1633" s="75" t="s">
        <v>1998</v>
      </c>
      <c r="G1633" s="35" t="s">
        <v>370</v>
      </c>
      <c r="H1633" s="41" t="s">
        <v>371</v>
      </c>
      <c r="I1633" s="44" t="str">
        <f>"0x"&amp;AE_w_WORK!J96</f>
        <v>0x7777</v>
      </c>
      <c r="J1633" s="36">
        <v>41843</v>
      </c>
      <c r="K1633" s="37"/>
      <c r="L1633" s="74">
        <f t="shared" si="27"/>
        <v>3254</v>
      </c>
    </row>
    <row r="1634" spans="2:12" s="74" customFormat="1" hidden="1" outlineLevel="1">
      <c r="B1634" s="73">
        <v>1628</v>
      </c>
      <c r="C1634" s="39"/>
      <c r="D1634" s="40"/>
      <c r="E1634" s="34" t="s">
        <v>323</v>
      </c>
      <c r="F1634" s="75" t="s">
        <v>1999</v>
      </c>
      <c r="G1634" s="35" t="s">
        <v>370</v>
      </c>
      <c r="H1634" s="41" t="s">
        <v>371</v>
      </c>
      <c r="I1634" s="44" t="str">
        <f>"0x"&amp;AE_w_WORK!J97</f>
        <v>0xBBBB</v>
      </c>
      <c r="J1634" s="36">
        <v>41844</v>
      </c>
      <c r="K1634" s="37"/>
      <c r="L1634" s="74">
        <f t="shared" si="27"/>
        <v>3256</v>
      </c>
    </row>
    <row r="1635" spans="2:12" s="74" customFormat="1" hidden="1" outlineLevel="1">
      <c r="B1635" s="73">
        <v>1629</v>
      </c>
      <c r="C1635" s="39"/>
      <c r="D1635" s="40"/>
      <c r="E1635" s="34" t="s">
        <v>323</v>
      </c>
      <c r="F1635" s="75" t="s">
        <v>2000</v>
      </c>
      <c r="G1635" s="35" t="s">
        <v>370</v>
      </c>
      <c r="H1635" s="41" t="s">
        <v>371</v>
      </c>
      <c r="I1635" s="44" t="str">
        <f>"0x"&amp;AE_w_WORK!J98</f>
        <v>0xBBBB</v>
      </c>
      <c r="J1635" s="36">
        <v>41845</v>
      </c>
      <c r="K1635" s="37"/>
      <c r="L1635" s="74">
        <f t="shared" si="27"/>
        <v>3258</v>
      </c>
    </row>
    <row r="1636" spans="2:12" s="74" customFormat="1" hidden="1" outlineLevel="1">
      <c r="B1636" s="73">
        <v>1630</v>
      </c>
      <c r="C1636" s="39"/>
      <c r="D1636" s="40"/>
      <c r="E1636" s="34" t="s">
        <v>323</v>
      </c>
      <c r="F1636" s="75" t="s">
        <v>2001</v>
      </c>
      <c r="G1636" s="35" t="s">
        <v>370</v>
      </c>
      <c r="H1636" s="41" t="s">
        <v>371</v>
      </c>
      <c r="I1636" s="44" t="str">
        <f>"0x"&amp;AE_w_WORK!J99</f>
        <v>0x7777</v>
      </c>
      <c r="J1636" s="36">
        <v>41846</v>
      </c>
      <c r="K1636" s="37"/>
      <c r="L1636" s="74">
        <f t="shared" si="27"/>
        <v>3260</v>
      </c>
    </row>
    <row r="1637" spans="2:12" s="74" customFormat="1" hidden="1" outlineLevel="1">
      <c r="B1637" s="73">
        <v>1631</v>
      </c>
      <c r="C1637" s="39"/>
      <c r="D1637" s="40"/>
      <c r="E1637" s="34" t="s">
        <v>323</v>
      </c>
      <c r="F1637" s="75" t="s">
        <v>2002</v>
      </c>
      <c r="G1637" s="35" t="s">
        <v>370</v>
      </c>
      <c r="H1637" s="41" t="s">
        <v>371</v>
      </c>
      <c r="I1637" s="44" t="str">
        <f>"0x"&amp;AE_w_WORK!J100</f>
        <v>0x0000</v>
      </c>
      <c r="J1637" s="36">
        <v>41847</v>
      </c>
      <c r="K1637" s="37"/>
      <c r="L1637" s="74">
        <f t="shared" si="27"/>
        <v>3262</v>
      </c>
    </row>
    <row r="1638" spans="2:12" s="74" customFormat="1" hidden="1" outlineLevel="1">
      <c r="B1638" s="73">
        <v>1632</v>
      </c>
      <c r="C1638" s="39"/>
      <c r="D1638" s="40"/>
      <c r="E1638" s="34" t="s">
        <v>323</v>
      </c>
      <c r="F1638" s="75" t="s">
        <v>2003</v>
      </c>
      <c r="G1638" s="35" t="s">
        <v>370</v>
      </c>
      <c r="H1638" s="41" t="s">
        <v>371</v>
      </c>
      <c r="I1638" s="44" t="str">
        <f>"0x"&amp;AE_w_WORK!J101</f>
        <v>0x0000</v>
      </c>
      <c r="J1638" s="36">
        <v>41848</v>
      </c>
      <c r="K1638" s="37"/>
      <c r="L1638" s="74">
        <f t="shared" si="27"/>
        <v>3264</v>
      </c>
    </row>
    <row r="1639" spans="2:12" s="74" customFormat="1" hidden="1" outlineLevel="1">
      <c r="B1639" s="73">
        <v>1633</v>
      </c>
      <c r="C1639" s="39"/>
      <c r="D1639" s="40"/>
      <c r="E1639" s="34" t="s">
        <v>323</v>
      </c>
      <c r="F1639" s="75" t="s">
        <v>2004</v>
      </c>
      <c r="G1639" s="35" t="s">
        <v>370</v>
      </c>
      <c r="H1639" s="41" t="s">
        <v>371</v>
      </c>
      <c r="I1639" s="44" t="str">
        <f>"0x"&amp;AE_w_WORK!J102</f>
        <v>0x0000</v>
      </c>
      <c r="J1639" s="36">
        <v>41849</v>
      </c>
      <c r="K1639" s="37"/>
      <c r="L1639" s="74">
        <f t="shared" si="27"/>
        <v>3266</v>
      </c>
    </row>
    <row r="1640" spans="2:12" s="74" customFormat="1" hidden="1" outlineLevel="1">
      <c r="B1640" s="73">
        <v>1634</v>
      </c>
      <c r="C1640" s="39"/>
      <c r="D1640" s="40"/>
      <c r="E1640" s="34" t="s">
        <v>323</v>
      </c>
      <c r="F1640" s="75" t="s">
        <v>2005</v>
      </c>
      <c r="G1640" s="35" t="s">
        <v>370</v>
      </c>
      <c r="H1640" s="41" t="s">
        <v>371</v>
      </c>
      <c r="I1640" s="44" t="str">
        <f>"0x"&amp;AE_w_WORK!J103</f>
        <v>0x0000</v>
      </c>
      <c r="J1640" s="36">
        <v>41850</v>
      </c>
      <c r="K1640" s="37"/>
      <c r="L1640" s="74">
        <f t="shared" si="27"/>
        <v>3268</v>
      </c>
    </row>
    <row r="1641" spans="2:12" s="74" customFormat="1" hidden="1" outlineLevel="1">
      <c r="B1641" s="73">
        <v>1635</v>
      </c>
      <c r="C1641" s="39"/>
      <c r="D1641" s="40"/>
      <c r="E1641" s="34" t="s">
        <v>323</v>
      </c>
      <c r="F1641" s="75" t="s">
        <v>2006</v>
      </c>
      <c r="G1641" s="35" t="s">
        <v>370</v>
      </c>
      <c r="H1641" s="41" t="s">
        <v>371</v>
      </c>
      <c r="I1641" s="44" t="str">
        <f>"0x"&amp;AE_w_WORK!J104</f>
        <v>0x77BB</v>
      </c>
      <c r="J1641" s="36">
        <v>41851</v>
      </c>
      <c r="K1641" s="37"/>
      <c r="L1641" s="74">
        <f t="shared" si="27"/>
        <v>3270</v>
      </c>
    </row>
    <row r="1642" spans="2:12" s="74" customFormat="1" hidden="1" outlineLevel="1">
      <c r="B1642" s="73">
        <v>1636</v>
      </c>
      <c r="C1642" s="39"/>
      <c r="D1642" s="40"/>
      <c r="E1642" s="34" t="s">
        <v>323</v>
      </c>
      <c r="F1642" s="75" t="s">
        <v>2007</v>
      </c>
      <c r="G1642" s="35" t="s">
        <v>370</v>
      </c>
      <c r="H1642" s="41" t="s">
        <v>371</v>
      </c>
      <c r="I1642" s="44" t="str">
        <f>"0x"&amp;AE_w_WORK!J105</f>
        <v>0xDDDD</v>
      </c>
      <c r="J1642" s="36">
        <v>41852</v>
      </c>
      <c r="K1642" s="37"/>
      <c r="L1642" s="74">
        <f t="shared" si="27"/>
        <v>3272</v>
      </c>
    </row>
    <row r="1643" spans="2:12" s="74" customFormat="1" hidden="1" outlineLevel="1">
      <c r="B1643" s="73">
        <v>1637</v>
      </c>
      <c r="C1643" s="39"/>
      <c r="D1643" s="40"/>
      <c r="E1643" s="34" t="s">
        <v>323</v>
      </c>
      <c r="F1643" s="75" t="s">
        <v>2008</v>
      </c>
      <c r="G1643" s="35" t="s">
        <v>370</v>
      </c>
      <c r="H1643" s="41" t="s">
        <v>371</v>
      </c>
      <c r="I1643" s="44" t="str">
        <f>"0x"&amp;AE_w_WORK!J106</f>
        <v>0xDDDD</v>
      </c>
      <c r="J1643" s="36">
        <v>41853</v>
      </c>
      <c r="K1643" s="37"/>
      <c r="L1643" s="74">
        <f t="shared" si="27"/>
        <v>3274</v>
      </c>
    </row>
    <row r="1644" spans="2:12" s="74" customFormat="1" hidden="1" outlineLevel="1">
      <c r="B1644" s="73">
        <v>1638</v>
      </c>
      <c r="C1644" s="39"/>
      <c r="D1644" s="40"/>
      <c r="E1644" s="34" t="s">
        <v>323</v>
      </c>
      <c r="F1644" s="75" t="s">
        <v>2009</v>
      </c>
      <c r="G1644" s="35" t="s">
        <v>370</v>
      </c>
      <c r="H1644" s="41" t="s">
        <v>371</v>
      </c>
      <c r="I1644" s="44" t="str">
        <f>"0x"&amp;AE_w_WORK!J107</f>
        <v>0xBB77</v>
      </c>
      <c r="J1644" s="36">
        <v>41854</v>
      </c>
      <c r="K1644" s="37"/>
      <c r="L1644" s="74">
        <f t="shared" si="27"/>
        <v>3276</v>
      </c>
    </row>
    <row r="1645" spans="2:12" s="74" customFormat="1" hidden="1" outlineLevel="1">
      <c r="B1645" s="73">
        <v>1639</v>
      </c>
      <c r="C1645" s="39"/>
      <c r="D1645" s="40"/>
      <c r="E1645" s="34" t="s">
        <v>323</v>
      </c>
      <c r="F1645" s="75" t="s">
        <v>2010</v>
      </c>
      <c r="G1645" s="35" t="s">
        <v>370</v>
      </c>
      <c r="H1645" s="41" t="s">
        <v>371</v>
      </c>
      <c r="I1645" s="44" t="str">
        <f>"0x"&amp;AE_w_WORK!J108</f>
        <v>0x0000</v>
      </c>
      <c r="J1645" s="36">
        <v>41855</v>
      </c>
      <c r="K1645" s="37"/>
      <c r="L1645" s="74">
        <f t="shared" si="27"/>
        <v>3278</v>
      </c>
    </row>
    <row r="1646" spans="2:12" s="74" customFormat="1" hidden="1" outlineLevel="1">
      <c r="B1646" s="73">
        <v>1640</v>
      </c>
      <c r="C1646" s="39"/>
      <c r="D1646" s="40"/>
      <c r="E1646" s="34" t="s">
        <v>323</v>
      </c>
      <c r="F1646" s="75" t="s">
        <v>2011</v>
      </c>
      <c r="G1646" s="35" t="s">
        <v>370</v>
      </c>
      <c r="H1646" s="41" t="s">
        <v>371</v>
      </c>
      <c r="I1646" s="44" t="str">
        <f>"0x"&amp;AE_w_WORK!J109</f>
        <v>0x0000</v>
      </c>
      <c r="J1646" s="36">
        <v>41856</v>
      </c>
      <c r="K1646" s="37"/>
      <c r="L1646" s="74">
        <f t="shared" si="27"/>
        <v>3280</v>
      </c>
    </row>
    <row r="1647" spans="2:12" s="74" customFormat="1" hidden="1" outlineLevel="1">
      <c r="B1647" s="73">
        <v>1641</v>
      </c>
      <c r="C1647" s="39"/>
      <c r="D1647" s="40"/>
      <c r="E1647" s="34" t="s">
        <v>323</v>
      </c>
      <c r="F1647" s="75" t="s">
        <v>2012</v>
      </c>
      <c r="G1647" s="35" t="s">
        <v>370</v>
      </c>
      <c r="H1647" s="41" t="s">
        <v>371</v>
      </c>
      <c r="I1647" s="44" t="str">
        <f>"0x"&amp;AE_w_WORK!J110</f>
        <v>0x0000</v>
      </c>
      <c r="J1647" s="36">
        <v>41857</v>
      </c>
      <c r="K1647" s="37"/>
      <c r="L1647" s="74">
        <f t="shared" si="27"/>
        <v>3282</v>
      </c>
    </row>
    <row r="1648" spans="2:12" s="74" customFormat="1" hidden="1" outlineLevel="1">
      <c r="B1648" s="73">
        <v>1642</v>
      </c>
      <c r="C1648" s="39"/>
      <c r="D1648" s="40"/>
      <c r="E1648" s="34" t="s">
        <v>323</v>
      </c>
      <c r="F1648" s="75" t="s">
        <v>2013</v>
      </c>
      <c r="G1648" s="35" t="s">
        <v>370</v>
      </c>
      <c r="H1648" s="41" t="s">
        <v>371</v>
      </c>
      <c r="I1648" s="44" t="str">
        <f>"0x"&amp;AE_w_WORK!J111</f>
        <v>0x0000</v>
      </c>
      <c r="J1648" s="36">
        <v>41858</v>
      </c>
      <c r="K1648" s="37"/>
      <c r="L1648" s="74">
        <f t="shared" si="27"/>
        <v>3284</v>
      </c>
    </row>
    <row r="1649" spans="2:12" s="74" customFormat="1" hidden="1" outlineLevel="1">
      <c r="B1649" s="73">
        <v>1643</v>
      </c>
      <c r="C1649" s="39"/>
      <c r="D1649" s="40"/>
      <c r="E1649" s="34" t="s">
        <v>323</v>
      </c>
      <c r="F1649" s="75" t="s">
        <v>2014</v>
      </c>
      <c r="G1649" s="35" t="s">
        <v>370</v>
      </c>
      <c r="H1649" s="41" t="s">
        <v>371</v>
      </c>
      <c r="I1649" s="44" t="str">
        <f>"0x"&amp;AE_w_WORK!J112</f>
        <v>0x77BB</v>
      </c>
      <c r="J1649" s="36">
        <v>41859</v>
      </c>
      <c r="K1649" s="37"/>
      <c r="L1649" s="74">
        <f t="shared" si="27"/>
        <v>3286</v>
      </c>
    </row>
    <row r="1650" spans="2:12" s="74" customFormat="1" hidden="1" outlineLevel="1">
      <c r="B1650" s="73">
        <v>1644</v>
      </c>
      <c r="C1650" s="39"/>
      <c r="D1650" s="40"/>
      <c r="E1650" s="34" t="s">
        <v>323</v>
      </c>
      <c r="F1650" s="75" t="s">
        <v>2015</v>
      </c>
      <c r="G1650" s="35" t="s">
        <v>370</v>
      </c>
      <c r="H1650" s="41" t="s">
        <v>371</v>
      </c>
      <c r="I1650" s="44" t="str">
        <f>"0x"&amp;AE_w_WORK!J113</f>
        <v>0xDDDD</v>
      </c>
      <c r="J1650" s="36">
        <v>41860</v>
      </c>
      <c r="K1650" s="37"/>
      <c r="L1650" s="74">
        <f t="shared" si="27"/>
        <v>3288</v>
      </c>
    </row>
    <row r="1651" spans="2:12" s="74" customFormat="1" hidden="1" outlineLevel="1">
      <c r="B1651" s="73">
        <v>1645</v>
      </c>
      <c r="C1651" s="39"/>
      <c r="D1651" s="40"/>
      <c r="E1651" s="34" t="s">
        <v>323</v>
      </c>
      <c r="F1651" s="75" t="s">
        <v>2016</v>
      </c>
      <c r="G1651" s="35" t="s">
        <v>370</v>
      </c>
      <c r="H1651" s="41" t="s">
        <v>371</v>
      </c>
      <c r="I1651" s="44" t="str">
        <f>"0x"&amp;AE_w_WORK!J114</f>
        <v>0xDDDD</v>
      </c>
      <c r="J1651" s="36">
        <v>41861</v>
      </c>
      <c r="K1651" s="37"/>
      <c r="L1651" s="74">
        <f t="shared" si="27"/>
        <v>3290</v>
      </c>
    </row>
    <row r="1652" spans="2:12" s="74" customFormat="1" hidden="1" outlineLevel="1">
      <c r="B1652" s="73">
        <v>1646</v>
      </c>
      <c r="C1652" s="39"/>
      <c r="D1652" s="40"/>
      <c r="E1652" s="34" t="s">
        <v>323</v>
      </c>
      <c r="F1652" s="75" t="s">
        <v>2017</v>
      </c>
      <c r="G1652" s="35" t="s">
        <v>370</v>
      </c>
      <c r="H1652" s="41" t="s">
        <v>371</v>
      </c>
      <c r="I1652" s="44" t="str">
        <f>"0x"&amp;AE_w_WORK!J115</f>
        <v>0xBB77</v>
      </c>
      <c r="J1652" s="36">
        <v>41862</v>
      </c>
      <c r="K1652" s="37"/>
      <c r="L1652" s="74">
        <f t="shared" si="27"/>
        <v>3292</v>
      </c>
    </row>
    <row r="1653" spans="2:12" s="74" customFormat="1" hidden="1" outlineLevel="1">
      <c r="B1653" s="73">
        <v>1647</v>
      </c>
      <c r="C1653" s="39"/>
      <c r="D1653" s="40"/>
      <c r="E1653" s="34" t="s">
        <v>323</v>
      </c>
      <c r="F1653" s="75" t="s">
        <v>2018</v>
      </c>
      <c r="G1653" s="35" t="s">
        <v>370</v>
      </c>
      <c r="H1653" s="41" t="s">
        <v>371</v>
      </c>
      <c r="I1653" s="44" t="str">
        <f>"0x"&amp;AE_w_WORK!J116</f>
        <v>0x0000</v>
      </c>
      <c r="J1653" s="36">
        <v>41863</v>
      </c>
      <c r="K1653" s="37"/>
      <c r="L1653" s="74">
        <f t="shared" si="27"/>
        <v>3294</v>
      </c>
    </row>
    <row r="1654" spans="2:12" s="74" customFormat="1" hidden="1" outlineLevel="1">
      <c r="B1654" s="73">
        <v>1648</v>
      </c>
      <c r="C1654" s="39"/>
      <c r="D1654" s="40"/>
      <c r="E1654" s="34" t="s">
        <v>323</v>
      </c>
      <c r="F1654" s="75" t="s">
        <v>2019</v>
      </c>
      <c r="G1654" s="35" t="s">
        <v>370</v>
      </c>
      <c r="H1654" s="41" t="s">
        <v>371</v>
      </c>
      <c r="I1654" s="44" t="str">
        <f>"0x"&amp;AE_w_WORK!J117</f>
        <v>0x0000</v>
      </c>
      <c r="J1654" s="36">
        <v>41864</v>
      </c>
      <c r="K1654" s="37"/>
      <c r="L1654" s="74">
        <f t="shared" si="27"/>
        <v>3296</v>
      </c>
    </row>
    <row r="1655" spans="2:12" s="74" customFormat="1" hidden="1" outlineLevel="1">
      <c r="B1655" s="73">
        <v>1649</v>
      </c>
      <c r="C1655" s="39"/>
      <c r="D1655" s="40"/>
      <c r="E1655" s="34" t="s">
        <v>323</v>
      </c>
      <c r="F1655" s="75" t="s">
        <v>2020</v>
      </c>
      <c r="G1655" s="35" t="s">
        <v>370</v>
      </c>
      <c r="H1655" s="41" t="s">
        <v>371</v>
      </c>
      <c r="I1655" s="44" t="str">
        <f>"0x"&amp;AE_w_WORK!J118</f>
        <v>0x0000</v>
      </c>
      <c r="J1655" s="36">
        <v>41865</v>
      </c>
      <c r="K1655" s="37"/>
      <c r="L1655" s="74">
        <f t="shared" si="27"/>
        <v>3298</v>
      </c>
    </row>
    <row r="1656" spans="2:12" s="74" customFormat="1" hidden="1" outlineLevel="1">
      <c r="B1656" s="73">
        <v>1650</v>
      </c>
      <c r="C1656" s="39"/>
      <c r="D1656" s="40"/>
      <c r="E1656" s="34" t="s">
        <v>323</v>
      </c>
      <c r="F1656" s="75" t="s">
        <v>2021</v>
      </c>
      <c r="G1656" s="35" t="s">
        <v>370</v>
      </c>
      <c r="H1656" s="41" t="s">
        <v>371</v>
      </c>
      <c r="I1656" s="44" t="str">
        <f>"0x"&amp;AE_w_WORK!J119</f>
        <v>0x0000</v>
      </c>
      <c r="J1656" s="36">
        <v>41866</v>
      </c>
      <c r="K1656" s="37"/>
      <c r="L1656" s="74">
        <f t="shared" si="27"/>
        <v>3300</v>
      </c>
    </row>
    <row r="1657" spans="2:12" s="74" customFormat="1" hidden="1" outlineLevel="1">
      <c r="B1657" s="73">
        <v>1651</v>
      </c>
      <c r="C1657" s="39"/>
      <c r="D1657" s="40"/>
      <c r="E1657" s="34" t="s">
        <v>323</v>
      </c>
      <c r="F1657" s="75" t="s">
        <v>2022</v>
      </c>
      <c r="G1657" s="35" t="s">
        <v>370</v>
      </c>
      <c r="H1657" s="41" t="s">
        <v>371</v>
      </c>
      <c r="I1657" s="44" t="str">
        <f>"0x"&amp;AE_w_WORK!J120</f>
        <v>0x77BB</v>
      </c>
      <c r="J1657" s="36">
        <v>41867</v>
      </c>
      <c r="K1657" s="37"/>
      <c r="L1657" s="74">
        <f t="shared" si="27"/>
        <v>3302</v>
      </c>
    </row>
    <row r="1658" spans="2:12" s="74" customFormat="1" hidden="1" outlineLevel="1">
      <c r="B1658" s="73">
        <v>1652</v>
      </c>
      <c r="C1658" s="39"/>
      <c r="D1658" s="40"/>
      <c r="E1658" s="34" t="s">
        <v>323</v>
      </c>
      <c r="F1658" s="75" t="s">
        <v>2023</v>
      </c>
      <c r="G1658" s="35" t="s">
        <v>370</v>
      </c>
      <c r="H1658" s="41" t="s">
        <v>371</v>
      </c>
      <c r="I1658" s="44" t="str">
        <f>"0x"&amp;AE_w_WORK!J121</f>
        <v>0xDDFF</v>
      </c>
      <c r="J1658" s="36">
        <v>41868</v>
      </c>
      <c r="K1658" s="37"/>
      <c r="L1658" s="74">
        <f t="shared" si="27"/>
        <v>3304</v>
      </c>
    </row>
    <row r="1659" spans="2:12" s="74" customFormat="1" hidden="1" outlineLevel="1">
      <c r="B1659" s="73">
        <v>1653</v>
      </c>
      <c r="C1659" s="39"/>
      <c r="D1659" s="40"/>
      <c r="E1659" s="34" t="s">
        <v>323</v>
      </c>
      <c r="F1659" s="75" t="s">
        <v>2024</v>
      </c>
      <c r="G1659" s="35" t="s">
        <v>370</v>
      </c>
      <c r="H1659" s="41" t="s">
        <v>371</v>
      </c>
      <c r="I1659" s="44" t="str">
        <f>"0x"&amp;AE_w_WORK!J122</f>
        <v>0xFFDD</v>
      </c>
      <c r="J1659" s="36">
        <v>41869</v>
      </c>
      <c r="K1659" s="37"/>
      <c r="L1659" s="74">
        <f t="shared" si="27"/>
        <v>3306</v>
      </c>
    </row>
    <row r="1660" spans="2:12" s="74" customFormat="1" hidden="1" outlineLevel="1">
      <c r="B1660" s="73">
        <v>1654</v>
      </c>
      <c r="C1660" s="39"/>
      <c r="D1660" s="40"/>
      <c r="E1660" s="34" t="s">
        <v>323</v>
      </c>
      <c r="F1660" s="75" t="s">
        <v>2025</v>
      </c>
      <c r="G1660" s="35" t="s">
        <v>370</v>
      </c>
      <c r="H1660" s="41" t="s">
        <v>371</v>
      </c>
      <c r="I1660" s="44" t="str">
        <f>"0x"&amp;AE_w_WORK!J123</f>
        <v>0xBB77</v>
      </c>
      <c r="J1660" s="36">
        <v>41870</v>
      </c>
      <c r="K1660" s="37"/>
      <c r="L1660" s="74">
        <f t="shared" si="27"/>
        <v>3308</v>
      </c>
    </row>
    <row r="1661" spans="2:12" s="74" customFormat="1" hidden="1" outlineLevel="1">
      <c r="B1661" s="73">
        <v>1655</v>
      </c>
      <c r="C1661" s="39"/>
      <c r="D1661" s="40"/>
      <c r="E1661" s="34" t="s">
        <v>323</v>
      </c>
      <c r="F1661" s="75" t="s">
        <v>2026</v>
      </c>
      <c r="G1661" s="35" t="s">
        <v>370</v>
      </c>
      <c r="H1661" s="41" t="s">
        <v>371</v>
      </c>
      <c r="I1661" s="44" t="str">
        <f>"0x"&amp;AE_w_WORK!J124</f>
        <v>0x0000</v>
      </c>
      <c r="J1661" s="36">
        <v>41871</v>
      </c>
      <c r="K1661" s="37"/>
      <c r="L1661" s="74">
        <f t="shared" si="27"/>
        <v>3310</v>
      </c>
    </row>
    <row r="1662" spans="2:12" s="74" customFormat="1" hidden="1" outlineLevel="1">
      <c r="B1662" s="73">
        <v>1656</v>
      </c>
      <c r="C1662" s="39"/>
      <c r="D1662" s="40"/>
      <c r="E1662" s="34" t="s">
        <v>323</v>
      </c>
      <c r="F1662" s="75" t="s">
        <v>2027</v>
      </c>
      <c r="G1662" s="35" t="s">
        <v>370</v>
      </c>
      <c r="H1662" s="41" t="s">
        <v>371</v>
      </c>
      <c r="I1662" s="44" t="str">
        <f>"0x"&amp;AE_w_WORK!J125</f>
        <v>0x0000</v>
      </c>
      <c r="J1662" s="36">
        <v>41872</v>
      </c>
      <c r="K1662" s="37"/>
      <c r="L1662" s="74">
        <f t="shared" si="27"/>
        <v>3312</v>
      </c>
    </row>
    <row r="1663" spans="2:12" s="74" customFormat="1" hidden="1" outlineLevel="1">
      <c r="B1663" s="73">
        <v>1657</v>
      </c>
      <c r="C1663" s="39"/>
      <c r="D1663" s="40"/>
      <c r="E1663" s="34" t="s">
        <v>323</v>
      </c>
      <c r="F1663" s="75" t="s">
        <v>2028</v>
      </c>
      <c r="G1663" s="35" t="s">
        <v>370</v>
      </c>
      <c r="H1663" s="41" t="s">
        <v>371</v>
      </c>
      <c r="I1663" s="44" t="str">
        <f>"0x"&amp;AE_w_WORK!J126</f>
        <v>0x0000</v>
      </c>
      <c r="J1663" s="36">
        <v>41873</v>
      </c>
      <c r="K1663" s="37"/>
      <c r="L1663" s="74">
        <f t="shared" si="27"/>
        <v>3314</v>
      </c>
    </row>
    <row r="1664" spans="2:12" s="74" customFormat="1" hidden="1" outlineLevel="1">
      <c r="B1664" s="73">
        <v>1658</v>
      </c>
      <c r="C1664" s="39"/>
      <c r="D1664" s="40"/>
      <c r="E1664" s="34" t="s">
        <v>323</v>
      </c>
      <c r="F1664" s="75" t="s">
        <v>2029</v>
      </c>
      <c r="G1664" s="35" t="s">
        <v>370</v>
      </c>
      <c r="H1664" s="41" t="s">
        <v>371</v>
      </c>
      <c r="I1664" s="44" t="str">
        <f>"0x"&amp;AE_w_WORK!J127</f>
        <v>0x0000</v>
      </c>
      <c r="J1664" s="36">
        <v>41874</v>
      </c>
      <c r="K1664" s="37"/>
      <c r="L1664" s="74">
        <f t="shared" si="27"/>
        <v>3316</v>
      </c>
    </row>
    <row r="1665" spans="2:12" s="74" customFormat="1" hidden="1" outlineLevel="1">
      <c r="B1665" s="73">
        <v>1659</v>
      </c>
      <c r="C1665" s="39"/>
      <c r="D1665" s="40"/>
      <c r="E1665" s="34" t="s">
        <v>323</v>
      </c>
      <c r="F1665" s="75" t="s">
        <v>2030</v>
      </c>
      <c r="G1665" s="35" t="s">
        <v>370</v>
      </c>
      <c r="H1665" s="41" t="s">
        <v>371</v>
      </c>
      <c r="I1665" s="44" t="str">
        <f>"0x"&amp;AE_w_WORK!J128</f>
        <v>0x77BB</v>
      </c>
      <c r="J1665" s="36">
        <v>41875</v>
      </c>
      <c r="K1665" s="37"/>
      <c r="L1665" s="74">
        <f t="shared" si="27"/>
        <v>3318</v>
      </c>
    </row>
    <row r="1666" spans="2:12" s="74" customFormat="1" hidden="1" outlineLevel="1">
      <c r="B1666" s="73">
        <v>1660</v>
      </c>
      <c r="C1666" s="39"/>
      <c r="D1666" s="40"/>
      <c r="E1666" s="34" t="s">
        <v>323</v>
      </c>
      <c r="F1666" s="75" t="s">
        <v>2031</v>
      </c>
      <c r="G1666" s="35" t="s">
        <v>370</v>
      </c>
      <c r="H1666" s="41" t="s">
        <v>371</v>
      </c>
      <c r="I1666" s="44" t="str">
        <f>"0x"&amp;AE_w_WORK!J129</f>
        <v>0xDDFF</v>
      </c>
      <c r="J1666" s="36">
        <v>41876</v>
      </c>
      <c r="K1666" s="37"/>
      <c r="L1666" s="74">
        <f t="shared" si="27"/>
        <v>3320</v>
      </c>
    </row>
    <row r="1667" spans="2:12" s="74" customFormat="1" hidden="1" outlineLevel="1">
      <c r="B1667" s="73">
        <v>1661</v>
      </c>
      <c r="C1667" s="39"/>
      <c r="D1667" s="40"/>
      <c r="E1667" s="34" t="s">
        <v>323</v>
      </c>
      <c r="F1667" s="75" t="s">
        <v>2032</v>
      </c>
      <c r="G1667" s="35" t="s">
        <v>370</v>
      </c>
      <c r="H1667" s="41" t="s">
        <v>371</v>
      </c>
      <c r="I1667" s="44" t="str">
        <f>"0x"&amp;AE_w_WORK!J130</f>
        <v>0xFFDD</v>
      </c>
      <c r="J1667" s="36">
        <v>41877</v>
      </c>
      <c r="K1667" s="37"/>
      <c r="L1667" s="74">
        <f t="shared" si="27"/>
        <v>3322</v>
      </c>
    </row>
    <row r="1668" spans="2:12" s="74" customFormat="1" hidden="1" outlineLevel="1">
      <c r="B1668" s="73">
        <v>1662</v>
      </c>
      <c r="C1668" s="39"/>
      <c r="D1668" s="40"/>
      <c r="E1668" s="34" t="s">
        <v>323</v>
      </c>
      <c r="F1668" s="75" t="s">
        <v>2033</v>
      </c>
      <c r="G1668" s="35" t="s">
        <v>370</v>
      </c>
      <c r="H1668" s="41" t="s">
        <v>371</v>
      </c>
      <c r="I1668" s="44" t="str">
        <f>"0x"&amp;AE_w_WORK!J131</f>
        <v>0xBB77</v>
      </c>
      <c r="J1668" s="36">
        <v>41878</v>
      </c>
      <c r="K1668" s="37"/>
      <c r="L1668" s="74">
        <f t="shared" si="27"/>
        <v>3324</v>
      </c>
    </row>
    <row r="1669" spans="2:12" s="74" customFormat="1" hidden="1" outlineLevel="1">
      <c r="B1669" s="73">
        <v>1663</v>
      </c>
      <c r="C1669" s="39"/>
      <c r="D1669" s="40"/>
      <c r="E1669" s="34" t="s">
        <v>323</v>
      </c>
      <c r="F1669" s="75" t="s">
        <v>2034</v>
      </c>
      <c r="G1669" s="35" t="s">
        <v>370</v>
      </c>
      <c r="H1669" s="41" t="s">
        <v>371</v>
      </c>
      <c r="I1669" s="44" t="str">
        <f>"0x"&amp;AE_w_WORK!J132</f>
        <v>0x0000</v>
      </c>
      <c r="J1669" s="36">
        <v>41879</v>
      </c>
      <c r="K1669" s="37"/>
      <c r="L1669" s="74">
        <f t="shared" si="27"/>
        <v>3326</v>
      </c>
    </row>
    <row r="1670" spans="2:12" s="74" customFormat="1" hidden="1" outlineLevel="1">
      <c r="B1670" s="73">
        <v>1664</v>
      </c>
      <c r="C1670" s="39"/>
      <c r="D1670" s="40"/>
      <c r="E1670" s="34" t="s">
        <v>323</v>
      </c>
      <c r="F1670" s="75" t="s">
        <v>2035</v>
      </c>
      <c r="G1670" s="35" t="s">
        <v>370</v>
      </c>
      <c r="H1670" s="41" t="s">
        <v>371</v>
      </c>
      <c r="I1670" s="44" t="str">
        <f>"0x"&amp;AE_w_WORK!J133</f>
        <v>0x0000</v>
      </c>
      <c r="J1670" s="36">
        <v>41880</v>
      </c>
      <c r="K1670" s="37"/>
      <c r="L1670" s="74">
        <f t="shared" si="27"/>
        <v>3328</v>
      </c>
    </row>
    <row r="1671" spans="2:12" hidden="1" outlineLevel="1">
      <c r="B1671" s="73">
        <v>1665</v>
      </c>
      <c r="C1671" s="39"/>
      <c r="D1671" s="40"/>
      <c r="E1671" s="34" t="s">
        <v>323</v>
      </c>
      <c r="F1671" s="75" t="s">
        <v>2036</v>
      </c>
      <c r="G1671" s="35" t="s">
        <v>370</v>
      </c>
      <c r="H1671" s="41" t="s">
        <v>371</v>
      </c>
      <c r="I1671" s="44" t="str">
        <f>"0x"&amp;AE_w_WORK!J134</f>
        <v>0x0000</v>
      </c>
      <c r="J1671" s="36">
        <v>41881</v>
      </c>
      <c r="K1671" s="37"/>
      <c r="L1671" s="74">
        <f t="shared" si="27"/>
        <v>3330</v>
      </c>
    </row>
    <row r="1672" spans="2:12" hidden="1" outlineLevel="1">
      <c r="B1672" s="73">
        <v>1666</v>
      </c>
      <c r="C1672" s="39"/>
      <c r="D1672" s="40"/>
      <c r="E1672" s="34" t="s">
        <v>323</v>
      </c>
      <c r="F1672" s="75" t="s">
        <v>2037</v>
      </c>
      <c r="G1672" s="35" t="s">
        <v>370</v>
      </c>
      <c r="H1672" s="41" t="s">
        <v>371</v>
      </c>
      <c r="I1672" s="44" t="str">
        <f>"0x"&amp;AE_w_WORK!J135</f>
        <v>0x0000</v>
      </c>
      <c r="J1672" s="36">
        <v>41882</v>
      </c>
      <c r="K1672" s="37"/>
      <c r="L1672" s="74">
        <f t="shared" si="27"/>
        <v>3332</v>
      </c>
    </row>
    <row r="1673" spans="2:12" hidden="1" outlineLevel="1">
      <c r="B1673" s="73">
        <v>1667</v>
      </c>
      <c r="C1673" s="39"/>
      <c r="D1673" s="40"/>
      <c r="E1673" s="34" t="s">
        <v>323</v>
      </c>
      <c r="F1673" s="75" t="s">
        <v>2038</v>
      </c>
      <c r="G1673" s="35" t="s">
        <v>370</v>
      </c>
      <c r="H1673" s="41" t="s">
        <v>371</v>
      </c>
      <c r="I1673" s="44" t="str">
        <f>"0x"&amp;AE_w_WORK!J136</f>
        <v>0x77BB</v>
      </c>
      <c r="J1673" s="36">
        <v>41883</v>
      </c>
      <c r="K1673" s="37"/>
      <c r="L1673" s="74">
        <f t="shared" ref="L1673:L1736" si="28">L1672+2</f>
        <v>3334</v>
      </c>
    </row>
    <row r="1674" spans="2:12" hidden="1" outlineLevel="1">
      <c r="B1674" s="73">
        <v>1668</v>
      </c>
      <c r="C1674" s="39"/>
      <c r="D1674" s="40"/>
      <c r="E1674" s="34" t="s">
        <v>323</v>
      </c>
      <c r="F1674" s="75" t="s">
        <v>2039</v>
      </c>
      <c r="G1674" s="35" t="s">
        <v>370</v>
      </c>
      <c r="H1674" s="41" t="s">
        <v>371</v>
      </c>
      <c r="I1674" s="44" t="str">
        <f>"0x"&amp;AE_w_WORK!J137</f>
        <v>0xDDFF</v>
      </c>
      <c r="J1674" s="36">
        <v>41884</v>
      </c>
      <c r="K1674" s="37"/>
      <c r="L1674" s="74">
        <f t="shared" si="28"/>
        <v>3336</v>
      </c>
    </row>
    <row r="1675" spans="2:12" hidden="1" outlineLevel="1">
      <c r="B1675" s="73">
        <v>1669</v>
      </c>
      <c r="C1675" s="39"/>
      <c r="D1675" s="40"/>
      <c r="E1675" s="34" t="s">
        <v>323</v>
      </c>
      <c r="F1675" s="75" t="s">
        <v>2040</v>
      </c>
      <c r="G1675" s="35" t="s">
        <v>370</v>
      </c>
      <c r="H1675" s="41" t="s">
        <v>371</v>
      </c>
      <c r="I1675" s="44" t="str">
        <f>"0x"&amp;AE_w_WORK!J138</f>
        <v>0xFFDD</v>
      </c>
      <c r="J1675" s="36">
        <v>41885</v>
      </c>
      <c r="K1675" s="37"/>
      <c r="L1675" s="74">
        <f t="shared" si="28"/>
        <v>3338</v>
      </c>
    </row>
    <row r="1676" spans="2:12" hidden="1" outlineLevel="1">
      <c r="B1676" s="73">
        <v>1670</v>
      </c>
      <c r="C1676" s="39"/>
      <c r="D1676" s="40"/>
      <c r="E1676" s="34" t="s">
        <v>323</v>
      </c>
      <c r="F1676" s="75" t="s">
        <v>2041</v>
      </c>
      <c r="G1676" s="35" t="s">
        <v>370</v>
      </c>
      <c r="H1676" s="41" t="s">
        <v>371</v>
      </c>
      <c r="I1676" s="44" t="str">
        <f>"0x"&amp;AE_w_WORK!J139</f>
        <v>0xBB77</v>
      </c>
      <c r="J1676" s="36">
        <v>41886</v>
      </c>
      <c r="K1676" s="37"/>
      <c r="L1676" s="74">
        <f t="shared" si="28"/>
        <v>3340</v>
      </c>
    </row>
    <row r="1677" spans="2:12" hidden="1" outlineLevel="1">
      <c r="B1677" s="73">
        <v>1671</v>
      </c>
      <c r="C1677" s="39"/>
      <c r="D1677" s="40"/>
      <c r="E1677" s="34" t="s">
        <v>323</v>
      </c>
      <c r="F1677" s="75" t="s">
        <v>2042</v>
      </c>
      <c r="G1677" s="35" t="s">
        <v>370</v>
      </c>
      <c r="H1677" s="41" t="s">
        <v>371</v>
      </c>
      <c r="I1677" s="44" t="str">
        <f>"0x"&amp;AE_w_WORK!J140</f>
        <v>0x0000</v>
      </c>
      <c r="J1677" s="36">
        <v>41887</v>
      </c>
      <c r="K1677" s="37"/>
      <c r="L1677" s="74">
        <f t="shared" si="28"/>
        <v>3342</v>
      </c>
    </row>
    <row r="1678" spans="2:12" hidden="1" outlineLevel="1">
      <c r="B1678" s="73">
        <v>1672</v>
      </c>
      <c r="C1678" s="39"/>
      <c r="D1678" s="40"/>
      <c r="E1678" s="34" t="s">
        <v>323</v>
      </c>
      <c r="F1678" s="75" t="s">
        <v>2043</v>
      </c>
      <c r="G1678" s="35" t="s">
        <v>370</v>
      </c>
      <c r="H1678" s="41" t="s">
        <v>371</v>
      </c>
      <c r="I1678" s="44" t="str">
        <f>"0x"&amp;AE_w_WORK!J141</f>
        <v>0x0000</v>
      </c>
      <c r="J1678" s="36">
        <v>41888</v>
      </c>
      <c r="K1678" s="37"/>
      <c r="L1678" s="74">
        <f t="shared" si="28"/>
        <v>3344</v>
      </c>
    </row>
    <row r="1679" spans="2:12" hidden="1" outlineLevel="1">
      <c r="B1679" s="73">
        <v>1673</v>
      </c>
      <c r="C1679" s="39"/>
      <c r="D1679" s="40"/>
      <c r="E1679" s="34" t="s">
        <v>323</v>
      </c>
      <c r="F1679" s="75" t="s">
        <v>2044</v>
      </c>
      <c r="G1679" s="35" t="s">
        <v>370</v>
      </c>
      <c r="H1679" s="41" t="s">
        <v>371</v>
      </c>
      <c r="I1679" s="44" t="str">
        <f>"0x"&amp;AE_w_WORK!J142</f>
        <v>0x0000</v>
      </c>
      <c r="J1679" s="36">
        <v>41889</v>
      </c>
      <c r="K1679" s="37"/>
      <c r="L1679" s="74">
        <f t="shared" si="28"/>
        <v>3346</v>
      </c>
    </row>
    <row r="1680" spans="2:12" hidden="1" outlineLevel="1">
      <c r="B1680" s="73">
        <v>1674</v>
      </c>
      <c r="C1680" s="39"/>
      <c r="D1680" s="40"/>
      <c r="E1680" s="34" t="s">
        <v>323</v>
      </c>
      <c r="F1680" s="75" t="s">
        <v>2045</v>
      </c>
      <c r="G1680" s="35" t="s">
        <v>370</v>
      </c>
      <c r="H1680" s="41" t="s">
        <v>371</v>
      </c>
      <c r="I1680" s="44" t="str">
        <f>"0x"&amp;AE_w_WORK!J143</f>
        <v>0x0000</v>
      </c>
      <c r="J1680" s="36">
        <v>41890</v>
      </c>
      <c r="K1680" s="37"/>
      <c r="L1680" s="74">
        <f t="shared" si="28"/>
        <v>3348</v>
      </c>
    </row>
    <row r="1681" spans="1:12" hidden="1" outlineLevel="1">
      <c r="B1681" s="73">
        <v>1675</v>
      </c>
      <c r="C1681" s="39"/>
      <c r="D1681" s="40"/>
      <c r="E1681" s="34" t="s">
        <v>323</v>
      </c>
      <c r="F1681" s="75" t="s">
        <v>2046</v>
      </c>
      <c r="G1681" s="35" t="s">
        <v>370</v>
      </c>
      <c r="H1681" s="41" t="s">
        <v>371</v>
      </c>
      <c r="I1681" s="44" t="str">
        <f>"0x"&amp;AE_w_WORK!J144</f>
        <v>0x77BB</v>
      </c>
      <c r="J1681" s="36">
        <v>41891</v>
      </c>
      <c r="K1681" s="37"/>
      <c r="L1681" s="74">
        <f t="shared" si="28"/>
        <v>3350</v>
      </c>
    </row>
    <row r="1682" spans="1:12" hidden="1" outlineLevel="1">
      <c r="B1682" s="73">
        <v>1676</v>
      </c>
      <c r="C1682" s="39"/>
      <c r="D1682" s="40"/>
      <c r="E1682" s="34" t="s">
        <v>323</v>
      </c>
      <c r="F1682" s="75" t="s">
        <v>2047</v>
      </c>
      <c r="G1682" s="35" t="s">
        <v>370</v>
      </c>
      <c r="H1682" s="41" t="s">
        <v>371</v>
      </c>
      <c r="I1682" s="44" t="str">
        <f>"0x"&amp;AE_w_WORK!J145</f>
        <v>0xDDFF</v>
      </c>
      <c r="J1682" s="36">
        <v>41892</v>
      </c>
      <c r="K1682" s="37"/>
      <c r="L1682" s="74">
        <f t="shared" si="28"/>
        <v>3352</v>
      </c>
    </row>
    <row r="1683" spans="1:12" hidden="1" outlineLevel="1">
      <c r="B1683" s="73">
        <v>1677</v>
      </c>
      <c r="C1683" s="39"/>
      <c r="D1683" s="40"/>
      <c r="E1683" s="34" t="s">
        <v>323</v>
      </c>
      <c r="F1683" s="75" t="s">
        <v>2048</v>
      </c>
      <c r="G1683" s="35" t="s">
        <v>370</v>
      </c>
      <c r="H1683" s="41" t="s">
        <v>371</v>
      </c>
      <c r="I1683" s="44" t="str">
        <f>"0x"&amp;AE_w_WORK!J146</f>
        <v>0xFFDD</v>
      </c>
      <c r="J1683" s="36">
        <v>41893</v>
      </c>
      <c r="K1683" s="37"/>
      <c r="L1683" s="74">
        <f t="shared" si="28"/>
        <v>3354</v>
      </c>
    </row>
    <row r="1684" spans="1:12" hidden="1" outlineLevel="1">
      <c r="A1684" s="8"/>
      <c r="B1684" s="73">
        <v>1678</v>
      </c>
      <c r="C1684" s="39"/>
      <c r="D1684" s="40"/>
      <c r="E1684" s="34" t="s">
        <v>323</v>
      </c>
      <c r="F1684" s="75" t="s">
        <v>2049</v>
      </c>
      <c r="G1684" s="35" t="s">
        <v>370</v>
      </c>
      <c r="H1684" s="41" t="s">
        <v>371</v>
      </c>
      <c r="I1684" s="44" t="str">
        <f>"0x"&amp;AE_w_WORK!J147</f>
        <v>0xBB77</v>
      </c>
      <c r="J1684" s="36">
        <v>41894</v>
      </c>
      <c r="K1684" s="37"/>
      <c r="L1684" s="74">
        <f t="shared" si="28"/>
        <v>3356</v>
      </c>
    </row>
    <row r="1685" spans="1:12" hidden="1" outlineLevel="1">
      <c r="A1685" s="8"/>
      <c r="B1685" s="73">
        <v>1679</v>
      </c>
      <c r="C1685" s="39"/>
      <c r="D1685" s="40"/>
      <c r="E1685" s="34" t="s">
        <v>323</v>
      </c>
      <c r="F1685" s="75" t="s">
        <v>2050</v>
      </c>
      <c r="G1685" s="35" t="s">
        <v>370</v>
      </c>
      <c r="H1685" s="41" t="s">
        <v>371</v>
      </c>
      <c r="I1685" s="44" t="str">
        <f>"0x"&amp;AE_w_WORK!J148</f>
        <v>0x0000</v>
      </c>
      <c r="J1685" s="36">
        <v>41895</v>
      </c>
      <c r="K1685" s="37"/>
      <c r="L1685" s="74">
        <f t="shared" si="28"/>
        <v>3358</v>
      </c>
    </row>
    <row r="1686" spans="1:12" hidden="1" outlineLevel="1">
      <c r="A1686" s="8"/>
      <c r="B1686" s="73">
        <v>1680</v>
      </c>
      <c r="C1686" s="39"/>
      <c r="D1686" s="40"/>
      <c r="E1686" s="34" t="s">
        <v>323</v>
      </c>
      <c r="F1686" s="75" t="s">
        <v>2051</v>
      </c>
      <c r="G1686" s="35" t="s">
        <v>370</v>
      </c>
      <c r="H1686" s="41" t="s">
        <v>371</v>
      </c>
      <c r="I1686" s="44" t="str">
        <f>"0x"&amp;AE_w_WORK!J149</f>
        <v>0x0000</v>
      </c>
      <c r="J1686" s="36">
        <v>41896</v>
      </c>
      <c r="K1686" s="37"/>
      <c r="L1686" s="74">
        <f t="shared" si="28"/>
        <v>3360</v>
      </c>
    </row>
    <row r="1687" spans="1:12" hidden="1" outlineLevel="1">
      <c r="A1687" s="8"/>
      <c r="B1687" s="73">
        <v>1681</v>
      </c>
      <c r="C1687" s="39"/>
      <c r="D1687" s="40"/>
      <c r="E1687" s="34" t="s">
        <v>323</v>
      </c>
      <c r="F1687" s="75" t="s">
        <v>2052</v>
      </c>
      <c r="G1687" s="35" t="s">
        <v>370</v>
      </c>
      <c r="H1687" s="41" t="s">
        <v>371</v>
      </c>
      <c r="I1687" s="44" t="str">
        <f>"0x"&amp;AE_w_WORK!J150</f>
        <v>0x0000</v>
      </c>
      <c r="J1687" s="36">
        <v>41897</v>
      </c>
      <c r="K1687" s="37"/>
      <c r="L1687" s="74">
        <f t="shared" si="28"/>
        <v>3362</v>
      </c>
    </row>
    <row r="1688" spans="1:12" hidden="1" outlineLevel="1">
      <c r="A1688" s="8"/>
      <c r="B1688" s="73">
        <v>1682</v>
      </c>
      <c r="C1688" s="39"/>
      <c r="D1688" s="40"/>
      <c r="E1688" s="34" t="s">
        <v>323</v>
      </c>
      <c r="F1688" s="75" t="s">
        <v>2053</v>
      </c>
      <c r="G1688" s="35" t="s">
        <v>370</v>
      </c>
      <c r="H1688" s="41" t="s">
        <v>371</v>
      </c>
      <c r="I1688" s="44" t="str">
        <f>"0x"&amp;AE_w_WORK!J151</f>
        <v>0x0000</v>
      </c>
      <c r="J1688" s="36">
        <v>41898</v>
      </c>
      <c r="K1688" s="37"/>
      <c r="L1688" s="74">
        <f t="shared" si="28"/>
        <v>3364</v>
      </c>
    </row>
    <row r="1689" spans="1:12" hidden="1" outlineLevel="1">
      <c r="A1689" s="8"/>
      <c r="B1689" s="73">
        <v>1683</v>
      </c>
      <c r="C1689" s="39"/>
      <c r="D1689" s="40"/>
      <c r="E1689" s="34" t="s">
        <v>323</v>
      </c>
      <c r="F1689" s="75" t="s">
        <v>2054</v>
      </c>
      <c r="G1689" s="35" t="s">
        <v>370</v>
      </c>
      <c r="H1689" s="41" t="s">
        <v>371</v>
      </c>
      <c r="I1689" s="44" t="str">
        <f>"0x"&amp;AE_w_WORK!J152</f>
        <v>0x77BB</v>
      </c>
      <c r="J1689" s="36">
        <v>41899</v>
      </c>
      <c r="K1689" s="37"/>
      <c r="L1689" s="74">
        <f t="shared" si="28"/>
        <v>3366</v>
      </c>
    </row>
    <row r="1690" spans="1:12" hidden="1" outlineLevel="1">
      <c r="A1690" s="8"/>
      <c r="B1690" s="73">
        <v>1684</v>
      </c>
      <c r="C1690" s="39"/>
      <c r="D1690" s="40"/>
      <c r="E1690" s="34" t="s">
        <v>323</v>
      </c>
      <c r="F1690" s="75" t="s">
        <v>2055</v>
      </c>
      <c r="G1690" s="35" t="s">
        <v>370</v>
      </c>
      <c r="H1690" s="41" t="s">
        <v>371</v>
      </c>
      <c r="I1690" s="44" t="str">
        <f>"0x"&amp;AE_w_WORK!J153</f>
        <v>0xDDDD</v>
      </c>
      <c r="J1690" s="36">
        <v>41900</v>
      </c>
      <c r="K1690" s="37"/>
      <c r="L1690" s="74">
        <f t="shared" si="28"/>
        <v>3368</v>
      </c>
    </row>
    <row r="1691" spans="1:12" hidden="1" outlineLevel="1">
      <c r="A1691" s="8"/>
      <c r="B1691" s="73">
        <v>1685</v>
      </c>
      <c r="C1691" s="39"/>
      <c r="D1691" s="40"/>
      <c r="E1691" s="34" t="s">
        <v>323</v>
      </c>
      <c r="F1691" s="75" t="s">
        <v>2056</v>
      </c>
      <c r="G1691" s="35" t="s">
        <v>370</v>
      </c>
      <c r="H1691" s="41" t="s">
        <v>371</v>
      </c>
      <c r="I1691" s="44" t="str">
        <f>"0x"&amp;AE_w_WORK!J154</f>
        <v>0xDDDD</v>
      </c>
      <c r="J1691" s="36">
        <v>41901</v>
      </c>
      <c r="K1691" s="37"/>
      <c r="L1691" s="74">
        <f t="shared" si="28"/>
        <v>3370</v>
      </c>
    </row>
    <row r="1692" spans="1:12" hidden="1" outlineLevel="1">
      <c r="A1692" s="8"/>
      <c r="B1692" s="73">
        <v>1686</v>
      </c>
      <c r="C1692" s="39"/>
      <c r="D1692" s="40"/>
      <c r="E1692" s="34" t="s">
        <v>323</v>
      </c>
      <c r="F1692" s="75" t="s">
        <v>2057</v>
      </c>
      <c r="G1692" s="35" t="s">
        <v>370</v>
      </c>
      <c r="H1692" s="41" t="s">
        <v>371</v>
      </c>
      <c r="I1692" s="44" t="str">
        <f>"0x"&amp;AE_w_WORK!J155</f>
        <v>0xBB77</v>
      </c>
      <c r="J1692" s="36">
        <v>41902</v>
      </c>
      <c r="K1692" s="37"/>
      <c r="L1692" s="74">
        <f t="shared" si="28"/>
        <v>3372</v>
      </c>
    </row>
    <row r="1693" spans="1:12" hidden="1" outlineLevel="1">
      <c r="A1693" s="8"/>
      <c r="B1693" s="73">
        <v>1687</v>
      </c>
      <c r="C1693" s="39"/>
      <c r="D1693" s="40"/>
      <c r="E1693" s="34" t="s">
        <v>323</v>
      </c>
      <c r="F1693" s="75" t="s">
        <v>2058</v>
      </c>
      <c r="G1693" s="35" t="s">
        <v>370</v>
      </c>
      <c r="H1693" s="41" t="s">
        <v>371</v>
      </c>
      <c r="I1693" s="44" t="str">
        <f>"0x"&amp;AE_w_WORK!J156</f>
        <v>0x0000</v>
      </c>
      <c r="J1693" s="36">
        <v>41903</v>
      </c>
      <c r="K1693" s="37"/>
      <c r="L1693" s="74">
        <f t="shared" si="28"/>
        <v>3374</v>
      </c>
    </row>
    <row r="1694" spans="1:12" hidden="1" outlineLevel="1">
      <c r="A1694" s="8"/>
      <c r="B1694" s="73">
        <v>1688</v>
      </c>
      <c r="C1694" s="39"/>
      <c r="D1694" s="40"/>
      <c r="E1694" s="34" t="s">
        <v>323</v>
      </c>
      <c r="F1694" s="75" t="s">
        <v>2059</v>
      </c>
      <c r="G1694" s="35" t="s">
        <v>370</v>
      </c>
      <c r="H1694" s="41" t="s">
        <v>371</v>
      </c>
      <c r="I1694" s="44" t="str">
        <f>"0x"&amp;AE_w_WORK!J157</f>
        <v>0x0000</v>
      </c>
      <c r="J1694" s="36">
        <v>41904</v>
      </c>
      <c r="K1694" s="37"/>
      <c r="L1694" s="74">
        <f t="shared" si="28"/>
        <v>3376</v>
      </c>
    </row>
    <row r="1695" spans="1:12" hidden="1" outlineLevel="1">
      <c r="A1695" s="8"/>
      <c r="B1695" s="73">
        <v>1689</v>
      </c>
      <c r="C1695" s="39"/>
      <c r="D1695" s="40"/>
      <c r="E1695" s="34" t="s">
        <v>323</v>
      </c>
      <c r="F1695" s="75" t="s">
        <v>2060</v>
      </c>
      <c r="G1695" s="35" t="s">
        <v>370</v>
      </c>
      <c r="H1695" s="41" t="s">
        <v>371</v>
      </c>
      <c r="I1695" s="44" t="str">
        <f>"0x"&amp;AE_w_WORK!J158</f>
        <v>0x0000</v>
      </c>
      <c r="J1695" s="36">
        <v>41905</v>
      </c>
      <c r="K1695" s="37"/>
      <c r="L1695" s="74">
        <f t="shared" si="28"/>
        <v>3378</v>
      </c>
    </row>
    <row r="1696" spans="1:12" hidden="1" outlineLevel="1">
      <c r="A1696" s="8"/>
      <c r="B1696" s="73">
        <v>1690</v>
      </c>
      <c r="C1696" s="39"/>
      <c r="D1696" s="40"/>
      <c r="E1696" s="34" t="s">
        <v>323</v>
      </c>
      <c r="F1696" s="75" t="s">
        <v>2061</v>
      </c>
      <c r="G1696" s="35" t="s">
        <v>370</v>
      </c>
      <c r="H1696" s="41" t="s">
        <v>371</v>
      </c>
      <c r="I1696" s="44" t="str">
        <f>"0x"&amp;AE_w_WORK!J159</f>
        <v>0x0000</v>
      </c>
      <c r="J1696" s="36">
        <v>41906</v>
      </c>
      <c r="K1696" s="37"/>
      <c r="L1696" s="74">
        <f t="shared" si="28"/>
        <v>3380</v>
      </c>
    </row>
    <row r="1697" spans="1:12" hidden="1" outlineLevel="1">
      <c r="A1697" s="8"/>
      <c r="B1697" s="73">
        <v>1691</v>
      </c>
      <c r="C1697" s="39"/>
      <c r="D1697" s="40"/>
      <c r="E1697" s="34" t="s">
        <v>323</v>
      </c>
      <c r="F1697" s="75" t="s">
        <v>2062</v>
      </c>
      <c r="G1697" s="35" t="s">
        <v>370</v>
      </c>
      <c r="H1697" s="41" t="s">
        <v>371</v>
      </c>
      <c r="I1697" s="44" t="str">
        <f>"0x"&amp;AE_w_WORK!J160</f>
        <v>0x77BB</v>
      </c>
      <c r="J1697" s="36">
        <v>41907</v>
      </c>
      <c r="K1697" s="37"/>
      <c r="L1697" s="74">
        <f t="shared" si="28"/>
        <v>3382</v>
      </c>
    </row>
    <row r="1698" spans="1:12" hidden="1" outlineLevel="1">
      <c r="A1698" s="8"/>
      <c r="B1698" s="73">
        <v>1692</v>
      </c>
      <c r="C1698" s="39"/>
      <c r="D1698" s="40"/>
      <c r="E1698" s="34" t="s">
        <v>323</v>
      </c>
      <c r="F1698" s="75" t="s">
        <v>2063</v>
      </c>
      <c r="G1698" s="35" t="s">
        <v>370</v>
      </c>
      <c r="H1698" s="41" t="s">
        <v>371</v>
      </c>
      <c r="I1698" s="44" t="str">
        <f>"0x"&amp;AE_w_WORK!J161</f>
        <v>0xDDDD</v>
      </c>
      <c r="J1698" s="36">
        <v>41908</v>
      </c>
      <c r="K1698" s="37"/>
      <c r="L1698" s="74">
        <f t="shared" si="28"/>
        <v>3384</v>
      </c>
    </row>
    <row r="1699" spans="1:12" hidden="1" outlineLevel="1">
      <c r="A1699" s="8"/>
      <c r="B1699" s="73">
        <v>1693</v>
      </c>
      <c r="C1699" s="39"/>
      <c r="D1699" s="40"/>
      <c r="E1699" s="34" t="s">
        <v>323</v>
      </c>
      <c r="F1699" s="75" t="s">
        <v>2064</v>
      </c>
      <c r="G1699" s="35" t="s">
        <v>370</v>
      </c>
      <c r="H1699" s="41" t="s">
        <v>371</v>
      </c>
      <c r="I1699" s="44" t="str">
        <f>"0x"&amp;AE_w_WORK!J162</f>
        <v>0xDDDD</v>
      </c>
      <c r="J1699" s="36">
        <v>41909</v>
      </c>
      <c r="K1699" s="37"/>
      <c r="L1699" s="74">
        <f t="shared" si="28"/>
        <v>3386</v>
      </c>
    </row>
    <row r="1700" spans="1:12" hidden="1" outlineLevel="1">
      <c r="A1700" s="8"/>
      <c r="B1700" s="73">
        <v>1694</v>
      </c>
      <c r="C1700" s="39"/>
      <c r="D1700" s="40"/>
      <c r="E1700" s="34" t="s">
        <v>323</v>
      </c>
      <c r="F1700" s="75" t="s">
        <v>2065</v>
      </c>
      <c r="G1700" s="35" t="s">
        <v>370</v>
      </c>
      <c r="H1700" s="41" t="s">
        <v>371</v>
      </c>
      <c r="I1700" s="44" t="str">
        <f>"0x"&amp;AE_w_WORK!J163</f>
        <v>0xBB77</v>
      </c>
      <c r="J1700" s="36">
        <v>41910</v>
      </c>
      <c r="K1700" s="37"/>
      <c r="L1700" s="74">
        <f t="shared" si="28"/>
        <v>3388</v>
      </c>
    </row>
    <row r="1701" spans="1:12" hidden="1" outlineLevel="1">
      <c r="A1701" s="8"/>
      <c r="B1701" s="73">
        <v>1695</v>
      </c>
      <c r="C1701" s="39"/>
      <c r="D1701" s="40"/>
      <c r="E1701" s="34" t="s">
        <v>323</v>
      </c>
      <c r="F1701" s="75" t="s">
        <v>2066</v>
      </c>
      <c r="G1701" s="35" t="s">
        <v>370</v>
      </c>
      <c r="H1701" s="41" t="s">
        <v>371</v>
      </c>
      <c r="I1701" s="44" t="str">
        <f>"0x"&amp;AE_w_WORK!J164</f>
        <v>0x0000</v>
      </c>
      <c r="J1701" s="36">
        <v>41911</v>
      </c>
      <c r="K1701" s="37"/>
      <c r="L1701" s="74">
        <f t="shared" si="28"/>
        <v>3390</v>
      </c>
    </row>
    <row r="1702" spans="1:12" hidden="1" outlineLevel="1">
      <c r="A1702" s="8"/>
      <c r="B1702" s="73">
        <v>1696</v>
      </c>
      <c r="C1702" s="39"/>
      <c r="D1702" s="40"/>
      <c r="E1702" s="34" t="s">
        <v>323</v>
      </c>
      <c r="F1702" s="75" t="s">
        <v>2067</v>
      </c>
      <c r="G1702" s="35" t="s">
        <v>370</v>
      </c>
      <c r="H1702" s="41" t="s">
        <v>371</v>
      </c>
      <c r="I1702" s="44" t="str">
        <f>"0x"&amp;AE_w_WORK!J165</f>
        <v>0x0000</v>
      </c>
      <c r="J1702" s="36">
        <v>41912</v>
      </c>
      <c r="K1702" s="37"/>
      <c r="L1702" s="74">
        <f t="shared" si="28"/>
        <v>3392</v>
      </c>
    </row>
    <row r="1703" spans="1:12" hidden="1" outlineLevel="1">
      <c r="A1703" s="8"/>
      <c r="B1703" s="73">
        <v>1697</v>
      </c>
      <c r="C1703" s="39"/>
      <c r="D1703" s="40"/>
      <c r="E1703" s="34" t="s">
        <v>323</v>
      </c>
      <c r="F1703" s="75" t="s">
        <v>2068</v>
      </c>
      <c r="G1703" s="35" t="s">
        <v>370</v>
      </c>
      <c r="H1703" s="41" t="s">
        <v>371</v>
      </c>
      <c r="I1703" s="44" t="str">
        <f>"0x"&amp;AE_w_WORK!J166</f>
        <v>0x0000</v>
      </c>
      <c r="J1703" s="36">
        <v>41913</v>
      </c>
      <c r="K1703" s="37"/>
      <c r="L1703" s="74">
        <f t="shared" si="28"/>
        <v>3394</v>
      </c>
    </row>
    <row r="1704" spans="1:12" hidden="1" outlineLevel="1">
      <c r="A1704" s="8"/>
      <c r="B1704" s="73">
        <v>1698</v>
      </c>
      <c r="C1704" s="39"/>
      <c r="D1704" s="40"/>
      <c r="E1704" s="34" t="s">
        <v>323</v>
      </c>
      <c r="F1704" s="75" t="s">
        <v>2069</v>
      </c>
      <c r="G1704" s="35" t="s">
        <v>370</v>
      </c>
      <c r="H1704" s="41" t="s">
        <v>371</v>
      </c>
      <c r="I1704" s="44" t="str">
        <f>"0x"&amp;AE_w_WORK!J167</f>
        <v>0x0000</v>
      </c>
      <c r="J1704" s="36">
        <v>41914</v>
      </c>
      <c r="K1704" s="37"/>
      <c r="L1704" s="74">
        <f t="shared" si="28"/>
        <v>3396</v>
      </c>
    </row>
    <row r="1705" spans="1:12" hidden="1" outlineLevel="1">
      <c r="A1705" s="8"/>
      <c r="B1705" s="73">
        <v>1699</v>
      </c>
      <c r="C1705" s="39"/>
      <c r="D1705" s="40"/>
      <c r="E1705" s="34" t="s">
        <v>323</v>
      </c>
      <c r="F1705" s="75" t="s">
        <v>2070</v>
      </c>
      <c r="G1705" s="35" t="s">
        <v>370</v>
      </c>
      <c r="H1705" s="41" t="s">
        <v>371</v>
      </c>
      <c r="I1705" s="44" t="str">
        <f>"0x"&amp;AE_w_WORK!J168</f>
        <v>0x7777</v>
      </c>
      <c r="J1705" s="36">
        <v>41915</v>
      </c>
      <c r="K1705" s="37"/>
      <c r="L1705" s="74">
        <f t="shared" si="28"/>
        <v>3398</v>
      </c>
    </row>
    <row r="1706" spans="1:12" hidden="1" outlineLevel="1">
      <c r="A1706" s="8"/>
      <c r="B1706" s="73">
        <v>1700</v>
      </c>
      <c r="C1706" s="39"/>
      <c r="D1706" s="40"/>
      <c r="E1706" s="34" t="s">
        <v>323</v>
      </c>
      <c r="F1706" s="75" t="s">
        <v>2071</v>
      </c>
      <c r="G1706" s="35" t="s">
        <v>370</v>
      </c>
      <c r="H1706" s="41" t="s">
        <v>371</v>
      </c>
      <c r="I1706" s="44" t="str">
        <f>"0x"&amp;AE_w_WORK!J169</f>
        <v>0xBBBB</v>
      </c>
      <c r="J1706" s="36">
        <v>41916</v>
      </c>
      <c r="K1706" s="37"/>
      <c r="L1706" s="74">
        <f t="shared" si="28"/>
        <v>3400</v>
      </c>
    </row>
    <row r="1707" spans="1:12" hidden="1" outlineLevel="1">
      <c r="A1707" s="8"/>
      <c r="B1707" s="73">
        <v>1701</v>
      </c>
      <c r="C1707" s="39"/>
      <c r="D1707" s="40"/>
      <c r="E1707" s="34" t="s">
        <v>323</v>
      </c>
      <c r="F1707" s="75" t="s">
        <v>2072</v>
      </c>
      <c r="G1707" s="35" t="s">
        <v>370</v>
      </c>
      <c r="H1707" s="41" t="s">
        <v>371</v>
      </c>
      <c r="I1707" s="44" t="str">
        <f>"0x"&amp;AE_w_WORK!J170</f>
        <v>0xBBBB</v>
      </c>
      <c r="J1707" s="36">
        <v>41917</v>
      </c>
      <c r="K1707" s="37"/>
      <c r="L1707" s="74">
        <f t="shared" si="28"/>
        <v>3402</v>
      </c>
    </row>
    <row r="1708" spans="1:12" hidden="1" outlineLevel="1">
      <c r="A1708" s="8"/>
      <c r="B1708" s="73">
        <v>1702</v>
      </c>
      <c r="C1708" s="39"/>
      <c r="D1708" s="40"/>
      <c r="E1708" s="34" t="s">
        <v>323</v>
      </c>
      <c r="F1708" s="75" t="s">
        <v>2073</v>
      </c>
      <c r="G1708" s="35" t="s">
        <v>370</v>
      </c>
      <c r="H1708" s="41" t="s">
        <v>371</v>
      </c>
      <c r="I1708" s="44" t="str">
        <f>"0x"&amp;AE_w_WORK!J171</f>
        <v>0x7777</v>
      </c>
      <c r="J1708" s="36">
        <v>41918</v>
      </c>
      <c r="K1708" s="37"/>
      <c r="L1708" s="74">
        <f t="shared" si="28"/>
        <v>3404</v>
      </c>
    </row>
    <row r="1709" spans="1:12" hidden="1" outlineLevel="1">
      <c r="A1709" s="8"/>
      <c r="B1709" s="73">
        <v>1703</v>
      </c>
      <c r="C1709" s="39"/>
      <c r="D1709" s="40"/>
      <c r="E1709" s="34" t="s">
        <v>323</v>
      </c>
      <c r="F1709" s="75" t="s">
        <v>2074</v>
      </c>
      <c r="G1709" s="35" t="s">
        <v>370</v>
      </c>
      <c r="H1709" s="41" t="s">
        <v>371</v>
      </c>
      <c r="I1709" s="44" t="str">
        <f>"0x"&amp;AE_w_WORK!J172</f>
        <v>0x0000</v>
      </c>
      <c r="J1709" s="36">
        <v>41919</v>
      </c>
      <c r="K1709" s="37"/>
      <c r="L1709" s="74">
        <f t="shared" si="28"/>
        <v>3406</v>
      </c>
    </row>
    <row r="1710" spans="1:12" hidden="1" outlineLevel="1">
      <c r="A1710" s="8"/>
      <c r="B1710" s="73">
        <v>1704</v>
      </c>
      <c r="C1710" s="39"/>
      <c r="D1710" s="40"/>
      <c r="E1710" s="34" t="s">
        <v>323</v>
      </c>
      <c r="F1710" s="75" t="s">
        <v>2075</v>
      </c>
      <c r="G1710" s="35" t="s">
        <v>370</v>
      </c>
      <c r="H1710" s="41" t="s">
        <v>371</v>
      </c>
      <c r="I1710" s="44" t="str">
        <f>"0x"&amp;AE_w_WORK!J173</f>
        <v>0x0000</v>
      </c>
      <c r="J1710" s="36">
        <v>41920</v>
      </c>
      <c r="K1710" s="37"/>
      <c r="L1710" s="74">
        <f t="shared" si="28"/>
        <v>3408</v>
      </c>
    </row>
    <row r="1711" spans="1:12" hidden="1" outlineLevel="1">
      <c r="A1711" s="8"/>
      <c r="B1711" s="73">
        <v>1705</v>
      </c>
      <c r="C1711" s="39"/>
      <c r="D1711" s="40"/>
      <c r="E1711" s="34" t="s">
        <v>323</v>
      </c>
      <c r="F1711" s="75" t="s">
        <v>2076</v>
      </c>
      <c r="G1711" s="35" t="s">
        <v>370</v>
      </c>
      <c r="H1711" s="41" t="s">
        <v>371</v>
      </c>
      <c r="I1711" s="44" t="str">
        <f>"0x"&amp;AE_w_WORK!J174</f>
        <v>0x0000</v>
      </c>
      <c r="J1711" s="36">
        <v>41921</v>
      </c>
      <c r="K1711" s="37"/>
      <c r="L1711" s="74">
        <f t="shared" si="28"/>
        <v>3410</v>
      </c>
    </row>
    <row r="1712" spans="1:12" hidden="1" outlineLevel="1">
      <c r="A1712" s="8"/>
      <c r="B1712" s="73">
        <v>1706</v>
      </c>
      <c r="C1712" s="39"/>
      <c r="D1712" s="40"/>
      <c r="E1712" s="34" t="s">
        <v>323</v>
      </c>
      <c r="F1712" s="75" t="s">
        <v>2077</v>
      </c>
      <c r="G1712" s="35" t="s">
        <v>370</v>
      </c>
      <c r="H1712" s="41" t="s">
        <v>371</v>
      </c>
      <c r="I1712" s="44" t="str">
        <f>"0x"&amp;AE_w_WORK!J175</f>
        <v>0x0000</v>
      </c>
      <c r="J1712" s="36">
        <v>41922</v>
      </c>
      <c r="K1712" s="37"/>
      <c r="L1712" s="74">
        <f t="shared" si="28"/>
        <v>3412</v>
      </c>
    </row>
    <row r="1713" spans="1:12" hidden="1" outlineLevel="1">
      <c r="A1713" s="8"/>
      <c r="B1713" s="73">
        <v>1707</v>
      </c>
      <c r="C1713" s="39"/>
      <c r="D1713" s="40"/>
      <c r="E1713" s="34" t="s">
        <v>323</v>
      </c>
      <c r="F1713" s="75" t="s">
        <v>2078</v>
      </c>
      <c r="G1713" s="35" t="s">
        <v>370</v>
      </c>
      <c r="H1713" s="41" t="s">
        <v>371</v>
      </c>
      <c r="I1713" s="44" t="str">
        <f>"0x"&amp;AE_w_WORK!J176</f>
        <v>0x7777</v>
      </c>
      <c r="J1713" s="36">
        <v>41923</v>
      </c>
      <c r="K1713" s="37"/>
      <c r="L1713" s="74">
        <f t="shared" si="28"/>
        <v>3414</v>
      </c>
    </row>
    <row r="1714" spans="1:12" hidden="1" outlineLevel="1">
      <c r="A1714" s="8"/>
      <c r="B1714" s="73">
        <v>1708</v>
      </c>
      <c r="C1714" s="39"/>
      <c r="D1714" s="40"/>
      <c r="E1714" s="34" t="s">
        <v>323</v>
      </c>
      <c r="F1714" s="75" t="s">
        <v>2079</v>
      </c>
      <c r="G1714" s="35" t="s">
        <v>370</v>
      </c>
      <c r="H1714" s="41" t="s">
        <v>371</v>
      </c>
      <c r="I1714" s="44" t="str">
        <f>"0x"&amp;AE_w_WORK!J177</f>
        <v>0xBBBB</v>
      </c>
      <c r="J1714" s="36">
        <v>41924</v>
      </c>
      <c r="K1714" s="37"/>
      <c r="L1714" s="74">
        <f t="shared" si="28"/>
        <v>3416</v>
      </c>
    </row>
    <row r="1715" spans="1:12" hidden="1" outlineLevel="1">
      <c r="A1715" s="8"/>
      <c r="B1715" s="73">
        <v>1709</v>
      </c>
      <c r="C1715" s="39"/>
      <c r="D1715" s="40"/>
      <c r="E1715" s="34" t="s">
        <v>323</v>
      </c>
      <c r="F1715" s="75" t="s">
        <v>2080</v>
      </c>
      <c r="G1715" s="35" t="s">
        <v>370</v>
      </c>
      <c r="H1715" s="41" t="s">
        <v>371</v>
      </c>
      <c r="I1715" s="44" t="str">
        <f>"0x"&amp;AE_w_WORK!J178</f>
        <v>0xBBBB</v>
      </c>
      <c r="J1715" s="36">
        <v>41925</v>
      </c>
      <c r="K1715" s="37"/>
      <c r="L1715" s="74">
        <f t="shared" si="28"/>
        <v>3418</v>
      </c>
    </row>
    <row r="1716" spans="1:12" hidden="1" outlineLevel="1">
      <c r="A1716" s="8"/>
      <c r="B1716" s="73">
        <v>1710</v>
      </c>
      <c r="C1716" s="39"/>
      <c r="D1716" s="40"/>
      <c r="E1716" s="34" t="s">
        <v>323</v>
      </c>
      <c r="F1716" s="75" t="s">
        <v>2081</v>
      </c>
      <c r="G1716" s="35" t="s">
        <v>370</v>
      </c>
      <c r="H1716" s="41" t="s">
        <v>371</v>
      </c>
      <c r="I1716" s="44" t="str">
        <f>"0x"&amp;AE_w_WORK!J179</f>
        <v>0x7777</v>
      </c>
      <c r="J1716" s="36">
        <v>41926</v>
      </c>
      <c r="K1716" s="37"/>
      <c r="L1716" s="74">
        <f t="shared" si="28"/>
        <v>3420</v>
      </c>
    </row>
    <row r="1717" spans="1:12" hidden="1" outlineLevel="1">
      <c r="A1717" s="8"/>
      <c r="B1717" s="73">
        <v>1711</v>
      </c>
      <c r="C1717" s="39"/>
      <c r="D1717" s="40"/>
      <c r="E1717" s="34" t="s">
        <v>323</v>
      </c>
      <c r="F1717" s="75" t="s">
        <v>2082</v>
      </c>
      <c r="G1717" s="35" t="s">
        <v>370</v>
      </c>
      <c r="H1717" s="41" t="s">
        <v>371</v>
      </c>
      <c r="I1717" s="44" t="str">
        <f>"0x"&amp;AE_w_WORK!J180</f>
        <v>0x0000</v>
      </c>
      <c r="J1717" s="36">
        <v>41927</v>
      </c>
      <c r="K1717" s="37"/>
      <c r="L1717" s="74">
        <f t="shared" si="28"/>
        <v>3422</v>
      </c>
    </row>
    <row r="1718" spans="1:12" hidden="1" outlineLevel="1">
      <c r="A1718" s="8"/>
      <c r="B1718" s="73">
        <v>1712</v>
      </c>
      <c r="C1718" s="39"/>
      <c r="D1718" s="40"/>
      <c r="E1718" s="34" t="s">
        <v>323</v>
      </c>
      <c r="F1718" s="75" t="s">
        <v>2083</v>
      </c>
      <c r="G1718" s="35" t="s">
        <v>370</v>
      </c>
      <c r="H1718" s="41" t="s">
        <v>371</v>
      </c>
      <c r="I1718" s="44" t="str">
        <f>"0x"&amp;AE_w_WORK!J181</f>
        <v>0x0000</v>
      </c>
      <c r="J1718" s="36">
        <v>41928</v>
      </c>
      <c r="K1718" s="37"/>
      <c r="L1718" s="74">
        <f t="shared" si="28"/>
        <v>3424</v>
      </c>
    </row>
    <row r="1719" spans="1:12" hidden="1" outlineLevel="1">
      <c r="A1719" s="8"/>
      <c r="B1719" s="73">
        <v>1713</v>
      </c>
      <c r="C1719" s="39"/>
      <c r="D1719" s="40"/>
      <c r="E1719" s="34" t="s">
        <v>323</v>
      </c>
      <c r="F1719" s="75" t="s">
        <v>2084</v>
      </c>
      <c r="G1719" s="35" t="s">
        <v>370</v>
      </c>
      <c r="H1719" s="41" t="s">
        <v>371</v>
      </c>
      <c r="I1719" s="44" t="str">
        <f>"0x"&amp;AE_w_WORK!J182</f>
        <v>0x0000</v>
      </c>
      <c r="J1719" s="36">
        <v>41929</v>
      </c>
      <c r="K1719" s="37"/>
      <c r="L1719" s="74">
        <f t="shared" si="28"/>
        <v>3426</v>
      </c>
    </row>
    <row r="1720" spans="1:12" hidden="1" outlineLevel="1">
      <c r="A1720" s="8"/>
      <c r="B1720" s="73">
        <v>1714</v>
      </c>
      <c r="C1720" s="39"/>
      <c r="D1720" s="40"/>
      <c r="E1720" s="34" t="s">
        <v>323</v>
      </c>
      <c r="F1720" s="75" t="s">
        <v>2085</v>
      </c>
      <c r="G1720" s="35" t="s">
        <v>370</v>
      </c>
      <c r="H1720" s="41" t="s">
        <v>371</v>
      </c>
      <c r="I1720" s="44" t="str">
        <f>"0x"&amp;AE_w_WORK!J183</f>
        <v>0x0000</v>
      </c>
      <c r="J1720" s="36">
        <v>41930</v>
      </c>
      <c r="K1720" s="37"/>
      <c r="L1720" s="74">
        <f t="shared" si="28"/>
        <v>3428</v>
      </c>
    </row>
    <row r="1721" spans="1:12" hidden="1" outlineLevel="1">
      <c r="A1721" s="8"/>
      <c r="B1721" s="73">
        <v>1715</v>
      </c>
      <c r="C1721" s="39"/>
      <c r="D1721" s="40"/>
      <c r="E1721" s="34" t="s">
        <v>323</v>
      </c>
      <c r="F1721" s="75" t="s">
        <v>2086</v>
      </c>
      <c r="G1721" s="35" t="s">
        <v>370</v>
      </c>
      <c r="H1721" s="41" t="s">
        <v>371</v>
      </c>
      <c r="I1721" s="44" t="str">
        <f>"0x"&amp;AE_w_WORK!J184</f>
        <v>0x0077</v>
      </c>
      <c r="J1721" s="36">
        <v>41931</v>
      </c>
      <c r="K1721" s="37"/>
      <c r="L1721" s="74">
        <f t="shared" si="28"/>
        <v>3430</v>
      </c>
    </row>
    <row r="1722" spans="1:12" hidden="1" outlineLevel="1">
      <c r="A1722" s="8"/>
      <c r="B1722" s="73">
        <v>1716</v>
      </c>
      <c r="C1722" s="39"/>
      <c r="D1722" s="40"/>
      <c r="E1722" s="34" t="s">
        <v>323</v>
      </c>
      <c r="F1722" s="75" t="s">
        <v>2087</v>
      </c>
      <c r="G1722" s="35" t="s">
        <v>370</v>
      </c>
      <c r="H1722" s="41" t="s">
        <v>371</v>
      </c>
      <c r="I1722" s="44" t="str">
        <f>"0x"&amp;AE_w_WORK!J185</f>
        <v>0x7777</v>
      </c>
      <c r="J1722" s="36">
        <v>41932</v>
      </c>
      <c r="K1722" s="37"/>
      <c r="L1722" s="74">
        <f t="shared" si="28"/>
        <v>3432</v>
      </c>
    </row>
    <row r="1723" spans="1:12" hidden="1" outlineLevel="1">
      <c r="A1723" s="8"/>
      <c r="B1723" s="73">
        <v>1717</v>
      </c>
      <c r="C1723" s="39"/>
      <c r="D1723" s="40"/>
      <c r="E1723" s="34" t="s">
        <v>323</v>
      </c>
      <c r="F1723" s="75" t="s">
        <v>2088</v>
      </c>
      <c r="G1723" s="35" t="s">
        <v>370</v>
      </c>
      <c r="H1723" s="41" t="s">
        <v>371</v>
      </c>
      <c r="I1723" s="44" t="str">
        <f>"0x"&amp;AE_w_WORK!J186</f>
        <v>0x7777</v>
      </c>
      <c r="J1723" s="36">
        <v>41933</v>
      </c>
      <c r="K1723" s="37"/>
      <c r="L1723" s="74">
        <f t="shared" si="28"/>
        <v>3434</v>
      </c>
    </row>
    <row r="1724" spans="1:12" hidden="1" outlineLevel="1">
      <c r="A1724" s="8"/>
      <c r="B1724" s="73">
        <v>1718</v>
      </c>
      <c r="C1724" s="39"/>
      <c r="D1724" s="40"/>
      <c r="E1724" s="34" t="s">
        <v>323</v>
      </c>
      <c r="F1724" s="75" t="s">
        <v>2089</v>
      </c>
      <c r="G1724" s="35" t="s">
        <v>370</v>
      </c>
      <c r="H1724" s="41" t="s">
        <v>371</v>
      </c>
      <c r="I1724" s="44" t="str">
        <f>"0x"&amp;AE_w_WORK!J187</f>
        <v>0x0000</v>
      </c>
      <c r="J1724" s="36">
        <v>41934</v>
      </c>
      <c r="K1724" s="37"/>
      <c r="L1724" s="74">
        <f t="shared" si="28"/>
        <v>3436</v>
      </c>
    </row>
    <row r="1725" spans="1:12" hidden="1" outlineLevel="1">
      <c r="A1725" s="8"/>
      <c r="B1725" s="73">
        <v>1719</v>
      </c>
      <c r="C1725" s="39"/>
      <c r="D1725" s="40"/>
      <c r="E1725" s="34" t="s">
        <v>323</v>
      </c>
      <c r="F1725" s="75" t="s">
        <v>2090</v>
      </c>
      <c r="G1725" s="35" t="s">
        <v>370</v>
      </c>
      <c r="H1725" s="41" t="s">
        <v>371</v>
      </c>
      <c r="I1725" s="44" t="str">
        <f>"0x"&amp;AE_w_WORK!J188</f>
        <v>0x0000</v>
      </c>
      <c r="J1725" s="36">
        <v>41935</v>
      </c>
      <c r="K1725" s="37"/>
      <c r="L1725" s="74">
        <f t="shared" si="28"/>
        <v>3438</v>
      </c>
    </row>
    <row r="1726" spans="1:12" hidden="1" outlineLevel="1">
      <c r="A1726" s="8"/>
      <c r="B1726" s="73">
        <v>1720</v>
      </c>
      <c r="C1726" s="39"/>
      <c r="D1726" s="40"/>
      <c r="E1726" s="34" t="s">
        <v>323</v>
      </c>
      <c r="F1726" s="75" t="s">
        <v>2091</v>
      </c>
      <c r="G1726" s="35" t="s">
        <v>370</v>
      </c>
      <c r="H1726" s="41" t="s">
        <v>371</v>
      </c>
      <c r="I1726" s="44" t="str">
        <f>"0x"&amp;AE_w_WORK!J189</f>
        <v>0x0000</v>
      </c>
      <c r="J1726" s="36">
        <v>41936</v>
      </c>
      <c r="K1726" s="37"/>
      <c r="L1726" s="74">
        <f t="shared" si="28"/>
        <v>3440</v>
      </c>
    </row>
    <row r="1727" spans="1:12" hidden="1" outlineLevel="1">
      <c r="A1727" s="8"/>
      <c r="B1727" s="73">
        <v>1721</v>
      </c>
      <c r="C1727" s="39"/>
      <c r="D1727" s="40"/>
      <c r="E1727" s="34" t="s">
        <v>323</v>
      </c>
      <c r="F1727" s="75" t="s">
        <v>2092</v>
      </c>
      <c r="G1727" s="35" t="s">
        <v>370</v>
      </c>
      <c r="H1727" s="41" t="s">
        <v>371</v>
      </c>
      <c r="I1727" s="44" t="str">
        <f>"0x"&amp;AE_w_WORK!J190</f>
        <v>0x0000</v>
      </c>
      <c r="J1727" s="36">
        <v>41937</v>
      </c>
      <c r="K1727" s="37"/>
      <c r="L1727" s="74">
        <f t="shared" si="28"/>
        <v>3442</v>
      </c>
    </row>
    <row r="1728" spans="1:12" hidden="1" outlineLevel="1">
      <c r="A1728" s="8"/>
      <c r="B1728" s="73">
        <v>1722</v>
      </c>
      <c r="C1728" s="39"/>
      <c r="D1728" s="40"/>
      <c r="E1728" s="34" t="s">
        <v>323</v>
      </c>
      <c r="F1728" s="75" t="s">
        <v>2093</v>
      </c>
      <c r="G1728" s="35" t="s">
        <v>370</v>
      </c>
      <c r="H1728" s="41" t="s">
        <v>371</v>
      </c>
      <c r="I1728" s="44" t="str">
        <f>"0x"&amp;AE_w_WORK!J191</f>
        <v>0x0000</v>
      </c>
      <c r="J1728" s="36">
        <v>41938</v>
      </c>
      <c r="K1728" s="37"/>
      <c r="L1728" s="74">
        <f t="shared" si="28"/>
        <v>3444</v>
      </c>
    </row>
    <row r="1729" spans="1:12" hidden="1" outlineLevel="1">
      <c r="A1729" s="8"/>
      <c r="B1729" s="73">
        <v>1723</v>
      </c>
      <c r="C1729" s="39"/>
      <c r="D1729" s="40"/>
      <c r="E1729" s="34" t="s">
        <v>323</v>
      </c>
      <c r="F1729" s="75" t="s">
        <v>2094</v>
      </c>
      <c r="G1729" s="35" t="s">
        <v>370</v>
      </c>
      <c r="H1729" s="41" t="s">
        <v>371</v>
      </c>
      <c r="I1729" s="44" t="str">
        <f>"0x"&amp;AE_w_WORK!J192</f>
        <v>0x0077</v>
      </c>
      <c r="J1729" s="36">
        <v>41939</v>
      </c>
      <c r="K1729" s="37"/>
      <c r="L1729" s="74">
        <f t="shared" si="28"/>
        <v>3446</v>
      </c>
    </row>
    <row r="1730" spans="1:12" hidden="1" outlineLevel="1">
      <c r="A1730" s="8"/>
      <c r="B1730" s="73">
        <v>1724</v>
      </c>
      <c r="C1730" s="39"/>
      <c r="D1730" s="40"/>
      <c r="E1730" s="34" t="s">
        <v>323</v>
      </c>
      <c r="F1730" s="75" t="s">
        <v>2095</v>
      </c>
      <c r="G1730" s="35" t="s">
        <v>370</v>
      </c>
      <c r="H1730" s="41" t="s">
        <v>371</v>
      </c>
      <c r="I1730" s="44" t="str">
        <f>"0x"&amp;AE_w_WORK!J193</f>
        <v>0x7777</v>
      </c>
      <c r="J1730" s="36">
        <v>41940</v>
      </c>
      <c r="K1730" s="37"/>
      <c r="L1730" s="74">
        <f t="shared" si="28"/>
        <v>3448</v>
      </c>
    </row>
    <row r="1731" spans="1:12" hidden="1" outlineLevel="1">
      <c r="A1731" s="8"/>
      <c r="B1731" s="73">
        <v>1725</v>
      </c>
      <c r="C1731" s="39"/>
      <c r="D1731" s="40"/>
      <c r="E1731" s="34" t="s">
        <v>323</v>
      </c>
      <c r="F1731" s="75" t="s">
        <v>2096</v>
      </c>
      <c r="G1731" s="35" t="s">
        <v>370</v>
      </c>
      <c r="H1731" s="41" t="s">
        <v>371</v>
      </c>
      <c r="I1731" s="44" t="str">
        <f>"0x"&amp;AE_w_WORK!J194</f>
        <v>0x7777</v>
      </c>
      <c r="J1731" s="36">
        <v>41941</v>
      </c>
      <c r="K1731" s="37"/>
      <c r="L1731" s="74">
        <f t="shared" si="28"/>
        <v>3450</v>
      </c>
    </row>
    <row r="1732" spans="1:12" hidden="1" outlineLevel="1">
      <c r="A1732" s="8"/>
      <c r="B1732" s="73">
        <v>1726</v>
      </c>
      <c r="C1732" s="39"/>
      <c r="D1732" s="40"/>
      <c r="E1732" s="34" t="s">
        <v>323</v>
      </c>
      <c r="F1732" s="75" t="s">
        <v>2097</v>
      </c>
      <c r="G1732" s="35" t="s">
        <v>370</v>
      </c>
      <c r="H1732" s="41" t="s">
        <v>371</v>
      </c>
      <c r="I1732" s="44" t="str">
        <f>"0x"&amp;AE_w_WORK!J195</f>
        <v>0x0000</v>
      </c>
      <c r="J1732" s="36">
        <v>41942</v>
      </c>
      <c r="K1732" s="37"/>
      <c r="L1732" s="74">
        <f t="shared" si="28"/>
        <v>3452</v>
      </c>
    </row>
    <row r="1733" spans="1:12" hidden="1" outlineLevel="1">
      <c r="A1733" s="8"/>
      <c r="B1733" s="73">
        <v>1727</v>
      </c>
      <c r="C1733" s="39"/>
      <c r="D1733" s="40"/>
      <c r="E1733" s="34" t="s">
        <v>323</v>
      </c>
      <c r="F1733" s="75" t="s">
        <v>2098</v>
      </c>
      <c r="G1733" s="35" t="s">
        <v>370</v>
      </c>
      <c r="H1733" s="41" t="s">
        <v>371</v>
      </c>
      <c r="I1733" s="44" t="str">
        <f>"0x"&amp;AE_w_WORK!J196</f>
        <v>0x0000</v>
      </c>
      <c r="J1733" s="36">
        <v>41943</v>
      </c>
      <c r="K1733" s="37"/>
      <c r="L1733" s="74">
        <f t="shared" si="28"/>
        <v>3454</v>
      </c>
    </row>
    <row r="1734" spans="1:12" hidden="1" outlineLevel="1">
      <c r="A1734" s="8"/>
      <c r="B1734" s="73">
        <v>1728</v>
      </c>
      <c r="C1734" s="39"/>
      <c r="D1734" s="40"/>
      <c r="E1734" s="34" t="s">
        <v>323</v>
      </c>
      <c r="F1734" s="75" t="s">
        <v>2099</v>
      </c>
      <c r="G1734" s="35" t="s">
        <v>370</v>
      </c>
      <c r="H1734" s="41" t="s">
        <v>371</v>
      </c>
      <c r="I1734" s="44" t="str">
        <f>"0x"&amp;AE_w_WORK!J197</f>
        <v>0x0000</v>
      </c>
      <c r="J1734" s="36">
        <v>41944</v>
      </c>
      <c r="K1734" s="37"/>
      <c r="L1734" s="74">
        <f t="shared" si="28"/>
        <v>3456</v>
      </c>
    </row>
    <row r="1735" spans="1:12" hidden="1" outlineLevel="1">
      <c r="A1735" s="8"/>
      <c r="B1735" s="73">
        <v>1729</v>
      </c>
      <c r="C1735" s="39"/>
      <c r="D1735" s="40"/>
      <c r="E1735" s="34" t="s">
        <v>323</v>
      </c>
      <c r="F1735" s="75" t="s">
        <v>2100</v>
      </c>
      <c r="G1735" s="35" t="s">
        <v>370</v>
      </c>
      <c r="H1735" s="41" t="s">
        <v>371</v>
      </c>
      <c r="I1735" s="44" t="str">
        <f>"0x"&amp;AE_w_WORK!J198</f>
        <v>0x0000</v>
      </c>
      <c r="J1735" s="36">
        <v>41945</v>
      </c>
      <c r="K1735" s="37"/>
      <c r="L1735" s="74">
        <f t="shared" si="28"/>
        <v>3458</v>
      </c>
    </row>
    <row r="1736" spans="1:12" hidden="1" outlineLevel="1">
      <c r="A1736" s="8"/>
      <c r="B1736" s="73">
        <v>1730</v>
      </c>
      <c r="C1736" s="39"/>
      <c r="D1736" s="40"/>
      <c r="E1736" s="34" t="s">
        <v>323</v>
      </c>
      <c r="F1736" s="75" t="s">
        <v>2101</v>
      </c>
      <c r="G1736" s="35" t="s">
        <v>370</v>
      </c>
      <c r="H1736" s="41" t="s">
        <v>371</v>
      </c>
      <c r="I1736" s="44" t="str">
        <f>"0x"&amp;AE_w_WORK!J199</f>
        <v>0x0000</v>
      </c>
      <c r="J1736" s="36">
        <v>41946</v>
      </c>
      <c r="K1736" s="37"/>
      <c r="L1736" s="74">
        <f t="shared" si="28"/>
        <v>3460</v>
      </c>
    </row>
    <row r="1737" spans="1:12" hidden="1" outlineLevel="1">
      <c r="A1737" s="8"/>
      <c r="B1737" s="73">
        <v>1731</v>
      </c>
      <c r="C1737" s="39"/>
      <c r="D1737" s="40"/>
      <c r="E1737" s="34" t="s">
        <v>323</v>
      </c>
      <c r="F1737" s="75" t="s">
        <v>2102</v>
      </c>
      <c r="G1737" s="35" t="s">
        <v>370</v>
      </c>
      <c r="H1737" s="41" t="s">
        <v>371</v>
      </c>
      <c r="I1737" s="44" t="str">
        <f>"0x"&amp;AE_w_WORK!J200</f>
        <v>0x0000</v>
      </c>
      <c r="J1737" s="36">
        <v>41947</v>
      </c>
      <c r="K1737" s="37"/>
      <c r="L1737" s="74">
        <f t="shared" ref="L1737:L1800" si="29">L1736+2</f>
        <v>3462</v>
      </c>
    </row>
    <row r="1738" spans="1:12" hidden="1" outlineLevel="1">
      <c r="A1738" s="8"/>
      <c r="B1738" s="73">
        <v>1732</v>
      </c>
      <c r="C1738" s="39"/>
      <c r="D1738" s="40"/>
      <c r="E1738" s="34" t="s">
        <v>323</v>
      </c>
      <c r="F1738" s="75" t="s">
        <v>2103</v>
      </c>
      <c r="G1738" s="35" t="s">
        <v>370</v>
      </c>
      <c r="H1738" s="41" t="s">
        <v>371</v>
      </c>
      <c r="I1738" s="44" t="str">
        <f>"0x"&amp;AE_w_WORK!J201</f>
        <v>0x0077</v>
      </c>
      <c r="J1738" s="36">
        <v>41948</v>
      </c>
      <c r="K1738" s="37"/>
      <c r="L1738" s="74">
        <f t="shared" si="29"/>
        <v>3464</v>
      </c>
    </row>
    <row r="1739" spans="1:12" hidden="1" outlineLevel="1">
      <c r="A1739" s="8"/>
      <c r="B1739" s="73">
        <v>1733</v>
      </c>
      <c r="C1739" s="39"/>
      <c r="D1739" s="40"/>
      <c r="E1739" s="34" t="s">
        <v>323</v>
      </c>
      <c r="F1739" s="75" t="s">
        <v>2104</v>
      </c>
      <c r="G1739" s="35" t="s">
        <v>370</v>
      </c>
      <c r="H1739" s="41" t="s">
        <v>371</v>
      </c>
      <c r="I1739" s="44" t="str">
        <f>"0x"&amp;AE_w_WORK!J202</f>
        <v>0x7700</v>
      </c>
      <c r="J1739" s="36">
        <v>41949</v>
      </c>
      <c r="K1739" s="37"/>
      <c r="L1739" s="74">
        <f t="shared" si="29"/>
        <v>3466</v>
      </c>
    </row>
    <row r="1740" spans="1:12" hidden="1" outlineLevel="1">
      <c r="A1740" s="8"/>
      <c r="B1740" s="73">
        <v>1734</v>
      </c>
      <c r="C1740" s="39"/>
      <c r="D1740" s="40"/>
      <c r="E1740" s="34" t="s">
        <v>323</v>
      </c>
      <c r="F1740" s="75" t="s">
        <v>2105</v>
      </c>
      <c r="G1740" s="35" t="s">
        <v>370</v>
      </c>
      <c r="H1740" s="41" t="s">
        <v>371</v>
      </c>
      <c r="I1740" s="44" t="str">
        <f>"0x"&amp;AE_w_WORK!J203</f>
        <v>0x0000</v>
      </c>
      <c r="J1740" s="36">
        <v>41950</v>
      </c>
      <c r="K1740" s="37"/>
      <c r="L1740" s="74">
        <f t="shared" si="29"/>
        <v>3468</v>
      </c>
    </row>
    <row r="1741" spans="1:12" hidden="1" outlineLevel="1">
      <c r="A1741" s="8"/>
      <c r="B1741" s="73">
        <v>1735</v>
      </c>
      <c r="C1741" s="39"/>
      <c r="D1741" s="40"/>
      <c r="E1741" s="34" t="s">
        <v>323</v>
      </c>
      <c r="F1741" s="75" t="s">
        <v>2106</v>
      </c>
      <c r="G1741" s="35" t="s">
        <v>370</v>
      </c>
      <c r="H1741" s="41" t="s">
        <v>371</v>
      </c>
      <c r="I1741" s="44" t="str">
        <f>"0x"&amp;AE_w_WORK!J204</f>
        <v>0x0000</v>
      </c>
      <c r="J1741" s="36">
        <v>41951</v>
      </c>
      <c r="K1741" s="37"/>
      <c r="L1741" s="74">
        <f t="shared" si="29"/>
        <v>3470</v>
      </c>
    </row>
    <row r="1742" spans="1:12" hidden="1" outlineLevel="1">
      <c r="A1742" s="8"/>
      <c r="B1742" s="73">
        <v>1736</v>
      </c>
      <c r="C1742" s="39"/>
      <c r="D1742" s="40"/>
      <c r="E1742" s="34" t="s">
        <v>323</v>
      </c>
      <c r="F1742" s="75" t="s">
        <v>2107</v>
      </c>
      <c r="G1742" s="35" t="s">
        <v>370</v>
      </c>
      <c r="H1742" s="41" t="s">
        <v>371</v>
      </c>
      <c r="I1742" s="44" t="str">
        <f>"0x"&amp;AE_w_WORK!J205</f>
        <v>0x0000</v>
      </c>
      <c r="J1742" s="36">
        <v>41952</v>
      </c>
      <c r="K1742" s="37"/>
      <c r="L1742" s="74">
        <f t="shared" si="29"/>
        <v>3472</v>
      </c>
    </row>
    <row r="1743" spans="1:12" hidden="1" outlineLevel="1">
      <c r="A1743" s="8"/>
      <c r="B1743" s="73">
        <v>1737</v>
      </c>
      <c r="C1743" s="39"/>
      <c r="D1743" s="40"/>
      <c r="E1743" s="34" t="s">
        <v>323</v>
      </c>
      <c r="F1743" s="75" t="s">
        <v>2108</v>
      </c>
      <c r="G1743" s="35" t="s">
        <v>370</v>
      </c>
      <c r="H1743" s="41" t="s">
        <v>371</v>
      </c>
      <c r="I1743" s="44" t="str">
        <f>"0x"&amp;AE_w_WORK!J206</f>
        <v>0x0000</v>
      </c>
      <c r="J1743" s="36">
        <v>41953</v>
      </c>
      <c r="K1743" s="37"/>
      <c r="L1743" s="74">
        <f t="shared" si="29"/>
        <v>3474</v>
      </c>
    </row>
    <row r="1744" spans="1:12" hidden="1" outlineLevel="1">
      <c r="A1744" s="8"/>
      <c r="B1744" s="73">
        <v>1738</v>
      </c>
      <c r="C1744" s="39"/>
      <c r="D1744" s="40"/>
      <c r="E1744" s="34" t="s">
        <v>323</v>
      </c>
      <c r="F1744" s="75" t="s">
        <v>2109</v>
      </c>
      <c r="G1744" s="35" t="s">
        <v>370</v>
      </c>
      <c r="H1744" s="41" t="s">
        <v>371</v>
      </c>
      <c r="I1744" s="44" t="str">
        <f>"0x"&amp;AE_w_WORK!J207</f>
        <v>0x0000</v>
      </c>
      <c r="J1744" s="36">
        <v>41954</v>
      </c>
      <c r="K1744" s="37"/>
      <c r="L1744" s="74">
        <f t="shared" si="29"/>
        <v>3476</v>
      </c>
    </row>
    <row r="1745" spans="1:12" hidden="1" outlineLevel="1">
      <c r="A1745" s="8"/>
      <c r="B1745" s="73">
        <v>1739</v>
      </c>
      <c r="C1745" s="39"/>
      <c r="D1745" s="40"/>
      <c r="E1745" s="34" t="s">
        <v>323</v>
      </c>
      <c r="F1745" s="75" t="s">
        <v>2110</v>
      </c>
      <c r="G1745" s="35" t="s">
        <v>370</v>
      </c>
      <c r="H1745" s="41" t="s">
        <v>371</v>
      </c>
      <c r="I1745" s="44" t="str">
        <f>"0x"&amp;AE_w_WORK!J208</f>
        <v>0x0000</v>
      </c>
      <c r="J1745" s="36">
        <v>41955</v>
      </c>
      <c r="K1745" s="37"/>
      <c r="L1745" s="74">
        <f t="shared" si="29"/>
        <v>3478</v>
      </c>
    </row>
    <row r="1746" spans="1:12" hidden="1" outlineLevel="1">
      <c r="A1746" s="8"/>
      <c r="B1746" s="73">
        <v>1740</v>
      </c>
      <c r="C1746" s="39"/>
      <c r="D1746" s="40"/>
      <c r="E1746" s="34" t="s">
        <v>323</v>
      </c>
      <c r="F1746" s="75" t="s">
        <v>2111</v>
      </c>
      <c r="G1746" s="35" t="s">
        <v>370</v>
      </c>
      <c r="H1746" s="41" t="s">
        <v>371</v>
      </c>
      <c r="I1746" s="44" t="str">
        <f>"0x"&amp;AE_w_WORK!J209</f>
        <v>0x0077</v>
      </c>
      <c r="J1746" s="36">
        <v>41956</v>
      </c>
      <c r="K1746" s="37"/>
      <c r="L1746" s="74">
        <f t="shared" si="29"/>
        <v>3480</v>
      </c>
    </row>
    <row r="1747" spans="1:12" hidden="1" outlineLevel="1">
      <c r="A1747" s="8"/>
      <c r="B1747" s="73">
        <v>1741</v>
      </c>
      <c r="C1747" s="39"/>
      <c r="D1747" s="40"/>
      <c r="E1747" s="34" t="s">
        <v>323</v>
      </c>
      <c r="F1747" s="75" t="s">
        <v>2112</v>
      </c>
      <c r="G1747" s="35" t="s">
        <v>370</v>
      </c>
      <c r="H1747" s="41" t="s">
        <v>371</v>
      </c>
      <c r="I1747" s="44" t="str">
        <f>"0x"&amp;AE_w_WORK!J210</f>
        <v>0x7700</v>
      </c>
      <c r="J1747" s="36">
        <v>41957</v>
      </c>
      <c r="K1747" s="37"/>
      <c r="L1747" s="74">
        <f t="shared" si="29"/>
        <v>3482</v>
      </c>
    </row>
    <row r="1748" spans="1:12" hidden="1" outlineLevel="1">
      <c r="A1748" s="8"/>
      <c r="B1748" s="73">
        <v>1742</v>
      </c>
      <c r="C1748" s="39"/>
      <c r="D1748" s="40"/>
      <c r="E1748" s="34" t="s">
        <v>323</v>
      </c>
      <c r="F1748" s="75" t="s">
        <v>2113</v>
      </c>
      <c r="G1748" s="35" t="s">
        <v>370</v>
      </c>
      <c r="H1748" s="41" t="s">
        <v>371</v>
      </c>
      <c r="I1748" s="44" t="str">
        <f>"0x"&amp;AE_w_WORK!J211</f>
        <v>0x0000</v>
      </c>
      <c r="J1748" s="36">
        <v>41958</v>
      </c>
      <c r="K1748" s="37"/>
      <c r="L1748" s="74">
        <f t="shared" si="29"/>
        <v>3484</v>
      </c>
    </row>
    <row r="1749" spans="1:12" hidden="1" outlineLevel="1">
      <c r="A1749" s="8"/>
      <c r="B1749" s="73">
        <v>1743</v>
      </c>
      <c r="C1749" s="39"/>
      <c r="D1749" s="40"/>
      <c r="E1749" s="34" t="s">
        <v>323</v>
      </c>
      <c r="F1749" s="75" t="s">
        <v>2114</v>
      </c>
      <c r="G1749" s="35" t="s">
        <v>370</v>
      </c>
      <c r="H1749" s="41" t="s">
        <v>371</v>
      </c>
      <c r="I1749" s="44" t="str">
        <f>"0x"&amp;AE_w_WORK!J212</f>
        <v>0x0000</v>
      </c>
      <c r="J1749" s="36">
        <v>41959</v>
      </c>
      <c r="K1749" s="37"/>
      <c r="L1749" s="74">
        <f t="shared" si="29"/>
        <v>3486</v>
      </c>
    </row>
    <row r="1750" spans="1:12" hidden="1" outlineLevel="1">
      <c r="A1750" s="8"/>
      <c r="B1750" s="73">
        <v>1744</v>
      </c>
      <c r="C1750" s="39"/>
      <c r="D1750" s="40"/>
      <c r="E1750" s="34" t="s">
        <v>323</v>
      </c>
      <c r="F1750" s="75" t="s">
        <v>2115</v>
      </c>
      <c r="G1750" s="35" t="s">
        <v>370</v>
      </c>
      <c r="H1750" s="41" t="s">
        <v>371</v>
      </c>
      <c r="I1750" s="44" t="str">
        <f>"0x"&amp;AE_w_WORK!J213</f>
        <v>0x0000</v>
      </c>
      <c r="J1750" s="36">
        <v>41960</v>
      </c>
      <c r="K1750" s="37"/>
      <c r="L1750" s="74">
        <f t="shared" si="29"/>
        <v>3488</v>
      </c>
    </row>
    <row r="1751" spans="1:12" hidden="1" outlineLevel="1">
      <c r="A1751" s="8"/>
      <c r="B1751" s="73">
        <v>1745</v>
      </c>
      <c r="C1751" s="39"/>
      <c r="D1751" s="40"/>
      <c r="E1751" s="34" t="s">
        <v>323</v>
      </c>
      <c r="F1751" s="75" t="s">
        <v>2116</v>
      </c>
      <c r="G1751" s="35" t="s">
        <v>370</v>
      </c>
      <c r="H1751" s="41" t="s">
        <v>371</v>
      </c>
      <c r="I1751" s="44" t="str">
        <f>"0x"&amp;AE_w_WORK!J214</f>
        <v>0x0000</v>
      </c>
      <c r="J1751" s="36">
        <v>41961</v>
      </c>
      <c r="K1751" s="37"/>
      <c r="L1751" s="74">
        <f t="shared" si="29"/>
        <v>3490</v>
      </c>
    </row>
    <row r="1752" spans="1:12" hidden="1" outlineLevel="1">
      <c r="A1752" s="8"/>
      <c r="B1752" s="73">
        <v>1746</v>
      </c>
      <c r="C1752" s="39"/>
      <c r="D1752" s="40"/>
      <c r="E1752" s="34" t="s">
        <v>323</v>
      </c>
      <c r="F1752" s="75" t="s">
        <v>2117</v>
      </c>
      <c r="G1752" s="35" t="s">
        <v>370</v>
      </c>
      <c r="H1752" s="41" t="s">
        <v>371</v>
      </c>
      <c r="I1752" s="44" t="str">
        <f>"0x"&amp;AE_w_WORK!J215</f>
        <v>0x0000</v>
      </c>
      <c r="J1752" s="36">
        <v>41962</v>
      </c>
      <c r="K1752" s="37"/>
      <c r="L1752" s="74">
        <f t="shared" si="29"/>
        <v>3492</v>
      </c>
    </row>
    <row r="1753" spans="1:12" hidden="1" outlineLevel="1">
      <c r="A1753" s="8"/>
      <c r="B1753" s="73">
        <v>1747</v>
      </c>
      <c r="C1753" s="39"/>
      <c r="D1753" s="40"/>
      <c r="E1753" s="34" t="s">
        <v>323</v>
      </c>
      <c r="F1753" s="75" t="s">
        <v>2118</v>
      </c>
      <c r="G1753" s="35" t="s">
        <v>370</v>
      </c>
      <c r="H1753" s="41" t="s">
        <v>371</v>
      </c>
      <c r="I1753" s="44" t="str">
        <f>"0x"&amp;AE_w_WORK!J216</f>
        <v>0x0000</v>
      </c>
      <c r="J1753" s="36">
        <v>41963</v>
      </c>
      <c r="K1753" s="37"/>
      <c r="L1753" s="74">
        <f t="shared" si="29"/>
        <v>3494</v>
      </c>
    </row>
    <row r="1754" spans="1:12" hidden="1" outlineLevel="1">
      <c r="A1754" s="8"/>
      <c r="B1754" s="73">
        <v>1748</v>
      </c>
      <c r="C1754" s="39"/>
      <c r="D1754" s="40"/>
      <c r="E1754" s="34" t="s">
        <v>323</v>
      </c>
      <c r="F1754" s="75" t="s">
        <v>2119</v>
      </c>
      <c r="G1754" s="35" t="s">
        <v>370</v>
      </c>
      <c r="H1754" s="41" t="s">
        <v>371</v>
      </c>
      <c r="I1754" s="44" t="str">
        <f>"0x"&amp;AE_w_WORK!J217</f>
        <v>0x0000</v>
      </c>
      <c r="J1754" s="36">
        <v>41964</v>
      </c>
      <c r="K1754" s="37"/>
      <c r="L1754" s="74">
        <f t="shared" si="29"/>
        <v>3496</v>
      </c>
    </row>
    <row r="1755" spans="1:12" hidden="1" outlineLevel="1">
      <c r="A1755" s="8"/>
      <c r="B1755" s="73">
        <v>1749</v>
      </c>
      <c r="C1755" s="39"/>
      <c r="D1755" s="40"/>
      <c r="E1755" s="34" t="s">
        <v>323</v>
      </c>
      <c r="F1755" s="75" t="s">
        <v>2120</v>
      </c>
      <c r="G1755" s="35" t="s">
        <v>370</v>
      </c>
      <c r="H1755" s="41" t="s">
        <v>371</v>
      </c>
      <c r="I1755" s="44" t="str">
        <f>"0x"&amp;AE_w_WORK!J218</f>
        <v>0x0000</v>
      </c>
      <c r="J1755" s="36">
        <v>41965</v>
      </c>
      <c r="K1755" s="37"/>
      <c r="L1755" s="74">
        <f t="shared" si="29"/>
        <v>3498</v>
      </c>
    </row>
    <row r="1756" spans="1:12" hidden="1" outlineLevel="1">
      <c r="A1756" s="8"/>
      <c r="B1756" s="73">
        <v>1750</v>
      </c>
      <c r="C1756" s="39"/>
      <c r="D1756" s="40"/>
      <c r="E1756" s="34" t="s">
        <v>323</v>
      </c>
      <c r="F1756" s="75" t="s">
        <v>2121</v>
      </c>
      <c r="G1756" s="35" t="s">
        <v>370</v>
      </c>
      <c r="H1756" s="41" t="s">
        <v>371</v>
      </c>
      <c r="I1756" s="44" t="str">
        <f>"0x"&amp;AE_w_WORK!J219</f>
        <v>0x0000</v>
      </c>
      <c r="J1756" s="36">
        <v>41966</v>
      </c>
      <c r="K1756" s="37"/>
      <c r="L1756" s="74">
        <f t="shared" si="29"/>
        <v>3500</v>
      </c>
    </row>
    <row r="1757" spans="1:12" hidden="1" outlineLevel="1">
      <c r="A1757" s="8"/>
      <c r="B1757" s="73">
        <v>1751</v>
      </c>
      <c r="C1757" s="39"/>
      <c r="D1757" s="40"/>
      <c r="E1757" s="34" t="s">
        <v>323</v>
      </c>
      <c r="F1757" s="75" t="s">
        <v>2122</v>
      </c>
      <c r="G1757" s="35" t="s">
        <v>370</v>
      </c>
      <c r="H1757" s="41" t="s">
        <v>371</v>
      </c>
      <c r="I1757" s="44" t="str">
        <f>"0x"&amp;AE_w_WORK!J220</f>
        <v>0x0000</v>
      </c>
      <c r="J1757" s="36">
        <v>41967</v>
      </c>
      <c r="K1757" s="37"/>
      <c r="L1757" s="74">
        <f t="shared" si="29"/>
        <v>3502</v>
      </c>
    </row>
    <row r="1758" spans="1:12" hidden="1" outlineLevel="1">
      <c r="A1758" s="8"/>
      <c r="B1758" s="73">
        <v>1752</v>
      </c>
      <c r="C1758" s="39"/>
      <c r="D1758" s="40"/>
      <c r="E1758" s="34" t="s">
        <v>323</v>
      </c>
      <c r="F1758" s="75" t="s">
        <v>2123</v>
      </c>
      <c r="G1758" s="35" t="s">
        <v>370</v>
      </c>
      <c r="H1758" s="41" t="s">
        <v>371</v>
      </c>
      <c r="I1758" s="44" t="str">
        <f>"0x"&amp;AE_w_WORK!J221</f>
        <v>0x0000</v>
      </c>
      <c r="J1758" s="36">
        <v>41968</v>
      </c>
      <c r="K1758" s="37"/>
      <c r="L1758" s="74">
        <f t="shared" si="29"/>
        <v>3504</v>
      </c>
    </row>
    <row r="1759" spans="1:12" hidden="1" outlineLevel="1">
      <c r="A1759" s="8"/>
      <c r="B1759" s="73">
        <v>1753</v>
      </c>
      <c r="C1759" s="39"/>
      <c r="D1759" s="40"/>
      <c r="E1759" s="34" t="s">
        <v>323</v>
      </c>
      <c r="F1759" s="75" t="s">
        <v>2124</v>
      </c>
      <c r="G1759" s="35" t="s">
        <v>370</v>
      </c>
      <c r="H1759" s="41" t="s">
        <v>371</v>
      </c>
      <c r="I1759" s="44" t="str">
        <f>"0x"&amp;AE_w_WORK!J222</f>
        <v>0x0000</v>
      </c>
      <c r="J1759" s="36">
        <v>41969</v>
      </c>
      <c r="K1759" s="37"/>
      <c r="L1759" s="74">
        <f t="shared" si="29"/>
        <v>3506</v>
      </c>
    </row>
    <row r="1760" spans="1:12" hidden="1" outlineLevel="1">
      <c r="A1760" s="8"/>
      <c r="B1760" s="73">
        <v>1754</v>
      </c>
      <c r="C1760" s="39"/>
      <c r="D1760" s="40"/>
      <c r="E1760" s="34" t="s">
        <v>323</v>
      </c>
      <c r="F1760" s="75" t="s">
        <v>2125</v>
      </c>
      <c r="G1760" s="35" t="s">
        <v>370</v>
      </c>
      <c r="H1760" s="41" t="s">
        <v>371</v>
      </c>
      <c r="I1760" s="44" t="str">
        <f>"0x"&amp;AE_w_WORK!J223</f>
        <v>0x0000</v>
      </c>
      <c r="J1760" s="36">
        <v>41970</v>
      </c>
      <c r="K1760" s="37"/>
      <c r="L1760" s="74">
        <f t="shared" si="29"/>
        <v>3508</v>
      </c>
    </row>
    <row r="1761" spans="1:12" hidden="1" outlineLevel="1">
      <c r="A1761" s="8"/>
      <c r="B1761" s="73">
        <v>1755</v>
      </c>
      <c r="C1761" s="39"/>
      <c r="D1761" s="40"/>
      <c r="E1761" s="34" t="s">
        <v>323</v>
      </c>
      <c r="F1761" s="75" t="s">
        <v>2126</v>
      </c>
      <c r="G1761" s="35" t="s">
        <v>370</v>
      </c>
      <c r="H1761" s="41" t="s">
        <v>371</v>
      </c>
      <c r="I1761" s="44" t="str">
        <f>"0x"&amp;AE_w_WORK!J224</f>
        <v>0x0000</v>
      </c>
      <c r="J1761" s="36">
        <v>41971</v>
      </c>
      <c r="K1761" s="37"/>
      <c r="L1761" s="74">
        <f t="shared" si="29"/>
        <v>3510</v>
      </c>
    </row>
    <row r="1762" spans="1:12" hidden="1" outlineLevel="1">
      <c r="A1762" s="8"/>
      <c r="B1762" s="73">
        <v>1756</v>
      </c>
      <c r="C1762" s="39"/>
      <c r="D1762" s="40"/>
      <c r="E1762" s="34" t="s">
        <v>323</v>
      </c>
      <c r="F1762" s="75" t="s">
        <v>2127</v>
      </c>
      <c r="G1762" s="35" t="s">
        <v>370</v>
      </c>
      <c r="H1762" s="41" t="s">
        <v>371</v>
      </c>
      <c r="I1762" s="44" t="str">
        <f>"0x"&amp;AE_w_WORK!J225</f>
        <v>0x0000</v>
      </c>
      <c r="J1762" s="36">
        <v>41972</v>
      </c>
      <c r="K1762" s="37"/>
      <c r="L1762" s="74">
        <f t="shared" si="29"/>
        <v>3512</v>
      </c>
    </row>
    <row r="1763" spans="1:12" hidden="1" outlineLevel="1">
      <c r="A1763" s="8"/>
      <c r="B1763" s="73">
        <v>1757</v>
      </c>
      <c r="C1763" s="39"/>
      <c r="D1763" s="40"/>
      <c r="E1763" s="34" t="s">
        <v>323</v>
      </c>
      <c r="F1763" s="75" t="s">
        <v>2128</v>
      </c>
      <c r="G1763" s="35" t="s">
        <v>370</v>
      </c>
      <c r="H1763" s="41" t="s">
        <v>371</v>
      </c>
      <c r="I1763" s="44" t="str">
        <f>"0x"&amp;AE_w_WORK!J226</f>
        <v>0x0000</v>
      </c>
      <c r="J1763" s="36">
        <v>41973</v>
      </c>
      <c r="K1763" s="37"/>
      <c r="L1763" s="74">
        <f t="shared" si="29"/>
        <v>3514</v>
      </c>
    </row>
    <row r="1764" spans="1:12" hidden="1" outlineLevel="1">
      <c r="A1764" s="8"/>
      <c r="B1764" s="73">
        <v>1758</v>
      </c>
      <c r="C1764" s="39"/>
      <c r="D1764" s="40"/>
      <c r="E1764" s="34" t="s">
        <v>323</v>
      </c>
      <c r="F1764" s="75" t="s">
        <v>2129</v>
      </c>
      <c r="G1764" s="35" t="s">
        <v>370</v>
      </c>
      <c r="H1764" s="41" t="s">
        <v>371</v>
      </c>
      <c r="I1764" s="44" t="str">
        <f>"0x"&amp;AE_w_WORK!J227</f>
        <v>0x0000</v>
      </c>
      <c r="J1764" s="36">
        <v>41974</v>
      </c>
      <c r="K1764" s="37"/>
      <c r="L1764" s="74">
        <f t="shared" si="29"/>
        <v>3516</v>
      </c>
    </row>
    <row r="1765" spans="1:12" hidden="1" outlineLevel="1">
      <c r="A1765" s="8"/>
      <c r="B1765" s="73">
        <v>1759</v>
      </c>
      <c r="C1765" s="39"/>
      <c r="D1765" s="40"/>
      <c r="E1765" s="34" t="s">
        <v>323</v>
      </c>
      <c r="F1765" s="75" t="s">
        <v>2130</v>
      </c>
      <c r="G1765" s="35" t="s">
        <v>370</v>
      </c>
      <c r="H1765" s="41" t="s">
        <v>371</v>
      </c>
      <c r="I1765" s="44" t="str">
        <f>"0x"&amp;AE_w_WORK!J228</f>
        <v>0x0000</v>
      </c>
      <c r="J1765" s="36">
        <v>41975</v>
      </c>
      <c r="K1765" s="37"/>
      <c r="L1765" s="74">
        <f t="shared" si="29"/>
        <v>3518</v>
      </c>
    </row>
    <row r="1766" spans="1:12" hidden="1" outlineLevel="1">
      <c r="A1766" s="8"/>
      <c r="B1766" s="73">
        <v>1760</v>
      </c>
      <c r="C1766" s="39"/>
      <c r="D1766" s="40"/>
      <c r="E1766" s="34" t="s">
        <v>323</v>
      </c>
      <c r="F1766" s="75" t="s">
        <v>2131</v>
      </c>
      <c r="G1766" s="35" t="s">
        <v>370</v>
      </c>
      <c r="H1766" s="41" t="s">
        <v>371</v>
      </c>
      <c r="I1766" s="44" t="str">
        <f>"0x"&amp;AE_w_WORK!J229</f>
        <v>0x0000</v>
      </c>
      <c r="J1766" s="36">
        <v>41976</v>
      </c>
      <c r="K1766" s="37"/>
      <c r="L1766" s="74">
        <f t="shared" si="29"/>
        <v>3520</v>
      </c>
    </row>
    <row r="1767" spans="1:12" hidden="1" outlineLevel="1">
      <c r="A1767" s="8"/>
      <c r="B1767" s="73">
        <v>1761</v>
      </c>
      <c r="C1767" s="39"/>
      <c r="D1767" s="40"/>
      <c r="E1767" s="34" t="s">
        <v>323</v>
      </c>
      <c r="F1767" s="75" t="s">
        <v>2132</v>
      </c>
      <c r="G1767" s="35" t="s">
        <v>370</v>
      </c>
      <c r="H1767" s="41" t="s">
        <v>371</v>
      </c>
      <c r="I1767" s="44" t="str">
        <f>"0x"&amp;AE_w_WORK!J230</f>
        <v>0x0000</v>
      </c>
      <c r="J1767" s="36">
        <v>41977</v>
      </c>
      <c r="K1767" s="37"/>
      <c r="L1767" s="74">
        <f t="shared" si="29"/>
        <v>3522</v>
      </c>
    </row>
    <row r="1768" spans="1:12" hidden="1" outlineLevel="1">
      <c r="A1768" s="8"/>
      <c r="B1768" s="73">
        <v>1762</v>
      </c>
      <c r="C1768" s="39"/>
      <c r="D1768" s="40"/>
      <c r="E1768" s="34" t="s">
        <v>323</v>
      </c>
      <c r="F1768" s="75" t="s">
        <v>2133</v>
      </c>
      <c r="G1768" s="35" t="s">
        <v>370</v>
      </c>
      <c r="H1768" s="41" t="s">
        <v>371</v>
      </c>
      <c r="I1768" s="44" t="str">
        <f>"0x"&amp;AE_w_WORK!J231</f>
        <v>0x0000</v>
      </c>
      <c r="J1768" s="36">
        <v>41978</v>
      </c>
      <c r="K1768" s="37"/>
      <c r="L1768" s="74">
        <f t="shared" si="29"/>
        <v>3524</v>
      </c>
    </row>
    <row r="1769" spans="1:12" hidden="1" outlineLevel="1">
      <c r="A1769" s="8"/>
      <c r="B1769" s="73">
        <v>1763</v>
      </c>
      <c r="C1769" s="39"/>
      <c r="D1769" s="40"/>
      <c r="E1769" s="34" t="s">
        <v>323</v>
      </c>
      <c r="F1769" s="75" t="s">
        <v>2134</v>
      </c>
      <c r="G1769" s="35" t="s">
        <v>370</v>
      </c>
      <c r="H1769" s="41" t="s">
        <v>371</v>
      </c>
      <c r="I1769" s="44" t="str">
        <f>"0x"&amp;AE_w_WORK!J232</f>
        <v>0x0000</v>
      </c>
      <c r="J1769" s="36">
        <v>41979</v>
      </c>
      <c r="K1769" s="37"/>
      <c r="L1769" s="74">
        <f t="shared" si="29"/>
        <v>3526</v>
      </c>
    </row>
    <row r="1770" spans="1:12" hidden="1" outlineLevel="1">
      <c r="A1770" s="8"/>
      <c r="B1770" s="73">
        <v>1764</v>
      </c>
      <c r="C1770" s="39"/>
      <c r="D1770" s="40"/>
      <c r="E1770" s="34" t="s">
        <v>323</v>
      </c>
      <c r="F1770" s="75" t="s">
        <v>2135</v>
      </c>
      <c r="G1770" s="35" t="s">
        <v>370</v>
      </c>
      <c r="H1770" s="41" t="s">
        <v>371</v>
      </c>
      <c r="I1770" s="44" t="str">
        <f>"0x"&amp;AE_w_WORK!J233</f>
        <v>0x0000</v>
      </c>
      <c r="J1770" s="36">
        <v>41980</v>
      </c>
      <c r="K1770" s="37"/>
      <c r="L1770" s="74">
        <f t="shared" si="29"/>
        <v>3528</v>
      </c>
    </row>
    <row r="1771" spans="1:12" hidden="1" outlineLevel="1">
      <c r="A1771" s="8"/>
      <c r="B1771" s="73">
        <v>1765</v>
      </c>
      <c r="C1771" s="39"/>
      <c r="D1771" s="40"/>
      <c r="E1771" s="34" t="s">
        <v>323</v>
      </c>
      <c r="F1771" s="75" t="s">
        <v>2136</v>
      </c>
      <c r="G1771" s="35" t="s">
        <v>370</v>
      </c>
      <c r="H1771" s="41" t="s">
        <v>371</v>
      </c>
      <c r="I1771" s="44" t="str">
        <f>"0x"&amp;AE_w_WORK!J234</f>
        <v>0x0000</v>
      </c>
      <c r="J1771" s="36">
        <v>41981</v>
      </c>
      <c r="K1771" s="37"/>
      <c r="L1771" s="74">
        <f t="shared" si="29"/>
        <v>3530</v>
      </c>
    </row>
    <row r="1772" spans="1:12" hidden="1" outlineLevel="1">
      <c r="A1772" s="8"/>
      <c r="B1772" s="73">
        <v>1766</v>
      </c>
      <c r="C1772" s="39"/>
      <c r="D1772" s="40"/>
      <c r="E1772" s="34" t="s">
        <v>323</v>
      </c>
      <c r="F1772" s="75" t="s">
        <v>2137</v>
      </c>
      <c r="G1772" s="35" t="s">
        <v>370</v>
      </c>
      <c r="H1772" s="41" t="s">
        <v>371</v>
      </c>
      <c r="I1772" s="44" t="str">
        <f>"0x"&amp;AE_w_WORK!J235</f>
        <v>0x0000</v>
      </c>
      <c r="J1772" s="36">
        <v>41982</v>
      </c>
      <c r="K1772" s="37"/>
      <c r="L1772" s="74">
        <f t="shared" si="29"/>
        <v>3532</v>
      </c>
    </row>
    <row r="1773" spans="1:12" hidden="1" outlineLevel="1">
      <c r="A1773" s="8"/>
      <c r="B1773" s="73">
        <v>1767</v>
      </c>
      <c r="C1773" s="39"/>
      <c r="D1773" s="40"/>
      <c r="E1773" s="34" t="s">
        <v>323</v>
      </c>
      <c r="F1773" s="75" t="s">
        <v>2138</v>
      </c>
      <c r="G1773" s="35" t="s">
        <v>370</v>
      </c>
      <c r="H1773" s="41" t="s">
        <v>371</v>
      </c>
      <c r="I1773" s="44" t="str">
        <f>"0x"&amp;AE_w_WORK!J236</f>
        <v>0x0000</v>
      </c>
      <c r="J1773" s="36">
        <v>41983</v>
      </c>
      <c r="K1773" s="37"/>
      <c r="L1773" s="74">
        <f t="shared" si="29"/>
        <v>3534</v>
      </c>
    </row>
    <row r="1774" spans="1:12" hidden="1" outlineLevel="1">
      <c r="A1774" s="8"/>
      <c r="B1774" s="73">
        <v>1768</v>
      </c>
      <c r="C1774" s="39"/>
      <c r="D1774" s="40"/>
      <c r="E1774" s="34" t="s">
        <v>323</v>
      </c>
      <c r="F1774" s="75" t="s">
        <v>2139</v>
      </c>
      <c r="G1774" s="35" t="s">
        <v>370</v>
      </c>
      <c r="H1774" s="41" t="s">
        <v>371</v>
      </c>
      <c r="I1774" s="44" t="str">
        <f>"0x"&amp;AE_w_WORK!J237</f>
        <v>0x0000</v>
      </c>
      <c r="J1774" s="36">
        <v>41984</v>
      </c>
      <c r="K1774" s="37"/>
      <c r="L1774" s="74">
        <f t="shared" si="29"/>
        <v>3536</v>
      </c>
    </row>
    <row r="1775" spans="1:12" hidden="1" outlineLevel="1">
      <c r="A1775" s="8"/>
      <c r="B1775" s="73">
        <v>1769</v>
      </c>
      <c r="C1775" s="39"/>
      <c r="D1775" s="40"/>
      <c r="E1775" s="34" t="s">
        <v>323</v>
      </c>
      <c r="F1775" s="75" t="s">
        <v>2140</v>
      </c>
      <c r="G1775" s="35" t="s">
        <v>370</v>
      </c>
      <c r="H1775" s="41" t="s">
        <v>371</v>
      </c>
      <c r="I1775" s="44" t="str">
        <f>"0x"&amp;AE_w_WORK!J238</f>
        <v>0x0000</v>
      </c>
      <c r="J1775" s="36">
        <v>41985</v>
      </c>
      <c r="K1775" s="37"/>
      <c r="L1775" s="74">
        <f t="shared" si="29"/>
        <v>3538</v>
      </c>
    </row>
    <row r="1776" spans="1:12" hidden="1" outlineLevel="1">
      <c r="A1776" s="8"/>
      <c r="B1776" s="73">
        <v>1770</v>
      </c>
      <c r="C1776" s="39"/>
      <c r="D1776" s="40"/>
      <c r="E1776" s="34" t="s">
        <v>323</v>
      </c>
      <c r="F1776" s="75" t="s">
        <v>2141</v>
      </c>
      <c r="G1776" s="35" t="s">
        <v>370</v>
      </c>
      <c r="H1776" s="41" t="s">
        <v>371</v>
      </c>
      <c r="I1776" s="44" t="str">
        <f>"0x"&amp;AE_w_WORK!J239</f>
        <v>0x0000</v>
      </c>
      <c r="J1776" s="36">
        <v>41986</v>
      </c>
      <c r="K1776" s="37"/>
      <c r="L1776" s="74">
        <f t="shared" si="29"/>
        <v>3540</v>
      </c>
    </row>
    <row r="1777" spans="1:12" hidden="1" outlineLevel="1">
      <c r="A1777" s="8"/>
      <c r="B1777" s="73">
        <v>1771</v>
      </c>
      <c r="C1777" s="39"/>
      <c r="D1777" s="40"/>
      <c r="E1777" s="34" t="s">
        <v>323</v>
      </c>
      <c r="F1777" s="75" t="s">
        <v>2142</v>
      </c>
      <c r="G1777" s="35" t="s">
        <v>370</v>
      </c>
      <c r="H1777" s="41" t="s">
        <v>371</v>
      </c>
      <c r="I1777" s="44" t="str">
        <f>"0x"&amp;AE_w_WORK!J240</f>
        <v>0x0000</v>
      </c>
      <c r="J1777" s="36">
        <v>41987</v>
      </c>
      <c r="K1777" s="37"/>
      <c r="L1777" s="74">
        <f t="shared" si="29"/>
        <v>3542</v>
      </c>
    </row>
    <row r="1778" spans="1:12" hidden="1" outlineLevel="1">
      <c r="A1778" s="8"/>
      <c r="B1778" s="73">
        <v>1772</v>
      </c>
      <c r="C1778" s="39"/>
      <c r="D1778" s="40"/>
      <c r="E1778" s="34" t="s">
        <v>323</v>
      </c>
      <c r="F1778" s="75" t="s">
        <v>2143</v>
      </c>
      <c r="G1778" s="35" t="s">
        <v>370</v>
      </c>
      <c r="H1778" s="41" t="s">
        <v>371</v>
      </c>
      <c r="I1778" s="44" t="str">
        <f>"0x"&amp;AE_w_WORK!J241</f>
        <v>0x0000</v>
      </c>
      <c r="J1778" s="36">
        <v>41988</v>
      </c>
      <c r="K1778" s="37"/>
      <c r="L1778" s="74">
        <f t="shared" si="29"/>
        <v>3544</v>
      </c>
    </row>
    <row r="1779" spans="1:12" hidden="1" outlineLevel="1">
      <c r="A1779" s="8"/>
      <c r="B1779" s="73">
        <v>1773</v>
      </c>
      <c r="C1779" s="39"/>
      <c r="D1779" s="40"/>
      <c r="E1779" s="34" t="s">
        <v>323</v>
      </c>
      <c r="F1779" s="75" t="s">
        <v>2144</v>
      </c>
      <c r="G1779" s="35" t="s">
        <v>370</v>
      </c>
      <c r="H1779" s="41" t="s">
        <v>371</v>
      </c>
      <c r="I1779" s="44" t="str">
        <f>"0x"&amp;AE_w_WORK!J242</f>
        <v>0x0000</v>
      </c>
      <c r="J1779" s="36">
        <v>41989</v>
      </c>
      <c r="K1779" s="37"/>
      <c r="L1779" s="74">
        <f t="shared" si="29"/>
        <v>3546</v>
      </c>
    </row>
    <row r="1780" spans="1:12" hidden="1" outlineLevel="1">
      <c r="A1780" s="8"/>
      <c r="B1780" s="73">
        <v>1774</v>
      </c>
      <c r="C1780" s="39"/>
      <c r="D1780" s="40"/>
      <c r="E1780" s="34" t="s">
        <v>323</v>
      </c>
      <c r="F1780" s="75" t="s">
        <v>2145</v>
      </c>
      <c r="G1780" s="35" t="s">
        <v>370</v>
      </c>
      <c r="H1780" s="41" t="s">
        <v>371</v>
      </c>
      <c r="I1780" s="44" t="str">
        <f>"0x"&amp;AE_w_WORK!J243</f>
        <v>0x0000</v>
      </c>
      <c r="J1780" s="36">
        <v>41990</v>
      </c>
      <c r="K1780" s="37"/>
      <c r="L1780" s="74">
        <f t="shared" si="29"/>
        <v>3548</v>
      </c>
    </row>
    <row r="1781" spans="1:12" hidden="1" outlineLevel="1">
      <c r="A1781" s="8"/>
      <c r="B1781" s="73">
        <v>1775</v>
      </c>
      <c r="C1781" s="39"/>
      <c r="D1781" s="40"/>
      <c r="E1781" s="34" t="s">
        <v>323</v>
      </c>
      <c r="F1781" s="75" t="s">
        <v>2146</v>
      </c>
      <c r="G1781" s="35" t="s">
        <v>370</v>
      </c>
      <c r="H1781" s="41" t="s">
        <v>371</v>
      </c>
      <c r="I1781" s="44" t="str">
        <f>"0x"&amp;AE_w_WORK!J244</f>
        <v>0x0000</v>
      </c>
      <c r="J1781" s="36">
        <v>41991</v>
      </c>
      <c r="K1781" s="37"/>
      <c r="L1781" s="74">
        <f t="shared" si="29"/>
        <v>3550</v>
      </c>
    </row>
    <row r="1782" spans="1:12" hidden="1" outlineLevel="1">
      <c r="A1782" s="8"/>
      <c r="B1782" s="73">
        <v>1776</v>
      </c>
      <c r="C1782" s="39"/>
      <c r="D1782" s="40"/>
      <c r="E1782" s="34" t="s">
        <v>323</v>
      </c>
      <c r="F1782" s="75" t="s">
        <v>2147</v>
      </c>
      <c r="G1782" s="35" t="s">
        <v>370</v>
      </c>
      <c r="H1782" s="41" t="s">
        <v>371</v>
      </c>
      <c r="I1782" s="44" t="str">
        <f>"0x"&amp;AE_w_WORK!J245</f>
        <v>0x0000</v>
      </c>
      <c r="J1782" s="36">
        <v>41992</v>
      </c>
      <c r="K1782" s="37"/>
      <c r="L1782" s="74">
        <f t="shared" si="29"/>
        <v>3552</v>
      </c>
    </row>
    <row r="1783" spans="1:12" hidden="1" outlineLevel="1">
      <c r="A1783" s="8"/>
      <c r="B1783" s="73">
        <v>1777</v>
      </c>
      <c r="C1783" s="39"/>
      <c r="D1783" s="40"/>
      <c r="E1783" s="34" t="s">
        <v>323</v>
      </c>
      <c r="F1783" s="75" t="s">
        <v>2148</v>
      </c>
      <c r="G1783" s="35" t="s">
        <v>370</v>
      </c>
      <c r="H1783" s="41" t="s">
        <v>371</v>
      </c>
      <c r="I1783" s="44" t="str">
        <f>"0x"&amp;AE_w_WORK!J246</f>
        <v>0x0000</v>
      </c>
      <c r="J1783" s="36">
        <v>41993</v>
      </c>
      <c r="K1783" s="37"/>
      <c r="L1783" s="74">
        <f t="shared" si="29"/>
        <v>3554</v>
      </c>
    </row>
    <row r="1784" spans="1:12" hidden="1" outlineLevel="1">
      <c r="A1784" s="8"/>
      <c r="B1784" s="73">
        <v>1778</v>
      </c>
      <c r="C1784" s="39"/>
      <c r="D1784" s="40"/>
      <c r="E1784" s="34" t="s">
        <v>323</v>
      </c>
      <c r="F1784" s="75" t="s">
        <v>2149</v>
      </c>
      <c r="G1784" s="35" t="s">
        <v>370</v>
      </c>
      <c r="H1784" s="41" t="s">
        <v>371</v>
      </c>
      <c r="I1784" s="44" t="str">
        <f>"0x"&amp;AE_w_WORK!J247</f>
        <v>0x0000</v>
      </c>
      <c r="J1784" s="36">
        <v>41994</v>
      </c>
      <c r="K1784" s="37"/>
      <c r="L1784" s="74">
        <f t="shared" si="29"/>
        <v>3556</v>
      </c>
    </row>
    <row r="1785" spans="1:12" hidden="1" outlineLevel="1">
      <c r="A1785" s="8"/>
      <c r="B1785" s="73">
        <v>1779</v>
      </c>
      <c r="C1785" s="39"/>
      <c r="D1785" s="40"/>
      <c r="E1785" s="34" t="s">
        <v>323</v>
      </c>
      <c r="F1785" s="75" t="s">
        <v>2150</v>
      </c>
      <c r="G1785" s="35" t="s">
        <v>370</v>
      </c>
      <c r="H1785" s="41" t="s">
        <v>371</v>
      </c>
      <c r="I1785" s="44" t="str">
        <f>"0x"&amp;AE_w_WORK!J248</f>
        <v>0x0000</v>
      </c>
      <c r="J1785" s="36">
        <v>41995</v>
      </c>
      <c r="K1785" s="37"/>
      <c r="L1785" s="74">
        <f t="shared" si="29"/>
        <v>3558</v>
      </c>
    </row>
    <row r="1786" spans="1:12" hidden="1" outlineLevel="1">
      <c r="A1786" s="8"/>
      <c r="B1786" s="73">
        <v>1780</v>
      </c>
      <c r="C1786" s="39"/>
      <c r="D1786" s="40"/>
      <c r="E1786" s="34" t="s">
        <v>323</v>
      </c>
      <c r="F1786" s="75" t="s">
        <v>2151</v>
      </c>
      <c r="G1786" s="35" t="s">
        <v>370</v>
      </c>
      <c r="H1786" s="41" t="s">
        <v>371</v>
      </c>
      <c r="I1786" s="44" t="str">
        <f>"0x"&amp;AE_w_WORK!J249</f>
        <v>0x0000</v>
      </c>
      <c r="J1786" s="36">
        <v>41996</v>
      </c>
      <c r="K1786" s="37"/>
      <c r="L1786" s="74">
        <f t="shared" si="29"/>
        <v>3560</v>
      </c>
    </row>
    <row r="1787" spans="1:12" hidden="1" outlineLevel="1">
      <c r="A1787" s="8"/>
      <c r="B1787" s="73">
        <v>1781</v>
      </c>
      <c r="C1787" s="39"/>
      <c r="D1787" s="40"/>
      <c r="E1787" s="34" t="s">
        <v>323</v>
      </c>
      <c r="F1787" s="75" t="s">
        <v>2152</v>
      </c>
      <c r="G1787" s="35" t="s">
        <v>370</v>
      </c>
      <c r="H1787" s="41" t="s">
        <v>371</v>
      </c>
      <c r="I1787" s="44" t="str">
        <f>"0x"&amp;AE_w_WORK!J250</f>
        <v>0x0000</v>
      </c>
      <c r="J1787" s="36">
        <v>41997</v>
      </c>
      <c r="K1787" s="37"/>
      <c r="L1787" s="74">
        <f t="shared" si="29"/>
        <v>3562</v>
      </c>
    </row>
    <row r="1788" spans="1:12" hidden="1" outlineLevel="1">
      <c r="A1788" s="8"/>
      <c r="B1788" s="73">
        <v>1782</v>
      </c>
      <c r="C1788" s="39"/>
      <c r="D1788" s="40"/>
      <c r="E1788" s="34" t="s">
        <v>323</v>
      </c>
      <c r="F1788" s="75" t="s">
        <v>2153</v>
      </c>
      <c r="G1788" s="35" t="s">
        <v>370</v>
      </c>
      <c r="H1788" s="41" t="s">
        <v>371</v>
      </c>
      <c r="I1788" s="44" t="str">
        <f>"0x"&amp;AE_w_WORK!J251</f>
        <v>0x0000</v>
      </c>
      <c r="J1788" s="36">
        <v>41998</v>
      </c>
      <c r="K1788" s="37"/>
      <c r="L1788" s="74">
        <f t="shared" si="29"/>
        <v>3564</v>
      </c>
    </row>
    <row r="1789" spans="1:12" hidden="1" outlineLevel="1">
      <c r="A1789" s="8"/>
      <c r="B1789" s="73">
        <v>1783</v>
      </c>
      <c r="C1789" s="39"/>
      <c r="D1789" s="40"/>
      <c r="E1789" s="34" t="s">
        <v>323</v>
      </c>
      <c r="F1789" s="75" t="s">
        <v>2154</v>
      </c>
      <c r="G1789" s="35" t="s">
        <v>370</v>
      </c>
      <c r="H1789" s="41" t="s">
        <v>371</v>
      </c>
      <c r="I1789" s="44" t="str">
        <f>"0x"&amp;AE_w_WORK!J252</f>
        <v>0x0000</v>
      </c>
      <c r="J1789" s="36">
        <v>41999</v>
      </c>
      <c r="K1789" s="37"/>
      <c r="L1789" s="74">
        <f t="shared" si="29"/>
        <v>3566</v>
      </c>
    </row>
    <row r="1790" spans="1:12" hidden="1" outlineLevel="1">
      <c r="A1790" s="8"/>
      <c r="B1790" s="73">
        <v>1784</v>
      </c>
      <c r="C1790" s="39"/>
      <c r="D1790" s="40"/>
      <c r="E1790" s="34" t="s">
        <v>323</v>
      </c>
      <c r="F1790" s="75" t="s">
        <v>2155</v>
      </c>
      <c r="G1790" s="35" t="s">
        <v>370</v>
      </c>
      <c r="H1790" s="41" t="s">
        <v>371</v>
      </c>
      <c r="I1790" s="44" t="str">
        <f>"0x"&amp;AE_w_WORK!J253</f>
        <v>0x0000</v>
      </c>
      <c r="J1790" s="36">
        <v>42000</v>
      </c>
      <c r="K1790" s="37"/>
      <c r="L1790" s="74">
        <f t="shared" si="29"/>
        <v>3568</v>
      </c>
    </row>
    <row r="1791" spans="1:12" hidden="1" outlineLevel="1">
      <c r="A1791" s="8"/>
      <c r="B1791" s="73">
        <v>1785</v>
      </c>
      <c r="C1791" s="39"/>
      <c r="D1791" s="40"/>
      <c r="E1791" s="34" t="s">
        <v>323</v>
      </c>
      <c r="F1791" s="75" t="s">
        <v>2156</v>
      </c>
      <c r="G1791" s="35" t="s">
        <v>370</v>
      </c>
      <c r="H1791" s="41" t="s">
        <v>371</v>
      </c>
      <c r="I1791" s="44" t="str">
        <f>"0x"&amp;AE_w_WORK!J254</f>
        <v>0x0000</v>
      </c>
      <c r="J1791" s="36">
        <v>42001</v>
      </c>
      <c r="K1791" s="37"/>
      <c r="L1791" s="74">
        <f t="shared" si="29"/>
        <v>3570</v>
      </c>
    </row>
    <row r="1792" spans="1:12" hidden="1" outlineLevel="1">
      <c r="A1792" s="8"/>
      <c r="B1792" s="73">
        <v>1786</v>
      </c>
      <c r="C1792" s="39"/>
      <c r="D1792" s="40"/>
      <c r="E1792" s="34" t="s">
        <v>323</v>
      </c>
      <c r="F1792" s="75" t="s">
        <v>2157</v>
      </c>
      <c r="G1792" s="35" t="s">
        <v>370</v>
      </c>
      <c r="H1792" s="41" t="s">
        <v>371</v>
      </c>
      <c r="I1792" s="44" t="str">
        <f>"0x"&amp;AE_w_WORK!J255</f>
        <v>0x0000</v>
      </c>
      <c r="J1792" s="36">
        <v>42002</v>
      </c>
      <c r="K1792" s="37"/>
      <c r="L1792" s="74">
        <f t="shared" si="29"/>
        <v>3572</v>
      </c>
    </row>
    <row r="1793" spans="1:12" hidden="1" outlineLevel="1">
      <c r="A1793" s="8"/>
      <c r="B1793" s="73">
        <v>1787</v>
      </c>
      <c r="C1793" s="39"/>
      <c r="D1793" s="40"/>
      <c r="E1793" s="34" t="s">
        <v>323</v>
      </c>
      <c r="F1793" s="75" t="s">
        <v>2158</v>
      </c>
      <c r="G1793" s="35" t="s">
        <v>370</v>
      </c>
      <c r="H1793" s="41" t="s">
        <v>371</v>
      </c>
      <c r="I1793" s="44" t="str">
        <f>"0x"&amp;AE_w_WORK!J256</f>
        <v>0x0000</v>
      </c>
      <c r="J1793" s="36">
        <v>42003</v>
      </c>
      <c r="K1793" s="37"/>
      <c r="L1793" s="74">
        <f t="shared" si="29"/>
        <v>3574</v>
      </c>
    </row>
    <row r="1794" spans="1:12" hidden="1" outlineLevel="1">
      <c r="A1794" s="8"/>
      <c r="B1794" s="73">
        <v>1788</v>
      </c>
      <c r="C1794" s="39"/>
      <c r="D1794" s="40"/>
      <c r="E1794" s="34" t="s">
        <v>323</v>
      </c>
      <c r="F1794" s="75" t="s">
        <v>2159</v>
      </c>
      <c r="G1794" s="35" t="s">
        <v>370</v>
      </c>
      <c r="H1794" s="41" t="s">
        <v>371</v>
      </c>
      <c r="I1794" s="44" t="str">
        <f>"0x"&amp;AE_w_WORK!J257</f>
        <v>0x0000</v>
      </c>
      <c r="J1794" s="36">
        <v>42004</v>
      </c>
      <c r="K1794" s="37"/>
      <c r="L1794" s="74">
        <f t="shared" si="29"/>
        <v>3576</v>
      </c>
    </row>
    <row r="1795" spans="1:12" hidden="1" outlineLevel="1">
      <c r="A1795" s="8"/>
      <c r="B1795" s="73">
        <v>1789</v>
      </c>
      <c r="C1795" s="39"/>
      <c r="D1795" s="40"/>
      <c r="E1795" s="34" t="s">
        <v>323</v>
      </c>
      <c r="F1795" s="75" t="s">
        <v>2160</v>
      </c>
      <c r="G1795" s="35" t="s">
        <v>370</v>
      </c>
      <c r="H1795" s="41" t="s">
        <v>371</v>
      </c>
      <c r="I1795" s="44" t="str">
        <f>"0x"&amp;AE_w_WORK!J258</f>
        <v>0x0000</v>
      </c>
      <c r="J1795" s="36">
        <v>42005</v>
      </c>
      <c r="K1795" s="37"/>
      <c r="L1795" s="74">
        <f t="shared" si="29"/>
        <v>3578</v>
      </c>
    </row>
    <row r="1796" spans="1:12" hidden="1" outlineLevel="1">
      <c r="A1796" s="8"/>
      <c r="B1796" s="73">
        <v>1790</v>
      </c>
      <c r="C1796" s="39"/>
      <c r="D1796" s="40"/>
      <c r="E1796" s="34" t="s">
        <v>323</v>
      </c>
      <c r="F1796" s="75" t="s">
        <v>2161</v>
      </c>
      <c r="G1796" s="35" t="s">
        <v>370</v>
      </c>
      <c r="H1796" s="41" t="s">
        <v>371</v>
      </c>
      <c r="I1796" s="44" t="str">
        <f>"0x"&amp;AE_w_WORK!J259</f>
        <v>0x0000</v>
      </c>
      <c r="J1796" s="36">
        <v>42006</v>
      </c>
      <c r="K1796" s="37"/>
      <c r="L1796" s="74">
        <f t="shared" si="29"/>
        <v>3580</v>
      </c>
    </row>
    <row r="1797" spans="1:12" hidden="1" outlineLevel="1">
      <c r="A1797" s="8"/>
      <c r="B1797" s="73">
        <v>1791</v>
      </c>
      <c r="C1797" s="39"/>
      <c r="D1797" s="40"/>
      <c r="E1797" s="34" t="s">
        <v>323</v>
      </c>
      <c r="F1797" s="75" t="s">
        <v>2162</v>
      </c>
      <c r="G1797" s="35" t="s">
        <v>370</v>
      </c>
      <c r="H1797" s="41" t="s">
        <v>371</v>
      </c>
      <c r="I1797" s="44" t="str">
        <f>"0x"&amp;AE_w_WORK!J260</f>
        <v>0x0000</v>
      </c>
      <c r="J1797" s="36">
        <v>42007</v>
      </c>
      <c r="K1797" s="37"/>
      <c r="L1797" s="74">
        <f t="shared" si="29"/>
        <v>3582</v>
      </c>
    </row>
    <row r="1798" spans="1:12" hidden="1" outlineLevel="1">
      <c r="A1798" s="8"/>
      <c r="B1798" s="73">
        <v>1792</v>
      </c>
      <c r="C1798" s="39"/>
      <c r="D1798" s="40"/>
      <c r="E1798" s="34" t="s">
        <v>323</v>
      </c>
      <c r="F1798" s="75" t="s">
        <v>2163</v>
      </c>
      <c r="G1798" s="35" t="s">
        <v>370</v>
      </c>
      <c r="H1798" s="41" t="s">
        <v>371</v>
      </c>
      <c r="I1798" s="44" t="str">
        <f>"0x"&amp;AE_w_WORK!J261</f>
        <v>0x0000</v>
      </c>
      <c r="J1798" s="36">
        <v>42008</v>
      </c>
      <c r="K1798" s="37"/>
      <c r="L1798" s="74">
        <f t="shared" si="29"/>
        <v>3584</v>
      </c>
    </row>
    <row r="1799" spans="1:12" collapsed="1">
      <c r="A1799" s="8"/>
      <c r="B1799" s="73">
        <v>1793</v>
      </c>
      <c r="C1799" s="39"/>
      <c r="D1799" s="40"/>
      <c r="E1799" s="34" t="s">
        <v>323</v>
      </c>
      <c r="F1799" s="75" t="s">
        <v>2164</v>
      </c>
      <c r="G1799" s="35" t="s">
        <v>370</v>
      </c>
      <c r="H1799" s="41" t="s">
        <v>371</v>
      </c>
      <c r="I1799" s="44" t="str">
        <f>"0x"&amp;AE_w_WORK!K6</f>
        <v>0x0000</v>
      </c>
      <c r="J1799" s="36">
        <v>42009</v>
      </c>
      <c r="K1799" s="37" t="s">
        <v>345</v>
      </c>
      <c r="L1799" s="74">
        <f t="shared" si="29"/>
        <v>3586</v>
      </c>
    </row>
    <row r="1800" spans="1:12" hidden="1" outlineLevel="1">
      <c r="A1800" s="8"/>
      <c r="B1800" s="73">
        <v>1794</v>
      </c>
      <c r="C1800" s="39"/>
      <c r="D1800" s="40"/>
      <c r="E1800" s="34" t="s">
        <v>323</v>
      </c>
      <c r="F1800" s="75" t="s">
        <v>2165</v>
      </c>
      <c r="G1800" s="35" t="s">
        <v>370</v>
      </c>
      <c r="H1800" s="41" t="s">
        <v>371</v>
      </c>
      <c r="I1800" s="44" t="str">
        <f>"0x"&amp;AE_w_WORK!K7</f>
        <v>0x0000</v>
      </c>
      <c r="J1800" s="36">
        <v>42010</v>
      </c>
      <c r="K1800" s="37"/>
      <c r="L1800" s="74">
        <f t="shared" si="29"/>
        <v>3588</v>
      </c>
    </row>
    <row r="1801" spans="1:12" hidden="1" outlineLevel="1">
      <c r="A1801" s="8"/>
      <c r="B1801" s="73">
        <v>1795</v>
      </c>
      <c r="C1801" s="39"/>
      <c r="D1801" s="40"/>
      <c r="E1801" s="34" t="s">
        <v>323</v>
      </c>
      <c r="F1801" s="75" t="s">
        <v>2166</v>
      </c>
      <c r="G1801" s="35" t="s">
        <v>370</v>
      </c>
      <c r="H1801" s="41" t="s">
        <v>371</v>
      </c>
      <c r="I1801" s="44" t="str">
        <f>"0x"&amp;AE_w_WORK!K8</f>
        <v>0x0000</v>
      </c>
      <c r="J1801" s="36">
        <v>42011</v>
      </c>
      <c r="K1801" s="37"/>
      <c r="L1801" s="74">
        <f t="shared" ref="L1801:L1864" si="30">L1800+2</f>
        <v>3590</v>
      </c>
    </row>
    <row r="1802" spans="1:12" hidden="1" outlineLevel="1">
      <c r="A1802" s="8"/>
      <c r="B1802" s="73">
        <v>1796</v>
      </c>
      <c r="C1802" s="39"/>
      <c r="D1802" s="40"/>
      <c r="E1802" s="34" t="s">
        <v>323</v>
      </c>
      <c r="F1802" s="75" t="s">
        <v>2167</v>
      </c>
      <c r="G1802" s="35" t="s">
        <v>370</v>
      </c>
      <c r="H1802" s="41" t="s">
        <v>371</v>
      </c>
      <c r="I1802" s="44" t="str">
        <f>"0x"&amp;AE_w_WORK!K9</f>
        <v>0x0000</v>
      </c>
      <c r="J1802" s="36">
        <v>42012</v>
      </c>
      <c r="K1802" s="37"/>
      <c r="L1802" s="74">
        <f t="shared" si="30"/>
        <v>3592</v>
      </c>
    </row>
    <row r="1803" spans="1:12" hidden="1" outlineLevel="1">
      <c r="A1803" s="8"/>
      <c r="B1803" s="73">
        <v>1797</v>
      </c>
      <c r="C1803" s="39"/>
      <c r="D1803" s="40"/>
      <c r="E1803" s="34" t="s">
        <v>323</v>
      </c>
      <c r="F1803" s="75" t="s">
        <v>2168</v>
      </c>
      <c r="G1803" s="35" t="s">
        <v>370</v>
      </c>
      <c r="H1803" s="41" t="s">
        <v>371</v>
      </c>
      <c r="I1803" s="44" t="str">
        <f>"0x"&amp;AE_w_WORK!K10</f>
        <v>0x0000</v>
      </c>
      <c r="J1803" s="36">
        <v>42013</v>
      </c>
      <c r="K1803" s="37"/>
      <c r="L1803" s="74">
        <f t="shared" si="30"/>
        <v>3594</v>
      </c>
    </row>
    <row r="1804" spans="1:12" hidden="1" outlineLevel="1">
      <c r="A1804" s="8"/>
      <c r="B1804" s="73">
        <v>1798</v>
      </c>
      <c r="C1804" s="39"/>
      <c r="D1804" s="40"/>
      <c r="E1804" s="34" t="s">
        <v>323</v>
      </c>
      <c r="F1804" s="75" t="s">
        <v>2169</v>
      </c>
      <c r="G1804" s="35" t="s">
        <v>370</v>
      </c>
      <c r="H1804" s="41" t="s">
        <v>371</v>
      </c>
      <c r="I1804" s="44" t="str">
        <f>"0x"&amp;AE_w_WORK!K11</f>
        <v>0x0000</v>
      </c>
      <c r="J1804" s="36">
        <v>42014</v>
      </c>
      <c r="K1804" s="37"/>
      <c r="L1804" s="74">
        <f t="shared" si="30"/>
        <v>3596</v>
      </c>
    </row>
    <row r="1805" spans="1:12" hidden="1" outlineLevel="1">
      <c r="A1805" s="8"/>
      <c r="B1805" s="73">
        <v>1799</v>
      </c>
      <c r="C1805" s="39"/>
      <c r="D1805" s="40"/>
      <c r="E1805" s="34" t="s">
        <v>323</v>
      </c>
      <c r="F1805" s="75" t="s">
        <v>2170</v>
      </c>
      <c r="G1805" s="35" t="s">
        <v>370</v>
      </c>
      <c r="H1805" s="41" t="s">
        <v>371</v>
      </c>
      <c r="I1805" s="44" t="str">
        <f>"0x"&amp;AE_w_WORK!K12</f>
        <v>0x0000</v>
      </c>
      <c r="J1805" s="36">
        <v>42015</v>
      </c>
      <c r="K1805" s="37"/>
      <c r="L1805" s="74">
        <f t="shared" si="30"/>
        <v>3598</v>
      </c>
    </row>
    <row r="1806" spans="1:12" hidden="1" outlineLevel="1">
      <c r="A1806" s="8"/>
      <c r="B1806" s="73">
        <v>1800</v>
      </c>
      <c r="C1806" s="39"/>
      <c r="D1806" s="40"/>
      <c r="E1806" s="34" t="s">
        <v>323</v>
      </c>
      <c r="F1806" s="75" t="s">
        <v>2171</v>
      </c>
      <c r="G1806" s="35" t="s">
        <v>370</v>
      </c>
      <c r="H1806" s="41" t="s">
        <v>371</v>
      </c>
      <c r="I1806" s="44" t="str">
        <f>"0x"&amp;AE_w_WORK!K13</f>
        <v>0x0000</v>
      </c>
      <c r="J1806" s="36">
        <v>42016</v>
      </c>
      <c r="K1806" s="37"/>
      <c r="L1806" s="74">
        <f t="shared" si="30"/>
        <v>3600</v>
      </c>
    </row>
    <row r="1807" spans="1:12" hidden="1" outlineLevel="1">
      <c r="A1807" s="8"/>
      <c r="B1807" s="73">
        <v>1801</v>
      </c>
      <c r="C1807" s="39"/>
      <c r="D1807" s="40"/>
      <c r="E1807" s="34" t="s">
        <v>323</v>
      </c>
      <c r="F1807" s="75" t="s">
        <v>2172</v>
      </c>
      <c r="G1807" s="35" t="s">
        <v>370</v>
      </c>
      <c r="H1807" s="41" t="s">
        <v>371</v>
      </c>
      <c r="I1807" s="44" t="str">
        <f>"0x"&amp;AE_w_WORK!K14</f>
        <v>0x0000</v>
      </c>
      <c r="J1807" s="36">
        <v>42017</v>
      </c>
      <c r="K1807" s="37"/>
      <c r="L1807" s="74">
        <f t="shared" si="30"/>
        <v>3602</v>
      </c>
    </row>
    <row r="1808" spans="1:12" hidden="1" outlineLevel="1">
      <c r="A1808" s="8"/>
      <c r="B1808" s="73">
        <v>1802</v>
      </c>
      <c r="C1808" s="39"/>
      <c r="D1808" s="40"/>
      <c r="E1808" s="34" t="s">
        <v>323</v>
      </c>
      <c r="F1808" s="75" t="s">
        <v>2173</v>
      </c>
      <c r="G1808" s="35" t="s">
        <v>370</v>
      </c>
      <c r="H1808" s="41" t="s">
        <v>371</v>
      </c>
      <c r="I1808" s="44" t="str">
        <f>"0x"&amp;AE_w_WORK!K15</f>
        <v>0x0000</v>
      </c>
      <c r="J1808" s="36">
        <v>42018</v>
      </c>
      <c r="K1808" s="37"/>
      <c r="L1808" s="74">
        <f t="shared" si="30"/>
        <v>3604</v>
      </c>
    </row>
    <row r="1809" spans="1:12" hidden="1" outlineLevel="1">
      <c r="A1809" s="8"/>
      <c r="B1809" s="73">
        <v>1803</v>
      </c>
      <c r="C1809" s="39"/>
      <c r="D1809" s="40"/>
      <c r="E1809" s="34" t="s">
        <v>323</v>
      </c>
      <c r="F1809" s="75" t="s">
        <v>2174</v>
      </c>
      <c r="G1809" s="35" t="s">
        <v>370</v>
      </c>
      <c r="H1809" s="41" t="s">
        <v>371</v>
      </c>
      <c r="I1809" s="44" t="str">
        <f>"0x"&amp;AE_w_WORK!K16</f>
        <v>0x0000</v>
      </c>
      <c r="J1809" s="36">
        <v>42019</v>
      </c>
      <c r="K1809" s="37"/>
      <c r="L1809" s="74">
        <f t="shared" si="30"/>
        <v>3606</v>
      </c>
    </row>
    <row r="1810" spans="1:12" hidden="1" outlineLevel="1">
      <c r="A1810" s="8"/>
      <c r="B1810" s="73">
        <v>1804</v>
      </c>
      <c r="C1810" s="39"/>
      <c r="D1810" s="40"/>
      <c r="E1810" s="34" t="s">
        <v>323</v>
      </c>
      <c r="F1810" s="75" t="s">
        <v>2175</v>
      </c>
      <c r="G1810" s="35" t="s">
        <v>370</v>
      </c>
      <c r="H1810" s="41" t="s">
        <v>371</v>
      </c>
      <c r="I1810" s="44" t="str">
        <f>"0x"&amp;AE_w_WORK!K17</f>
        <v>0x0000</v>
      </c>
      <c r="J1810" s="36">
        <v>42020</v>
      </c>
      <c r="K1810" s="37"/>
      <c r="L1810" s="74">
        <f t="shared" si="30"/>
        <v>3608</v>
      </c>
    </row>
    <row r="1811" spans="1:12" hidden="1" outlineLevel="1">
      <c r="A1811" s="8"/>
      <c r="B1811" s="73">
        <v>1805</v>
      </c>
      <c r="C1811" s="39"/>
      <c r="D1811" s="40"/>
      <c r="E1811" s="34" t="s">
        <v>323</v>
      </c>
      <c r="F1811" s="75" t="s">
        <v>2176</v>
      </c>
      <c r="G1811" s="35" t="s">
        <v>370</v>
      </c>
      <c r="H1811" s="41" t="s">
        <v>371</v>
      </c>
      <c r="I1811" s="44" t="str">
        <f>"0x"&amp;AE_w_WORK!K18</f>
        <v>0x0000</v>
      </c>
      <c r="J1811" s="36">
        <v>42021</v>
      </c>
      <c r="K1811" s="37"/>
      <c r="L1811" s="74">
        <f t="shared" si="30"/>
        <v>3610</v>
      </c>
    </row>
    <row r="1812" spans="1:12" hidden="1" outlineLevel="1">
      <c r="A1812" s="8"/>
      <c r="B1812" s="73">
        <v>1806</v>
      </c>
      <c r="C1812" s="39"/>
      <c r="D1812" s="40"/>
      <c r="E1812" s="34" t="s">
        <v>323</v>
      </c>
      <c r="F1812" s="75" t="s">
        <v>2177</v>
      </c>
      <c r="G1812" s="35" t="s">
        <v>370</v>
      </c>
      <c r="H1812" s="41" t="s">
        <v>371</v>
      </c>
      <c r="I1812" s="44" t="str">
        <f>"0x"&amp;AE_w_WORK!K19</f>
        <v>0x0000</v>
      </c>
      <c r="J1812" s="36">
        <v>42022</v>
      </c>
      <c r="K1812" s="37"/>
      <c r="L1812" s="74">
        <f t="shared" si="30"/>
        <v>3612</v>
      </c>
    </row>
    <row r="1813" spans="1:12" hidden="1" outlineLevel="1">
      <c r="A1813" s="8"/>
      <c r="B1813" s="73">
        <v>1807</v>
      </c>
      <c r="C1813" s="39"/>
      <c r="D1813" s="40"/>
      <c r="E1813" s="34" t="s">
        <v>323</v>
      </c>
      <c r="F1813" s="75" t="s">
        <v>2178</v>
      </c>
      <c r="G1813" s="35" t="s">
        <v>370</v>
      </c>
      <c r="H1813" s="41" t="s">
        <v>371</v>
      </c>
      <c r="I1813" s="44" t="str">
        <f>"0x"&amp;AE_w_WORK!K20</f>
        <v>0x0000</v>
      </c>
      <c r="J1813" s="36">
        <v>42023</v>
      </c>
      <c r="K1813" s="37"/>
      <c r="L1813" s="74">
        <f t="shared" si="30"/>
        <v>3614</v>
      </c>
    </row>
    <row r="1814" spans="1:12" hidden="1" outlineLevel="1">
      <c r="A1814" s="8"/>
      <c r="B1814" s="73">
        <v>1808</v>
      </c>
      <c r="C1814" s="39"/>
      <c r="D1814" s="40"/>
      <c r="E1814" s="34" t="s">
        <v>323</v>
      </c>
      <c r="F1814" s="75" t="s">
        <v>2179</v>
      </c>
      <c r="G1814" s="35" t="s">
        <v>370</v>
      </c>
      <c r="H1814" s="41" t="s">
        <v>371</v>
      </c>
      <c r="I1814" s="44" t="str">
        <f>"0x"&amp;AE_w_WORK!K21</f>
        <v>0x0000</v>
      </c>
      <c r="J1814" s="36">
        <v>42024</v>
      </c>
      <c r="K1814" s="37"/>
      <c r="L1814" s="74">
        <f t="shared" si="30"/>
        <v>3616</v>
      </c>
    </row>
    <row r="1815" spans="1:12" hidden="1" outlineLevel="1">
      <c r="A1815" s="8"/>
      <c r="B1815" s="73">
        <v>1809</v>
      </c>
      <c r="C1815" s="39"/>
      <c r="D1815" s="40"/>
      <c r="E1815" s="34" t="s">
        <v>323</v>
      </c>
      <c r="F1815" s="75" t="s">
        <v>2180</v>
      </c>
      <c r="G1815" s="35" t="s">
        <v>370</v>
      </c>
      <c r="H1815" s="41" t="s">
        <v>371</v>
      </c>
      <c r="I1815" s="44" t="str">
        <f>"0x"&amp;AE_w_WORK!K22</f>
        <v>0x0000</v>
      </c>
      <c r="J1815" s="36">
        <v>42025</v>
      </c>
      <c r="K1815" s="37"/>
      <c r="L1815" s="74">
        <f t="shared" si="30"/>
        <v>3618</v>
      </c>
    </row>
    <row r="1816" spans="1:12" hidden="1" outlineLevel="1">
      <c r="A1816" s="8"/>
      <c r="B1816" s="73">
        <v>1810</v>
      </c>
      <c r="C1816" s="39"/>
      <c r="D1816" s="40"/>
      <c r="E1816" s="34" t="s">
        <v>323</v>
      </c>
      <c r="F1816" s="75" t="s">
        <v>2181</v>
      </c>
      <c r="G1816" s="35" t="s">
        <v>370</v>
      </c>
      <c r="H1816" s="41" t="s">
        <v>371</v>
      </c>
      <c r="I1816" s="44" t="str">
        <f>"0x"&amp;AE_w_WORK!K23</f>
        <v>0x0000</v>
      </c>
      <c r="J1816" s="36">
        <v>42026</v>
      </c>
      <c r="K1816" s="37"/>
      <c r="L1816" s="74">
        <f t="shared" si="30"/>
        <v>3620</v>
      </c>
    </row>
    <row r="1817" spans="1:12" hidden="1" outlineLevel="1">
      <c r="A1817" s="8"/>
      <c r="B1817" s="73">
        <v>1811</v>
      </c>
      <c r="C1817" s="39"/>
      <c r="D1817" s="40"/>
      <c r="E1817" s="34" t="s">
        <v>323</v>
      </c>
      <c r="F1817" s="75" t="s">
        <v>2182</v>
      </c>
      <c r="G1817" s="35" t="s">
        <v>370</v>
      </c>
      <c r="H1817" s="41" t="s">
        <v>371</v>
      </c>
      <c r="I1817" s="44" t="str">
        <f>"0x"&amp;AE_w_WORK!K24</f>
        <v>0x0000</v>
      </c>
      <c r="J1817" s="36">
        <v>42027</v>
      </c>
      <c r="K1817" s="37"/>
      <c r="L1817" s="74">
        <f t="shared" si="30"/>
        <v>3622</v>
      </c>
    </row>
    <row r="1818" spans="1:12" hidden="1" outlineLevel="1">
      <c r="A1818" s="8"/>
      <c r="B1818" s="73">
        <v>1812</v>
      </c>
      <c r="C1818" s="39"/>
      <c r="D1818" s="40"/>
      <c r="E1818" s="34" t="s">
        <v>323</v>
      </c>
      <c r="F1818" s="75" t="s">
        <v>2183</v>
      </c>
      <c r="G1818" s="35" t="s">
        <v>370</v>
      </c>
      <c r="H1818" s="41" t="s">
        <v>371</v>
      </c>
      <c r="I1818" s="44" t="str">
        <f>"0x"&amp;AE_w_WORK!K25</f>
        <v>0x0000</v>
      </c>
      <c r="J1818" s="36">
        <v>42028</v>
      </c>
      <c r="K1818" s="37"/>
      <c r="L1818" s="74">
        <f t="shared" si="30"/>
        <v>3624</v>
      </c>
    </row>
    <row r="1819" spans="1:12" hidden="1" outlineLevel="1">
      <c r="A1819" s="8"/>
      <c r="B1819" s="73">
        <v>1813</v>
      </c>
      <c r="C1819" s="39"/>
      <c r="D1819" s="40"/>
      <c r="E1819" s="34" t="s">
        <v>323</v>
      </c>
      <c r="F1819" s="75" t="s">
        <v>2184</v>
      </c>
      <c r="G1819" s="35" t="s">
        <v>370</v>
      </c>
      <c r="H1819" s="41" t="s">
        <v>371</v>
      </c>
      <c r="I1819" s="44" t="str">
        <f>"0x"&amp;AE_w_WORK!K26</f>
        <v>0x0000</v>
      </c>
      <c r="J1819" s="36">
        <v>42029</v>
      </c>
      <c r="K1819" s="37"/>
      <c r="L1819" s="74">
        <f t="shared" si="30"/>
        <v>3626</v>
      </c>
    </row>
    <row r="1820" spans="1:12" hidden="1" outlineLevel="1">
      <c r="A1820" s="8"/>
      <c r="B1820" s="73">
        <v>1814</v>
      </c>
      <c r="C1820" s="39"/>
      <c r="D1820" s="40"/>
      <c r="E1820" s="34" t="s">
        <v>323</v>
      </c>
      <c r="F1820" s="75" t="s">
        <v>2185</v>
      </c>
      <c r="G1820" s="35" t="s">
        <v>370</v>
      </c>
      <c r="H1820" s="41" t="s">
        <v>371</v>
      </c>
      <c r="I1820" s="44" t="str">
        <f>"0x"&amp;AE_w_WORK!K27</f>
        <v>0x0000</v>
      </c>
      <c r="J1820" s="36">
        <v>42030</v>
      </c>
      <c r="K1820" s="37"/>
      <c r="L1820" s="74">
        <f t="shared" si="30"/>
        <v>3628</v>
      </c>
    </row>
    <row r="1821" spans="1:12" hidden="1" outlineLevel="1">
      <c r="A1821" s="8"/>
      <c r="B1821" s="73">
        <v>1815</v>
      </c>
      <c r="C1821" s="39"/>
      <c r="D1821" s="40"/>
      <c r="E1821" s="34" t="s">
        <v>323</v>
      </c>
      <c r="F1821" s="75" t="s">
        <v>2186</v>
      </c>
      <c r="G1821" s="35" t="s">
        <v>370</v>
      </c>
      <c r="H1821" s="41" t="s">
        <v>371</v>
      </c>
      <c r="I1821" s="44" t="str">
        <f>"0x"&amp;AE_w_WORK!K28</f>
        <v>0x0000</v>
      </c>
      <c r="J1821" s="36">
        <v>42031</v>
      </c>
      <c r="K1821" s="37"/>
      <c r="L1821" s="74">
        <f t="shared" si="30"/>
        <v>3630</v>
      </c>
    </row>
    <row r="1822" spans="1:12" hidden="1" outlineLevel="1">
      <c r="A1822" s="8"/>
      <c r="B1822" s="73">
        <v>1816</v>
      </c>
      <c r="C1822" s="39"/>
      <c r="D1822" s="40"/>
      <c r="E1822" s="34" t="s">
        <v>323</v>
      </c>
      <c r="F1822" s="75" t="s">
        <v>2187</v>
      </c>
      <c r="G1822" s="35" t="s">
        <v>370</v>
      </c>
      <c r="H1822" s="41" t="s">
        <v>371</v>
      </c>
      <c r="I1822" s="44" t="str">
        <f>"0x"&amp;AE_w_WORK!K29</f>
        <v>0x0000</v>
      </c>
      <c r="J1822" s="36">
        <v>42032</v>
      </c>
      <c r="K1822" s="37"/>
      <c r="L1822" s="74">
        <f t="shared" si="30"/>
        <v>3632</v>
      </c>
    </row>
    <row r="1823" spans="1:12" hidden="1" outlineLevel="1">
      <c r="A1823" s="8"/>
      <c r="B1823" s="73">
        <v>1817</v>
      </c>
      <c r="C1823" s="39"/>
      <c r="D1823" s="40"/>
      <c r="E1823" s="34" t="s">
        <v>323</v>
      </c>
      <c r="F1823" s="75" t="s">
        <v>2188</v>
      </c>
      <c r="G1823" s="35" t="s">
        <v>370</v>
      </c>
      <c r="H1823" s="41" t="s">
        <v>371</v>
      </c>
      <c r="I1823" s="44" t="str">
        <f>"0x"&amp;AE_w_WORK!K30</f>
        <v>0x0000</v>
      </c>
      <c r="J1823" s="36">
        <v>42033</v>
      </c>
      <c r="K1823" s="37"/>
      <c r="L1823" s="74">
        <f t="shared" si="30"/>
        <v>3634</v>
      </c>
    </row>
    <row r="1824" spans="1:12" hidden="1" outlineLevel="1">
      <c r="A1824" s="8"/>
      <c r="B1824" s="73">
        <v>1818</v>
      </c>
      <c r="C1824" s="39"/>
      <c r="D1824" s="40"/>
      <c r="E1824" s="34" t="s">
        <v>323</v>
      </c>
      <c r="F1824" s="75" t="s">
        <v>2189</v>
      </c>
      <c r="G1824" s="35" t="s">
        <v>370</v>
      </c>
      <c r="H1824" s="41" t="s">
        <v>371</v>
      </c>
      <c r="I1824" s="44" t="str">
        <f>"0x"&amp;AE_w_WORK!K31</f>
        <v>0x0000</v>
      </c>
      <c r="J1824" s="36">
        <v>42034</v>
      </c>
      <c r="K1824" s="37"/>
      <c r="L1824" s="74">
        <f t="shared" si="30"/>
        <v>3636</v>
      </c>
    </row>
    <row r="1825" spans="1:12" hidden="1" outlineLevel="1">
      <c r="A1825" s="8"/>
      <c r="B1825" s="73">
        <v>1819</v>
      </c>
      <c r="C1825" s="39"/>
      <c r="D1825" s="40"/>
      <c r="E1825" s="34" t="s">
        <v>323</v>
      </c>
      <c r="F1825" s="75" t="s">
        <v>2190</v>
      </c>
      <c r="G1825" s="35" t="s">
        <v>370</v>
      </c>
      <c r="H1825" s="41" t="s">
        <v>371</v>
      </c>
      <c r="I1825" s="44" t="str">
        <f>"0x"&amp;AE_w_WORK!K32</f>
        <v>0x0000</v>
      </c>
      <c r="J1825" s="36">
        <v>42035</v>
      </c>
      <c r="K1825" s="37"/>
      <c r="L1825" s="74">
        <f t="shared" si="30"/>
        <v>3638</v>
      </c>
    </row>
    <row r="1826" spans="1:12" hidden="1" outlineLevel="1">
      <c r="A1826" s="8"/>
      <c r="B1826" s="73">
        <v>1820</v>
      </c>
      <c r="C1826" s="39"/>
      <c r="D1826" s="40"/>
      <c r="E1826" s="34" t="s">
        <v>323</v>
      </c>
      <c r="F1826" s="75" t="s">
        <v>2191</v>
      </c>
      <c r="G1826" s="35" t="s">
        <v>370</v>
      </c>
      <c r="H1826" s="41" t="s">
        <v>371</v>
      </c>
      <c r="I1826" s="44" t="str">
        <f>"0x"&amp;AE_w_WORK!K33</f>
        <v>0x0000</v>
      </c>
      <c r="J1826" s="36">
        <v>42036</v>
      </c>
      <c r="K1826" s="37"/>
      <c r="L1826" s="74">
        <f t="shared" si="30"/>
        <v>3640</v>
      </c>
    </row>
    <row r="1827" spans="1:12" hidden="1" outlineLevel="1">
      <c r="A1827" s="8"/>
      <c r="B1827" s="73">
        <v>1821</v>
      </c>
      <c r="C1827" s="39"/>
      <c r="D1827" s="40"/>
      <c r="E1827" s="34" t="s">
        <v>323</v>
      </c>
      <c r="F1827" s="75" t="s">
        <v>2192</v>
      </c>
      <c r="G1827" s="35" t="s">
        <v>370</v>
      </c>
      <c r="H1827" s="41" t="s">
        <v>371</v>
      </c>
      <c r="I1827" s="44" t="str">
        <f>"0x"&amp;AE_w_WORK!K34</f>
        <v>0x0000</v>
      </c>
      <c r="J1827" s="36">
        <v>42037</v>
      </c>
      <c r="K1827" s="37"/>
      <c r="L1827" s="74">
        <f t="shared" si="30"/>
        <v>3642</v>
      </c>
    </row>
    <row r="1828" spans="1:12" hidden="1" outlineLevel="1">
      <c r="A1828" s="8"/>
      <c r="B1828" s="73">
        <v>1822</v>
      </c>
      <c r="C1828" s="39"/>
      <c r="D1828" s="40"/>
      <c r="E1828" s="34" t="s">
        <v>323</v>
      </c>
      <c r="F1828" s="75" t="s">
        <v>2193</v>
      </c>
      <c r="G1828" s="35" t="s">
        <v>370</v>
      </c>
      <c r="H1828" s="41" t="s">
        <v>371</v>
      </c>
      <c r="I1828" s="44" t="str">
        <f>"0x"&amp;AE_w_WORK!K35</f>
        <v>0x0000</v>
      </c>
      <c r="J1828" s="36">
        <v>42038</v>
      </c>
      <c r="K1828" s="37"/>
      <c r="L1828" s="74">
        <f t="shared" si="30"/>
        <v>3644</v>
      </c>
    </row>
    <row r="1829" spans="1:12" hidden="1" outlineLevel="1">
      <c r="A1829" s="8"/>
      <c r="B1829" s="73">
        <v>1823</v>
      </c>
      <c r="C1829" s="39"/>
      <c r="D1829" s="40"/>
      <c r="E1829" s="34" t="s">
        <v>323</v>
      </c>
      <c r="F1829" s="75" t="s">
        <v>2194</v>
      </c>
      <c r="G1829" s="35" t="s">
        <v>370</v>
      </c>
      <c r="H1829" s="41" t="s">
        <v>371</v>
      </c>
      <c r="I1829" s="44" t="str">
        <f>"0x"&amp;AE_w_WORK!K36</f>
        <v>0x0000</v>
      </c>
      <c r="J1829" s="36">
        <v>42039</v>
      </c>
      <c r="K1829" s="37"/>
      <c r="L1829" s="74">
        <f t="shared" si="30"/>
        <v>3646</v>
      </c>
    </row>
    <row r="1830" spans="1:12" hidden="1" outlineLevel="1">
      <c r="A1830" s="8"/>
      <c r="B1830" s="73">
        <v>1824</v>
      </c>
      <c r="C1830" s="39"/>
      <c r="D1830" s="40"/>
      <c r="E1830" s="34" t="s">
        <v>323</v>
      </c>
      <c r="F1830" s="75" t="s">
        <v>2195</v>
      </c>
      <c r="G1830" s="35" t="s">
        <v>370</v>
      </c>
      <c r="H1830" s="41" t="s">
        <v>371</v>
      </c>
      <c r="I1830" s="44" t="str">
        <f>"0x"&amp;AE_w_WORK!K37</f>
        <v>0x0000</v>
      </c>
      <c r="J1830" s="36">
        <v>42040</v>
      </c>
      <c r="K1830" s="37"/>
      <c r="L1830" s="74">
        <f t="shared" si="30"/>
        <v>3648</v>
      </c>
    </row>
    <row r="1831" spans="1:12" hidden="1" outlineLevel="1">
      <c r="A1831" s="8"/>
      <c r="B1831" s="73">
        <v>1825</v>
      </c>
      <c r="C1831" s="39"/>
      <c r="D1831" s="40"/>
      <c r="E1831" s="34" t="s">
        <v>323</v>
      </c>
      <c r="F1831" s="75" t="s">
        <v>2196</v>
      </c>
      <c r="G1831" s="35" t="s">
        <v>370</v>
      </c>
      <c r="H1831" s="41" t="s">
        <v>371</v>
      </c>
      <c r="I1831" s="44" t="str">
        <f>"0x"&amp;AE_w_WORK!K38</f>
        <v>0x0000</v>
      </c>
      <c r="J1831" s="36">
        <v>42041</v>
      </c>
      <c r="K1831" s="37"/>
      <c r="L1831" s="74">
        <f t="shared" si="30"/>
        <v>3650</v>
      </c>
    </row>
    <row r="1832" spans="1:12" hidden="1" outlineLevel="1">
      <c r="A1832" s="8"/>
      <c r="B1832" s="73">
        <v>1826</v>
      </c>
      <c r="C1832" s="39"/>
      <c r="D1832" s="40"/>
      <c r="E1832" s="34" t="s">
        <v>323</v>
      </c>
      <c r="F1832" s="75" t="s">
        <v>2197</v>
      </c>
      <c r="G1832" s="35" t="s">
        <v>370</v>
      </c>
      <c r="H1832" s="41" t="s">
        <v>371</v>
      </c>
      <c r="I1832" s="44" t="str">
        <f>"0x"&amp;AE_w_WORK!K39</f>
        <v>0x0000</v>
      </c>
      <c r="J1832" s="36">
        <v>42042</v>
      </c>
      <c r="K1832" s="37"/>
      <c r="L1832" s="74">
        <f t="shared" si="30"/>
        <v>3652</v>
      </c>
    </row>
    <row r="1833" spans="1:12" hidden="1" outlineLevel="1">
      <c r="A1833" s="8"/>
      <c r="B1833" s="73">
        <v>1827</v>
      </c>
      <c r="C1833" s="39"/>
      <c r="D1833" s="40"/>
      <c r="E1833" s="34" t="s">
        <v>323</v>
      </c>
      <c r="F1833" s="75" t="s">
        <v>2198</v>
      </c>
      <c r="G1833" s="35" t="s">
        <v>370</v>
      </c>
      <c r="H1833" s="41" t="s">
        <v>371</v>
      </c>
      <c r="I1833" s="44" t="str">
        <f>"0x"&amp;AE_w_WORK!K40</f>
        <v>0x0000</v>
      </c>
      <c r="J1833" s="36">
        <v>42043</v>
      </c>
      <c r="K1833" s="37"/>
      <c r="L1833" s="74">
        <f t="shared" si="30"/>
        <v>3654</v>
      </c>
    </row>
    <row r="1834" spans="1:12" hidden="1" outlineLevel="1">
      <c r="A1834" s="8"/>
      <c r="B1834" s="73">
        <v>1828</v>
      </c>
      <c r="C1834" s="39"/>
      <c r="D1834" s="40"/>
      <c r="E1834" s="34" t="s">
        <v>323</v>
      </c>
      <c r="F1834" s="75" t="s">
        <v>2199</v>
      </c>
      <c r="G1834" s="35" t="s">
        <v>370</v>
      </c>
      <c r="H1834" s="41" t="s">
        <v>371</v>
      </c>
      <c r="I1834" s="44" t="str">
        <f>"0x"&amp;AE_w_WORK!K41</f>
        <v>0x0000</v>
      </c>
      <c r="J1834" s="36">
        <v>42044</v>
      </c>
      <c r="K1834" s="37"/>
      <c r="L1834" s="74">
        <f t="shared" si="30"/>
        <v>3656</v>
      </c>
    </row>
    <row r="1835" spans="1:12" hidden="1" outlineLevel="1">
      <c r="A1835" s="8"/>
      <c r="B1835" s="73">
        <v>1829</v>
      </c>
      <c r="C1835" s="39"/>
      <c r="D1835" s="40"/>
      <c r="E1835" s="34" t="s">
        <v>323</v>
      </c>
      <c r="F1835" s="75" t="s">
        <v>2200</v>
      </c>
      <c r="G1835" s="35" t="s">
        <v>370</v>
      </c>
      <c r="H1835" s="41" t="s">
        <v>371</v>
      </c>
      <c r="I1835" s="44" t="str">
        <f>"0x"&amp;AE_w_WORK!K42</f>
        <v>0x0000</v>
      </c>
      <c r="J1835" s="36">
        <v>42045</v>
      </c>
      <c r="K1835" s="37"/>
      <c r="L1835" s="74">
        <f t="shared" si="30"/>
        <v>3658</v>
      </c>
    </row>
    <row r="1836" spans="1:12" hidden="1" outlineLevel="1">
      <c r="A1836" s="8"/>
      <c r="B1836" s="73">
        <v>1830</v>
      </c>
      <c r="C1836" s="39"/>
      <c r="D1836" s="40"/>
      <c r="E1836" s="34" t="s">
        <v>323</v>
      </c>
      <c r="F1836" s="75" t="s">
        <v>2201</v>
      </c>
      <c r="G1836" s="35" t="s">
        <v>370</v>
      </c>
      <c r="H1836" s="41" t="s">
        <v>371</v>
      </c>
      <c r="I1836" s="44" t="str">
        <f>"0x"&amp;AE_w_WORK!K43</f>
        <v>0x0000</v>
      </c>
      <c r="J1836" s="36">
        <v>42046</v>
      </c>
      <c r="K1836" s="37"/>
      <c r="L1836" s="74">
        <f t="shared" si="30"/>
        <v>3660</v>
      </c>
    </row>
    <row r="1837" spans="1:12" hidden="1" outlineLevel="1">
      <c r="A1837" s="8"/>
      <c r="B1837" s="73">
        <v>1831</v>
      </c>
      <c r="C1837" s="39"/>
      <c r="D1837" s="40"/>
      <c r="E1837" s="34" t="s">
        <v>323</v>
      </c>
      <c r="F1837" s="75" t="s">
        <v>2202</v>
      </c>
      <c r="G1837" s="35" t="s">
        <v>370</v>
      </c>
      <c r="H1837" s="41" t="s">
        <v>371</v>
      </c>
      <c r="I1837" s="44" t="str">
        <f>"0x"&amp;AE_w_WORK!K44</f>
        <v>0x0000</v>
      </c>
      <c r="J1837" s="36">
        <v>42047</v>
      </c>
      <c r="K1837" s="37"/>
      <c r="L1837" s="74">
        <f t="shared" si="30"/>
        <v>3662</v>
      </c>
    </row>
    <row r="1838" spans="1:12" hidden="1" outlineLevel="1">
      <c r="A1838" s="8"/>
      <c r="B1838" s="73">
        <v>1832</v>
      </c>
      <c r="C1838" s="39"/>
      <c r="D1838" s="40"/>
      <c r="E1838" s="34" t="s">
        <v>323</v>
      </c>
      <c r="F1838" s="75" t="s">
        <v>2203</v>
      </c>
      <c r="G1838" s="35" t="s">
        <v>370</v>
      </c>
      <c r="H1838" s="41" t="s">
        <v>371</v>
      </c>
      <c r="I1838" s="44" t="str">
        <f>"0x"&amp;AE_w_WORK!K45</f>
        <v>0x0000</v>
      </c>
      <c r="J1838" s="36">
        <v>42048</v>
      </c>
      <c r="K1838" s="37"/>
      <c r="L1838" s="74">
        <f t="shared" si="30"/>
        <v>3664</v>
      </c>
    </row>
    <row r="1839" spans="1:12" hidden="1" outlineLevel="1">
      <c r="A1839" s="8"/>
      <c r="B1839" s="73">
        <v>1833</v>
      </c>
      <c r="C1839" s="39"/>
      <c r="D1839" s="40"/>
      <c r="E1839" s="34" t="s">
        <v>323</v>
      </c>
      <c r="F1839" s="75" t="s">
        <v>2204</v>
      </c>
      <c r="G1839" s="35" t="s">
        <v>370</v>
      </c>
      <c r="H1839" s="41" t="s">
        <v>371</v>
      </c>
      <c r="I1839" s="44" t="str">
        <f>"0x"&amp;AE_w_WORK!K46</f>
        <v>0x0000</v>
      </c>
      <c r="J1839" s="36">
        <v>42049</v>
      </c>
      <c r="K1839" s="37"/>
      <c r="L1839" s="74">
        <f t="shared" si="30"/>
        <v>3666</v>
      </c>
    </row>
    <row r="1840" spans="1:12" hidden="1" outlineLevel="1">
      <c r="A1840" s="8"/>
      <c r="B1840" s="73">
        <v>1834</v>
      </c>
      <c r="C1840" s="39"/>
      <c r="D1840" s="40"/>
      <c r="E1840" s="34" t="s">
        <v>323</v>
      </c>
      <c r="F1840" s="75" t="s">
        <v>2205</v>
      </c>
      <c r="G1840" s="35" t="s">
        <v>370</v>
      </c>
      <c r="H1840" s="41" t="s">
        <v>371</v>
      </c>
      <c r="I1840" s="44" t="str">
        <f>"0x"&amp;AE_w_WORK!K47</f>
        <v>0x0000</v>
      </c>
      <c r="J1840" s="36">
        <v>42050</v>
      </c>
      <c r="K1840" s="37"/>
      <c r="L1840" s="74">
        <f t="shared" si="30"/>
        <v>3668</v>
      </c>
    </row>
    <row r="1841" spans="1:12" hidden="1" outlineLevel="1">
      <c r="A1841" s="8"/>
      <c r="B1841" s="73">
        <v>1835</v>
      </c>
      <c r="C1841" s="39"/>
      <c r="D1841" s="40"/>
      <c r="E1841" s="34" t="s">
        <v>323</v>
      </c>
      <c r="F1841" s="75" t="s">
        <v>2206</v>
      </c>
      <c r="G1841" s="35" t="s">
        <v>370</v>
      </c>
      <c r="H1841" s="41" t="s">
        <v>371</v>
      </c>
      <c r="I1841" s="44" t="str">
        <f>"0x"&amp;AE_w_WORK!K48</f>
        <v>0x0000</v>
      </c>
      <c r="J1841" s="36">
        <v>42051</v>
      </c>
      <c r="K1841" s="37"/>
      <c r="L1841" s="74">
        <f t="shared" si="30"/>
        <v>3670</v>
      </c>
    </row>
    <row r="1842" spans="1:12" hidden="1" outlineLevel="1">
      <c r="A1842" s="8"/>
      <c r="B1842" s="73">
        <v>1836</v>
      </c>
      <c r="C1842" s="39"/>
      <c r="D1842" s="40"/>
      <c r="E1842" s="34" t="s">
        <v>323</v>
      </c>
      <c r="F1842" s="75" t="s">
        <v>2207</v>
      </c>
      <c r="G1842" s="35" t="s">
        <v>370</v>
      </c>
      <c r="H1842" s="41" t="s">
        <v>371</v>
      </c>
      <c r="I1842" s="44" t="str">
        <f>"0x"&amp;AE_w_WORK!K49</f>
        <v>0x0011</v>
      </c>
      <c r="J1842" s="36">
        <v>42052</v>
      </c>
      <c r="K1842" s="37"/>
      <c r="L1842" s="74">
        <f t="shared" si="30"/>
        <v>3672</v>
      </c>
    </row>
    <row r="1843" spans="1:12" hidden="1" outlineLevel="1">
      <c r="A1843" s="8"/>
      <c r="B1843" s="73">
        <v>1837</v>
      </c>
      <c r="C1843" s="39"/>
      <c r="D1843" s="40"/>
      <c r="E1843" s="34" t="s">
        <v>323</v>
      </c>
      <c r="F1843" s="75" t="s">
        <v>2208</v>
      </c>
      <c r="G1843" s="35" t="s">
        <v>370</v>
      </c>
      <c r="H1843" s="41" t="s">
        <v>371</v>
      </c>
      <c r="I1843" s="44" t="str">
        <f>"0x"&amp;AE_w_WORK!K50</f>
        <v>0x1100</v>
      </c>
      <c r="J1843" s="36">
        <v>42053</v>
      </c>
      <c r="K1843" s="37"/>
      <c r="L1843" s="74">
        <f t="shared" si="30"/>
        <v>3674</v>
      </c>
    </row>
    <row r="1844" spans="1:12" hidden="1" outlineLevel="1">
      <c r="A1844" s="8"/>
      <c r="B1844" s="73">
        <v>1838</v>
      </c>
      <c r="C1844" s="39"/>
      <c r="D1844" s="40"/>
      <c r="E1844" s="34" t="s">
        <v>323</v>
      </c>
      <c r="F1844" s="75" t="s">
        <v>2209</v>
      </c>
      <c r="G1844" s="35" t="s">
        <v>370</v>
      </c>
      <c r="H1844" s="41" t="s">
        <v>371</v>
      </c>
      <c r="I1844" s="44" t="str">
        <f>"0x"&amp;AE_w_WORK!K51</f>
        <v>0x0000</v>
      </c>
      <c r="J1844" s="36">
        <v>42054</v>
      </c>
      <c r="K1844" s="37"/>
      <c r="L1844" s="74">
        <f t="shared" si="30"/>
        <v>3676</v>
      </c>
    </row>
    <row r="1845" spans="1:12" hidden="1" outlineLevel="1">
      <c r="A1845" s="8"/>
      <c r="B1845" s="73">
        <v>1839</v>
      </c>
      <c r="C1845" s="39"/>
      <c r="D1845" s="40"/>
      <c r="E1845" s="34" t="s">
        <v>323</v>
      </c>
      <c r="F1845" s="75" t="s">
        <v>2210</v>
      </c>
      <c r="G1845" s="35" t="s">
        <v>370</v>
      </c>
      <c r="H1845" s="41" t="s">
        <v>371</v>
      </c>
      <c r="I1845" s="44" t="str">
        <f>"0x"&amp;AE_w_WORK!K52</f>
        <v>0x0000</v>
      </c>
      <c r="J1845" s="36">
        <v>42055</v>
      </c>
      <c r="K1845" s="37"/>
      <c r="L1845" s="74">
        <f t="shared" si="30"/>
        <v>3678</v>
      </c>
    </row>
    <row r="1846" spans="1:12" hidden="1" outlineLevel="1">
      <c r="A1846" s="8"/>
      <c r="B1846" s="73">
        <v>1840</v>
      </c>
      <c r="C1846" s="39"/>
      <c r="D1846" s="40"/>
      <c r="E1846" s="34" t="s">
        <v>323</v>
      </c>
      <c r="F1846" s="75" t="s">
        <v>2211</v>
      </c>
      <c r="G1846" s="35" t="s">
        <v>370</v>
      </c>
      <c r="H1846" s="41" t="s">
        <v>371</v>
      </c>
      <c r="I1846" s="44" t="str">
        <f>"0x"&amp;AE_w_WORK!K53</f>
        <v>0x0000</v>
      </c>
      <c r="J1846" s="36">
        <v>42056</v>
      </c>
      <c r="K1846" s="37"/>
      <c r="L1846" s="74">
        <f t="shared" si="30"/>
        <v>3680</v>
      </c>
    </row>
    <row r="1847" spans="1:12" hidden="1" outlineLevel="1">
      <c r="A1847" s="8"/>
      <c r="B1847" s="73">
        <v>1841</v>
      </c>
      <c r="C1847" s="39"/>
      <c r="D1847" s="40"/>
      <c r="E1847" s="34" t="s">
        <v>323</v>
      </c>
      <c r="F1847" s="75" t="s">
        <v>2212</v>
      </c>
      <c r="G1847" s="35" t="s">
        <v>370</v>
      </c>
      <c r="H1847" s="41" t="s">
        <v>371</v>
      </c>
      <c r="I1847" s="44" t="str">
        <f>"0x"&amp;AE_w_WORK!K54</f>
        <v>0x0000</v>
      </c>
      <c r="J1847" s="36">
        <v>42057</v>
      </c>
      <c r="K1847" s="37"/>
      <c r="L1847" s="74">
        <f t="shared" si="30"/>
        <v>3682</v>
      </c>
    </row>
    <row r="1848" spans="1:12" hidden="1" outlineLevel="1">
      <c r="A1848" s="8"/>
      <c r="B1848" s="73">
        <v>1842</v>
      </c>
      <c r="C1848" s="39"/>
      <c r="D1848" s="40"/>
      <c r="E1848" s="34" t="s">
        <v>323</v>
      </c>
      <c r="F1848" s="75" t="s">
        <v>2213</v>
      </c>
      <c r="G1848" s="35" t="s">
        <v>370</v>
      </c>
      <c r="H1848" s="41" t="s">
        <v>371</v>
      </c>
      <c r="I1848" s="44" t="str">
        <f>"0x"&amp;AE_w_WORK!K55</f>
        <v>0x0000</v>
      </c>
      <c r="J1848" s="36">
        <v>42058</v>
      </c>
      <c r="K1848" s="37"/>
      <c r="L1848" s="74">
        <f t="shared" si="30"/>
        <v>3684</v>
      </c>
    </row>
    <row r="1849" spans="1:12" hidden="1" outlineLevel="1">
      <c r="A1849" s="8"/>
      <c r="B1849" s="73">
        <v>1843</v>
      </c>
      <c r="C1849" s="39"/>
      <c r="D1849" s="40"/>
      <c r="E1849" s="34" t="s">
        <v>323</v>
      </c>
      <c r="F1849" s="75" t="s">
        <v>2214</v>
      </c>
      <c r="G1849" s="35" t="s">
        <v>370</v>
      </c>
      <c r="H1849" s="41" t="s">
        <v>371</v>
      </c>
      <c r="I1849" s="44" t="str">
        <f>"0x"&amp;AE_w_WORK!K56</f>
        <v>0x0000</v>
      </c>
      <c r="J1849" s="36">
        <v>42059</v>
      </c>
      <c r="K1849" s="37"/>
      <c r="L1849" s="74">
        <f t="shared" si="30"/>
        <v>3686</v>
      </c>
    </row>
    <row r="1850" spans="1:12" hidden="1" outlineLevel="1">
      <c r="A1850" s="8"/>
      <c r="B1850" s="73">
        <v>1844</v>
      </c>
      <c r="C1850" s="39"/>
      <c r="D1850" s="40"/>
      <c r="E1850" s="34" t="s">
        <v>323</v>
      </c>
      <c r="F1850" s="75" t="s">
        <v>2215</v>
      </c>
      <c r="G1850" s="35" t="s">
        <v>370</v>
      </c>
      <c r="H1850" s="41" t="s">
        <v>371</v>
      </c>
      <c r="I1850" s="44" t="str">
        <f>"0x"&amp;AE_w_WORK!K57</f>
        <v>0x0000</v>
      </c>
      <c r="J1850" s="36">
        <v>42060</v>
      </c>
      <c r="K1850" s="37"/>
      <c r="L1850" s="74">
        <f t="shared" si="30"/>
        <v>3688</v>
      </c>
    </row>
    <row r="1851" spans="1:12" hidden="1" outlineLevel="1">
      <c r="A1851" s="8"/>
      <c r="B1851" s="73">
        <v>1845</v>
      </c>
      <c r="C1851" s="39"/>
      <c r="D1851" s="40"/>
      <c r="E1851" s="34" t="s">
        <v>323</v>
      </c>
      <c r="F1851" s="75" t="s">
        <v>2216</v>
      </c>
      <c r="G1851" s="35" t="s">
        <v>370</v>
      </c>
      <c r="H1851" s="41" t="s">
        <v>371</v>
      </c>
      <c r="I1851" s="44" t="str">
        <f>"0x"&amp;AE_w_WORK!K58</f>
        <v>0x0000</v>
      </c>
      <c r="J1851" s="36">
        <v>42061</v>
      </c>
      <c r="K1851" s="37"/>
      <c r="L1851" s="74">
        <f t="shared" si="30"/>
        <v>3690</v>
      </c>
    </row>
    <row r="1852" spans="1:12" hidden="1" outlineLevel="1">
      <c r="A1852" s="8"/>
      <c r="B1852" s="73">
        <v>1846</v>
      </c>
      <c r="C1852" s="39"/>
      <c r="D1852" s="40"/>
      <c r="E1852" s="34" t="s">
        <v>323</v>
      </c>
      <c r="F1852" s="75" t="s">
        <v>2217</v>
      </c>
      <c r="G1852" s="35" t="s">
        <v>370</v>
      </c>
      <c r="H1852" s="41" t="s">
        <v>371</v>
      </c>
      <c r="I1852" s="44" t="str">
        <f>"0x"&amp;AE_w_WORK!K59</f>
        <v>0x0000</v>
      </c>
      <c r="J1852" s="36">
        <v>42062</v>
      </c>
      <c r="K1852" s="37"/>
      <c r="L1852" s="74">
        <f t="shared" si="30"/>
        <v>3692</v>
      </c>
    </row>
    <row r="1853" spans="1:12" hidden="1" outlineLevel="1">
      <c r="A1853" s="8"/>
      <c r="B1853" s="73">
        <v>1847</v>
      </c>
      <c r="C1853" s="39"/>
      <c r="D1853" s="40"/>
      <c r="E1853" s="34" t="s">
        <v>323</v>
      </c>
      <c r="F1853" s="75" t="s">
        <v>2218</v>
      </c>
      <c r="G1853" s="35" t="s">
        <v>370</v>
      </c>
      <c r="H1853" s="41" t="s">
        <v>371</v>
      </c>
      <c r="I1853" s="44" t="str">
        <f>"0x"&amp;AE_w_WORK!K60</f>
        <v>0x0000</v>
      </c>
      <c r="J1853" s="36">
        <v>42063</v>
      </c>
      <c r="K1853" s="37"/>
      <c r="L1853" s="74">
        <f t="shared" si="30"/>
        <v>3694</v>
      </c>
    </row>
    <row r="1854" spans="1:12" hidden="1" outlineLevel="1">
      <c r="A1854" s="8"/>
      <c r="B1854" s="73">
        <v>1848</v>
      </c>
      <c r="C1854" s="39"/>
      <c r="D1854" s="40"/>
      <c r="E1854" s="34" t="s">
        <v>323</v>
      </c>
      <c r="F1854" s="75" t="s">
        <v>2219</v>
      </c>
      <c r="G1854" s="35" t="s">
        <v>370</v>
      </c>
      <c r="H1854" s="41" t="s">
        <v>371</v>
      </c>
      <c r="I1854" s="44" t="str">
        <f>"0x"&amp;AE_w_WORK!K61</f>
        <v>0x0000</v>
      </c>
      <c r="J1854" s="36">
        <v>42064</v>
      </c>
      <c r="K1854" s="37"/>
      <c r="L1854" s="74">
        <f t="shared" si="30"/>
        <v>3696</v>
      </c>
    </row>
    <row r="1855" spans="1:12" hidden="1" outlineLevel="1">
      <c r="A1855" s="8"/>
      <c r="B1855" s="73">
        <v>1849</v>
      </c>
      <c r="C1855" s="39"/>
      <c r="D1855" s="40"/>
      <c r="E1855" s="34" t="s">
        <v>323</v>
      </c>
      <c r="F1855" s="75" t="s">
        <v>2220</v>
      </c>
      <c r="G1855" s="35" t="s">
        <v>370</v>
      </c>
      <c r="H1855" s="41" t="s">
        <v>371</v>
      </c>
      <c r="I1855" s="44" t="str">
        <f>"0x"&amp;AE_w_WORK!K62</f>
        <v>0x0000</v>
      </c>
      <c r="J1855" s="36">
        <v>42065</v>
      </c>
      <c r="K1855" s="37"/>
      <c r="L1855" s="74">
        <f t="shared" si="30"/>
        <v>3698</v>
      </c>
    </row>
    <row r="1856" spans="1:12" hidden="1" outlineLevel="1">
      <c r="A1856" s="8"/>
      <c r="B1856" s="73">
        <v>1850</v>
      </c>
      <c r="C1856" s="39"/>
      <c r="D1856" s="40"/>
      <c r="E1856" s="34" t="s">
        <v>323</v>
      </c>
      <c r="F1856" s="75" t="s">
        <v>2221</v>
      </c>
      <c r="G1856" s="35" t="s">
        <v>370</v>
      </c>
      <c r="H1856" s="41" t="s">
        <v>371</v>
      </c>
      <c r="I1856" s="44" t="str">
        <f>"0x"&amp;AE_w_WORK!K63</f>
        <v>0x0000</v>
      </c>
      <c r="J1856" s="36">
        <v>42066</v>
      </c>
      <c r="K1856" s="37"/>
      <c r="L1856" s="74">
        <f t="shared" si="30"/>
        <v>3700</v>
      </c>
    </row>
    <row r="1857" spans="1:12" hidden="1" outlineLevel="1">
      <c r="A1857" s="8"/>
      <c r="B1857" s="73">
        <v>1851</v>
      </c>
      <c r="C1857" s="39"/>
      <c r="D1857" s="40"/>
      <c r="E1857" s="34" t="s">
        <v>323</v>
      </c>
      <c r="F1857" s="75" t="s">
        <v>2222</v>
      </c>
      <c r="G1857" s="35" t="s">
        <v>370</v>
      </c>
      <c r="H1857" s="41" t="s">
        <v>371</v>
      </c>
      <c r="I1857" s="44" t="str">
        <f>"0x"&amp;AE_w_WORK!K64</f>
        <v>0x0000</v>
      </c>
      <c r="J1857" s="36">
        <v>42067</v>
      </c>
      <c r="K1857" s="37"/>
      <c r="L1857" s="74">
        <f t="shared" si="30"/>
        <v>3702</v>
      </c>
    </row>
    <row r="1858" spans="1:12" hidden="1" outlineLevel="1">
      <c r="A1858" s="8"/>
      <c r="B1858" s="73">
        <v>1852</v>
      </c>
      <c r="C1858" s="39"/>
      <c r="D1858" s="40"/>
      <c r="E1858" s="34" t="s">
        <v>323</v>
      </c>
      <c r="F1858" s="75" t="s">
        <v>2223</v>
      </c>
      <c r="G1858" s="35" t="s">
        <v>370</v>
      </c>
      <c r="H1858" s="41" t="s">
        <v>371</v>
      </c>
      <c r="I1858" s="44" t="str">
        <f>"0x"&amp;AE_w_WORK!K65</f>
        <v>0x1100</v>
      </c>
      <c r="J1858" s="36">
        <v>42068</v>
      </c>
      <c r="K1858" s="37"/>
      <c r="L1858" s="74">
        <f t="shared" si="30"/>
        <v>3704</v>
      </c>
    </row>
    <row r="1859" spans="1:12" hidden="1" outlineLevel="1">
      <c r="A1859" s="8"/>
      <c r="B1859" s="73">
        <v>1853</v>
      </c>
      <c r="C1859" s="39"/>
      <c r="D1859" s="40"/>
      <c r="E1859" s="34" t="s">
        <v>323</v>
      </c>
      <c r="F1859" s="75" t="s">
        <v>2224</v>
      </c>
      <c r="G1859" s="35" t="s">
        <v>370</v>
      </c>
      <c r="H1859" s="41" t="s">
        <v>371</v>
      </c>
      <c r="I1859" s="44" t="str">
        <f>"0x"&amp;AE_w_WORK!K66</f>
        <v>0x0011</v>
      </c>
      <c r="J1859" s="36">
        <v>42069</v>
      </c>
      <c r="K1859" s="37"/>
      <c r="L1859" s="74">
        <f t="shared" si="30"/>
        <v>3706</v>
      </c>
    </row>
    <row r="1860" spans="1:12" hidden="1" outlineLevel="1">
      <c r="A1860" s="8"/>
      <c r="B1860" s="73">
        <v>1854</v>
      </c>
      <c r="C1860" s="39"/>
      <c r="D1860" s="40"/>
      <c r="E1860" s="34" t="s">
        <v>323</v>
      </c>
      <c r="F1860" s="75" t="s">
        <v>2225</v>
      </c>
      <c r="G1860" s="35" t="s">
        <v>370</v>
      </c>
      <c r="H1860" s="41" t="s">
        <v>371</v>
      </c>
      <c r="I1860" s="44" t="str">
        <f>"0x"&amp;AE_w_WORK!K67</f>
        <v>0x0000</v>
      </c>
      <c r="J1860" s="36">
        <v>42070</v>
      </c>
      <c r="K1860" s="37"/>
      <c r="L1860" s="74">
        <f t="shared" si="30"/>
        <v>3708</v>
      </c>
    </row>
    <row r="1861" spans="1:12" hidden="1" outlineLevel="1">
      <c r="A1861" s="8"/>
      <c r="B1861" s="73">
        <v>1855</v>
      </c>
      <c r="C1861" s="39"/>
      <c r="D1861" s="40"/>
      <c r="E1861" s="34" t="s">
        <v>323</v>
      </c>
      <c r="F1861" s="75" t="s">
        <v>2226</v>
      </c>
      <c r="G1861" s="35" t="s">
        <v>370</v>
      </c>
      <c r="H1861" s="41" t="s">
        <v>371</v>
      </c>
      <c r="I1861" s="44" t="str">
        <f>"0x"&amp;AE_w_WORK!K68</f>
        <v>0x0000</v>
      </c>
      <c r="J1861" s="36">
        <v>42071</v>
      </c>
      <c r="K1861" s="37"/>
      <c r="L1861" s="74">
        <f t="shared" si="30"/>
        <v>3710</v>
      </c>
    </row>
    <row r="1862" spans="1:12" hidden="1" outlineLevel="1">
      <c r="A1862" s="8"/>
      <c r="B1862" s="73">
        <v>1856</v>
      </c>
      <c r="C1862" s="39"/>
      <c r="D1862" s="40"/>
      <c r="E1862" s="34" t="s">
        <v>323</v>
      </c>
      <c r="F1862" s="75" t="s">
        <v>2227</v>
      </c>
      <c r="G1862" s="35" t="s">
        <v>370</v>
      </c>
      <c r="H1862" s="41" t="s">
        <v>371</v>
      </c>
      <c r="I1862" s="44" t="str">
        <f>"0x"&amp;AE_w_WORK!K69</f>
        <v>0x0000</v>
      </c>
      <c r="J1862" s="36">
        <v>42072</v>
      </c>
      <c r="K1862" s="37"/>
      <c r="L1862" s="74">
        <f t="shared" si="30"/>
        <v>3712</v>
      </c>
    </row>
    <row r="1863" spans="1:12" hidden="1" outlineLevel="1">
      <c r="A1863" s="8"/>
      <c r="B1863" s="73">
        <v>1857</v>
      </c>
      <c r="C1863" s="39"/>
      <c r="D1863" s="40"/>
      <c r="E1863" s="34" t="s">
        <v>323</v>
      </c>
      <c r="F1863" s="75" t="s">
        <v>2228</v>
      </c>
      <c r="G1863" s="35" t="s">
        <v>370</v>
      </c>
      <c r="H1863" s="41" t="s">
        <v>371</v>
      </c>
      <c r="I1863" s="44" t="str">
        <f>"0x"&amp;AE_w_WORK!K70</f>
        <v>0x0000</v>
      </c>
      <c r="J1863" s="36">
        <v>42073</v>
      </c>
      <c r="K1863" s="37"/>
      <c r="L1863" s="74">
        <f t="shared" si="30"/>
        <v>3714</v>
      </c>
    </row>
    <row r="1864" spans="1:12" hidden="1" outlineLevel="1">
      <c r="A1864" s="8"/>
      <c r="B1864" s="73">
        <v>1858</v>
      </c>
      <c r="C1864" s="39"/>
      <c r="D1864" s="40"/>
      <c r="E1864" s="34" t="s">
        <v>323</v>
      </c>
      <c r="F1864" s="75" t="s">
        <v>2229</v>
      </c>
      <c r="G1864" s="35" t="s">
        <v>370</v>
      </c>
      <c r="H1864" s="41" t="s">
        <v>371</v>
      </c>
      <c r="I1864" s="44" t="str">
        <f>"0x"&amp;AE_w_WORK!K71</f>
        <v>0x0000</v>
      </c>
      <c r="J1864" s="36">
        <v>42074</v>
      </c>
      <c r="K1864" s="37"/>
      <c r="L1864" s="74">
        <f t="shared" si="30"/>
        <v>3716</v>
      </c>
    </row>
    <row r="1865" spans="1:12" hidden="1" outlineLevel="1">
      <c r="A1865" s="8"/>
      <c r="B1865" s="73">
        <v>1859</v>
      </c>
      <c r="C1865" s="39"/>
      <c r="D1865" s="40"/>
      <c r="E1865" s="34" t="s">
        <v>323</v>
      </c>
      <c r="F1865" s="75" t="s">
        <v>2230</v>
      </c>
      <c r="G1865" s="35" t="s">
        <v>370</v>
      </c>
      <c r="H1865" s="41" t="s">
        <v>371</v>
      </c>
      <c r="I1865" s="44" t="str">
        <f>"0x"&amp;AE_w_WORK!K72</f>
        <v>0x0000</v>
      </c>
      <c r="J1865" s="36">
        <v>42075</v>
      </c>
      <c r="K1865" s="37"/>
      <c r="L1865" s="74">
        <f t="shared" ref="L1865:L1928" si="31">L1864+2</f>
        <v>3718</v>
      </c>
    </row>
    <row r="1866" spans="1:12" hidden="1" outlineLevel="1">
      <c r="A1866" s="8"/>
      <c r="B1866" s="73">
        <v>1860</v>
      </c>
      <c r="C1866" s="39"/>
      <c r="D1866" s="40"/>
      <c r="E1866" s="34" t="s">
        <v>323</v>
      </c>
      <c r="F1866" s="75" t="s">
        <v>2231</v>
      </c>
      <c r="G1866" s="35" t="s">
        <v>370</v>
      </c>
      <c r="H1866" s="41" t="s">
        <v>371</v>
      </c>
      <c r="I1866" s="44" t="str">
        <f>"0x"&amp;AE_w_WORK!K73</f>
        <v>0x0000</v>
      </c>
      <c r="J1866" s="36">
        <v>42076</v>
      </c>
      <c r="K1866" s="37"/>
      <c r="L1866" s="74">
        <f t="shared" si="31"/>
        <v>3720</v>
      </c>
    </row>
    <row r="1867" spans="1:12" hidden="1" outlineLevel="1">
      <c r="A1867" s="8"/>
      <c r="B1867" s="73">
        <v>1861</v>
      </c>
      <c r="C1867" s="39"/>
      <c r="D1867" s="40"/>
      <c r="E1867" s="34" t="s">
        <v>323</v>
      </c>
      <c r="F1867" s="75" t="s">
        <v>2232</v>
      </c>
      <c r="G1867" s="35" t="s">
        <v>370</v>
      </c>
      <c r="H1867" s="41" t="s">
        <v>371</v>
      </c>
      <c r="I1867" s="44" t="str">
        <f>"0x"&amp;AE_w_WORK!K74</f>
        <v>0x0000</v>
      </c>
      <c r="J1867" s="36">
        <v>42077</v>
      </c>
      <c r="K1867" s="37"/>
      <c r="L1867" s="74">
        <f t="shared" si="31"/>
        <v>3722</v>
      </c>
    </row>
    <row r="1868" spans="1:12" hidden="1" outlineLevel="1">
      <c r="A1868" s="8"/>
      <c r="B1868" s="73">
        <v>1862</v>
      </c>
      <c r="C1868" s="39"/>
      <c r="D1868" s="40"/>
      <c r="E1868" s="34" t="s">
        <v>323</v>
      </c>
      <c r="F1868" s="75" t="s">
        <v>2233</v>
      </c>
      <c r="G1868" s="35" t="s">
        <v>370</v>
      </c>
      <c r="H1868" s="41" t="s">
        <v>371</v>
      </c>
      <c r="I1868" s="44" t="str">
        <f>"0x"&amp;AE_w_WORK!K75</f>
        <v>0x0000</v>
      </c>
      <c r="J1868" s="36">
        <v>42078</v>
      </c>
      <c r="K1868" s="37"/>
      <c r="L1868" s="74">
        <f t="shared" si="31"/>
        <v>3724</v>
      </c>
    </row>
    <row r="1869" spans="1:12" hidden="1" outlineLevel="1">
      <c r="A1869" s="8"/>
      <c r="B1869" s="73">
        <v>1863</v>
      </c>
      <c r="C1869" s="39"/>
      <c r="D1869" s="40"/>
      <c r="E1869" s="34" t="s">
        <v>323</v>
      </c>
      <c r="F1869" s="75" t="s">
        <v>2234</v>
      </c>
      <c r="G1869" s="35" t="s">
        <v>370</v>
      </c>
      <c r="H1869" s="41" t="s">
        <v>371</v>
      </c>
      <c r="I1869" s="44" t="str">
        <f>"0x"&amp;AE_w_WORK!K76</f>
        <v>0x0000</v>
      </c>
      <c r="J1869" s="36">
        <v>42079</v>
      </c>
      <c r="K1869" s="37"/>
      <c r="L1869" s="74">
        <f t="shared" si="31"/>
        <v>3726</v>
      </c>
    </row>
    <row r="1870" spans="1:12" hidden="1" outlineLevel="1">
      <c r="A1870" s="8"/>
      <c r="B1870" s="73">
        <v>1864</v>
      </c>
      <c r="C1870" s="39"/>
      <c r="D1870" s="40"/>
      <c r="E1870" s="34" t="s">
        <v>323</v>
      </c>
      <c r="F1870" s="75" t="s">
        <v>2235</v>
      </c>
      <c r="G1870" s="35" t="s">
        <v>370</v>
      </c>
      <c r="H1870" s="41" t="s">
        <v>371</v>
      </c>
      <c r="I1870" s="44" t="str">
        <f>"0x"&amp;AE_w_WORK!K77</f>
        <v>0x0000</v>
      </c>
      <c r="J1870" s="36">
        <v>42080</v>
      </c>
      <c r="K1870" s="37"/>
      <c r="L1870" s="74">
        <f t="shared" si="31"/>
        <v>3728</v>
      </c>
    </row>
    <row r="1871" spans="1:12" hidden="1" outlineLevel="1">
      <c r="A1871" s="8"/>
      <c r="B1871" s="73">
        <v>1865</v>
      </c>
      <c r="C1871" s="39"/>
      <c r="D1871" s="40"/>
      <c r="E1871" s="34" t="s">
        <v>323</v>
      </c>
      <c r="F1871" s="75" t="s">
        <v>2236</v>
      </c>
      <c r="G1871" s="35" t="s">
        <v>370</v>
      </c>
      <c r="H1871" s="41" t="s">
        <v>371</v>
      </c>
      <c r="I1871" s="44" t="str">
        <f>"0x"&amp;AE_w_WORK!K78</f>
        <v>0x0000</v>
      </c>
      <c r="J1871" s="36">
        <v>42081</v>
      </c>
      <c r="K1871" s="37"/>
      <c r="L1871" s="74">
        <f t="shared" si="31"/>
        <v>3730</v>
      </c>
    </row>
    <row r="1872" spans="1:12" hidden="1" outlineLevel="1">
      <c r="A1872" s="8"/>
      <c r="B1872" s="73">
        <v>1866</v>
      </c>
      <c r="C1872" s="39"/>
      <c r="D1872" s="40"/>
      <c r="E1872" s="34" t="s">
        <v>323</v>
      </c>
      <c r="F1872" s="75" t="s">
        <v>2237</v>
      </c>
      <c r="G1872" s="35" t="s">
        <v>370</v>
      </c>
      <c r="H1872" s="41" t="s">
        <v>371</v>
      </c>
      <c r="I1872" s="44" t="str">
        <f>"0x"&amp;AE_w_WORK!K79</f>
        <v>0x0000</v>
      </c>
      <c r="J1872" s="36">
        <v>42082</v>
      </c>
      <c r="K1872" s="37"/>
      <c r="L1872" s="74">
        <f t="shared" si="31"/>
        <v>3732</v>
      </c>
    </row>
    <row r="1873" spans="1:12" hidden="1" outlineLevel="1">
      <c r="A1873" s="8"/>
      <c r="B1873" s="73">
        <v>1867</v>
      </c>
      <c r="C1873" s="39"/>
      <c r="D1873" s="40"/>
      <c r="E1873" s="34" t="s">
        <v>323</v>
      </c>
      <c r="F1873" s="75" t="s">
        <v>2238</v>
      </c>
      <c r="G1873" s="35" t="s">
        <v>370</v>
      </c>
      <c r="H1873" s="41" t="s">
        <v>371</v>
      </c>
      <c r="I1873" s="44" t="str">
        <f>"0x"&amp;AE_w_WORK!K80</f>
        <v>0x0011</v>
      </c>
      <c r="J1873" s="36">
        <v>42083</v>
      </c>
      <c r="K1873" s="37"/>
      <c r="L1873" s="74">
        <f t="shared" si="31"/>
        <v>3734</v>
      </c>
    </row>
    <row r="1874" spans="1:12" hidden="1" outlineLevel="1">
      <c r="A1874" s="8"/>
      <c r="B1874" s="73">
        <v>1868</v>
      </c>
      <c r="C1874" s="39"/>
      <c r="D1874" s="40"/>
      <c r="E1874" s="34" t="s">
        <v>323</v>
      </c>
      <c r="F1874" s="75" t="s">
        <v>2239</v>
      </c>
      <c r="G1874" s="35" t="s">
        <v>370</v>
      </c>
      <c r="H1874" s="41" t="s">
        <v>371</v>
      </c>
      <c r="I1874" s="44" t="str">
        <f>"0x"&amp;AE_w_WORK!K81</f>
        <v>0x0011</v>
      </c>
      <c r="J1874" s="36">
        <v>42084</v>
      </c>
      <c r="K1874" s="37"/>
      <c r="L1874" s="74">
        <f t="shared" si="31"/>
        <v>3736</v>
      </c>
    </row>
    <row r="1875" spans="1:12" hidden="1" outlineLevel="1">
      <c r="A1875" s="8"/>
      <c r="B1875" s="73">
        <v>1869</v>
      </c>
      <c r="C1875" s="39"/>
      <c r="D1875" s="40"/>
      <c r="E1875" s="34" t="s">
        <v>323</v>
      </c>
      <c r="F1875" s="75" t="s">
        <v>2240</v>
      </c>
      <c r="G1875" s="35" t="s">
        <v>370</v>
      </c>
      <c r="H1875" s="41" t="s">
        <v>371</v>
      </c>
      <c r="I1875" s="44" t="str">
        <f>"0x"&amp;AE_w_WORK!K82</f>
        <v>0x1100</v>
      </c>
      <c r="J1875" s="36">
        <v>42085</v>
      </c>
      <c r="K1875" s="37"/>
      <c r="L1875" s="74">
        <f t="shared" si="31"/>
        <v>3738</v>
      </c>
    </row>
    <row r="1876" spans="1:12" hidden="1" outlineLevel="1">
      <c r="A1876" s="8"/>
      <c r="B1876" s="73">
        <v>1870</v>
      </c>
      <c r="C1876" s="39"/>
      <c r="D1876" s="40"/>
      <c r="E1876" s="34" t="s">
        <v>323</v>
      </c>
      <c r="F1876" s="75" t="s">
        <v>2241</v>
      </c>
      <c r="G1876" s="35" t="s">
        <v>370</v>
      </c>
      <c r="H1876" s="41" t="s">
        <v>371</v>
      </c>
      <c r="I1876" s="44" t="str">
        <f>"0x"&amp;AE_w_WORK!K83</f>
        <v>0x1100</v>
      </c>
      <c r="J1876" s="36">
        <v>42086</v>
      </c>
      <c r="K1876" s="37"/>
      <c r="L1876" s="74">
        <f t="shared" si="31"/>
        <v>3740</v>
      </c>
    </row>
    <row r="1877" spans="1:12" hidden="1" outlineLevel="1">
      <c r="A1877" s="8"/>
      <c r="B1877" s="73">
        <v>1871</v>
      </c>
      <c r="C1877" s="39"/>
      <c r="D1877" s="40"/>
      <c r="E1877" s="34" t="s">
        <v>323</v>
      </c>
      <c r="F1877" s="75" t="s">
        <v>2242</v>
      </c>
      <c r="G1877" s="35" t="s">
        <v>370</v>
      </c>
      <c r="H1877" s="41" t="s">
        <v>371</v>
      </c>
      <c r="I1877" s="44" t="str">
        <f>"0x"&amp;AE_w_WORK!K84</f>
        <v>0x0000</v>
      </c>
      <c r="J1877" s="36">
        <v>42087</v>
      </c>
      <c r="K1877" s="37"/>
      <c r="L1877" s="74">
        <f t="shared" si="31"/>
        <v>3742</v>
      </c>
    </row>
    <row r="1878" spans="1:12" hidden="1" outlineLevel="1">
      <c r="A1878" s="8"/>
      <c r="B1878" s="73">
        <v>1872</v>
      </c>
      <c r="C1878" s="39"/>
      <c r="D1878" s="40"/>
      <c r="E1878" s="34" t="s">
        <v>323</v>
      </c>
      <c r="F1878" s="75" t="s">
        <v>2243</v>
      </c>
      <c r="G1878" s="35" t="s">
        <v>370</v>
      </c>
      <c r="H1878" s="41" t="s">
        <v>371</v>
      </c>
      <c r="I1878" s="44" t="str">
        <f>"0x"&amp;AE_w_WORK!K85</f>
        <v>0x0000</v>
      </c>
      <c r="J1878" s="36">
        <v>42088</v>
      </c>
      <c r="K1878" s="37"/>
      <c r="L1878" s="74">
        <f t="shared" si="31"/>
        <v>3744</v>
      </c>
    </row>
    <row r="1879" spans="1:12" hidden="1" outlineLevel="1">
      <c r="A1879" s="8"/>
      <c r="B1879" s="73">
        <v>1873</v>
      </c>
      <c r="C1879" s="39"/>
      <c r="D1879" s="40"/>
      <c r="E1879" s="34" t="s">
        <v>323</v>
      </c>
      <c r="F1879" s="75" t="s">
        <v>2244</v>
      </c>
      <c r="G1879" s="35" t="s">
        <v>370</v>
      </c>
      <c r="H1879" s="41" t="s">
        <v>371</v>
      </c>
      <c r="I1879" s="44" t="str">
        <f>"0x"&amp;AE_w_WORK!K86</f>
        <v>0x0000</v>
      </c>
      <c r="J1879" s="36">
        <v>42089</v>
      </c>
      <c r="K1879" s="37"/>
      <c r="L1879" s="74">
        <f t="shared" si="31"/>
        <v>3746</v>
      </c>
    </row>
    <row r="1880" spans="1:12" hidden="1" outlineLevel="1">
      <c r="A1880" s="8"/>
      <c r="B1880" s="73">
        <v>1874</v>
      </c>
      <c r="C1880" s="39"/>
      <c r="D1880" s="40"/>
      <c r="E1880" s="34" t="s">
        <v>323</v>
      </c>
      <c r="F1880" s="75" t="s">
        <v>2245</v>
      </c>
      <c r="G1880" s="35" t="s">
        <v>370</v>
      </c>
      <c r="H1880" s="41" t="s">
        <v>371</v>
      </c>
      <c r="I1880" s="44" t="str">
        <f>"0x"&amp;AE_w_WORK!K87</f>
        <v>0x0000</v>
      </c>
      <c r="J1880" s="36">
        <v>42090</v>
      </c>
      <c r="K1880" s="37"/>
      <c r="L1880" s="74">
        <f t="shared" si="31"/>
        <v>3748</v>
      </c>
    </row>
    <row r="1881" spans="1:12" hidden="1" outlineLevel="1">
      <c r="A1881" s="8"/>
      <c r="B1881" s="73">
        <v>1875</v>
      </c>
      <c r="C1881" s="39"/>
      <c r="D1881" s="40"/>
      <c r="E1881" s="34" t="s">
        <v>323</v>
      </c>
      <c r="F1881" s="75" t="s">
        <v>2246</v>
      </c>
      <c r="G1881" s="35" t="s">
        <v>370</v>
      </c>
      <c r="H1881" s="41" t="s">
        <v>371</v>
      </c>
      <c r="I1881" s="44" t="str">
        <f>"0x"&amp;AE_w_WORK!K88</f>
        <v>0x0000</v>
      </c>
      <c r="J1881" s="36">
        <v>42091</v>
      </c>
      <c r="K1881" s="37"/>
      <c r="L1881" s="74">
        <f t="shared" si="31"/>
        <v>3750</v>
      </c>
    </row>
    <row r="1882" spans="1:12" hidden="1" outlineLevel="1">
      <c r="A1882" s="8"/>
      <c r="B1882" s="73">
        <v>1876</v>
      </c>
      <c r="C1882" s="39"/>
      <c r="D1882" s="40"/>
      <c r="E1882" s="34" t="s">
        <v>323</v>
      </c>
      <c r="F1882" s="75" t="s">
        <v>2247</v>
      </c>
      <c r="G1882" s="35" t="s">
        <v>370</v>
      </c>
      <c r="H1882" s="41" t="s">
        <v>371</v>
      </c>
      <c r="I1882" s="44" t="str">
        <f>"0x"&amp;AE_w_WORK!K89</f>
        <v>0x0000</v>
      </c>
      <c r="J1882" s="36">
        <v>42092</v>
      </c>
      <c r="K1882" s="37"/>
      <c r="L1882" s="74">
        <f t="shared" si="31"/>
        <v>3752</v>
      </c>
    </row>
    <row r="1883" spans="1:12" hidden="1" outlineLevel="1">
      <c r="A1883" s="8"/>
      <c r="B1883" s="73">
        <v>1877</v>
      </c>
      <c r="C1883" s="39"/>
      <c r="D1883" s="40"/>
      <c r="E1883" s="34" t="s">
        <v>323</v>
      </c>
      <c r="F1883" s="75" t="s">
        <v>2248</v>
      </c>
      <c r="G1883" s="35" t="s">
        <v>370</v>
      </c>
      <c r="H1883" s="41" t="s">
        <v>371</v>
      </c>
      <c r="I1883" s="44" t="str">
        <f>"0x"&amp;AE_w_WORK!K90</f>
        <v>0x0000</v>
      </c>
      <c r="J1883" s="36">
        <v>42093</v>
      </c>
      <c r="K1883" s="37"/>
      <c r="L1883" s="74">
        <f t="shared" si="31"/>
        <v>3754</v>
      </c>
    </row>
    <row r="1884" spans="1:12" hidden="1" outlineLevel="1">
      <c r="A1884" s="8"/>
      <c r="B1884" s="73">
        <v>1878</v>
      </c>
      <c r="C1884" s="39"/>
      <c r="D1884" s="40"/>
      <c r="E1884" s="34" t="s">
        <v>323</v>
      </c>
      <c r="F1884" s="75" t="s">
        <v>2249</v>
      </c>
      <c r="G1884" s="35" t="s">
        <v>370</v>
      </c>
      <c r="H1884" s="41" t="s">
        <v>371</v>
      </c>
      <c r="I1884" s="44" t="str">
        <f>"0x"&amp;AE_w_WORK!K91</f>
        <v>0x0000</v>
      </c>
      <c r="J1884" s="36">
        <v>42094</v>
      </c>
      <c r="K1884" s="37"/>
      <c r="L1884" s="74">
        <f t="shared" si="31"/>
        <v>3756</v>
      </c>
    </row>
    <row r="1885" spans="1:12" hidden="1" outlineLevel="1">
      <c r="A1885" s="8"/>
      <c r="B1885" s="73">
        <v>1879</v>
      </c>
      <c r="C1885" s="39"/>
      <c r="D1885" s="40"/>
      <c r="E1885" s="34" t="s">
        <v>323</v>
      </c>
      <c r="F1885" s="75" t="s">
        <v>2250</v>
      </c>
      <c r="G1885" s="35" t="s">
        <v>370</v>
      </c>
      <c r="H1885" s="41" t="s">
        <v>371</v>
      </c>
      <c r="I1885" s="44" t="str">
        <f>"0x"&amp;AE_w_WORK!K92</f>
        <v>0x0000</v>
      </c>
      <c r="J1885" s="36">
        <v>42095</v>
      </c>
      <c r="K1885" s="37"/>
      <c r="L1885" s="74">
        <f t="shared" si="31"/>
        <v>3758</v>
      </c>
    </row>
    <row r="1886" spans="1:12" hidden="1" outlineLevel="1">
      <c r="A1886" s="8"/>
      <c r="B1886" s="73">
        <v>1880</v>
      </c>
      <c r="C1886" s="39"/>
      <c r="D1886" s="40"/>
      <c r="E1886" s="34" t="s">
        <v>323</v>
      </c>
      <c r="F1886" s="75" t="s">
        <v>2251</v>
      </c>
      <c r="G1886" s="35" t="s">
        <v>370</v>
      </c>
      <c r="H1886" s="41" t="s">
        <v>371</v>
      </c>
      <c r="I1886" s="44" t="str">
        <f>"0x"&amp;AE_w_WORK!K93</f>
        <v>0x0000</v>
      </c>
      <c r="J1886" s="36">
        <v>42096</v>
      </c>
      <c r="K1886" s="37"/>
      <c r="L1886" s="74">
        <f t="shared" si="31"/>
        <v>3760</v>
      </c>
    </row>
    <row r="1887" spans="1:12" hidden="1" outlineLevel="1">
      <c r="A1887" s="8"/>
      <c r="B1887" s="73">
        <v>1881</v>
      </c>
      <c r="C1887" s="39"/>
      <c r="D1887" s="40"/>
      <c r="E1887" s="34" t="s">
        <v>323</v>
      </c>
      <c r="F1887" s="75" t="s">
        <v>2252</v>
      </c>
      <c r="G1887" s="35" t="s">
        <v>370</v>
      </c>
      <c r="H1887" s="41" t="s">
        <v>371</v>
      </c>
      <c r="I1887" s="44" t="str">
        <f>"0x"&amp;AE_w_WORK!K94</f>
        <v>0x0000</v>
      </c>
      <c r="J1887" s="36">
        <v>42097</v>
      </c>
      <c r="K1887" s="37"/>
      <c r="L1887" s="74">
        <f t="shared" si="31"/>
        <v>3762</v>
      </c>
    </row>
    <row r="1888" spans="1:12" hidden="1" outlineLevel="1">
      <c r="A1888" s="8"/>
      <c r="B1888" s="73">
        <v>1882</v>
      </c>
      <c r="C1888" s="39"/>
      <c r="D1888" s="40"/>
      <c r="E1888" s="34" t="s">
        <v>323</v>
      </c>
      <c r="F1888" s="75" t="s">
        <v>2253</v>
      </c>
      <c r="G1888" s="35" t="s">
        <v>370</v>
      </c>
      <c r="H1888" s="41" t="s">
        <v>371</v>
      </c>
      <c r="I1888" s="44" t="str">
        <f>"0x"&amp;AE_w_WORK!K95</f>
        <v>0x0000</v>
      </c>
      <c r="J1888" s="36">
        <v>42098</v>
      </c>
      <c r="K1888" s="37"/>
      <c r="L1888" s="74">
        <f t="shared" si="31"/>
        <v>3764</v>
      </c>
    </row>
    <row r="1889" spans="1:12" hidden="1" outlineLevel="1">
      <c r="A1889" s="8"/>
      <c r="B1889" s="73">
        <v>1883</v>
      </c>
      <c r="C1889" s="39"/>
      <c r="D1889" s="40"/>
      <c r="E1889" s="34" t="s">
        <v>323</v>
      </c>
      <c r="F1889" s="75" t="s">
        <v>2254</v>
      </c>
      <c r="G1889" s="35" t="s">
        <v>370</v>
      </c>
      <c r="H1889" s="41" t="s">
        <v>371</v>
      </c>
      <c r="I1889" s="44" t="str">
        <f>"0x"&amp;AE_w_WORK!K96</f>
        <v>0x1100</v>
      </c>
      <c r="J1889" s="36">
        <v>42099</v>
      </c>
      <c r="K1889" s="37"/>
      <c r="L1889" s="74">
        <f t="shared" si="31"/>
        <v>3766</v>
      </c>
    </row>
    <row r="1890" spans="1:12" hidden="1" outlineLevel="1">
      <c r="A1890" s="8"/>
      <c r="B1890" s="73">
        <v>1884</v>
      </c>
      <c r="C1890" s="39"/>
      <c r="D1890" s="40"/>
      <c r="E1890" s="34" t="s">
        <v>323</v>
      </c>
      <c r="F1890" s="75" t="s">
        <v>2255</v>
      </c>
      <c r="G1890" s="35" t="s">
        <v>370</v>
      </c>
      <c r="H1890" s="41" t="s">
        <v>371</v>
      </c>
      <c r="I1890" s="44" t="str">
        <f>"0x"&amp;AE_w_WORK!K97</f>
        <v>0x1100</v>
      </c>
      <c r="J1890" s="36">
        <v>42100</v>
      </c>
      <c r="K1890" s="37"/>
      <c r="L1890" s="74">
        <f t="shared" si="31"/>
        <v>3768</v>
      </c>
    </row>
    <row r="1891" spans="1:12" hidden="1" outlineLevel="1">
      <c r="A1891" s="8"/>
      <c r="B1891" s="73">
        <v>1885</v>
      </c>
      <c r="C1891" s="39"/>
      <c r="D1891" s="40"/>
      <c r="E1891" s="34" t="s">
        <v>323</v>
      </c>
      <c r="F1891" s="75" t="s">
        <v>2256</v>
      </c>
      <c r="G1891" s="35" t="s">
        <v>370</v>
      </c>
      <c r="H1891" s="41" t="s">
        <v>371</v>
      </c>
      <c r="I1891" s="44" t="str">
        <f>"0x"&amp;AE_w_WORK!K98</f>
        <v>0x0011</v>
      </c>
      <c r="J1891" s="36">
        <v>42101</v>
      </c>
      <c r="K1891" s="37"/>
      <c r="L1891" s="74">
        <f t="shared" si="31"/>
        <v>3770</v>
      </c>
    </row>
    <row r="1892" spans="1:12" hidden="1" outlineLevel="1">
      <c r="A1892" s="8"/>
      <c r="B1892" s="73">
        <v>1886</v>
      </c>
      <c r="C1892" s="39"/>
      <c r="D1892" s="40"/>
      <c r="E1892" s="34" t="s">
        <v>323</v>
      </c>
      <c r="F1892" s="75" t="s">
        <v>2257</v>
      </c>
      <c r="G1892" s="35" t="s">
        <v>370</v>
      </c>
      <c r="H1892" s="41" t="s">
        <v>371</v>
      </c>
      <c r="I1892" s="44" t="str">
        <f>"0x"&amp;AE_w_WORK!K99</f>
        <v>0x0011</v>
      </c>
      <c r="J1892" s="36">
        <v>42102</v>
      </c>
      <c r="K1892" s="37"/>
      <c r="L1892" s="74">
        <f t="shared" si="31"/>
        <v>3772</v>
      </c>
    </row>
    <row r="1893" spans="1:12" hidden="1" outlineLevel="1">
      <c r="A1893" s="8"/>
      <c r="B1893" s="73">
        <v>1887</v>
      </c>
      <c r="C1893" s="39"/>
      <c r="D1893" s="40"/>
      <c r="E1893" s="34" t="s">
        <v>323</v>
      </c>
      <c r="F1893" s="75" t="s">
        <v>2258</v>
      </c>
      <c r="G1893" s="35" t="s">
        <v>370</v>
      </c>
      <c r="H1893" s="41" t="s">
        <v>371</v>
      </c>
      <c r="I1893" s="44" t="str">
        <f>"0x"&amp;AE_w_WORK!K100</f>
        <v>0x0000</v>
      </c>
      <c r="J1893" s="36">
        <v>42103</v>
      </c>
      <c r="K1893" s="37"/>
      <c r="L1893" s="74">
        <f t="shared" si="31"/>
        <v>3774</v>
      </c>
    </row>
    <row r="1894" spans="1:12" hidden="1" outlineLevel="1">
      <c r="A1894" s="8"/>
      <c r="B1894" s="73">
        <v>1888</v>
      </c>
      <c r="C1894" s="39"/>
      <c r="D1894" s="40"/>
      <c r="E1894" s="34" t="s">
        <v>323</v>
      </c>
      <c r="F1894" s="75" t="s">
        <v>2259</v>
      </c>
      <c r="G1894" s="35" t="s">
        <v>370</v>
      </c>
      <c r="H1894" s="41" t="s">
        <v>371</v>
      </c>
      <c r="I1894" s="44" t="str">
        <f>"0x"&amp;AE_w_WORK!K101</f>
        <v>0x0000</v>
      </c>
      <c r="J1894" s="36">
        <v>42104</v>
      </c>
      <c r="K1894" s="37"/>
      <c r="L1894" s="74">
        <f t="shared" si="31"/>
        <v>3776</v>
      </c>
    </row>
    <row r="1895" spans="1:12" hidden="1" outlineLevel="1">
      <c r="A1895" s="8"/>
      <c r="B1895" s="73">
        <v>1889</v>
      </c>
      <c r="C1895" s="39"/>
      <c r="D1895" s="40"/>
      <c r="E1895" s="34" t="s">
        <v>323</v>
      </c>
      <c r="F1895" s="75" t="s">
        <v>2260</v>
      </c>
      <c r="G1895" s="35" t="s">
        <v>370</v>
      </c>
      <c r="H1895" s="41" t="s">
        <v>371</v>
      </c>
      <c r="I1895" s="44" t="str">
        <f>"0x"&amp;AE_w_WORK!K102</f>
        <v>0x0000</v>
      </c>
      <c r="J1895" s="36">
        <v>42105</v>
      </c>
      <c r="K1895" s="37"/>
      <c r="L1895" s="74">
        <f t="shared" si="31"/>
        <v>3778</v>
      </c>
    </row>
    <row r="1896" spans="1:12" hidden="1" outlineLevel="1">
      <c r="A1896" s="8"/>
      <c r="B1896" s="73">
        <v>1890</v>
      </c>
      <c r="C1896" s="39"/>
      <c r="D1896" s="40"/>
      <c r="E1896" s="34" t="s">
        <v>323</v>
      </c>
      <c r="F1896" s="75" t="s">
        <v>2261</v>
      </c>
      <c r="G1896" s="35" t="s">
        <v>370</v>
      </c>
      <c r="H1896" s="41" t="s">
        <v>371</v>
      </c>
      <c r="I1896" s="44" t="str">
        <f>"0x"&amp;AE_w_WORK!K103</f>
        <v>0x0000</v>
      </c>
      <c r="J1896" s="36">
        <v>42106</v>
      </c>
      <c r="K1896" s="37"/>
      <c r="L1896" s="74">
        <f t="shared" si="31"/>
        <v>3780</v>
      </c>
    </row>
    <row r="1897" spans="1:12" hidden="1" outlineLevel="1">
      <c r="A1897" s="8"/>
      <c r="B1897" s="73">
        <v>1891</v>
      </c>
      <c r="C1897" s="39"/>
      <c r="D1897" s="40"/>
      <c r="E1897" s="34" t="s">
        <v>323</v>
      </c>
      <c r="F1897" s="75" t="s">
        <v>2262</v>
      </c>
      <c r="G1897" s="35" t="s">
        <v>370</v>
      </c>
      <c r="H1897" s="41" t="s">
        <v>371</v>
      </c>
      <c r="I1897" s="44" t="str">
        <f>"0x"&amp;AE_w_WORK!K104</f>
        <v>0x0000</v>
      </c>
      <c r="J1897" s="36">
        <v>42107</v>
      </c>
      <c r="K1897" s="37"/>
      <c r="L1897" s="74">
        <f t="shared" si="31"/>
        <v>3782</v>
      </c>
    </row>
    <row r="1898" spans="1:12" hidden="1" outlineLevel="1">
      <c r="A1898" s="8"/>
      <c r="B1898" s="73">
        <v>1892</v>
      </c>
      <c r="C1898" s="39"/>
      <c r="D1898" s="40"/>
      <c r="E1898" s="34" t="s">
        <v>323</v>
      </c>
      <c r="F1898" s="75" t="s">
        <v>2263</v>
      </c>
      <c r="G1898" s="35" t="s">
        <v>370</v>
      </c>
      <c r="H1898" s="41" t="s">
        <v>371</v>
      </c>
      <c r="I1898" s="44" t="str">
        <f>"0x"&amp;AE_w_WORK!K105</f>
        <v>0x0000</v>
      </c>
      <c r="J1898" s="36">
        <v>42108</v>
      </c>
      <c r="K1898" s="37"/>
      <c r="L1898" s="74">
        <f t="shared" si="31"/>
        <v>3784</v>
      </c>
    </row>
    <row r="1899" spans="1:12" hidden="1" outlineLevel="1">
      <c r="A1899" s="8"/>
      <c r="B1899" s="73">
        <v>1893</v>
      </c>
      <c r="C1899" s="39"/>
      <c r="D1899" s="40"/>
      <c r="E1899" s="34" t="s">
        <v>323</v>
      </c>
      <c r="F1899" s="75" t="s">
        <v>2264</v>
      </c>
      <c r="G1899" s="35" t="s">
        <v>370</v>
      </c>
      <c r="H1899" s="41" t="s">
        <v>371</v>
      </c>
      <c r="I1899" s="44" t="str">
        <f>"0x"&amp;AE_w_WORK!K106</f>
        <v>0x0000</v>
      </c>
      <c r="J1899" s="36">
        <v>42109</v>
      </c>
      <c r="K1899" s="37"/>
      <c r="L1899" s="74">
        <f t="shared" si="31"/>
        <v>3786</v>
      </c>
    </row>
    <row r="1900" spans="1:12" hidden="1" outlineLevel="1">
      <c r="A1900" s="8"/>
      <c r="B1900" s="73">
        <v>1894</v>
      </c>
      <c r="C1900" s="39"/>
      <c r="D1900" s="40"/>
      <c r="E1900" s="34" t="s">
        <v>323</v>
      </c>
      <c r="F1900" s="75" t="s">
        <v>2265</v>
      </c>
      <c r="G1900" s="35" t="s">
        <v>370</v>
      </c>
      <c r="H1900" s="41" t="s">
        <v>371</v>
      </c>
      <c r="I1900" s="44" t="str">
        <f>"0x"&amp;AE_w_WORK!K107</f>
        <v>0x0000</v>
      </c>
      <c r="J1900" s="36">
        <v>42110</v>
      </c>
      <c r="K1900" s="37"/>
      <c r="L1900" s="74">
        <f t="shared" si="31"/>
        <v>3788</v>
      </c>
    </row>
    <row r="1901" spans="1:12" hidden="1" outlineLevel="1">
      <c r="A1901" s="8"/>
      <c r="B1901" s="73">
        <v>1895</v>
      </c>
      <c r="C1901" s="39"/>
      <c r="D1901" s="40"/>
      <c r="E1901" s="34" t="s">
        <v>323</v>
      </c>
      <c r="F1901" s="75" t="s">
        <v>2266</v>
      </c>
      <c r="G1901" s="35" t="s">
        <v>370</v>
      </c>
      <c r="H1901" s="41" t="s">
        <v>371</v>
      </c>
      <c r="I1901" s="44" t="str">
        <f>"0x"&amp;AE_w_WORK!K108</f>
        <v>0x0000</v>
      </c>
      <c r="J1901" s="36">
        <v>42111</v>
      </c>
      <c r="K1901" s="37"/>
      <c r="L1901" s="74">
        <f t="shared" si="31"/>
        <v>3790</v>
      </c>
    </row>
    <row r="1902" spans="1:12" hidden="1" outlineLevel="1">
      <c r="A1902" s="8"/>
      <c r="B1902" s="73">
        <v>1896</v>
      </c>
      <c r="C1902" s="39"/>
      <c r="D1902" s="40"/>
      <c r="E1902" s="34" t="s">
        <v>323</v>
      </c>
      <c r="F1902" s="75" t="s">
        <v>2267</v>
      </c>
      <c r="G1902" s="35" t="s">
        <v>370</v>
      </c>
      <c r="H1902" s="41" t="s">
        <v>371</v>
      </c>
      <c r="I1902" s="44" t="str">
        <f>"0x"&amp;AE_w_WORK!K109</f>
        <v>0x0000</v>
      </c>
      <c r="J1902" s="36">
        <v>42112</v>
      </c>
      <c r="K1902" s="37"/>
      <c r="L1902" s="74">
        <f t="shared" si="31"/>
        <v>3792</v>
      </c>
    </row>
    <row r="1903" spans="1:12" hidden="1" outlineLevel="1">
      <c r="A1903" s="8"/>
      <c r="B1903" s="73">
        <v>1897</v>
      </c>
      <c r="C1903" s="39"/>
      <c r="D1903" s="40"/>
      <c r="E1903" s="34" t="s">
        <v>323</v>
      </c>
      <c r="F1903" s="75" t="s">
        <v>2268</v>
      </c>
      <c r="G1903" s="35" t="s">
        <v>370</v>
      </c>
      <c r="H1903" s="41" t="s">
        <v>371</v>
      </c>
      <c r="I1903" s="44" t="str">
        <f>"0x"&amp;AE_w_WORK!K110</f>
        <v>0x0000</v>
      </c>
      <c r="J1903" s="36">
        <v>42113</v>
      </c>
      <c r="K1903" s="37"/>
      <c r="L1903" s="74">
        <f t="shared" si="31"/>
        <v>3794</v>
      </c>
    </row>
    <row r="1904" spans="1:12" hidden="1" outlineLevel="1">
      <c r="A1904" s="8"/>
      <c r="B1904" s="73">
        <v>1898</v>
      </c>
      <c r="C1904" s="39"/>
      <c r="D1904" s="40"/>
      <c r="E1904" s="34" t="s">
        <v>323</v>
      </c>
      <c r="F1904" s="75" t="s">
        <v>2269</v>
      </c>
      <c r="G1904" s="35" t="s">
        <v>370</v>
      </c>
      <c r="H1904" s="41" t="s">
        <v>371</v>
      </c>
      <c r="I1904" s="44" t="str">
        <f>"0x"&amp;AE_w_WORK!K111</f>
        <v>0x0011</v>
      </c>
      <c r="J1904" s="36">
        <v>42114</v>
      </c>
      <c r="K1904" s="37"/>
      <c r="L1904" s="74">
        <f t="shared" si="31"/>
        <v>3796</v>
      </c>
    </row>
    <row r="1905" spans="1:12" hidden="1" outlineLevel="1">
      <c r="A1905" s="8"/>
      <c r="B1905" s="73">
        <v>1899</v>
      </c>
      <c r="C1905" s="39"/>
      <c r="D1905" s="40"/>
      <c r="E1905" s="34" t="s">
        <v>323</v>
      </c>
      <c r="F1905" s="75" t="s">
        <v>2270</v>
      </c>
      <c r="G1905" s="35" t="s">
        <v>370</v>
      </c>
      <c r="H1905" s="41" t="s">
        <v>371</v>
      </c>
      <c r="I1905" s="44" t="str">
        <f>"0x"&amp;AE_w_WORK!K112</f>
        <v>0x0011</v>
      </c>
      <c r="J1905" s="36">
        <v>42115</v>
      </c>
      <c r="K1905" s="37"/>
      <c r="L1905" s="74">
        <f t="shared" si="31"/>
        <v>3798</v>
      </c>
    </row>
    <row r="1906" spans="1:12" hidden="1" outlineLevel="1">
      <c r="A1906" s="8"/>
      <c r="B1906" s="73">
        <v>1900</v>
      </c>
      <c r="C1906" s="39"/>
      <c r="D1906" s="40"/>
      <c r="E1906" s="34" t="s">
        <v>323</v>
      </c>
      <c r="F1906" s="75" t="s">
        <v>2271</v>
      </c>
      <c r="G1906" s="35" t="s">
        <v>370</v>
      </c>
      <c r="H1906" s="41" t="s">
        <v>371</v>
      </c>
      <c r="I1906" s="44" t="str">
        <f>"0x"&amp;AE_w_WORK!K113</f>
        <v>0x0011</v>
      </c>
      <c r="J1906" s="36">
        <v>42116</v>
      </c>
      <c r="K1906" s="37"/>
      <c r="L1906" s="74">
        <f t="shared" si="31"/>
        <v>3800</v>
      </c>
    </row>
    <row r="1907" spans="1:12" hidden="1" outlineLevel="1">
      <c r="A1907" s="8"/>
      <c r="B1907" s="73">
        <v>1901</v>
      </c>
      <c r="C1907" s="39"/>
      <c r="D1907" s="40"/>
      <c r="E1907" s="34" t="s">
        <v>323</v>
      </c>
      <c r="F1907" s="75" t="s">
        <v>2272</v>
      </c>
      <c r="G1907" s="35" t="s">
        <v>370</v>
      </c>
      <c r="H1907" s="41" t="s">
        <v>371</v>
      </c>
      <c r="I1907" s="44" t="str">
        <f>"0x"&amp;AE_w_WORK!K114</f>
        <v>0x1100</v>
      </c>
      <c r="J1907" s="36">
        <v>42117</v>
      </c>
      <c r="K1907" s="37"/>
      <c r="L1907" s="74">
        <f t="shared" si="31"/>
        <v>3802</v>
      </c>
    </row>
    <row r="1908" spans="1:12" hidden="1" outlineLevel="1">
      <c r="A1908" s="8"/>
      <c r="B1908" s="73">
        <v>1902</v>
      </c>
      <c r="C1908" s="39"/>
      <c r="D1908" s="40"/>
      <c r="E1908" s="34" t="s">
        <v>323</v>
      </c>
      <c r="F1908" s="75" t="s">
        <v>2273</v>
      </c>
      <c r="G1908" s="35" t="s">
        <v>370</v>
      </c>
      <c r="H1908" s="41" t="s">
        <v>371</v>
      </c>
      <c r="I1908" s="44" t="str">
        <f>"0x"&amp;AE_w_WORK!K115</f>
        <v>0x1100</v>
      </c>
      <c r="J1908" s="36">
        <v>42118</v>
      </c>
      <c r="K1908" s="37"/>
      <c r="L1908" s="74">
        <f t="shared" si="31"/>
        <v>3804</v>
      </c>
    </row>
    <row r="1909" spans="1:12" hidden="1" outlineLevel="1">
      <c r="A1909" s="8"/>
      <c r="B1909" s="73">
        <v>1903</v>
      </c>
      <c r="C1909" s="39"/>
      <c r="D1909" s="40"/>
      <c r="E1909" s="34" t="s">
        <v>323</v>
      </c>
      <c r="F1909" s="75" t="s">
        <v>2274</v>
      </c>
      <c r="G1909" s="35" t="s">
        <v>370</v>
      </c>
      <c r="H1909" s="41" t="s">
        <v>371</v>
      </c>
      <c r="I1909" s="44" t="str">
        <f>"0x"&amp;AE_w_WORK!K116</f>
        <v>0x1100</v>
      </c>
      <c r="J1909" s="36">
        <v>42119</v>
      </c>
      <c r="K1909" s="37"/>
      <c r="L1909" s="74">
        <f t="shared" si="31"/>
        <v>3806</v>
      </c>
    </row>
    <row r="1910" spans="1:12" hidden="1" outlineLevel="1">
      <c r="A1910" s="8"/>
      <c r="B1910" s="73">
        <v>1904</v>
      </c>
      <c r="C1910" s="39"/>
      <c r="D1910" s="40"/>
      <c r="E1910" s="34" t="s">
        <v>323</v>
      </c>
      <c r="F1910" s="75" t="s">
        <v>2275</v>
      </c>
      <c r="G1910" s="35" t="s">
        <v>370</v>
      </c>
      <c r="H1910" s="41" t="s">
        <v>371</v>
      </c>
      <c r="I1910" s="44" t="str">
        <f>"0x"&amp;AE_w_WORK!K117</f>
        <v>0x0000</v>
      </c>
      <c r="J1910" s="36">
        <v>42120</v>
      </c>
      <c r="K1910" s="37"/>
      <c r="L1910" s="74">
        <f t="shared" si="31"/>
        <v>3808</v>
      </c>
    </row>
    <row r="1911" spans="1:12" hidden="1" outlineLevel="1">
      <c r="A1911" s="8"/>
      <c r="B1911" s="73">
        <v>1905</v>
      </c>
      <c r="C1911" s="39"/>
      <c r="D1911" s="40"/>
      <c r="E1911" s="34" t="s">
        <v>323</v>
      </c>
      <c r="F1911" s="75" t="s">
        <v>2276</v>
      </c>
      <c r="G1911" s="35" t="s">
        <v>370</v>
      </c>
      <c r="H1911" s="41" t="s">
        <v>371</v>
      </c>
      <c r="I1911" s="44" t="str">
        <f>"0x"&amp;AE_w_WORK!K118</f>
        <v>0x0000</v>
      </c>
      <c r="J1911" s="36">
        <v>42121</v>
      </c>
      <c r="K1911" s="37"/>
      <c r="L1911" s="74">
        <f t="shared" si="31"/>
        <v>3810</v>
      </c>
    </row>
    <row r="1912" spans="1:12" hidden="1" outlineLevel="1">
      <c r="A1912" s="8"/>
      <c r="B1912" s="73">
        <v>1906</v>
      </c>
      <c r="C1912" s="39"/>
      <c r="D1912" s="40"/>
      <c r="E1912" s="34" t="s">
        <v>323</v>
      </c>
      <c r="F1912" s="75" t="s">
        <v>2277</v>
      </c>
      <c r="G1912" s="35" t="s">
        <v>370</v>
      </c>
      <c r="H1912" s="41" t="s">
        <v>371</v>
      </c>
      <c r="I1912" s="44" t="str">
        <f>"0x"&amp;AE_w_WORK!K119</f>
        <v>0x0000</v>
      </c>
      <c r="J1912" s="36">
        <v>42122</v>
      </c>
      <c r="K1912" s="37"/>
      <c r="L1912" s="74">
        <f t="shared" si="31"/>
        <v>3812</v>
      </c>
    </row>
    <row r="1913" spans="1:12" hidden="1" outlineLevel="1">
      <c r="A1913" s="8"/>
      <c r="B1913" s="73">
        <v>1907</v>
      </c>
      <c r="C1913" s="39"/>
      <c r="D1913" s="40"/>
      <c r="E1913" s="34" t="s">
        <v>323</v>
      </c>
      <c r="F1913" s="75" t="s">
        <v>2278</v>
      </c>
      <c r="G1913" s="35" t="s">
        <v>370</v>
      </c>
      <c r="H1913" s="41" t="s">
        <v>371</v>
      </c>
      <c r="I1913" s="44" t="str">
        <f>"0x"&amp;AE_w_WORK!K120</f>
        <v>0x0000</v>
      </c>
      <c r="J1913" s="36">
        <v>42123</v>
      </c>
      <c r="K1913" s="37"/>
      <c r="L1913" s="74">
        <f t="shared" si="31"/>
        <v>3814</v>
      </c>
    </row>
    <row r="1914" spans="1:12" hidden="1" outlineLevel="1">
      <c r="A1914" s="8"/>
      <c r="B1914" s="73">
        <v>1908</v>
      </c>
      <c r="C1914" s="39"/>
      <c r="D1914" s="40"/>
      <c r="E1914" s="34" t="s">
        <v>323</v>
      </c>
      <c r="F1914" s="75" t="s">
        <v>2279</v>
      </c>
      <c r="G1914" s="35" t="s">
        <v>370</v>
      </c>
      <c r="H1914" s="41" t="s">
        <v>371</v>
      </c>
      <c r="I1914" s="44" t="str">
        <f>"0x"&amp;AE_w_WORK!K121</f>
        <v>0x0000</v>
      </c>
      <c r="J1914" s="36">
        <v>42124</v>
      </c>
      <c r="K1914" s="37"/>
      <c r="L1914" s="74">
        <f t="shared" si="31"/>
        <v>3816</v>
      </c>
    </row>
    <row r="1915" spans="1:12" hidden="1" outlineLevel="1">
      <c r="A1915" s="8"/>
      <c r="B1915" s="73">
        <v>1909</v>
      </c>
      <c r="C1915" s="39"/>
      <c r="D1915" s="40"/>
      <c r="E1915" s="34" t="s">
        <v>323</v>
      </c>
      <c r="F1915" s="75" t="s">
        <v>2280</v>
      </c>
      <c r="G1915" s="35" t="s">
        <v>370</v>
      </c>
      <c r="H1915" s="41" t="s">
        <v>371</v>
      </c>
      <c r="I1915" s="44" t="str">
        <f>"0x"&amp;AE_w_WORK!K122</f>
        <v>0x0000</v>
      </c>
      <c r="J1915" s="36">
        <v>42125</v>
      </c>
      <c r="K1915" s="37"/>
      <c r="L1915" s="74">
        <f t="shared" si="31"/>
        <v>3818</v>
      </c>
    </row>
    <row r="1916" spans="1:12" hidden="1" outlineLevel="1">
      <c r="A1916" s="8"/>
      <c r="B1916" s="73">
        <v>1910</v>
      </c>
      <c r="C1916" s="39"/>
      <c r="D1916" s="40"/>
      <c r="E1916" s="34" t="s">
        <v>323</v>
      </c>
      <c r="F1916" s="75" t="s">
        <v>2281</v>
      </c>
      <c r="G1916" s="35" t="s">
        <v>370</v>
      </c>
      <c r="H1916" s="41" t="s">
        <v>371</v>
      </c>
      <c r="I1916" s="44" t="str">
        <f>"0x"&amp;AE_w_WORK!K123</f>
        <v>0x0000</v>
      </c>
      <c r="J1916" s="36">
        <v>42126</v>
      </c>
      <c r="K1916" s="37"/>
      <c r="L1916" s="74">
        <f t="shared" si="31"/>
        <v>3820</v>
      </c>
    </row>
    <row r="1917" spans="1:12" hidden="1" outlineLevel="1">
      <c r="A1917" s="8"/>
      <c r="B1917" s="73">
        <v>1911</v>
      </c>
      <c r="C1917" s="39"/>
      <c r="D1917" s="40"/>
      <c r="E1917" s="34" t="s">
        <v>323</v>
      </c>
      <c r="F1917" s="75" t="s">
        <v>2282</v>
      </c>
      <c r="G1917" s="35" t="s">
        <v>370</v>
      </c>
      <c r="H1917" s="41" t="s">
        <v>371</v>
      </c>
      <c r="I1917" s="44" t="str">
        <f>"0x"&amp;AE_w_WORK!K124</f>
        <v>0x0000</v>
      </c>
      <c r="J1917" s="36">
        <v>42127</v>
      </c>
      <c r="K1917" s="37"/>
      <c r="L1917" s="74">
        <f t="shared" si="31"/>
        <v>3822</v>
      </c>
    </row>
    <row r="1918" spans="1:12" hidden="1" outlineLevel="1">
      <c r="A1918" s="8"/>
      <c r="B1918" s="73">
        <v>1912</v>
      </c>
      <c r="C1918" s="39"/>
      <c r="D1918" s="40"/>
      <c r="E1918" s="34" t="s">
        <v>323</v>
      </c>
      <c r="F1918" s="75" t="s">
        <v>2283</v>
      </c>
      <c r="G1918" s="35" t="s">
        <v>370</v>
      </c>
      <c r="H1918" s="41" t="s">
        <v>371</v>
      </c>
      <c r="I1918" s="44" t="str">
        <f>"0x"&amp;AE_w_WORK!K125</f>
        <v>0x0000</v>
      </c>
      <c r="J1918" s="36">
        <v>42128</v>
      </c>
      <c r="K1918" s="37"/>
      <c r="L1918" s="74">
        <f t="shared" si="31"/>
        <v>3824</v>
      </c>
    </row>
    <row r="1919" spans="1:12" hidden="1" outlineLevel="1">
      <c r="A1919" s="8"/>
      <c r="B1919" s="73">
        <v>1913</v>
      </c>
      <c r="C1919" s="39"/>
      <c r="D1919" s="40"/>
      <c r="E1919" s="34" t="s">
        <v>323</v>
      </c>
      <c r="F1919" s="75" t="s">
        <v>2284</v>
      </c>
      <c r="G1919" s="35" t="s">
        <v>370</v>
      </c>
      <c r="H1919" s="41" t="s">
        <v>371</v>
      </c>
      <c r="I1919" s="44" t="str">
        <f>"0x"&amp;AE_w_WORK!K126</f>
        <v>0x0000</v>
      </c>
      <c r="J1919" s="36">
        <v>42129</v>
      </c>
      <c r="K1919" s="37"/>
      <c r="L1919" s="74">
        <f t="shared" si="31"/>
        <v>3826</v>
      </c>
    </row>
    <row r="1920" spans="1:12" hidden="1" outlineLevel="1">
      <c r="A1920" s="8"/>
      <c r="B1920" s="73">
        <v>1914</v>
      </c>
      <c r="C1920" s="39"/>
      <c r="D1920" s="40"/>
      <c r="E1920" s="34" t="s">
        <v>323</v>
      </c>
      <c r="F1920" s="75" t="s">
        <v>2285</v>
      </c>
      <c r="G1920" s="35" t="s">
        <v>370</v>
      </c>
      <c r="H1920" s="41" t="s">
        <v>371</v>
      </c>
      <c r="I1920" s="44" t="str">
        <f>"0x"&amp;AE_w_WORK!K127</f>
        <v>0x1100</v>
      </c>
      <c r="J1920" s="36">
        <v>42130</v>
      </c>
      <c r="K1920" s="37"/>
      <c r="L1920" s="74">
        <f t="shared" si="31"/>
        <v>3828</v>
      </c>
    </row>
    <row r="1921" spans="1:12" hidden="1" outlineLevel="1">
      <c r="A1921" s="8"/>
      <c r="B1921" s="73">
        <v>1915</v>
      </c>
      <c r="C1921" s="39"/>
      <c r="D1921" s="40"/>
      <c r="E1921" s="34" t="s">
        <v>323</v>
      </c>
      <c r="F1921" s="75" t="s">
        <v>2286</v>
      </c>
      <c r="G1921" s="35" t="s">
        <v>370</v>
      </c>
      <c r="H1921" s="41" t="s">
        <v>371</v>
      </c>
      <c r="I1921" s="44" t="str">
        <f>"0x"&amp;AE_w_WORK!K128</f>
        <v>0x1100</v>
      </c>
      <c r="J1921" s="36">
        <v>42131</v>
      </c>
      <c r="K1921" s="37"/>
      <c r="L1921" s="74">
        <f t="shared" si="31"/>
        <v>3830</v>
      </c>
    </row>
    <row r="1922" spans="1:12" hidden="1" outlineLevel="1">
      <c r="A1922" s="8"/>
      <c r="B1922" s="73">
        <v>1916</v>
      </c>
      <c r="C1922" s="39"/>
      <c r="D1922" s="40"/>
      <c r="E1922" s="34" t="s">
        <v>323</v>
      </c>
      <c r="F1922" s="75" t="s">
        <v>2287</v>
      </c>
      <c r="G1922" s="35" t="s">
        <v>370</v>
      </c>
      <c r="H1922" s="41" t="s">
        <v>371</v>
      </c>
      <c r="I1922" s="44" t="str">
        <f>"0x"&amp;AE_w_WORK!K129</f>
        <v>0x1100</v>
      </c>
      <c r="J1922" s="36">
        <v>42132</v>
      </c>
      <c r="K1922" s="37"/>
      <c r="L1922" s="74">
        <f t="shared" si="31"/>
        <v>3832</v>
      </c>
    </row>
    <row r="1923" spans="1:12" hidden="1" outlineLevel="1">
      <c r="A1923" s="8"/>
      <c r="B1923" s="73">
        <v>1917</v>
      </c>
      <c r="C1923" s="39"/>
      <c r="D1923" s="40"/>
      <c r="E1923" s="34" t="s">
        <v>323</v>
      </c>
      <c r="F1923" s="75" t="s">
        <v>2288</v>
      </c>
      <c r="G1923" s="35" t="s">
        <v>370</v>
      </c>
      <c r="H1923" s="41" t="s">
        <v>371</v>
      </c>
      <c r="I1923" s="44" t="str">
        <f>"0x"&amp;AE_w_WORK!K130</f>
        <v>0x0011</v>
      </c>
      <c r="J1923" s="36">
        <v>42133</v>
      </c>
      <c r="K1923" s="37"/>
      <c r="L1923" s="74">
        <f t="shared" si="31"/>
        <v>3834</v>
      </c>
    </row>
    <row r="1924" spans="1:12" hidden="1" outlineLevel="1">
      <c r="B1924" s="73">
        <v>1918</v>
      </c>
      <c r="C1924" s="39"/>
      <c r="D1924" s="40"/>
      <c r="E1924" s="34" t="s">
        <v>323</v>
      </c>
      <c r="F1924" s="75" t="s">
        <v>2289</v>
      </c>
      <c r="G1924" s="35" t="s">
        <v>370</v>
      </c>
      <c r="H1924" s="41" t="s">
        <v>371</v>
      </c>
      <c r="I1924" s="44" t="str">
        <f>"0x"&amp;AE_w_WORK!K131</f>
        <v>0x0011</v>
      </c>
      <c r="J1924" s="36">
        <v>42134</v>
      </c>
      <c r="K1924" s="37"/>
      <c r="L1924" s="74">
        <f t="shared" si="31"/>
        <v>3836</v>
      </c>
    </row>
    <row r="1925" spans="1:12" hidden="1" outlineLevel="1">
      <c r="B1925" s="73">
        <v>1919</v>
      </c>
      <c r="C1925" s="39"/>
      <c r="D1925" s="40"/>
      <c r="E1925" s="34" t="s">
        <v>323</v>
      </c>
      <c r="F1925" s="75" t="s">
        <v>2290</v>
      </c>
      <c r="G1925" s="35" t="s">
        <v>370</v>
      </c>
      <c r="H1925" s="41" t="s">
        <v>371</v>
      </c>
      <c r="I1925" s="44" t="str">
        <f>"0x"&amp;AE_w_WORK!K132</f>
        <v>0x0011</v>
      </c>
      <c r="J1925" s="36">
        <v>42135</v>
      </c>
      <c r="K1925" s="37"/>
      <c r="L1925" s="74">
        <f t="shared" si="31"/>
        <v>3838</v>
      </c>
    </row>
    <row r="1926" spans="1:12" hidden="1" outlineLevel="1">
      <c r="B1926" s="73">
        <v>1920</v>
      </c>
      <c r="C1926" s="39"/>
      <c r="D1926" s="40"/>
      <c r="E1926" s="34" t="s">
        <v>323</v>
      </c>
      <c r="F1926" s="75" t="s">
        <v>2291</v>
      </c>
      <c r="G1926" s="35" t="s">
        <v>370</v>
      </c>
      <c r="H1926" s="41" t="s">
        <v>371</v>
      </c>
      <c r="I1926" s="44" t="str">
        <f>"0x"&amp;AE_w_WORK!K133</f>
        <v>0x0000</v>
      </c>
      <c r="J1926" s="36">
        <v>42136</v>
      </c>
      <c r="K1926" s="37"/>
      <c r="L1926" s="74">
        <f t="shared" si="31"/>
        <v>3840</v>
      </c>
    </row>
    <row r="1927" spans="1:12" hidden="1" outlineLevel="1">
      <c r="B1927" s="73">
        <v>1921</v>
      </c>
      <c r="C1927" s="39"/>
      <c r="D1927" s="40"/>
      <c r="E1927" s="34" t="s">
        <v>323</v>
      </c>
      <c r="F1927" s="75" t="s">
        <v>2292</v>
      </c>
      <c r="G1927" s="35" t="s">
        <v>370</v>
      </c>
      <c r="H1927" s="41" t="s">
        <v>371</v>
      </c>
      <c r="I1927" s="44" t="str">
        <f>"0x"&amp;AE_w_WORK!K134</f>
        <v>0x0000</v>
      </c>
      <c r="J1927" s="36">
        <v>42137</v>
      </c>
      <c r="K1927" s="37"/>
      <c r="L1927" s="74">
        <f t="shared" si="31"/>
        <v>3842</v>
      </c>
    </row>
    <row r="1928" spans="1:12" hidden="1" outlineLevel="1">
      <c r="B1928" s="73">
        <v>1922</v>
      </c>
      <c r="C1928" s="39"/>
      <c r="D1928" s="40"/>
      <c r="E1928" s="34" t="s">
        <v>323</v>
      </c>
      <c r="F1928" s="75" t="s">
        <v>2293</v>
      </c>
      <c r="G1928" s="35" t="s">
        <v>370</v>
      </c>
      <c r="H1928" s="41" t="s">
        <v>371</v>
      </c>
      <c r="I1928" s="44" t="str">
        <f>"0x"&amp;AE_w_WORK!K135</f>
        <v>0x0000</v>
      </c>
      <c r="J1928" s="36">
        <v>42138</v>
      </c>
      <c r="K1928" s="37"/>
      <c r="L1928" s="74">
        <f t="shared" si="31"/>
        <v>3844</v>
      </c>
    </row>
    <row r="1929" spans="1:12" hidden="1" outlineLevel="1">
      <c r="B1929" s="73">
        <v>1923</v>
      </c>
      <c r="C1929" s="39"/>
      <c r="D1929" s="40"/>
      <c r="E1929" s="34" t="s">
        <v>323</v>
      </c>
      <c r="F1929" s="75" t="s">
        <v>2294</v>
      </c>
      <c r="G1929" s="35" t="s">
        <v>370</v>
      </c>
      <c r="H1929" s="41" t="s">
        <v>371</v>
      </c>
      <c r="I1929" s="44" t="str">
        <f>"0x"&amp;AE_w_WORK!K136</f>
        <v>0x0000</v>
      </c>
      <c r="J1929" s="36">
        <v>42139</v>
      </c>
      <c r="K1929" s="37"/>
      <c r="L1929" s="74">
        <f t="shared" ref="L1929:L1992" si="32">L1928+2</f>
        <v>3846</v>
      </c>
    </row>
    <row r="1930" spans="1:12" hidden="1" outlineLevel="1">
      <c r="B1930" s="73">
        <v>1924</v>
      </c>
      <c r="C1930" s="39"/>
      <c r="D1930" s="40"/>
      <c r="E1930" s="34" t="s">
        <v>323</v>
      </c>
      <c r="F1930" s="75" t="s">
        <v>2295</v>
      </c>
      <c r="G1930" s="35" t="s">
        <v>370</v>
      </c>
      <c r="H1930" s="41" t="s">
        <v>371</v>
      </c>
      <c r="I1930" s="44" t="str">
        <f>"0x"&amp;AE_w_WORK!K137</f>
        <v>0x0000</v>
      </c>
      <c r="J1930" s="36">
        <v>42140</v>
      </c>
      <c r="K1930" s="37"/>
      <c r="L1930" s="74">
        <f t="shared" si="32"/>
        <v>3848</v>
      </c>
    </row>
    <row r="1931" spans="1:12" hidden="1" outlineLevel="1">
      <c r="B1931" s="73">
        <v>1925</v>
      </c>
      <c r="C1931" s="39"/>
      <c r="D1931" s="40"/>
      <c r="E1931" s="34" t="s">
        <v>323</v>
      </c>
      <c r="F1931" s="75" t="s">
        <v>2296</v>
      </c>
      <c r="G1931" s="35" t="s">
        <v>370</v>
      </c>
      <c r="H1931" s="41" t="s">
        <v>371</v>
      </c>
      <c r="I1931" s="44" t="str">
        <f>"0x"&amp;AE_w_WORK!K138</f>
        <v>0x0000</v>
      </c>
      <c r="J1931" s="36">
        <v>42141</v>
      </c>
      <c r="K1931" s="37"/>
      <c r="L1931" s="74">
        <f t="shared" si="32"/>
        <v>3850</v>
      </c>
    </row>
    <row r="1932" spans="1:12" hidden="1" outlineLevel="1">
      <c r="B1932" s="73">
        <v>1926</v>
      </c>
      <c r="C1932" s="39"/>
      <c r="D1932" s="40"/>
      <c r="E1932" s="34" t="s">
        <v>323</v>
      </c>
      <c r="F1932" s="75" t="s">
        <v>2297</v>
      </c>
      <c r="G1932" s="35" t="s">
        <v>370</v>
      </c>
      <c r="H1932" s="41" t="s">
        <v>371</v>
      </c>
      <c r="I1932" s="44" t="str">
        <f>"0x"&amp;AE_w_WORK!K139</f>
        <v>0x0000</v>
      </c>
      <c r="J1932" s="36">
        <v>42142</v>
      </c>
      <c r="K1932" s="37"/>
      <c r="L1932" s="74">
        <f t="shared" si="32"/>
        <v>3852</v>
      </c>
    </row>
    <row r="1933" spans="1:12" hidden="1" outlineLevel="1">
      <c r="B1933" s="73">
        <v>1927</v>
      </c>
      <c r="C1933" s="39"/>
      <c r="D1933" s="40"/>
      <c r="E1933" s="34" t="s">
        <v>323</v>
      </c>
      <c r="F1933" s="75" t="s">
        <v>2298</v>
      </c>
      <c r="G1933" s="35" t="s">
        <v>370</v>
      </c>
      <c r="H1933" s="41" t="s">
        <v>371</v>
      </c>
      <c r="I1933" s="44" t="str">
        <f>"0x"&amp;AE_w_WORK!K140</f>
        <v>0x0000</v>
      </c>
      <c r="J1933" s="36">
        <v>42143</v>
      </c>
      <c r="K1933" s="37"/>
      <c r="L1933" s="74">
        <f t="shared" si="32"/>
        <v>3854</v>
      </c>
    </row>
    <row r="1934" spans="1:12" hidden="1" outlineLevel="1">
      <c r="B1934" s="73">
        <v>1928</v>
      </c>
      <c r="C1934" s="39"/>
      <c r="D1934" s="40"/>
      <c r="E1934" s="34" t="s">
        <v>323</v>
      </c>
      <c r="F1934" s="75" t="s">
        <v>2299</v>
      </c>
      <c r="G1934" s="35" t="s">
        <v>370</v>
      </c>
      <c r="H1934" s="41" t="s">
        <v>371</v>
      </c>
      <c r="I1934" s="44" t="str">
        <f>"0x"&amp;AE_w_WORK!K141</f>
        <v>0x0000</v>
      </c>
      <c r="J1934" s="36">
        <v>42144</v>
      </c>
      <c r="K1934" s="37"/>
      <c r="L1934" s="74">
        <f t="shared" si="32"/>
        <v>3856</v>
      </c>
    </row>
    <row r="1935" spans="1:12" hidden="1" outlineLevel="1">
      <c r="B1935" s="73">
        <v>1929</v>
      </c>
      <c r="C1935" s="39"/>
      <c r="D1935" s="40"/>
      <c r="E1935" s="34" t="s">
        <v>323</v>
      </c>
      <c r="F1935" s="75" t="s">
        <v>2300</v>
      </c>
      <c r="G1935" s="35" t="s">
        <v>370</v>
      </c>
      <c r="H1935" s="41" t="s">
        <v>371</v>
      </c>
      <c r="I1935" s="44" t="str">
        <f>"0x"&amp;AE_w_WORK!K142</f>
        <v>0x0000</v>
      </c>
      <c r="J1935" s="36">
        <v>42145</v>
      </c>
      <c r="K1935" s="37"/>
      <c r="L1935" s="74">
        <f t="shared" si="32"/>
        <v>3858</v>
      </c>
    </row>
    <row r="1936" spans="1:12" hidden="1" outlineLevel="1">
      <c r="B1936" s="73">
        <v>1930</v>
      </c>
      <c r="C1936" s="39"/>
      <c r="D1936" s="40"/>
      <c r="E1936" s="34" t="s">
        <v>323</v>
      </c>
      <c r="F1936" s="75" t="s">
        <v>2301</v>
      </c>
      <c r="G1936" s="35" t="s">
        <v>370</v>
      </c>
      <c r="H1936" s="41" t="s">
        <v>371</v>
      </c>
      <c r="I1936" s="44" t="str">
        <f>"0x"&amp;AE_w_WORK!K143</f>
        <v>0x0011</v>
      </c>
      <c r="J1936" s="36">
        <v>42146</v>
      </c>
      <c r="K1936" s="37"/>
      <c r="L1936" s="74">
        <f t="shared" si="32"/>
        <v>3860</v>
      </c>
    </row>
    <row r="1937" spans="2:12" hidden="1" outlineLevel="1">
      <c r="B1937" s="73">
        <v>1931</v>
      </c>
      <c r="C1937" s="39"/>
      <c r="D1937" s="40"/>
      <c r="E1937" s="34" t="s">
        <v>323</v>
      </c>
      <c r="F1937" s="75" t="s">
        <v>2302</v>
      </c>
      <c r="G1937" s="35" t="s">
        <v>370</v>
      </c>
      <c r="H1937" s="41" t="s">
        <v>371</v>
      </c>
      <c r="I1937" s="44" t="str">
        <f>"0x"&amp;AE_w_WORK!K144</f>
        <v>0x0011</v>
      </c>
      <c r="J1937" s="36">
        <v>42147</v>
      </c>
      <c r="K1937" s="37"/>
      <c r="L1937" s="74">
        <f t="shared" si="32"/>
        <v>3862</v>
      </c>
    </row>
    <row r="1938" spans="2:12" hidden="1" outlineLevel="1">
      <c r="B1938" s="73">
        <v>1932</v>
      </c>
      <c r="C1938" s="39"/>
      <c r="D1938" s="40"/>
      <c r="E1938" s="34" t="s">
        <v>323</v>
      </c>
      <c r="F1938" s="75" t="s">
        <v>2303</v>
      </c>
      <c r="G1938" s="35" t="s">
        <v>370</v>
      </c>
      <c r="H1938" s="41" t="s">
        <v>371</v>
      </c>
      <c r="I1938" s="44" t="str">
        <f>"0x"&amp;AE_w_WORK!K145</f>
        <v>0x0011</v>
      </c>
      <c r="J1938" s="36">
        <v>42148</v>
      </c>
      <c r="K1938" s="37"/>
      <c r="L1938" s="74">
        <f t="shared" si="32"/>
        <v>3864</v>
      </c>
    </row>
    <row r="1939" spans="2:12" hidden="1" outlineLevel="1">
      <c r="B1939" s="73">
        <v>1933</v>
      </c>
      <c r="C1939" s="39"/>
      <c r="D1939" s="40"/>
      <c r="E1939" s="34" t="s">
        <v>323</v>
      </c>
      <c r="F1939" s="75" t="s">
        <v>2304</v>
      </c>
      <c r="G1939" s="35" t="s">
        <v>370</v>
      </c>
      <c r="H1939" s="41" t="s">
        <v>371</v>
      </c>
      <c r="I1939" s="44" t="str">
        <f>"0x"&amp;AE_w_WORK!K146</f>
        <v>0x1100</v>
      </c>
      <c r="J1939" s="36">
        <v>42149</v>
      </c>
      <c r="K1939" s="37"/>
      <c r="L1939" s="74">
        <f t="shared" si="32"/>
        <v>3866</v>
      </c>
    </row>
    <row r="1940" spans="2:12" hidden="1" outlineLevel="1">
      <c r="B1940" s="73">
        <v>1934</v>
      </c>
      <c r="C1940" s="39"/>
      <c r="D1940" s="40"/>
      <c r="E1940" s="34" t="s">
        <v>323</v>
      </c>
      <c r="F1940" s="75" t="s">
        <v>2305</v>
      </c>
      <c r="G1940" s="35" t="s">
        <v>370</v>
      </c>
      <c r="H1940" s="41" t="s">
        <v>371</v>
      </c>
      <c r="I1940" s="44" t="str">
        <f>"0x"&amp;AE_w_WORK!K147</f>
        <v>0x1100</v>
      </c>
      <c r="J1940" s="36">
        <v>42150</v>
      </c>
      <c r="K1940" s="37"/>
      <c r="L1940" s="74">
        <f t="shared" si="32"/>
        <v>3868</v>
      </c>
    </row>
    <row r="1941" spans="2:12" hidden="1" outlineLevel="1">
      <c r="B1941" s="73">
        <v>1935</v>
      </c>
      <c r="C1941" s="39"/>
      <c r="D1941" s="40"/>
      <c r="E1941" s="34" t="s">
        <v>323</v>
      </c>
      <c r="F1941" s="75" t="s">
        <v>2306</v>
      </c>
      <c r="G1941" s="35" t="s">
        <v>370</v>
      </c>
      <c r="H1941" s="41" t="s">
        <v>371</v>
      </c>
      <c r="I1941" s="44" t="str">
        <f>"0x"&amp;AE_w_WORK!K148</f>
        <v>0x1100</v>
      </c>
      <c r="J1941" s="36">
        <v>42151</v>
      </c>
      <c r="K1941" s="37"/>
      <c r="L1941" s="74">
        <f t="shared" si="32"/>
        <v>3870</v>
      </c>
    </row>
    <row r="1942" spans="2:12" hidden="1" outlineLevel="1">
      <c r="B1942" s="73">
        <v>1936</v>
      </c>
      <c r="C1942" s="39"/>
      <c r="D1942" s="40"/>
      <c r="E1942" s="34" t="s">
        <v>323</v>
      </c>
      <c r="F1942" s="75" t="s">
        <v>2307</v>
      </c>
      <c r="G1942" s="35" t="s">
        <v>370</v>
      </c>
      <c r="H1942" s="41" t="s">
        <v>371</v>
      </c>
      <c r="I1942" s="44" t="str">
        <f>"0x"&amp;AE_w_WORK!K149</f>
        <v>0x0000</v>
      </c>
      <c r="J1942" s="36">
        <v>42152</v>
      </c>
      <c r="K1942" s="37"/>
      <c r="L1942" s="74">
        <f t="shared" si="32"/>
        <v>3872</v>
      </c>
    </row>
    <row r="1943" spans="2:12" hidden="1" outlineLevel="1">
      <c r="B1943" s="73">
        <v>1937</v>
      </c>
      <c r="C1943" s="39"/>
      <c r="D1943" s="40"/>
      <c r="E1943" s="34" t="s">
        <v>323</v>
      </c>
      <c r="F1943" s="75" t="s">
        <v>2308</v>
      </c>
      <c r="G1943" s="35" t="s">
        <v>370</v>
      </c>
      <c r="H1943" s="41" t="s">
        <v>371</v>
      </c>
      <c r="I1943" s="44" t="str">
        <f>"0x"&amp;AE_w_WORK!K150</f>
        <v>0x0000</v>
      </c>
      <c r="J1943" s="36">
        <v>42153</v>
      </c>
      <c r="K1943" s="37"/>
      <c r="L1943" s="74">
        <f t="shared" si="32"/>
        <v>3874</v>
      </c>
    </row>
    <row r="1944" spans="2:12" hidden="1" outlineLevel="1">
      <c r="B1944" s="73">
        <v>1938</v>
      </c>
      <c r="C1944" s="39"/>
      <c r="D1944" s="40"/>
      <c r="E1944" s="34" t="s">
        <v>323</v>
      </c>
      <c r="F1944" s="75" t="s">
        <v>2309</v>
      </c>
      <c r="G1944" s="35" t="s">
        <v>370</v>
      </c>
      <c r="H1944" s="41" t="s">
        <v>371</v>
      </c>
      <c r="I1944" s="44" t="str">
        <f>"0x"&amp;AE_w_WORK!K151</f>
        <v>0x0000</v>
      </c>
      <c r="J1944" s="36">
        <v>42154</v>
      </c>
      <c r="K1944" s="37"/>
      <c r="L1944" s="74">
        <f t="shared" si="32"/>
        <v>3876</v>
      </c>
    </row>
    <row r="1945" spans="2:12" hidden="1" outlineLevel="1">
      <c r="B1945" s="73">
        <v>1939</v>
      </c>
      <c r="C1945" s="39"/>
      <c r="D1945" s="40"/>
      <c r="E1945" s="34" t="s">
        <v>323</v>
      </c>
      <c r="F1945" s="75" t="s">
        <v>2310</v>
      </c>
      <c r="G1945" s="35" t="s">
        <v>370</v>
      </c>
      <c r="H1945" s="41" t="s">
        <v>371</v>
      </c>
      <c r="I1945" s="44" t="str">
        <f>"0x"&amp;AE_w_WORK!K152</f>
        <v>0x0000</v>
      </c>
      <c r="J1945" s="36">
        <v>42155</v>
      </c>
      <c r="K1945" s="37"/>
      <c r="L1945" s="74">
        <f t="shared" si="32"/>
        <v>3878</v>
      </c>
    </row>
    <row r="1946" spans="2:12" hidden="1" outlineLevel="1">
      <c r="B1946" s="73">
        <v>1940</v>
      </c>
      <c r="C1946" s="39"/>
      <c r="D1946" s="40"/>
      <c r="E1946" s="34" t="s">
        <v>323</v>
      </c>
      <c r="F1946" s="75" t="s">
        <v>2311</v>
      </c>
      <c r="G1946" s="35" t="s">
        <v>370</v>
      </c>
      <c r="H1946" s="41" t="s">
        <v>371</v>
      </c>
      <c r="I1946" s="44" t="str">
        <f>"0x"&amp;AE_w_WORK!K153</f>
        <v>0x0000</v>
      </c>
      <c r="J1946" s="36">
        <v>42156</v>
      </c>
      <c r="K1946" s="37"/>
      <c r="L1946" s="74">
        <f t="shared" si="32"/>
        <v>3880</v>
      </c>
    </row>
    <row r="1947" spans="2:12" hidden="1" outlineLevel="1">
      <c r="B1947" s="73">
        <v>1941</v>
      </c>
      <c r="C1947" s="39"/>
      <c r="D1947" s="40"/>
      <c r="E1947" s="34" t="s">
        <v>323</v>
      </c>
      <c r="F1947" s="75" t="s">
        <v>2312</v>
      </c>
      <c r="G1947" s="35" t="s">
        <v>370</v>
      </c>
      <c r="H1947" s="41" t="s">
        <v>371</v>
      </c>
      <c r="I1947" s="44" t="str">
        <f>"0x"&amp;AE_w_WORK!K154</f>
        <v>0x0000</v>
      </c>
      <c r="J1947" s="36">
        <v>42157</v>
      </c>
      <c r="K1947" s="37"/>
      <c r="L1947" s="74">
        <f t="shared" si="32"/>
        <v>3882</v>
      </c>
    </row>
    <row r="1948" spans="2:12" hidden="1" outlineLevel="1">
      <c r="B1948" s="73">
        <v>1942</v>
      </c>
      <c r="C1948" s="39"/>
      <c r="D1948" s="40"/>
      <c r="E1948" s="34" t="s">
        <v>323</v>
      </c>
      <c r="F1948" s="75" t="s">
        <v>2313</v>
      </c>
      <c r="G1948" s="35" t="s">
        <v>370</v>
      </c>
      <c r="H1948" s="41" t="s">
        <v>371</v>
      </c>
      <c r="I1948" s="44" t="str">
        <f>"0x"&amp;AE_w_WORK!K155</f>
        <v>0x0000</v>
      </c>
      <c r="J1948" s="36">
        <v>42158</v>
      </c>
      <c r="K1948" s="37"/>
      <c r="L1948" s="74">
        <f t="shared" si="32"/>
        <v>3884</v>
      </c>
    </row>
    <row r="1949" spans="2:12" hidden="1" outlineLevel="1">
      <c r="B1949" s="73">
        <v>1943</v>
      </c>
      <c r="C1949" s="39"/>
      <c r="D1949" s="40"/>
      <c r="E1949" s="34" t="s">
        <v>323</v>
      </c>
      <c r="F1949" s="75" t="s">
        <v>2314</v>
      </c>
      <c r="G1949" s="35" t="s">
        <v>370</v>
      </c>
      <c r="H1949" s="41" t="s">
        <v>371</v>
      </c>
      <c r="I1949" s="44" t="str">
        <f>"0x"&amp;AE_w_WORK!K156</f>
        <v>0x0000</v>
      </c>
      <c r="J1949" s="36">
        <v>42159</v>
      </c>
      <c r="K1949" s="37"/>
      <c r="L1949" s="74">
        <f t="shared" si="32"/>
        <v>3886</v>
      </c>
    </row>
    <row r="1950" spans="2:12" hidden="1" outlineLevel="1">
      <c r="B1950" s="73">
        <v>1944</v>
      </c>
      <c r="C1950" s="39"/>
      <c r="D1950" s="40"/>
      <c r="E1950" s="34" t="s">
        <v>323</v>
      </c>
      <c r="F1950" s="75" t="s">
        <v>2315</v>
      </c>
      <c r="G1950" s="35" t="s">
        <v>370</v>
      </c>
      <c r="H1950" s="41" t="s">
        <v>371</v>
      </c>
      <c r="I1950" s="44" t="str">
        <f>"0x"&amp;AE_w_WORK!K157</f>
        <v>0x0000</v>
      </c>
      <c r="J1950" s="36">
        <v>42160</v>
      </c>
      <c r="K1950" s="37"/>
      <c r="L1950" s="74">
        <f t="shared" si="32"/>
        <v>3888</v>
      </c>
    </row>
    <row r="1951" spans="2:12" hidden="1" outlineLevel="1">
      <c r="B1951" s="73">
        <v>1945</v>
      </c>
      <c r="C1951" s="39"/>
      <c r="D1951" s="40"/>
      <c r="E1951" s="34" t="s">
        <v>323</v>
      </c>
      <c r="F1951" s="75" t="s">
        <v>2316</v>
      </c>
      <c r="G1951" s="35" t="s">
        <v>370</v>
      </c>
      <c r="H1951" s="41" t="s">
        <v>371</v>
      </c>
      <c r="I1951" s="44" t="str">
        <f>"0x"&amp;AE_w_WORK!K158</f>
        <v>0x0000</v>
      </c>
      <c r="J1951" s="36">
        <v>42161</v>
      </c>
      <c r="K1951" s="37"/>
      <c r="L1951" s="74">
        <f t="shared" si="32"/>
        <v>3890</v>
      </c>
    </row>
    <row r="1952" spans="2:12" hidden="1" outlineLevel="1">
      <c r="B1952" s="73">
        <v>1946</v>
      </c>
      <c r="C1952" s="39"/>
      <c r="D1952" s="40"/>
      <c r="E1952" s="34" t="s">
        <v>323</v>
      </c>
      <c r="F1952" s="75" t="s">
        <v>2317</v>
      </c>
      <c r="G1952" s="35" t="s">
        <v>370</v>
      </c>
      <c r="H1952" s="41" t="s">
        <v>371</v>
      </c>
      <c r="I1952" s="44" t="str">
        <f>"0x"&amp;AE_w_WORK!K159</f>
        <v>0x1100</v>
      </c>
      <c r="J1952" s="36">
        <v>42162</v>
      </c>
      <c r="K1952" s="37"/>
      <c r="L1952" s="74">
        <f t="shared" si="32"/>
        <v>3892</v>
      </c>
    </row>
    <row r="1953" spans="2:12" hidden="1" outlineLevel="1">
      <c r="B1953" s="73">
        <v>1947</v>
      </c>
      <c r="C1953" s="39"/>
      <c r="D1953" s="40"/>
      <c r="E1953" s="34" t="s">
        <v>323</v>
      </c>
      <c r="F1953" s="75" t="s">
        <v>2318</v>
      </c>
      <c r="G1953" s="35" t="s">
        <v>370</v>
      </c>
      <c r="H1953" s="41" t="s">
        <v>371</v>
      </c>
      <c r="I1953" s="44" t="str">
        <f>"0x"&amp;AE_w_WORK!K160</f>
        <v>0x1100</v>
      </c>
      <c r="J1953" s="36">
        <v>42163</v>
      </c>
      <c r="K1953" s="37"/>
      <c r="L1953" s="74">
        <f t="shared" si="32"/>
        <v>3894</v>
      </c>
    </row>
    <row r="1954" spans="2:12" hidden="1" outlineLevel="1">
      <c r="B1954" s="73">
        <v>1948</v>
      </c>
      <c r="C1954" s="39"/>
      <c r="D1954" s="40"/>
      <c r="E1954" s="34" t="s">
        <v>323</v>
      </c>
      <c r="F1954" s="75" t="s">
        <v>2319</v>
      </c>
      <c r="G1954" s="35" t="s">
        <v>370</v>
      </c>
      <c r="H1954" s="41" t="s">
        <v>371</v>
      </c>
      <c r="I1954" s="44" t="str">
        <f>"0x"&amp;AE_w_WORK!K161</f>
        <v>0x1100</v>
      </c>
      <c r="J1954" s="36">
        <v>42164</v>
      </c>
      <c r="K1954" s="37"/>
      <c r="L1954" s="74">
        <f t="shared" si="32"/>
        <v>3896</v>
      </c>
    </row>
    <row r="1955" spans="2:12" hidden="1" outlineLevel="1">
      <c r="B1955" s="73">
        <v>1949</v>
      </c>
      <c r="C1955" s="39"/>
      <c r="D1955" s="40"/>
      <c r="E1955" s="34" t="s">
        <v>323</v>
      </c>
      <c r="F1955" s="75" t="s">
        <v>2320</v>
      </c>
      <c r="G1955" s="35" t="s">
        <v>370</v>
      </c>
      <c r="H1955" s="41" t="s">
        <v>371</v>
      </c>
      <c r="I1955" s="44" t="str">
        <f>"0x"&amp;AE_w_WORK!K162</f>
        <v>0x0011</v>
      </c>
      <c r="J1955" s="36">
        <v>42165</v>
      </c>
      <c r="K1955" s="37"/>
      <c r="L1955" s="74">
        <f t="shared" si="32"/>
        <v>3898</v>
      </c>
    </row>
    <row r="1956" spans="2:12" hidden="1" outlineLevel="1">
      <c r="B1956" s="73">
        <v>1950</v>
      </c>
      <c r="C1956" s="39"/>
      <c r="D1956" s="40"/>
      <c r="E1956" s="34" t="s">
        <v>323</v>
      </c>
      <c r="F1956" s="75" t="s">
        <v>2321</v>
      </c>
      <c r="G1956" s="35" t="s">
        <v>370</v>
      </c>
      <c r="H1956" s="41" t="s">
        <v>371</v>
      </c>
      <c r="I1956" s="44" t="str">
        <f>"0x"&amp;AE_w_WORK!K163</f>
        <v>0x0011</v>
      </c>
      <c r="J1956" s="36">
        <v>42166</v>
      </c>
      <c r="K1956" s="37"/>
      <c r="L1956" s="74">
        <f t="shared" si="32"/>
        <v>3900</v>
      </c>
    </row>
    <row r="1957" spans="2:12" hidden="1" outlineLevel="1">
      <c r="B1957" s="73">
        <v>1951</v>
      </c>
      <c r="C1957" s="39"/>
      <c r="D1957" s="40"/>
      <c r="E1957" s="34" t="s">
        <v>323</v>
      </c>
      <c r="F1957" s="75" t="s">
        <v>2322</v>
      </c>
      <c r="G1957" s="35" t="s">
        <v>370</v>
      </c>
      <c r="H1957" s="41" t="s">
        <v>371</v>
      </c>
      <c r="I1957" s="44" t="str">
        <f>"0x"&amp;AE_w_WORK!K164</f>
        <v>0x0011</v>
      </c>
      <c r="J1957" s="36">
        <v>42167</v>
      </c>
      <c r="K1957" s="37"/>
      <c r="L1957" s="74">
        <f t="shared" si="32"/>
        <v>3902</v>
      </c>
    </row>
    <row r="1958" spans="2:12" hidden="1" outlineLevel="1">
      <c r="B1958" s="73">
        <v>1952</v>
      </c>
      <c r="C1958" s="39"/>
      <c r="D1958" s="40"/>
      <c r="E1958" s="34" t="s">
        <v>323</v>
      </c>
      <c r="F1958" s="75" t="s">
        <v>2323</v>
      </c>
      <c r="G1958" s="35" t="s">
        <v>370</v>
      </c>
      <c r="H1958" s="41" t="s">
        <v>371</v>
      </c>
      <c r="I1958" s="44" t="str">
        <f>"0x"&amp;AE_w_WORK!K165</f>
        <v>0x0000</v>
      </c>
      <c r="J1958" s="36">
        <v>42168</v>
      </c>
      <c r="K1958" s="37"/>
      <c r="L1958" s="74">
        <f t="shared" si="32"/>
        <v>3904</v>
      </c>
    </row>
    <row r="1959" spans="2:12" hidden="1" outlineLevel="1">
      <c r="B1959" s="73">
        <v>1953</v>
      </c>
      <c r="C1959" s="39"/>
      <c r="D1959" s="40"/>
      <c r="E1959" s="34" t="s">
        <v>323</v>
      </c>
      <c r="F1959" s="75" t="s">
        <v>2324</v>
      </c>
      <c r="G1959" s="35" t="s">
        <v>370</v>
      </c>
      <c r="H1959" s="41" t="s">
        <v>371</v>
      </c>
      <c r="I1959" s="44" t="str">
        <f>"0x"&amp;AE_w_WORK!K166</f>
        <v>0x0000</v>
      </c>
      <c r="J1959" s="36">
        <v>42169</v>
      </c>
      <c r="K1959" s="37"/>
      <c r="L1959" s="74">
        <f t="shared" si="32"/>
        <v>3906</v>
      </c>
    </row>
    <row r="1960" spans="2:12" hidden="1" outlineLevel="1">
      <c r="B1960" s="73">
        <v>1954</v>
      </c>
      <c r="C1960" s="39"/>
      <c r="D1960" s="40"/>
      <c r="E1960" s="34" t="s">
        <v>323</v>
      </c>
      <c r="F1960" s="75" t="s">
        <v>2325</v>
      </c>
      <c r="G1960" s="35" t="s">
        <v>370</v>
      </c>
      <c r="H1960" s="41" t="s">
        <v>371</v>
      </c>
      <c r="I1960" s="44" t="str">
        <f>"0x"&amp;AE_w_WORK!K167</f>
        <v>0x0000</v>
      </c>
      <c r="J1960" s="36">
        <v>42170</v>
      </c>
      <c r="K1960" s="37"/>
      <c r="L1960" s="74">
        <f t="shared" si="32"/>
        <v>3908</v>
      </c>
    </row>
    <row r="1961" spans="2:12" hidden="1" outlineLevel="1">
      <c r="B1961" s="73">
        <v>1955</v>
      </c>
      <c r="C1961" s="39"/>
      <c r="D1961" s="40"/>
      <c r="E1961" s="34" t="s">
        <v>323</v>
      </c>
      <c r="F1961" s="75" t="s">
        <v>2326</v>
      </c>
      <c r="G1961" s="35" t="s">
        <v>370</v>
      </c>
      <c r="H1961" s="41" t="s">
        <v>371</v>
      </c>
      <c r="I1961" s="44" t="str">
        <f>"0x"&amp;AE_w_WORK!K168</f>
        <v>0x0000</v>
      </c>
      <c r="J1961" s="36">
        <v>42171</v>
      </c>
      <c r="K1961" s="37"/>
      <c r="L1961" s="74">
        <f t="shared" si="32"/>
        <v>3910</v>
      </c>
    </row>
    <row r="1962" spans="2:12" hidden="1" outlineLevel="1">
      <c r="B1962" s="73">
        <v>1956</v>
      </c>
      <c r="C1962" s="39"/>
      <c r="D1962" s="40"/>
      <c r="E1962" s="34" t="s">
        <v>323</v>
      </c>
      <c r="F1962" s="75" t="s">
        <v>2327</v>
      </c>
      <c r="G1962" s="35" t="s">
        <v>370</v>
      </c>
      <c r="H1962" s="41" t="s">
        <v>371</v>
      </c>
      <c r="I1962" s="44" t="str">
        <f>"0x"&amp;AE_w_WORK!K169</f>
        <v>0x0000</v>
      </c>
      <c r="J1962" s="36">
        <v>42172</v>
      </c>
      <c r="K1962" s="37"/>
      <c r="L1962" s="74">
        <f t="shared" si="32"/>
        <v>3912</v>
      </c>
    </row>
    <row r="1963" spans="2:12" hidden="1" outlineLevel="1">
      <c r="B1963" s="73">
        <v>1957</v>
      </c>
      <c r="C1963" s="39"/>
      <c r="D1963" s="40"/>
      <c r="E1963" s="34" t="s">
        <v>323</v>
      </c>
      <c r="F1963" s="75" t="s">
        <v>2328</v>
      </c>
      <c r="G1963" s="35" t="s">
        <v>370</v>
      </c>
      <c r="H1963" s="41" t="s">
        <v>371</v>
      </c>
      <c r="I1963" s="44" t="str">
        <f>"0x"&amp;AE_w_WORK!K170</f>
        <v>0x0000</v>
      </c>
      <c r="J1963" s="36">
        <v>42173</v>
      </c>
      <c r="K1963" s="37"/>
      <c r="L1963" s="74">
        <f t="shared" si="32"/>
        <v>3914</v>
      </c>
    </row>
    <row r="1964" spans="2:12" hidden="1" outlineLevel="1">
      <c r="B1964" s="73">
        <v>1958</v>
      </c>
      <c r="C1964" s="39"/>
      <c r="D1964" s="40"/>
      <c r="E1964" s="34" t="s">
        <v>323</v>
      </c>
      <c r="F1964" s="75" t="s">
        <v>2329</v>
      </c>
      <c r="G1964" s="35" t="s">
        <v>370</v>
      </c>
      <c r="H1964" s="41" t="s">
        <v>371</v>
      </c>
      <c r="I1964" s="44" t="str">
        <f>"0x"&amp;AE_w_WORK!K171</f>
        <v>0x0000</v>
      </c>
      <c r="J1964" s="36">
        <v>42174</v>
      </c>
      <c r="K1964" s="37"/>
      <c r="L1964" s="74">
        <f t="shared" si="32"/>
        <v>3916</v>
      </c>
    </row>
    <row r="1965" spans="2:12" hidden="1" outlineLevel="1">
      <c r="B1965" s="73">
        <v>1959</v>
      </c>
      <c r="C1965" s="39"/>
      <c r="D1965" s="40"/>
      <c r="E1965" s="34" t="s">
        <v>323</v>
      </c>
      <c r="F1965" s="75" t="s">
        <v>2330</v>
      </c>
      <c r="G1965" s="35" t="s">
        <v>370</v>
      </c>
      <c r="H1965" s="41" t="s">
        <v>371</v>
      </c>
      <c r="I1965" s="44" t="str">
        <f>"0x"&amp;AE_w_WORK!K172</f>
        <v>0x0000</v>
      </c>
      <c r="J1965" s="36">
        <v>42175</v>
      </c>
      <c r="K1965" s="37"/>
      <c r="L1965" s="74">
        <f t="shared" si="32"/>
        <v>3918</v>
      </c>
    </row>
    <row r="1966" spans="2:12" hidden="1" outlineLevel="1">
      <c r="B1966" s="73">
        <v>1960</v>
      </c>
      <c r="C1966" s="39"/>
      <c r="D1966" s="40"/>
      <c r="E1966" s="34" t="s">
        <v>323</v>
      </c>
      <c r="F1966" s="75" t="s">
        <v>2331</v>
      </c>
      <c r="G1966" s="35" t="s">
        <v>370</v>
      </c>
      <c r="H1966" s="41" t="s">
        <v>371</v>
      </c>
      <c r="I1966" s="44" t="str">
        <f>"0x"&amp;AE_w_WORK!K173</f>
        <v>0x0000</v>
      </c>
      <c r="J1966" s="36">
        <v>42176</v>
      </c>
      <c r="K1966" s="37"/>
      <c r="L1966" s="74">
        <f t="shared" si="32"/>
        <v>3920</v>
      </c>
    </row>
    <row r="1967" spans="2:12" hidden="1" outlineLevel="1">
      <c r="B1967" s="73">
        <v>1961</v>
      </c>
      <c r="C1967" s="39"/>
      <c r="D1967" s="40"/>
      <c r="E1967" s="34" t="s">
        <v>323</v>
      </c>
      <c r="F1967" s="75" t="s">
        <v>2332</v>
      </c>
      <c r="G1967" s="35" t="s">
        <v>370</v>
      </c>
      <c r="H1967" s="41" t="s">
        <v>371</v>
      </c>
      <c r="I1967" s="44" t="str">
        <f>"0x"&amp;AE_w_WORK!K174</f>
        <v>0x0000</v>
      </c>
      <c r="J1967" s="36">
        <v>42177</v>
      </c>
      <c r="K1967" s="37"/>
      <c r="L1967" s="74">
        <f t="shared" si="32"/>
        <v>3922</v>
      </c>
    </row>
    <row r="1968" spans="2:12" hidden="1" outlineLevel="1">
      <c r="B1968" s="73">
        <v>1962</v>
      </c>
      <c r="C1968" s="39"/>
      <c r="D1968" s="40"/>
      <c r="E1968" s="34" t="s">
        <v>323</v>
      </c>
      <c r="F1968" s="75" t="s">
        <v>2333</v>
      </c>
      <c r="G1968" s="35" t="s">
        <v>370</v>
      </c>
      <c r="H1968" s="41" t="s">
        <v>371</v>
      </c>
      <c r="I1968" s="44" t="str">
        <f>"0x"&amp;AE_w_WORK!K175</f>
        <v>0x0011</v>
      </c>
      <c r="J1968" s="36">
        <v>42178</v>
      </c>
      <c r="K1968" s="37"/>
      <c r="L1968" s="74">
        <f t="shared" si="32"/>
        <v>3924</v>
      </c>
    </row>
    <row r="1969" spans="2:12" hidden="1" outlineLevel="1">
      <c r="B1969" s="73">
        <v>1963</v>
      </c>
      <c r="C1969" s="39"/>
      <c r="D1969" s="40"/>
      <c r="E1969" s="34" t="s">
        <v>323</v>
      </c>
      <c r="F1969" s="75" t="s">
        <v>2334</v>
      </c>
      <c r="G1969" s="35" t="s">
        <v>370</v>
      </c>
      <c r="H1969" s="41" t="s">
        <v>371</v>
      </c>
      <c r="I1969" s="44" t="str">
        <f>"0x"&amp;AE_w_WORK!K176</f>
        <v>0x0011</v>
      </c>
      <c r="J1969" s="36">
        <v>42179</v>
      </c>
      <c r="K1969" s="37"/>
      <c r="L1969" s="74">
        <f t="shared" si="32"/>
        <v>3926</v>
      </c>
    </row>
    <row r="1970" spans="2:12" hidden="1" outlineLevel="1">
      <c r="B1970" s="73">
        <v>1964</v>
      </c>
      <c r="C1970" s="39"/>
      <c r="D1970" s="40"/>
      <c r="E1970" s="34" t="s">
        <v>323</v>
      </c>
      <c r="F1970" s="75" t="s">
        <v>2335</v>
      </c>
      <c r="G1970" s="35" t="s">
        <v>370</v>
      </c>
      <c r="H1970" s="41" t="s">
        <v>371</v>
      </c>
      <c r="I1970" s="44" t="str">
        <f>"0x"&amp;AE_w_WORK!K177</f>
        <v>0x0011</v>
      </c>
      <c r="J1970" s="36">
        <v>42180</v>
      </c>
      <c r="K1970" s="37"/>
      <c r="L1970" s="74">
        <f t="shared" si="32"/>
        <v>3928</v>
      </c>
    </row>
    <row r="1971" spans="2:12" hidden="1" outlineLevel="1">
      <c r="B1971" s="73">
        <v>1965</v>
      </c>
      <c r="C1971" s="39"/>
      <c r="D1971" s="40"/>
      <c r="E1971" s="34" t="s">
        <v>323</v>
      </c>
      <c r="F1971" s="75" t="s">
        <v>2336</v>
      </c>
      <c r="G1971" s="35" t="s">
        <v>370</v>
      </c>
      <c r="H1971" s="41" t="s">
        <v>371</v>
      </c>
      <c r="I1971" s="44" t="str">
        <f>"0x"&amp;AE_w_WORK!K178</f>
        <v>0x1100</v>
      </c>
      <c r="J1971" s="36">
        <v>42181</v>
      </c>
      <c r="K1971" s="37"/>
      <c r="L1971" s="74">
        <f t="shared" si="32"/>
        <v>3930</v>
      </c>
    </row>
    <row r="1972" spans="2:12" hidden="1" outlineLevel="1">
      <c r="B1972" s="73">
        <v>1966</v>
      </c>
      <c r="C1972" s="39"/>
      <c r="D1972" s="40"/>
      <c r="E1972" s="34" t="s">
        <v>323</v>
      </c>
      <c r="F1972" s="75" t="s">
        <v>2337</v>
      </c>
      <c r="G1972" s="35" t="s">
        <v>370</v>
      </c>
      <c r="H1972" s="41" t="s">
        <v>371</v>
      </c>
      <c r="I1972" s="44" t="str">
        <f>"0x"&amp;AE_w_WORK!K179</f>
        <v>0x1100</v>
      </c>
      <c r="J1972" s="36">
        <v>42182</v>
      </c>
      <c r="K1972" s="37"/>
      <c r="L1972" s="74">
        <f t="shared" si="32"/>
        <v>3932</v>
      </c>
    </row>
    <row r="1973" spans="2:12" hidden="1" outlineLevel="1">
      <c r="B1973" s="73">
        <v>1967</v>
      </c>
      <c r="C1973" s="39"/>
      <c r="D1973" s="40"/>
      <c r="E1973" s="34" t="s">
        <v>323</v>
      </c>
      <c r="F1973" s="75" t="s">
        <v>2338</v>
      </c>
      <c r="G1973" s="35" t="s">
        <v>370</v>
      </c>
      <c r="H1973" s="41" t="s">
        <v>371</v>
      </c>
      <c r="I1973" s="44" t="str">
        <f>"0x"&amp;AE_w_WORK!K180</f>
        <v>0x1100</v>
      </c>
      <c r="J1973" s="36">
        <v>42183</v>
      </c>
      <c r="K1973" s="37"/>
      <c r="L1973" s="74">
        <f t="shared" si="32"/>
        <v>3934</v>
      </c>
    </row>
    <row r="1974" spans="2:12" hidden="1" outlineLevel="1">
      <c r="B1974" s="73">
        <v>1968</v>
      </c>
      <c r="C1974" s="39"/>
      <c r="D1974" s="40"/>
      <c r="E1974" s="34" t="s">
        <v>323</v>
      </c>
      <c r="F1974" s="75" t="s">
        <v>2339</v>
      </c>
      <c r="G1974" s="35" t="s">
        <v>370</v>
      </c>
      <c r="H1974" s="41" t="s">
        <v>371</v>
      </c>
      <c r="I1974" s="44" t="str">
        <f>"0x"&amp;AE_w_WORK!K181</f>
        <v>0x0000</v>
      </c>
      <c r="J1974" s="36">
        <v>42184</v>
      </c>
      <c r="K1974" s="37"/>
      <c r="L1974" s="74">
        <f t="shared" si="32"/>
        <v>3936</v>
      </c>
    </row>
    <row r="1975" spans="2:12" hidden="1" outlineLevel="1">
      <c r="B1975" s="73">
        <v>1969</v>
      </c>
      <c r="C1975" s="39"/>
      <c r="D1975" s="40"/>
      <c r="E1975" s="34" t="s">
        <v>323</v>
      </c>
      <c r="F1975" s="75" t="s">
        <v>2340</v>
      </c>
      <c r="G1975" s="35" t="s">
        <v>370</v>
      </c>
      <c r="H1975" s="41" t="s">
        <v>371</v>
      </c>
      <c r="I1975" s="44" t="str">
        <f>"0x"&amp;AE_w_WORK!K182</f>
        <v>0x0000</v>
      </c>
      <c r="J1975" s="36">
        <v>42185</v>
      </c>
      <c r="K1975" s="37"/>
      <c r="L1975" s="74">
        <f t="shared" si="32"/>
        <v>3938</v>
      </c>
    </row>
    <row r="1976" spans="2:12" hidden="1" outlineLevel="1">
      <c r="B1976" s="73">
        <v>1970</v>
      </c>
      <c r="C1976" s="39"/>
      <c r="D1976" s="40"/>
      <c r="E1976" s="34" t="s">
        <v>323</v>
      </c>
      <c r="F1976" s="75" t="s">
        <v>2341</v>
      </c>
      <c r="G1976" s="35" t="s">
        <v>370</v>
      </c>
      <c r="H1976" s="41" t="s">
        <v>371</v>
      </c>
      <c r="I1976" s="44" t="str">
        <f>"0x"&amp;AE_w_WORK!K183</f>
        <v>0x0000</v>
      </c>
      <c r="J1976" s="36">
        <v>42186</v>
      </c>
      <c r="K1976" s="37"/>
      <c r="L1976" s="74">
        <f t="shared" si="32"/>
        <v>3940</v>
      </c>
    </row>
    <row r="1977" spans="2:12" hidden="1" outlineLevel="1">
      <c r="B1977" s="73">
        <v>1971</v>
      </c>
      <c r="C1977" s="39"/>
      <c r="D1977" s="40"/>
      <c r="E1977" s="34" t="s">
        <v>323</v>
      </c>
      <c r="F1977" s="75" t="s">
        <v>2342</v>
      </c>
      <c r="G1977" s="35" t="s">
        <v>370</v>
      </c>
      <c r="H1977" s="41" t="s">
        <v>371</v>
      </c>
      <c r="I1977" s="44" t="str">
        <f>"0x"&amp;AE_w_WORK!K184</f>
        <v>0x0000</v>
      </c>
      <c r="J1977" s="36">
        <v>42187</v>
      </c>
      <c r="K1977" s="37"/>
      <c r="L1977" s="74">
        <f t="shared" si="32"/>
        <v>3942</v>
      </c>
    </row>
    <row r="1978" spans="2:12" hidden="1" outlineLevel="1">
      <c r="B1978" s="73">
        <v>1972</v>
      </c>
      <c r="C1978" s="39"/>
      <c r="D1978" s="40"/>
      <c r="E1978" s="34" t="s">
        <v>323</v>
      </c>
      <c r="F1978" s="75" t="s">
        <v>2343</v>
      </c>
      <c r="G1978" s="35" t="s">
        <v>370</v>
      </c>
      <c r="H1978" s="41" t="s">
        <v>371</v>
      </c>
      <c r="I1978" s="44" t="str">
        <f>"0x"&amp;AE_w_WORK!K185</f>
        <v>0x0000</v>
      </c>
      <c r="J1978" s="36">
        <v>42188</v>
      </c>
      <c r="K1978" s="37"/>
      <c r="L1978" s="74">
        <f t="shared" si="32"/>
        <v>3944</v>
      </c>
    </row>
    <row r="1979" spans="2:12" hidden="1" outlineLevel="1">
      <c r="B1979" s="73">
        <v>1973</v>
      </c>
      <c r="C1979" s="39"/>
      <c r="D1979" s="40"/>
      <c r="E1979" s="34" t="s">
        <v>323</v>
      </c>
      <c r="F1979" s="75" t="s">
        <v>2344</v>
      </c>
      <c r="G1979" s="35" t="s">
        <v>370</v>
      </c>
      <c r="H1979" s="41" t="s">
        <v>371</v>
      </c>
      <c r="I1979" s="44" t="str">
        <f>"0x"&amp;AE_w_WORK!K186</f>
        <v>0x0000</v>
      </c>
      <c r="J1979" s="36">
        <v>42189</v>
      </c>
      <c r="K1979" s="37"/>
      <c r="L1979" s="74">
        <f t="shared" si="32"/>
        <v>3946</v>
      </c>
    </row>
    <row r="1980" spans="2:12" hidden="1" outlineLevel="1">
      <c r="B1980" s="73">
        <v>1974</v>
      </c>
      <c r="C1980" s="39"/>
      <c r="D1980" s="40"/>
      <c r="E1980" s="34" t="s">
        <v>323</v>
      </c>
      <c r="F1980" s="75" t="s">
        <v>2345</v>
      </c>
      <c r="G1980" s="35" t="s">
        <v>370</v>
      </c>
      <c r="H1980" s="41" t="s">
        <v>371</v>
      </c>
      <c r="I1980" s="44" t="str">
        <f>"0x"&amp;AE_w_WORK!K187</f>
        <v>0x0000</v>
      </c>
      <c r="J1980" s="36">
        <v>42190</v>
      </c>
      <c r="K1980" s="37"/>
      <c r="L1980" s="74">
        <f t="shared" si="32"/>
        <v>3948</v>
      </c>
    </row>
    <row r="1981" spans="2:12" hidden="1" outlineLevel="1">
      <c r="B1981" s="73">
        <v>1975</v>
      </c>
      <c r="C1981" s="39"/>
      <c r="D1981" s="40"/>
      <c r="E1981" s="34" t="s">
        <v>323</v>
      </c>
      <c r="F1981" s="75" t="s">
        <v>2346</v>
      </c>
      <c r="G1981" s="35" t="s">
        <v>370</v>
      </c>
      <c r="H1981" s="41" t="s">
        <v>371</v>
      </c>
      <c r="I1981" s="44" t="str">
        <f>"0x"&amp;AE_w_WORK!K188</f>
        <v>0x0000</v>
      </c>
      <c r="J1981" s="36">
        <v>42191</v>
      </c>
      <c r="K1981" s="37"/>
      <c r="L1981" s="74">
        <f t="shared" si="32"/>
        <v>3950</v>
      </c>
    </row>
    <row r="1982" spans="2:12" hidden="1" outlineLevel="1">
      <c r="B1982" s="73">
        <v>1976</v>
      </c>
      <c r="C1982" s="39"/>
      <c r="D1982" s="40"/>
      <c r="E1982" s="34" t="s">
        <v>323</v>
      </c>
      <c r="F1982" s="75" t="s">
        <v>2347</v>
      </c>
      <c r="G1982" s="35" t="s">
        <v>370</v>
      </c>
      <c r="H1982" s="41" t="s">
        <v>371</v>
      </c>
      <c r="I1982" s="44" t="str">
        <f>"0x"&amp;AE_w_WORK!K189</f>
        <v>0x0000</v>
      </c>
      <c r="J1982" s="36">
        <v>42192</v>
      </c>
      <c r="K1982" s="37"/>
      <c r="L1982" s="74">
        <f t="shared" si="32"/>
        <v>3952</v>
      </c>
    </row>
    <row r="1983" spans="2:12" hidden="1" outlineLevel="1">
      <c r="B1983" s="73">
        <v>1977</v>
      </c>
      <c r="C1983" s="39"/>
      <c r="D1983" s="40"/>
      <c r="E1983" s="34" t="s">
        <v>323</v>
      </c>
      <c r="F1983" s="75" t="s">
        <v>2348</v>
      </c>
      <c r="G1983" s="35" t="s">
        <v>370</v>
      </c>
      <c r="H1983" s="41" t="s">
        <v>371</v>
      </c>
      <c r="I1983" s="44" t="str">
        <f>"0x"&amp;AE_w_WORK!K190</f>
        <v>0x0000</v>
      </c>
      <c r="J1983" s="36">
        <v>42193</v>
      </c>
      <c r="K1983" s="37"/>
      <c r="L1983" s="74">
        <f t="shared" si="32"/>
        <v>3954</v>
      </c>
    </row>
    <row r="1984" spans="2:12" hidden="1" outlineLevel="1">
      <c r="B1984" s="73">
        <v>1978</v>
      </c>
      <c r="C1984" s="39"/>
      <c r="D1984" s="40"/>
      <c r="E1984" s="34" t="s">
        <v>323</v>
      </c>
      <c r="F1984" s="75" t="s">
        <v>2349</v>
      </c>
      <c r="G1984" s="35" t="s">
        <v>370</v>
      </c>
      <c r="H1984" s="41" t="s">
        <v>371</v>
      </c>
      <c r="I1984" s="44" t="str">
        <f>"0x"&amp;AE_w_WORK!K191</f>
        <v>0x1100</v>
      </c>
      <c r="J1984" s="36">
        <v>42194</v>
      </c>
      <c r="K1984" s="37"/>
      <c r="L1984" s="74">
        <f t="shared" si="32"/>
        <v>3956</v>
      </c>
    </row>
    <row r="1985" spans="2:12" hidden="1" outlineLevel="1">
      <c r="B1985" s="73">
        <v>1979</v>
      </c>
      <c r="C1985" s="39"/>
      <c r="D1985" s="40"/>
      <c r="E1985" s="34" t="s">
        <v>323</v>
      </c>
      <c r="F1985" s="75" t="s">
        <v>2350</v>
      </c>
      <c r="G1985" s="35" t="s">
        <v>370</v>
      </c>
      <c r="H1985" s="41" t="s">
        <v>371</v>
      </c>
      <c r="I1985" s="44" t="str">
        <f>"0x"&amp;AE_w_WORK!K192</f>
        <v>0x1100</v>
      </c>
      <c r="J1985" s="36">
        <v>42195</v>
      </c>
      <c r="K1985" s="37"/>
      <c r="L1985" s="74">
        <f t="shared" si="32"/>
        <v>3958</v>
      </c>
    </row>
    <row r="1986" spans="2:12" hidden="1" outlineLevel="1">
      <c r="B1986" s="73">
        <v>1980</v>
      </c>
      <c r="C1986" s="39"/>
      <c r="D1986" s="40"/>
      <c r="E1986" s="34" t="s">
        <v>323</v>
      </c>
      <c r="F1986" s="75" t="s">
        <v>2351</v>
      </c>
      <c r="G1986" s="35" t="s">
        <v>370</v>
      </c>
      <c r="H1986" s="41" t="s">
        <v>371</v>
      </c>
      <c r="I1986" s="44" t="str">
        <f>"0x"&amp;AE_w_WORK!K193</f>
        <v>0x1100</v>
      </c>
      <c r="J1986" s="36">
        <v>42196</v>
      </c>
      <c r="K1986" s="37"/>
      <c r="L1986" s="74">
        <f t="shared" si="32"/>
        <v>3960</v>
      </c>
    </row>
    <row r="1987" spans="2:12" hidden="1" outlineLevel="1">
      <c r="B1987" s="73">
        <v>1981</v>
      </c>
      <c r="C1987" s="39"/>
      <c r="D1987" s="40"/>
      <c r="E1987" s="34" t="s">
        <v>323</v>
      </c>
      <c r="F1987" s="75" t="s">
        <v>2352</v>
      </c>
      <c r="G1987" s="35" t="s">
        <v>370</v>
      </c>
      <c r="H1987" s="41" t="s">
        <v>371</v>
      </c>
      <c r="I1987" s="44" t="str">
        <f>"0x"&amp;AE_w_WORK!K194</f>
        <v>0x0011</v>
      </c>
      <c r="J1987" s="36">
        <v>42197</v>
      </c>
      <c r="K1987" s="37"/>
      <c r="L1987" s="74">
        <f t="shared" si="32"/>
        <v>3962</v>
      </c>
    </row>
    <row r="1988" spans="2:12" hidden="1" outlineLevel="1">
      <c r="B1988" s="73">
        <v>1982</v>
      </c>
      <c r="C1988" s="39"/>
      <c r="D1988" s="40"/>
      <c r="E1988" s="34" t="s">
        <v>323</v>
      </c>
      <c r="F1988" s="75" t="s">
        <v>2353</v>
      </c>
      <c r="G1988" s="35" t="s">
        <v>370</v>
      </c>
      <c r="H1988" s="41" t="s">
        <v>371</v>
      </c>
      <c r="I1988" s="44" t="str">
        <f>"0x"&amp;AE_w_WORK!K195</f>
        <v>0x0011</v>
      </c>
      <c r="J1988" s="36">
        <v>42198</v>
      </c>
      <c r="K1988" s="37"/>
      <c r="L1988" s="74">
        <f t="shared" si="32"/>
        <v>3964</v>
      </c>
    </row>
    <row r="1989" spans="2:12" hidden="1" outlineLevel="1">
      <c r="B1989" s="73">
        <v>1983</v>
      </c>
      <c r="C1989" s="39"/>
      <c r="D1989" s="40"/>
      <c r="E1989" s="34" t="s">
        <v>323</v>
      </c>
      <c r="F1989" s="75" t="s">
        <v>2354</v>
      </c>
      <c r="G1989" s="35" t="s">
        <v>370</v>
      </c>
      <c r="H1989" s="41" t="s">
        <v>371</v>
      </c>
      <c r="I1989" s="44" t="str">
        <f>"0x"&amp;AE_w_WORK!K196</f>
        <v>0x0011</v>
      </c>
      <c r="J1989" s="36">
        <v>42199</v>
      </c>
      <c r="K1989" s="37"/>
      <c r="L1989" s="74">
        <f t="shared" si="32"/>
        <v>3966</v>
      </c>
    </row>
    <row r="1990" spans="2:12" hidden="1" outlineLevel="1">
      <c r="B1990" s="73">
        <v>1984</v>
      </c>
      <c r="C1990" s="39"/>
      <c r="D1990" s="40"/>
      <c r="E1990" s="34" t="s">
        <v>323</v>
      </c>
      <c r="F1990" s="75" t="s">
        <v>2355</v>
      </c>
      <c r="G1990" s="35" t="s">
        <v>370</v>
      </c>
      <c r="H1990" s="41" t="s">
        <v>371</v>
      </c>
      <c r="I1990" s="44" t="str">
        <f>"0x"&amp;AE_w_WORK!K197</f>
        <v>0x0000</v>
      </c>
      <c r="J1990" s="36">
        <v>42200</v>
      </c>
      <c r="K1990" s="37"/>
      <c r="L1990" s="74">
        <f t="shared" si="32"/>
        <v>3968</v>
      </c>
    </row>
    <row r="1991" spans="2:12" hidden="1" outlineLevel="1">
      <c r="B1991" s="73">
        <v>1985</v>
      </c>
      <c r="C1991" s="39"/>
      <c r="D1991" s="40"/>
      <c r="E1991" s="34" t="s">
        <v>323</v>
      </c>
      <c r="F1991" s="75" t="s">
        <v>2356</v>
      </c>
      <c r="G1991" s="35" t="s">
        <v>370</v>
      </c>
      <c r="H1991" s="41" t="s">
        <v>371</v>
      </c>
      <c r="I1991" s="44" t="str">
        <f>"0x"&amp;AE_w_WORK!K198</f>
        <v>0x0000</v>
      </c>
      <c r="J1991" s="36">
        <v>42201</v>
      </c>
      <c r="K1991" s="37"/>
      <c r="L1991" s="74">
        <f t="shared" si="32"/>
        <v>3970</v>
      </c>
    </row>
    <row r="1992" spans="2:12" hidden="1" outlineLevel="1">
      <c r="B1992" s="73">
        <v>1986</v>
      </c>
      <c r="C1992" s="39"/>
      <c r="D1992" s="40"/>
      <c r="E1992" s="34" t="s">
        <v>323</v>
      </c>
      <c r="F1992" s="75" t="s">
        <v>2357</v>
      </c>
      <c r="G1992" s="35" t="s">
        <v>370</v>
      </c>
      <c r="H1992" s="41" t="s">
        <v>371</v>
      </c>
      <c r="I1992" s="44" t="str">
        <f>"0x"&amp;AE_w_WORK!K199</f>
        <v>0x0000</v>
      </c>
      <c r="J1992" s="36">
        <v>42202</v>
      </c>
      <c r="K1992" s="37"/>
      <c r="L1992" s="74">
        <f t="shared" si="32"/>
        <v>3972</v>
      </c>
    </row>
    <row r="1993" spans="2:12" hidden="1" outlineLevel="1">
      <c r="B1993" s="73">
        <v>1987</v>
      </c>
      <c r="C1993" s="39"/>
      <c r="D1993" s="40"/>
      <c r="E1993" s="34" t="s">
        <v>323</v>
      </c>
      <c r="F1993" s="75" t="s">
        <v>2358</v>
      </c>
      <c r="G1993" s="35" t="s">
        <v>370</v>
      </c>
      <c r="H1993" s="41" t="s">
        <v>371</v>
      </c>
      <c r="I1993" s="44" t="str">
        <f>"0x"&amp;AE_w_WORK!K200</f>
        <v>0x0000</v>
      </c>
      <c r="J1993" s="36">
        <v>42203</v>
      </c>
      <c r="K1993" s="37"/>
      <c r="L1993" s="74">
        <f t="shared" ref="L1993:L2056" si="33">L1992+2</f>
        <v>3974</v>
      </c>
    </row>
    <row r="1994" spans="2:12" hidden="1" outlineLevel="1">
      <c r="B1994" s="73">
        <v>1988</v>
      </c>
      <c r="C1994" s="39"/>
      <c r="D1994" s="40"/>
      <c r="E1994" s="34" t="s">
        <v>323</v>
      </c>
      <c r="F1994" s="75" t="s">
        <v>2359</v>
      </c>
      <c r="G1994" s="35" t="s">
        <v>370</v>
      </c>
      <c r="H1994" s="41" t="s">
        <v>371</v>
      </c>
      <c r="I1994" s="44" t="str">
        <f>"0x"&amp;AE_w_WORK!K201</f>
        <v>0x0000</v>
      </c>
      <c r="J1994" s="36">
        <v>42204</v>
      </c>
      <c r="K1994" s="37"/>
      <c r="L1994" s="74">
        <f t="shared" si="33"/>
        <v>3976</v>
      </c>
    </row>
    <row r="1995" spans="2:12" hidden="1" outlineLevel="1">
      <c r="B1995" s="73">
        <v>1989</v>
      </c>
      <c r="C1995" s="39"/>
      <c r="D1995" s="40"/>
      <c r="E1995" s="34" t="s">
        <v>323</v>
      </c>
      <c r="F1995" s="75" t="s">
        <v>2360</v>
      </c>
      <c r="G1995" s="35" t="s">
        <v>370</v>
      </c>
      <c r="H1995" s="41" t="s">
        <v>371</v>
      </c>
      <c r="I1995" s="44" t="str">
        <f>"0x"&amp;AE_w_WORK!K202</f>
        <v>0x0000</v>
      </c>
      <c r="J1995" s="36">
        <v>42205</v>
      </c>
      <c r="K1995" s="37"/>
      <c r="L1995" s="74">
        <f t="shared" si="33"/>
        <v>3978</v>
      </c>
    </row>
    <row r="1996" spans="2:12" hidden="1" outlineLevel="1">
      <c r="B1996" s="73">
        <v>1990</v>
      </c>
      <c r="C1996" s="39"/>
      <c r="D1996" s="40"/>
      <c r="E1996" s="34" t="s">
        <v>323</v>
      </c>
      <c r="F1996" s="75" t="s">
        <v>2361</v>
      </c>
      <c r="G1996" s="35" t="s">
        <v>370</v>
      </c>
      <c r="H1996" s="41" t="s">
        <v>371</v>
      </c>
      <c r="I1996" s="44" t="str">
        <f>"0x"&amp;AE_w_WORK!K203</f>
        <v>0x0000</v>
      </c>
      <c r="J1996" s="36">
        <v>42206</v>
      </c>
      <c r="K1996" s="37"/>
      <c r="L1996" s="74">
        <f t="shared" si="33"/>
        <v>3980</v>
      </c>
    </row>
    <row r="1997" spans="2:12" hidden="1" outlineLevel="1">
      <c r="B1997" s="73">
        <v>1991</v>
      </c>
      <c r="C1997" s="39"/>
      <c r="D1997" s="40"/>
      <c r="E1997" s="34" t="s">
        <v>323</v>
      </c>
      <c r="F1997" s="75" t="s">
        <v>2362</v>
      </c>
      <c r="G1997" s="35" t="s">
        <v>370</v>
      </c>
      <c r="H1997" s="41" t="s">
        <v>371</v>
      </c>
      <c r="I1997" s="44" t="str">
        <f>"0x"&amp;AE_w_WORK!K204</f>
        <v>0x0000</v>
      </c>
      <c r="J1997" s="36">
        <v>42207</v>
      </c>
      <c r="K1997" s="37"/>
      <c r="L1997" s="74">
        <f t="shared" si="33"/>
        <v>3982</v>
      </c>
    </row>
    <row r="1998" spans="2:12" hidden="1" outlineLevel="1">
      <c r="B1998" s="73">
        <v>1992</v>
      </c>
      <c r="C1998" s="39"/>
      <c r="D1998" s="40"/>
      <c r="E1998" s="34" t="s">
        <v>323</v>
      </c>
      <c r="F1998" s="75" t="s">
        <v>2363</v>
      </c>
      <c r="G1998" s="35" t="s">
        <v>370</v>
      </c>
      <c r="H1998" s="41" t="s">
        <v>371</v>
      </c>
      <c r="I1998" s="44" t="str">
        <f>"0x"&amp;AE_w_WORK!K205</f>
        <v>0x0000</v>
      </c>
      <c r="J1998" s="36">
        <v>42208</v>
      </c>
      <c r="K1998" s="37"/>
      <c r="L1998" s="74">
        <f t="shared" si="33"/>
        <v>3984</v>
      </c>
    </row>
    <row r="1999" spans="2:12" hidden="1" outlineLevel="1">
      <c r="B1999" s="73">
        <v>1993</v>
      </c>
      <c r="C1999" s="39"/>
      <c r="D1999" s="40"/>
      <c r="E1999" s="34" t="s">
        <v>323</v>
      </c>
      <c r="F1999" s="75" t="s">
        <v>2364</v>
      </c>
      <c r="G1999" s="35" t="s">
        <v>370</v>
      </c>
      <c r="H1999" s="41" t="s">
        <v>371</v>
      </c>
      <c r="I1999" s="44" t="str">
        <f>"0x"&amp;AE_w_WORK!K206</f>
        <v>0x0000</v>
      </c>
      <c r="J1999" s="36">
        <v>42209</v>
      </c>
      <c r="K1999" s="37"/>
      <c r="L1999" s="74">
        <f t="shared" si="33"/>
        <v>3986</v>
      </c>
    </row>
    <row r="2000" spans="2:12" hidden="1" outlineLevel="1">
      <c r="B2000" s="73">
        <v>1994</v>
      </c>
      <c r="C2000" s="39"/>
      <c r="D2000" s="40"/>
      <c r="E2000" s="34" t="s">
        <v>323</v>
      </c>
      <c r="F2000" s="75" t="s">
        <v>2365</v>
      </c>
      <c r="G2000" s="35" t="s">
        <v>370</v>
      </c>
      <c r="H2000" s="41" t="s">
        <v>371</v>
      </c>
      <c r="I2000" s="44" t="str">
        <f>"0x"&amp;AE_w_WORK!K207</f>
        <v>0x0011</v>
      </c>
      <c r="J2000" s="36">
        <v>42210</v>
      </c>
      <c r="K2000" s="37"/>
      <c r="L2000" s="74">
        <f t="shared" si="33"/>
        <v>3988</v>
      </c>
    </row>
    <row r="2001" spans="2:12" hidden="1" outlineLevel="1">
      <c r="B2001" s="73">
        <v>1995</v>
      </c>
      <c r="C2001" s="39"/>
      <c r="D2001" s="40"/>
      <c r="E2001" s="34" t="s">
        <v>323</v>
      </c>
      <c r="F2001" s="75" t="s">
        <v>2366</v>
      </c>
      <c r="G2001" s="35" t="s">
        <v>370</v>
      </c>
      <c r="H2001" s="41" t="s">
        <v>371</v>
      </c>
      <c r="I2001" s="44" t="str">
        <f>"0x"&amp;AE_w_WORK!K208</f>
        <v>0x0011</v>
      </c>
      <c r="J2001" s="36">
        <v>42211</v>
      </c>
      <c r="K2001" s="37"/>
      <c r="L2001" s="74">
        <f t="shared" si="33"/>
        <v>3990</v>
      </c>
    </row>
    <row r="2002" spans="2:12" hidden="1" outlineLevel="1">
      <c r="B2002" s="73">
        <v>1996</v>
      </c>
      <c r="C2002" s="39"/>
      <c r="D2002" s="40"/>
      <c r="E2002" s="34" t="s">
        <v>323</v>
      </c>
      <c r="F2002" s="75" t="s">
        <v>2367</v>
      </c>
      <c r="G2002" s="35" t="s">
        <v>370</v>
      </c>
      <c r="H2002" s="41" t="s">
        <v>371</v>
      </c>
      <c r="I2002" s="44" t="str">
        <f>"0x"&amp;AE_w_WORK!K209</f>
        <v>0x0011</v>
      </c>
      <c r="J2002" s="36">
        <v>42212</v>
      </c>
      <c r="K2002" s="37"/>
      <c r="L2002" s="74">
        <f t="shared" si="33"/>
        <v>3992</v>
      </c>
    </row>
    <row r="2003" spans="2:12" hidden="1" outlineLevel="1">
      <c r="B2003" s="73">
        <v>1997</v>
      </c>
      <c r="C2003" s="39"/>
      <c r="D2003" s="40"/>
      <c r="E2003" s="34" t="s">
        <v>323</v>
      </c>
      <c r="F2003" s="75" t="s">
        <v>2368</v>
      </c>
      <c r="G2003" s="35" t="s">
        <v>370</v>
      </c>
      <c r="H2003" s="41" t="s">
        <v>371</v>
      </c>
      <c r="I2003" s="44" t="str">
        <f>"0x"&amp;AE_w_WORK!K210</f>
        <v>0x1100</v>
      </c>
      <c r="J2003" s="36">
        <v>42213</v>
      </c>
      <c r="K2003" s="37"/>
      <c r="L2003" s="74">
        <f t="shared" si="33"/>
        <v>3994</v>
      </c>
    </row>
    <row r="2004" spans="2:12" hidden="1" outlineLevel="1">
      <c r="B2004" s="73">
        <v>1998</v>
      </c>
      <c r="C2004" s="39"/>
      <c r="D2004" s="40"/>
      <c r="E2004" s="34" t="s">
        <v>323</v>
      </c>
      <c r="F2004" s="75" t="s">
        <v>2369</v>
      </c>
      <c r="G2004" s="35" t="s">
        <v>370</v>
      </c>
      <c r="H2004" s="41" t="s">
        <v>371</v>
      </c>
      <c r="I2004" s="44" t="str">
        <f>"0x"&amp;AE_w_WORK!K211</f>
        <v>0x1100</v>
      </c>
      <c r="J2004" s="36">
        <v>42214</v>
      </c>
      <c r="K2004" s="37"/>
      <c r="L2004" s="74">
        <f t="shared" si="33"/>
        <v>3996</v>
      </c>
    </row>
    <row r="2005" spans="2:12" hidden="1" outlineLevel="1">
      <c r="B2005" s="73">
        <v>1999</v>
      </c>
      <c r="C2005" s="39"/>
      <c r="D2005" s="40"/>
      <c r="E2005" s="34" t="s">
        <v>323</v>
      </c>
      <c r="F2005" s="75" t="s">
        <v>2370</v>
      </c>
      <c r="G2005" s="35" t="s">
        <v>370</v>
      </c>
      <c r="H2005" s="41" t="s">
        <v>371</v>
      </c>
      <c r="I2005" s="44" t="str">
        <f>"0x"&amp;AE_w_WORK!K212</f>
        <v>0x1100</v>
      </c>
      <c r="J2005" s="36">
        <v>42215</v>
      </c>
      <c r="K2005" s="37"/>
      <c r="L2005" s="74">
        <f t="shared" si="33"/>
        <v>3998</v>
      </c>
    </row>
    <row r="2006" spans="2:12" hidden="1" outlineLevel="1">
      <c r="B2006" s="73">
        <v>2000</v>
      </c>
      <c r="C2006" s="39"/>
      <c r="D2006" s="40"/>
      <c r="E2006" s="34" t="s">
        <v>323</v>
      </c>
      <c r="F2006" s="75" t="s">
        <v>2371</v>
      </c>
      <c r="G2006" s="35" t="s">
        <v>370</v>
      </c>
      <c r="H2006" s="41" t="s">
        <v>371</v>
      </c>
      <c r="I2006" s="44" t="str">
        <f>"0x"&amp;AE_w_WORK!K213</f>
        <v>0x0000</v>
      </c>
      <c r="J2006" s="36">
        <v>42216</v>
      </c>
      <c r="K2006" s="37"/>
      <c r="L2006" s="74">
        <f t="shared" si="33"/>
        <v>4000</v>
      </c>
    </row>
    <row r="2007" spans="2:12" hidden="1" outlineLevel="1">
      <c r="B2007" s="73">
        <v>2001</v>
      </c>
      <c r="C2007" s="39"/>
      <c r="D2007" s="40"/>
      <c r="E2007" s="34" t="s">
        <v>323</v>
      </c>
      <c r="F2007" s="75" t="s">
        <v>2372</v>
      </c>
      <c r="G2007" s="35" t="s">
        <v>370</v>
      </c>
      <c r="H2007" s="41" t="s">
        <v>371</v>
      </c>
      <c r="I2007" s="44" t="str">
        <f>"0x"&amp;AE_w_WORK!K214</f>
        <v>0x0000</v>
      </c>
      <c r="J2007" s="36">
        <v>42217</v>
      </c>
      <c r="K2007" s="37"/>
      <c r="L2007" s="74">
        <f t="shared" si="33"/>
        <v>4002</v>
      </c>
    </row>
    <row r="2008" spans="2:12" hidden="1" outlineLevel="1">
      <c r="B2008" s="73">
        <v>2002</v>
      </c>
      <c r="C2008" s="39"/>
      <c r="D2008" s="40"/>
      <c r="E2008" s="34" t="s">
        <v>323</v>
      </c>
      <c r="F2008" s="75" t="s">
        <v>2373</v>
      </c>
      <c r="G2008" s="35" t="s">
        <v>370</v>
      </c>
      <c r="H2008" s="41" t="s">
        <v>371</v>
      </c>
      <c r="I2008" s="44" t="str">
        <f>"0x"&amp;AE_w_WORK!K215</f>
        <v>0x0000</v>
      </c>
      <c r="J2008" s="36">
        <v>42218</v>
      </c>
      <c r="K2008" s="37"/>
      <c r="L2008" s="74">
        <f t="shared" si="33"/>
        <v>4004</v>
      </c>
    </row>
    <row r="2009" spans="2:12" hidden="1" outlineLevel="1">
      <c r="B2009" s="73">
        <v>2003</v>
      </c>
      <c r="C2009" s="39"/>
      <c r="D2009" s="40"/>
      <c r="E2009" s="34" t="s">
        <v>323</v>
      </c>
      <c r="F2009" s="75" t="s">
        <v>2374</v>
      </c>
      <c r="G2009" s="35" t="s">
        <v>370</v>
      </c>
      <c r="H2009" s="41" t="s">
        <v>371</v>
      </c>
      <c r="I2009" s="44" t="str">
        <f>"0x"&amp;AE_w_WORK!K216</f>
        <v>0x0000</v>
      </c>
      <c r="J2009" s="36">
        <v>42219</v>
      </c>
      <c r="K2009" s="37"/>
      <c r="L2009" s="74">
        <f t="shared" si="33"/>
        <v>4006</v>
      </c>
    </row>
    <row r="2010" spans="2:12" hidden="1" outlineLevel="1">
      <c r="B2010" s="73">
        <v>2004</v>
      </c>
      <c r="C2010" s="39"/>
      <c r="D2010" s="40"/>
      <c r="E2010" s="34" t="s">
        <v>323</v>
      </c>
      <c r="F2010" s="75" t="s">
        <v>2375</v>
      </c>
      <c r="G2010" s="35" t="s">
        <v>370</v>
      </c>
      <c r="H2010" s="41" t="s">
        <v>371</v>
      </c>
      <c r="I2010" s="44" t="str">
        <f>"0x"&amp;AE_w_WORK!K217</f>
        <v>0x0000</v>
      </c>
      <c r="J2010" s="36">
        <v>42220</v>
      </c>
      <c r="K2010" s="37"/>
      <c r="L2010" s="74">
        <f t="shared" si="33"/>
        <v>4008</v>
      </c>
    </row>
    <row r="2011" spans="2:12" hidden="1" outlineLevel="1">
      <c r="B2011" s="73">
        <v>2005</v>
      </c>
      <c r="C2011" s="39"/>
      <c r="D2011" s="40"/>
      <c r="E2011" s="34" t="s">
        <v>323</v>
      </c>
      <c r="F2011" s="75" t="s">
        <v>2376</v>
      </c>
      <c r="G2011" s="35" t="s">
        <v>370</v>
      </c>
      <c r="H2011" s="41" t="s">
        <v>371</v>
      </c>
      <c r="I2011" s="44" t="str">
        <f>"0x"&amp;AE_w_WORK!K218</f>
        <v>0x0000</v>
      </c>
      <c r="J2011" s="36">
        <v>42221</v>
      </c>
      <c r="K2011" s="37"/>
      <c r="L2011" s="74">
        <f t="shared" si="33"/>
        <v>4010</v>
      </c>
    </row>
    <row r="2012" spans="2:12" hidden="1" outlineLevel="1">
      <c r="B2012" s="73">
        <v>2006</v>
      </c>
      <c r="C2012" s="39"/>
      <c r="D2012" s="40"/>
      <c r="E2012" s="34" t="s">
        <v>323</v>
      </c>
      <c r="F2012" s="75" t="s">
        <v>2377</v>
      </c>
      <c r="G2012" s="35" t="s">
        <v>370</v>
      </c>
      <c r="H2012" s="41" t="s">
        <v>371</v>
      </c>
      <c r="I2012" s="44" t="str">
        <f>"0x"&amp;AE_w_WORK!K219</f>
        <v>0x0000</v>
      </c>
      <c r="J2012" s="36">
        <v>42222</v>
      </c>
      <c r="K2012" s="37"/>
      <c r="L2012" s="74">
        <f t="shared" si="33"/>
        <v>4012</v>
      </c>
    </row>
    <row r="2013" spans="2:12" hidden="1" outlineLevel="1">
      <c r="B2013" s="73">
        <v>2007</v>
      </c>
      <c r="C2013" s="39"/>
      <c r="D2013" s="40"/>
      <c r="E2013" s="34" t="s">
        <v>323</v>
      </c>
      <c r="F2013" s="75" t="s">
        <v>2378</v>
      </c>
      <c r="G2013" s="35" t="s">
        <v>370</v>
      </c>
      <c r="H2013" s="41" t="s">
        <v>371</v>
      </c>
      <c r="I2013" s="44" t="str">
        <f>"0x"&amp;AE_w_WORK!K220</f>
        <v>0x0000</v>
      </c>
      <c r="J2013" s="36">
        <v>42223</v>
      </c>
      <c r="K2013" s="37"/>
      <c r="L2013" s="74">
        <f t="shared" si="33"/>
        <v>4014</v>
      </c>
    </row>
    <row r="2014" spans="2:12" hidden="1" outlineLevel="1">
      <c r="B2014" s="73">
        <v>2008</v>
      </c>
      <c r="C2014" s="39"/>
      <c r="D2014" s="40"/>
      <c r="E2014" s="34" t="s">
        <v>323</v>
      </c>
      <c r="F2014" s="75" t="s">
        <v>2379</v>
      </c>
      <c r="G2014" s="35" t="s">
        <v>370</v>
      </c>
      <c r="H2014" s="41" t="s">
        <v>371</v>
      </c>
      <c r="I2014" s="44" t="str">
        <f>"0x"&amp;AE_w_WORK!K221</f>
        <v>0x0000</v>
      </c>
      <c r="J2014" s="36">
        <v>42224</v>
      </c>
      <c r="K2014" s="37"/>
      <c r="L2014" s="74">
        <f t="shared" si="33"/>
        <v>4016</v>
      </c>
    </row>
    <row r="2015" spans="2:12" hidden="1" outlineLevel="1">
      <c r="B2015" s="73">
        <v>2009</v>
      </c>
      <c r="C2015" s="39"/>
      <c r="D2015" s="40"/>
      <c r="E2015" s="34" t="s">
        <v>323</v>
      </c>
      <c r="F2015" s="75" t="s">
        <v>2380</v>
      </c>
      <c r="G2015" s="35" t="s">
        <v>370</v>
      </c>
      <c r="H2015" s="41" t="s">
        <v>371</v>
      </c>
      <c r="I2015" s="44" t="str">
        <f>"0x"&amp;AE_w_WORK!K222</f>
        <v>0x0000</v>
      </c>
      <c r="J2015" s="36">
        <v>42225</v>
      </c>
      <c r="K2015" s="37"/>
      <c r="L2015" s="74">
        <f t="shared" si="33"/>
        <v>4018</v>
      </c>
    </row>
    <row r="2016" spans="2:12" hidden="1" outlineLevel="1">
      <c r="B2016" s="73">
        <v>2010</v>
      </c>
      <c r="C2016" s="39"/>
      <c r="D2016" s="40"/>
      <c r="E2016" s="34" t="s">
        <v>323</v>
      </c>
      <c r="F2016" s="75" t="s">
        <v>2381</v>
      </c>
      <c r="G2016" s="35" t="s">
        <v>370</v>
      </c>
      <c r="H2016" s="41" t="s">
        <v>371</v>
      </c>
      <c r="I2016" s="44" t="str">
        <f>"0x"&amp;AE_w_WORK!K223</f>
        <v>0x0000</v>
      </c>
      <c r="J2016" s="36">
        <v>42226</v>
      </c>
      <c r="K2016" s="37"/>
      <c r="L2016" s="74">
        <f t="shared" si="33"/>
        <v>4020</v>
      </c>
    </row>
    <row r="2017" spans="2:12" hidden="1" outlineLevel="1">
      <c r="B2017" s="73">
        <v>2011</v>
      </c>
      <c r="C2017" s="39"/>
      <c r="D2017" s="40"/>
      <c r="E2017" s="34" t="s">
        <v>323</v>
      </c>
      <c r="F2017" s="75" t="s">
        <v>2382</v>
      </c>
      <c r="G2017" s="35" t="s">
        <v>370</v>
      </c>
      <c r="H2017" s="41" t="s">
        <v>371</v>
      </c>
      <c r="I2017" s="44" t="str">
        <f>"0x"&amp;AE_w_WORK!K224</f>
        <v>0x1100</v>
      </c>
      <c r="J2017" s="36">
        <v>42227</v>
      </c>
      <c r="K2017" s="37"/>
      <c r="L2017" s="74">
        <f t="shared" si="33"/>
        <v>4022</v>
      </c>
    </row>
    <row r="2018" spans="2:12" hidden="1" outlineLevel="1">
      <c r="B2018" s="73">
        <v>2012</v>
      </c>
      <c r="C2018" s="39"/>
      <c r="D2018" s="40"/>
      <c r="E2018" s="34" t="s">
        <v>323</v>
      </c>
      <c r="F2018" s="75" t="s">
        <v>2383</v>
      </c>
      <c r="G2018" s="35" t="s">
        <v>370</v>
      </c>
      <c r="H2018" s="41" t="s">
        <v>371</v>
      </c>
      <c r="I2018" s="44" t="str">
        <f>"0x"&amp;AE_w_WORK!K225</f>
        <v>0x1100</v>
      </c>
      <c r="J2018" s="36">
        <v>42228</v>
      </c>
      <c r="K2018" s="37"/>
      <c r="L2018" s="74">
        <f t="shared" si="33"/>
        <v>4024</v>
      </c>
    </row>
    <row r="2019" spans="2:12" hidden="1" outlineLevel="1">
      <c r="B2019" s="73">
        <v>2013</v>
      </c>
      <c r="C2019" s="39"/>
      <c r="D2019" s="40"/>
      <c r="E2019" s="34" t="s">
        <v>323</v>
      </c>
      <c r="F2019" s="75" t="s">
        <v>2384</v>
      </c>
      <c r="G2019" s="35" t="s">
        <v>370</v>
      </c>
      <c r="H2019" s="41" t="s">
        <v>371</v>
      </c>
      <c r="I2019" s="44" t="str">
        <f>"0x"&amp;AE_w_WORK!K226</f>
        <v>0x0011</v>
      </c>
      <c r="J2019" s="36">
        <v>42229</v>
      </c>
      <c r="K2019" s="37"/>
      <c r="L2019" s="74">
        <f t="shared" si="33"/>
        <v>4026</v>
      </c>
    </row>
    <row r="2020" spans="2:12" hidden="1" outlineLevel="1">
      <c r="B2020" s="73">
        <v>2014</v>
      </c>
      <c r="C2020" s="39"/>
      <c r="D2020" s="40"/>
      <c r="E2020" s="34" t="s">
        <v>323</v>
      </c>
      <c r="F2020" s="75" t="s">
        <v>2385</v>
      </c>
      <c r="G2020" s="35" t="s">
        <v>370</v>
      </c>
      <c r="H2020" s="41" t="s">
        <v>371</v>
      </c>
      <c r="I2020" s="44" t="str">
        <f>"0x"&amp;AE_w_WORK!K227</f>
        <v>0x0011</v>
      </c>
      <c r="J2020" s="36">
        <v>42230</v>
      </c>
      <c r="K2020" s="37"/>
      <c r="L2020" s="74">
        <f t="shared" si="33"/>
        <v>4028</v>
      </c>
    </row>
    <row r="2021" spans="2:12" hidden="1" outlineLevel="1">
      <c r="B2021" s="73">
        <v>2015</v>
      </c>
      <c r="C2021" s="39"/>
      <c r="D2021" s="40"/>
      <c r="E2021" s="34" t="s">
        <v>323</v>
      </c>
      <c r="F2021" s="75" t="s">
        <v>2386</v>
      </c>
      <c r="G2021" s="35" t="s">
        <v>370</v>
      </c>
      <c r="H2021" s="41" t="s">
        <v>371</v>
      </c>
      <c r="I2021" s="44" t="str">
        <f>"0x"&amp;AE_w_WORK!K228</f>
        <v>0x0000</v>
      </c>
      <c r="J2021" s="36">
        <v>42231</v>
      </c>
      <c r="K2021" s="37"/>
      <c r="L2021" s="74">
        <f t="shared" si="33"/>
        <v>4030</v>
      </c>
    </row>
    <row r="2022" spans="2:12" hidden="1" outlineLevel="1">
      <c r="B2022" s="73">
        <v>2016</v>
      </c>
      <c r="C2022" s="39"/>
      <c r="D2022" s="40"/>
      <c r="E2022" s="34" t="s">
        <v>323</v>
      </c>
      <c r="F2022" s="75" t="s">
        <v>2387</v>
      </c>
      <c r="G2022" s="35" t="s">
        <v>370</v>
      </c>
      <c r="H2022" s="41" t="s">
        <v>371</v>
      </c>
      <c r="I2022" s="44" t="str">
        <f>"0x"&amp;AE_w_WORK!K229</f>
        <v>0x0000</v>
      </c>
      <c r="J2022" s="36">
        <v>42232</v>
      </c>
      <c r="K2022" s="37"/>
      <c r="L2022" s="74">
        <f t="shared" si="33"/>
        <v>4032</v>
      </c>
    </row>
    <row r="2023" spans="2:12" hidden="1" outlineLevel="1">
      <c r="B2023" s="73">
        <v>2017</v>
      </c>
      <c r="C2023" s="39"/>
      <c r="D2023" s="40"/>
      <c r="E2023" s="34" t="s">
        <v>323</v>
      </c>
      <c r="F2023" s="75" t="s">
        <v>2388</v>
      </c>
      <c r="G2023" s="35" t="s">
        <v>370</v>
      </c>
      <c r="H2023" s="41" t="s">
        <v>371</v>
      </c>
      <c r="I2023" s="44" t="str">
        <f>"0x"&amp;AE_w_WORK!K230</f>
        <v>0x0000</v>
      </c>
      <c r="J2023" s="36">
        <v>42233</v>
      </c>
      <c r="K2023" s="37"/>
      <c r="L2023" s="74">
        <f t="shared" si="33"/>
        <v>4034</v>
      </c>
    </row>
    <row r="2024" spans="2:12" hidden="1" outlineLevel="1">
      <c r="B2024" s="73">
        <v>2018</v>
      </c>
      <c r="C2024" s="39"/>
      <c r="D2024" s="40"/>
      <c r="E2024" s="34" t="s">
        <v>323</v>
      </c>
      <c r="F2024" s="75" t="s">
        <v>2389</v>
      </c>
      <c r="G2024" s="35" t="s">
        <v>370</v>
      </c>
      <c r="H2024" s="41" t="s">
        <v>371</v>
      </c>
      <c r="I2024" s="44" t="str">
        <f>"0x"&amp;AE_w_WORK!K231</f>
        <v>0x0000</v>
      </c>
      <c r="J2024" s="36">
        <v>42234</v>
      </c>
      <c r="K2024" s="37"/>
      <c r="L2024" s="74">
        <f t="shared" si="33"/>
        <v>4036</v>
      </c>
    </row>
    <row r="2025" spans="2:12" hidden="1" outlineLevel="1">
      <c r="B2025" s="73">
        <v>2019</v>
      </c>
      <c r="C2025" s="39"/>
      <c r="D2025" s="40"/>
      <c r="E2025" s="34" t="s">
        <v>323</v>
      </c>
      <c r="F2025" s="75" t="s">
        <v>2390</v>
      </c>
      <c r="G2025" s="35" t="s">
        <v>370</v>
      </c>
      <c r="H2025" s="41" t="s">
        <v>371</v>
      </c>
      <c r="I2025" s="44" t="str">
        <f>"0x"&amp;AE_w_WORK!K232</f>
        <v>0x0000</v>
      </c>
      <c r="J2025" s="36">
        <v>42235</v>
      </c>
      <c r="K2025" s="37"/>
      <c r="L2025" s="74">
        <f t="shared" si="33"/>
        <v>4038</v>
      </c>
    </row>
    <row r="2026" spans="2:12" hidden="1" outlineLevel="1">
      <c r="B2026" s="73">
        <v>2020</v>
      </c>
      <c r="C2026" s="39"/>
      <c r="D2026" s="40"/>
      <c r="E2026" s="34" t="s">
        <v>323</v>
      </c>
      <c r="F2026" s="75" t="s">
        <v>2391</v>
      </c>
      <c r="G2026" s="35" t="s">
        <v>370</v>
      </c>
      <c r="H2026" s="41" t="s">
        <v>371</v>
      </c>
      <c r="I2026" s="44" t="str">
        <f>"0x"&amp;AE_w_WORK!K233</f>
        <v>0x0000</v>
      </c>
      <c r="J2026" s="36">
        <v>42236</v>
      </c>
      <c r="K2026" s="37"/>
      <c r="L2026" s="74">
        <f t="shared" si="33"/>
        <v>4040</v>
      </c>
    </row>
    <row r="2027" spans="2:12" hidden="1" outlineLevel="1">
      <c r="B2027" s="73">
        <v>2021</v>
      </c>
      <c r="C2027" s="39"/>
      <c r="D2027" s="40"/>
      <c r="E2027" s="34" t="s">
        <v>323</v>
      </c>
      <c r="F2027" s="75" t="s">
        <v>2392</v>
      </c>
      <c r="G2027" s="35" t="s">
        <v>370</v>
      </c>
      <c r="H2027" s="41" t="s">
        <v>371</v>
      </c>
      <c r="I2027" s="44" t="str">
        <f>"0x"&amp;AE_w_WORK!K234</f>
        <v>0x0000</v>
      </c>
      <c r="J2027" s="36">
        <v>42237</v>
      </c>
      <c r="K2027" s="37"/>
      <c r="L2027" s="74">
        <f t="shared" si="33"/>
        <v>4042</v>
      </c>
    </row>
    <row r="2028" spans="2:12" hidden="1" outlineLevel="1">
      <c r="B2028" s="73">
        <v>2022</v>
      </c>
      <c r="C2028" s="39"/>
      <c r="D2028" s="40"/>
      <c r="E2028" s="34" t="s">
        <v>323</v>
      </c>
      <c r="F2028" s="75" t="s">
        <v>2393</v>
      </c>
      <c r="G2028" s="35" t="s">
        <v>370</v>
      </c>
      <c r="H2028" s="41" t="s">
        <v>371</v>
      </c>
      <c r="I2028" s="44" t="str">
        <f>"0x"&amp;AE_w_WORK!K235</f>
        <v>0x0000</v>
      </c>
      <c r="J2028" s="36">
        <v>42238</v>
      </c>
      <c r="K2028" s="37"/>
      <c r="L2028" s="74">
        <f t="shared" si="33"/>
        <v>4044</v>
      </c>
    </row>
    <row r="2029" spans="2:12" hidden="1" outlineLevel="1">
      <c r="B2029" s="73">
        <v>2023</v>
      </c>
      <c r="C2029" s="39"/>
      <c r="D2029" s="40"/>
      <c r="E2029" s="34" t="s">
        <v>323</v>
      </c>
      <c r="F2029" s="75" t="s">
        <v>2394</v>
      </c>
      <c r="G2029" s="35" t="s">
        <v>370</v>
      </c>
      <c r="H2029" s="41" t="s">
        <v>371</v>
      </c>
      <c r="I2029" s="44" t="str">
        <f>"0x"&amp;AE_w_WORK!K236</f>
        <v>0x0000</v>
      </c>
      <c r="J2029" s="36">
        <v>42239</v>
      </c>
      <c r="K2029" s="37"/>
      <c r="L2029" s="74">
        <f t="shared" si="33"/>
        <v>4046</v>
      </c>
    </row>
    <row r="2030" spans="2:12" hidden="1" outlineLevel="1">
      <c r="B2030" s="73">
        <v>2024</v>
      </c>
      <c r="C2030" s="39"/>
      <c r="D2030" s="40"/>
      <c r="E2030" s="34" t="s">
        <v>323</v>
      </c>
      <c r="F2030" s="75" t="s">
        <v>2395</v>
      </c>
      <c r="G2030" s="35" t="s">
        <v>370</v>
      </c>
      <c r="H2030" s="41" t="s">
        <v>371</v>
      </c>
      <c r="I2030" s="44" t="str">
        <f>"0x"&amp;AE_w_WORK!K237</f>
        <v>0x0000</v>
      </c>
      <c r="J2030" s="36">
        <v>42240</v>
      </c>
      <c r="K2030" s="37"/>
      <c r="L2030" s="74">
        <f t="shared" si="33"/>
        <v>4048</v>
      </c>
    </row>
    <row r="2031" spans="2:12" hidden="1" outlineLevel="1">
      <c r="B2031" s="73">
        <v>2025</v>
      </c>
      <c r="C2031" s="39"/>
      <c r="D2031" s="40"/>
      <c r="E2031" s="34" t="s">
        <v>323</v>
      </c>
      <c r="F2031" s="75" t="s">
        <v>2396</v>
      </c>
      <c r="G2031" s="35" t="s">
        <v>370</v>
      </c>
      <c r="H2031" s="41" t="s">
        <v>371</v>
      </c>
      <c r="I2031" s="44" t="str">
        <f>"0x"&amp;AE_w_WORK!K238</f>
        <v>0x0000</v>
      </c>
      <c r="J2031" s="36">
        <v>42241</v>
      </c>
      <c r="K2031" s="37"/>
      <c r="L2031" s="74">
        <f t="shared" si="33"/>
        <v>4050</v>
      </c>
    </row>
    <row r="2032" spans="2:12" hidden="1" outlineLevel="1">
      <c r="B2032" s="73">
        <v>2026</v>
      </c>
      <c r="C2032" s="39"/>
      <c r="D2032" s="40"/>
      <c r="E2032" s="34" t="s">
        <v>323</v>
      </c>
      <c r="F2032" s="75" t="s">
        <v>2397</v>
      </c>
      <c r="G2032" s="35" t="s">
        <v>370</v>
      </c>
      <c r="H2032" s="41" t="s">
        <v>371</v>
      </c>
      <c r="I2032" s="44" t="str">
        <f>"0x"&amp;AE_w_WORK!K239</f>
        <v>0x0011</v>
      </c>
      <c r="J2032" s="36">
        <v>42242</v>
      </c>
      <c r="K2032" s="37"/>
      <c r="L2032" s="74">
        <f t="shared" si="33"/>
        <v>4052</v>
      </c>
    </row>
    <row r="2033" spans="2:12" hidden="1" outlineLevel="1">
      <c r="B2033" s="73">
        <v>2027</v>
      </c>
      <c r="C2033" s="39"/>
      <c r="D2033" s="40"/>
      <c r="E2033" s="34" t="s">
        <v>323</v>
      </c>
      <c r="F2033" s="75" t="s">
        <v>2398</v>
      </c>
      <c r="G2033" s="35" t="s">
        <v>370</v>
      </c>
      <c r="H2033" s="41" t="s">
        <v>371</v>
      </c>
      <c r="I2033" s="44" t="str">
        <f>"0x"&amp;AE_w_WORK!K240</f>
        <v>0x0011</v>
      </c>
      <c r="J2033" s="36">
        <v>42243</v>
      </c>
      <c r="K2033" s="37"/>
      <c r="L2033" s="74">
        <f t="shared" si="33"/>
        <v>4054</v>
      </c>
    </row>
    <row r="2034" spans="2:12" hidden="1" outlineLevel="1">
      <c r="B2034" s="73">
        <v>2028</v>
      </c>
      <c r="C2034" s="39"/>
      <c r="D2034" s="40"/>
      <c r="E2034" s="34" t="s">
        <v>323</v>
      </c>
      <c r="F2034" s="75" t="s">
        <v>2399</v>
      </c>
      <c r="G2034" s="35" t="s">
        <v>370</v>
      </c>
      <c r="H2034" s="41" t="s">
        <v>371</v>
      </c>
      <c r="I2034" s="44" t="str">
        <f>"0x"&amp;AE_w_WORK!K241</f>
        <v>0x0011</v>
      </c>
      <c r="J2034" s="36">
        <v>42244</v>
      </c>
      <c r="K2034" s="37"/>
      <c r="L2034" s="74">
        <f t="shared" si="33"/>
        <v>4056</v>
      </c>
    </row>
    <row r="2035" spans="2:12" hidden="1" outlineLevel="1">
      <c r="B2035" s="73">
        <v>2029</v>
      </c>
      <c r="C2035" s="39"/>
      <c r="D2035" s="40"/>
      <c r="E2035" s="34" t="s">
        <v>323</v>
      </c>
      <c r="F2035" s="75" t="s">
        <v>2400</v>
      </c>
      <c r="G2035" s="35" t="s">
        <v>370</v>
      </c>
      <c r="H2035" s="41" t="s">
        <v>371</v>
      </c>
      <c r="I2035" s="44" t="str">
        <f>"0x"&amp;AE_w_WORK!K242</f>
        <v>0x1100</v>
      </c>
      <c r="J2035" s="36">
        <v>42245</v>
      </c>
      <c r="K2035" s="37"/>
      <c r="L2035" s="74">
        <f t="shared" si="33"/>
        <v>4058</v>
      </c>
    </row>
    <row r="2036" spans="2:12" hidden="1" outlineLevel="1">
      <c r="B2036" s="73">
        <v>2030</v>
      </c>
      <c r="C2036" s="39"/>
      <c r="D2036" s="40"/>
      <c r="E2036" s="34" t="s">
        <v>323</v>
      </c>
      <c r="F2036" s="75" t="s">
        <v>2401</v>
      </c>
      <c r="G2036" s="35" t="s">
        <v>370</v>
      </c>
      <c r="H2036" s="41" t="s">
        <v>371</v>
      </c>
      <c r="I2036" s="44" t="str">
        <f>"0x"&amp;AE_w_WORK!K243</f>
        <v>0x1100</v>
      </c>
      <c r="J2036" s="36">
        <v>42246</v>
      </c>
      <c r="K2036" s="37"/>
      <c r="L2036" s="74">
        <f t="shared" si="33"/>
        <v>4060</v>
      </c>
    </row>
    <row r="2037" spans="2:12" hidden="1" outlineLevel="1">
      <c r="B2037" s="73">
        <v>2031</v>
      </c>
      <c r="C2037" s="39"/>
      <c r="D2037" s="40"/>
      <c r="E2037" s="34" t="s">
        <v>323</v>
      </c>
      <c r="F2037" s="75" t="s">
        <v>2402</v>
      </c>
      <c r="G2037" s="35" t="s">
        <v>370</v>
      </c>
      <c r="H2037" s="41" t="s">
        <v>371</v>
      </c>
      <c r="I2037" s="44" t="str">
        <f>"0x"&amp;AE_w_WORK!K244</f>
        <v>0x1100</v>
      </c>
      <c r="J2037" s="36">
        <v>42247</v>
      </c>
      <c r="K2037" s="37"/>
      <c r="L2037" s="74">
        <f t="shared" si="33"/>
        <v>4062</v>
      </c>
    </row>
    <row r="2038" spans="2:12" hidden="1" outlineLevel="1">
      <c r="B2038" s="73">
        <v>2032</v>
      </c>
      <c r="C2038" s="39"/>
      <c r="D2038" s="40"/>
      <c r="E2038" s="34" t="s">
        <v>323</v>
      </c>
      <c r="F2038" s="75" t="s">
        <v>2403</v>
      </c>
      <c r="G2038" s="35" t="s">
        <v>370</v>
      </c>
      <c r="H2038" s="41" t="s">
        <v>371</v>
      </c>
      <c r="I2038" s="44" t="str">
        <f>"0x"&amp;AE_w_WORK!K245</f>
        <v>0x0000</v>
      </c>
      <c r="J2038" s="36">
        <v>42248</v>
      </c>
      <c r="K2038" s="37"/>
      <c r="L2038" s="74">
        <f t="shared" si="33"/>
        <v>4064</v>
      </c>
    </row>
    <row r="2039" spans="2:12" hidden="1" outlineLevel="1">
      <c r="B2039" s="73">
        <v>2033</v>
      </c>
      <c r="C2039" s="39"/>
      <c r="D2039" s="40"/>
      <c r="E2039" s="34" t="s">
        <v>323</v>
      </c>
      <c r="F2039" s="75" t="s">
        <v>2404</v>
      </c>
      <c r="G2039" s="35" t="s">
        <v>370</v>
      </c>
      <c r="H2039" s="41" t="s">
        <v>371</v>
      </c>
      <c r="I2039" s="44" t="str">
        <f>"0x"&amp;AE_w_WORK!K246</f>
        <v>0x0000</v>
      </c>
      <c r="J2039" s="36">
        <v>42249</v>
      </c>
      <c r="K2039" s="37"/>
      <c r="L2039" s="74">
        <f t="shared" si="33"/>
        <v>4066</v>
      </c>
    </row>
    <row r="2040" spans="2:12" hidden="1" outlineLevel="1">
      <c r="B2040" s="73">
        <v>2034</v>
      </c>
      <c r="C2040" s="39"/>
      <c r="D2040" s="40"/>
      <c r="E2040" s="34" t="s">
        <v>323</v>
      </c>
      <c r="F2040" s="75" t="s">
        <v>2405</v>
      </c>
      <c r="G2040" s="35" t="s">
        <v>370</v>
      </c>
      <c r="H2040" s="41" t="s">
        <v>371</v>
      </c>
      <c r="I2040" s="44" t="str">
        <f>"0x"&amp;AE_w_WORK!K247</f>
        <v>0x0000</v>
      </c>
      <c r="J2040" s="36">
        <v>42250</v>
      </c>
      <c r="K2040" s="37"/>
      <c r="L2040" s="74">
        <f t="shared" si="33"/>
        <v>4068</v>
      </c>
    </row>
    <row r="2041" spans="2:12" hidden="1" outlineLevel="1">
      <c r="B2041" s="73">
        <v>2035</v>
      </c>
      <c r="C2041" s="39"/>
      <c r="D2041" s="40"/>
      <c r="E2041" s="34" t="s">
        <v>323</v>
      </c>
      <c r="F2041" s="75" t="s">
        <v>2406</v>
      </c>
      <c r="G2041" s="35" t="s">
        <v>370</v>
      </c>
      <c r="H2041" s="41" t="s">
        <v>371</v>
      </c>
      <c r="I2041" s="44" t="str">
        <f>"0x"&amp;AE_w_WORK!K248</f>
        <v>0x0000</v>
      </c>
      <c r="J2041" s="36">
        <v>42251</v>
      </c>
      <c r="K2041" s="37"/>
      <c r="L2041" s="74">
        <f t="shared" si="33"/>
        <v>4070</v>
      </c>
    </row>
    <row r="2042" spans="2:12" hidden="1" outlineLevel="1">
      <c r="B2042" s="73">
        <v>2036</v>
      </c>
      <c r="C2042" s="39"/>
      <c r="D2042" s="40"/>
      <c r="E2042" s="34" t="s">
        <v>323</v>
      </c>
      <c r="F2042" s="75" t="s">
        <v>2407</v>
      </c>
      <c r="G2042" s="35" t="s">
        <v>370</v>
      </c>
      <c r="H2042" s="41" t="s">
        <v>371</v>
      </c>
      <c r="I2042" s="44" t="str">
        <f>"0x"&amp;AE_w_WORK!K249</f>
        <v>0x0000</v>
      </c>
      <c r="J2042" s="36">
        <v>42252</v>
      </c>
      <c r="K2042" s="37"/>
      <c r="L2042" s="74">
        <f t="shared" si="33"/>
        <v>4072</v>
      </c>
    </row>
    <row r="2043" spans="2:12" hidden="1" outlineLevel="1">
      <c r="B2043" s="73">
        <v>2037</v>
      </c>
      <c r="C2043" s="39"/>
      <c r="D2043" s="40"/>
      <c r="E2043" s="34" t="s">
        <v>323</v>
      </c>
      <c r="F2043" s="75" t="s">
        <v>2408</v>
      </c>
      <c r="G2043" s="35" t="s">
        <v>370</v>
      </c>
      <c r="H2043" s="41" t="s">
        <v>371</v>
      </c>
      <c r="I2043" s="44" t="str">
        <f>"0x"&amp;AE_w_WORK!K250</f>
        <v>0x0000</v>
      </c>
      <c r="J2043" s="36">
        <v>42253</v>
      </c>
      <c r="K2043" s="37"/>
      <c r="L2043" s="74">
        <f t="shared" si="33"/>
        <v>4074</v>
      </c>
    </row>
    <row r="2044" spans="2:12" hidden="1" outlineLevel="1">
      <c r="B2044" s="73">
        <v>2038</v>
      </c>
      <c r="C2044" s="39"/>
      <c r="D2044" s="40"/>
      <c r="E2044" s="34" t="s">
        <v>323</v>
      </c>
      <c r="F2044" s="75" t="s">
        <v>2409</v>
      </c>
      <c r="G2044" s="35" t="s">
        <v>370</v>
      </c>
      <c r="H2044" s="41" t="s">
        <v>371</v>
      </c>
      <c r="I2044" s="44" t="str">
        <f>"0x"&amp;AE_w_WORK!K251</f>
        <v>0x0000</v>
      </c>
      <c r="J2044" s="36">
        <v>42254</v>
      </c>
      <c r="K2044" s="37"/>
      <c r="L2044" s="74">
        <f t="shared" si="33"/>
        <v>4076</v>
      </c>
    </row>
    <row r="2045" spans="2:12" hidden="1" outlineLevel="1">
      <c r="B2045" s="73">
        <v>2039</v>
      </c>
      <c r="C2045" s="39"/>
      <c r="D2045" s="40"/>
      <c r="E2045" s="34" t="s">
        <v>323</v>
      </c>
      <c r="F2045" s="75" t="s">
        <v>2410</v>
      </c>
      <c r="G2045" s="35" t="s">
        <v>370</v>
      </c>
      <c r="H2045" s="41" t="s">
        <v>371</v>
      </c>
      <c r="I2045" s="44" t="str">
        <f>"0x"&amp;AE_w_WORK!K252</f>
        <v>0x0000</v>
      </c>
      <c r="J2045" s="36">
        <v>42255</v>
      </c>
      <c r="K2045" s="37"/>
      <c r="L2045" s="74">
        <f t="shared" si="33"/>
        <v>4078</v>
      </c>
    </row>
    <row r="2046" spans="2:12" hidden="1" outlineLevel="1">
      <c r="B2046" s="73">
        <v>2040</v>
      </c>
      <c r="C2046" s="39"/>
      <c r="D2046" s="40"/>
      <c r="E2046" s="34" t="s">
        <v>323</v>
      </c>
      <c r="F2046" s="75" t="s">
        <v>2411</v>
      </c>
      <c r="G2046" s="35" t="s">
        <v>370</v>
      </c>
      <c r="H2046" s="41" t="s">
        <v>371</v>
      </c>
      <c r="I2046" s="44" t="str">
        <f>"0x"&amp;AE_w_WORK!K253</f>
        <v>0x0000</v>
      </c>
      <c r="J2046" s="36">
        <v>42256</v>
      </c>
      <c r="K2046" s="37"/>
      <c r="L2046" s="74">
        <f t="shared" si="33"/>
        <v>4080</v>
      </c>
    </row>
    <row r="2047" spans="2:12" hidden="1" outlineLevel="1">
      <c r="B2047" s="73">
        <v>2041</v>
      </c>
      <c r="C2047" s="39"/>
      <c r="D2047" s="40"/>
      <c r="E2047" s="34" t="s">
        <v>323</v>
      </c>
      <c r="F2047" s="75" t="s">
        <v>2412</v>
      </c>
      <c r="G2047" s="35" t="s">
        <v>370</v>
      </c>
      <c r="H2047" s="41" t="s">
        <v>371</v>
      </c>
      <c r="I2047" s="44" t="str">
        <f>"0x"&amp;AE_w_WORK!K254</f>
        <v>0x0000</v>
      </c>
      <c r="J2047" s="36">
        <v>42257</v>
      </c>
      <c r="K2047" s="37"/>
      <c r="L2047" s="74">
        <f t="shared" si="33"/>
        <v>4082</v>
      </c>
    </row>
    <row r="2048" spans="2:12" hidden="1" outlineLevel="1">
      <c r="B2048" s="73">
        <v>2042</v>
      </c>
      <c r="C2048" s="39"/>
      <c r="D2048" s="40"/>
      <c r="E2048" s="34" t="s">
        <v>323</v>
      </c>
      <c r="F2048" s="75" t="s">
        <v>2413</v>
      </c>
      <c r="G2048" s="35" t="s">
        <v>370</v>
      </c>
      <c r="H2048" s="41" t="s">
        <v>371</v>
      </c>
      <c r="I2048" s="44" t="str">
        <f>"0x"&amp;AE_w_WORK!K255</f>
        <v>0x0000</v>
      </c>
      <c r="J2048" s="36">
        <v>42258</v>
      </c>
      <c r="K2048" s="37"/>
      <c r="L2048" s="74">
        <f t="shared" si="33"/>
        <v>4084</v>
      </c>
    </row>
    <row r="2049" spans="2:12" hidden="1" outlineLevel="1">
      <c r="B2049" s="73">
        <v>2043</v>
      </c>
      <c r="C2049" s="39"/>
      <c r="D2049" s="40"/>
      <c r="E2049" s="34" t="s">
        <v>323</v>
      </c>
      <c r="F2049" s="75" t="s">
        <v>2414</v>
      </c>
      <c r="G2049" s="35" t="s">
        <v>370</v>
      </c>
      <c r="H2049" s="41" t="s">
        <v>371</v>
      </c>
      <c r="I2049" s="44" t="str">
        <f>"0x"&amp;AE_w_WORK!K256</f>
        <v>0x1100</v>
      </c>
      <c r="J2049" s="36">
        <v>42259</v>
      </c>
      <c r="K2049" s="37"/>
      <c r="L2049" s="74">
        <f t="shared" si="33"/>
        <v>4086</v>
      </c>
    </row>
    <row r="2050" spans="2:12" hidden="1" outlineLevel="1">
      <c r="B2050" s="73">
        <v>2044</v>
      </c>
      <c r="C2050" s="39"/>
      <c r="D2050" s="40"/>
      <c r="E2050" s="34" t="s">
        <v>323</v>
      </c>
      <c r="F2050" s="75" t="s">
        <v>2415</v>
      </c>
      <c r="G2050" s="35" t="s">
        <v>370</v>
      </c>
      <c r="H2050" s="41" t="s">
        <v>371</v>
      </c>
      <c r="I2050" s="44" t="str">
        <f>"0x"&amp;AE_w_WORK!K257</f>
        <v>0x1100</v>
      </c>
      <c r="J2050" s="36">
        <v>42260</v>
      </c>
      <c r="K2050" s="37"/>
      <c r="L2050" s="74">
        <f t="shared" si="33"/>
        <v>4088</v>
      </c>
    </row>
    <row r="2051" spans="2:12" hidden="1" outlineLevel="1">
      <c r="B2051" s="73">
        <v>2045</v>
      </c>
      <c r="C2051" s="39"/>
      <c r="D2051" s="40"/>
      <c r="E2051" s="34" t="s">
        <v>323</v>
      </c>
      <c r="F2051" s="75" t="s">
        <v>2416</v>
      </c>
      <c r="G2051" s="35" t="s">
        <v>370</v>
      </c>
      <c r="H2051" s="41" t="s">
        <v>371</v>
      </c>
      <c r="I2051" s="44" t="str">
        <f>"0x"&amp;AE_w_WORK!K258</f>
        <v>0x0011</v>
      </c>
      <c r="J2051" s="36">
        <v>42261</v>
      </c>
      <c r="K2051" s="37"/>
      <c r="L2051" s="74">
        <f t="shared" si="33"/>
        <v>4090</v>
      </c>
    </row>
    <row r="2052" spans="2:12" hidden="1" outlineLevel="1">
      <c r="B2052" s="73">
        <v>2046</v>
      </c>
      <c r="C2052" s="39"/>
      <c r="D2052" s="40"/>
      <c r="E2052" s="34" t="s">
        <v>323</v>
      </c>
      <c r="F2052" s="75" t="s">
        <v>2417</v>
      </c>
      <c r="G2052" s="35" t="s">
        <v>370</v>
      </c>
      <c r="H2052" s="41" t="s">
        <v>371</v>
      </c>
      <c r="I2052" s="44" t="str">
        <f>"0x"&amp;AE_w_WORK!K259</f>
        <v>0x0011</v>
      </c>
      <c r="J2052" s="36">
        <v>42262</v>
      </c>
      <c r="K2052" s="37"/>
      <c r="L2052" s="74">
        <f t="shared" si="33"/>
        <v>4092</v>
      </c>
    </row>
    <row r="2053" spans="2:12" hidden="1" outlineLevel="1">
      <c r="B2053" s="73">
        <v>2047</v>
      </c>
      <c r="C2053" s="39"/>
      <c r="D2053" s="40"/>
      <c r="E2053" s="34" t="s">
        <v>323</v>
      </c>
      <c r="F2053" s="75" t="s">
        <v>2418</v>
      </c>
      <c r="G2053" s="35" t="s">
        <v>370</v>
      </c>
      <c r="H2053" s="41" t="s">
        <v>371</v>
      </c>
      <c r="I2053" s="44" t="str">
        <f>"0x"&amp;AE_w_WORK!K260</f>
        <v>0x0000</v>
      </c>
      <c r="J2053" s="36">
        <v>42263</v>
      </c>
      <c r="K2053" s="37"/>
      <c r="L2053" s="74">
        <f t="shared" si="33"/>
        <v>4094</v>
      </c>
    </row>
    <row r="2054" spans="2:12" hidden="1" outlineLevel="1">
      <c r="B2054" s="73">
        <v>2048</v>
      </c>
      <c r="C2054" s="39"/>
      <c r="D2054" s="40"/>
      <c r="E2054" s="34" t="s">
        <v>323</v>
      </c>
      <c r="F2054" s="75" t="s">
        <v>2419</v>
      </c>
      <c r="G2054" s="35" t="s">
        <v>370</v>
      </c>
      <c r="H2054" s="41" t="s">
        <v>371</v>
      </c>
      <c r="I2054" s="44" t="str">
        <f>"0x"&amp;AE_w_WORK!K261</f>
        <v>0x0000</v>
      </c>
      <c r="J2054" s="36">
        <v>42264</v>
      </c>
      <c r="K2054" s="37"/>
      <c r="L2054" s="74">
        <f t="shared" si="33"/>
        <v>4096</v>
      </c>
    </row>
    <row r="2055" spans="2:12" collapsed="1">
      <c r="B2055" s="73">
        <v>2049</v>
      </c>
      <c r="C2055" s="39"/>
      <c r="D2055" s="40"/>
      <c r="E2055" s="34" t="s">
        <v>323</v>
      </c>
      <c r="F2055" s="75" t="s">
        <v>2420</v>
      </c>
      <c r="G2055" s="35" t="s">
        <v>370</v>
      </c>
      <c r="H2055" s="41" t="s">
        <v>371</v>
      </c>
      <c r="I2055" s="44" t="str">
        <f>"0x"&amp;AE_w_WORK!L6</f>
        <v>0x0000</v>
      </c>
      <c r="J2055" s="36">
        <v>42265</v>
      </c>
      <c r="K2055" s="37" t="s">
        <v>348</v>
      </c>
      <c r="L2055" s="74">
        <f t="shared" si="33"/>
        <v>4098</v>
      </c>
    </row>
    <row r="2056" spans="2:12" hidden="1" outlineLevel="1">
      <c r="B2056" s="73">
        <v>2050</v>
      </c>
      <c r="C2056" s="39"/>
      <c r="D2056" s="40"/>
      <c r="E2056" s="34" t="s">
        <v>323</v>
      </c>
      <c r="F2056" s="75" t="s">
        <v>2421</v>
      </c>
      <c r="G2056" s="35" t="s">
        <v>370</v>
      </c>
      <c r="H2056" s="41" t="s">
        <v>371</v>
      </c>
      <c r="I2056" s="44" t="str">
        <f>"0x"&amp;AE_w_WORK!L7</f>
        <v>0x0000</v>
      </c>
      <c r="J2056" s="36">
        <v>42266</v>
      </c>
      <c r="K2056" s="37"/>
      <c r="L2056" s="74">
        <f t="shared" si="33"/>
        <v>4100</v>
      </c>
    </row>
    <row r="2057" spans="2:12" hidden="1" outlineLevel="1">
      <c r="B2057" s="73">
        <v>2051</v>
      </c>
      <c r="C2057" s="39"/>
      <c r="D2057" s="40"/>
      <c r="E2057" s="34" t="s">
        <v>323</v>
      </c>
      <c r="F2057" s="75" t="s">
        <v>2422</v>
      </c>
      <c r="G2057" s="35" t="s">
        <v>370</v>
      </c>
      <c r="H2057" s="41" t="s">
        <v>371</v>
      </c>
      <c r="I2057" s="44" t="str">
        <f>"0x"&amp;AE_w_WORK!L8</f>
        <v>0x0000</v>
      </c>
      <c r="J2057" s="36">
        <v>42267</v>
      </c>
      <c r="K2057" s="37"/>
      <c r="L2057" s="74">
        <f t="shared" ref="L2057:L2120" si="34">L2056+2</f>
        <v>4102</v>
      </c>
    </row>
    <row r="2058" spans="2:12" hidden="1" outlineLevel="1">
      <c r="B2058" s="73">
        <v>2052</v>
      </c>
      <c r="C2058" s="39"/>
      <c r="D2058" s="40"/>
      <c r="E2058" s="34" t="s">
        <v>323</v>
      </c>
      <c r="F2058" s="75" t="s">
        <v>2423</v>
      </c>
      <c r="G2058" s="35" t="s">
        <v>370</v>
      </c>
      <c r="H2058" s="41" t="s">
        <v>371</v>
      </c>
      <c r="I2058" s="44" t="str">
        <f>"0x"&amp;AE_w_WORK!L9</f>
        <v>0x0000</v>
      </c>
      <c r="J2058" s="36">
        <v>42268</v>
      </c>
      <c r="K2058" s="37"/>
      <c r="L2058" s="74">
        <f t="shared" si="34"/>
        <v>4104</v>
      </c>
    </row>
    <row r="2059" spans="2:12" hidden="1" outlineLevel="1">
      <c r="B2059" s="73">
        <v>2053</v>
      </c>
      <c r="C2059" s="39"/>
      <c r="D2059" s="40"/>
      <c r="E2059" s="34" t="s">
        <v>323</v>
      </c>
      <c r="F2059" s="75" t="s">
        <v>2424</v>
      </c>
      <c r="G2059" s="35" t="s">
        <v>370</v>
      </c>
      <c r="H2059" s="41" t="s">
        <v>371</v>
      </c>
      <c r="I2059" s="44" t="str">
        <f>"0x"&amp;AE_w_WORK!L10</f>
        <v>0x0000</v>
      </c>
      <c r="J2059" s="36">
        <v>42269</v>
      </c>
      <c r="K2059" s="37"/>
      <c r="L2059" s="74">
        <f t="shared" si="34"/>
        <v>4106</v>
      </c>
    </row>
    <row r="2060" spans="2:12" hidden="1" outlineLevel="1">
      <c r="B2060" s="73">
        <v>2054</v>
      </c>
      <c r="C2060" s="39"/>
      <c r="D2060" s="40"/>
      <c r="E2060" s="34" t="s">
        <v>323</v>
      </c>
      <c r="F2060" s="75" t="s">
        <v>2425</v>
      </c>
      <c r="G2060" s="35" t="s">
        <v>370</v>
      </c>
      <c r="H2060" s="41" t="s">
        <v>371</v>
      </c>
      <c r="I2060" s="44" t="str">
        <f>"0x"&amp;AE_w_WORK!L11</f>
        <v>0x0000</v>
      </c>
      <c r="J2060" s="36">
        <v>42270</v>
      </c>
      <c r="K2060" s="37"/>
      <c r="L2060" s="74">
        <f t="shared" si="34"/>
        <v>4108</v>
      </c>
    </row>
    <row r="2061" spans="2:12" hidden="1" outlineLevel="1">
      <c r="B2061" s="73">
        <v>2055</v>
      </c>
      <c r="C2061" s="39"/>
      <c r="D2061" s="40"/>
      <c r="E2061" s="34" t="s">
        <v>323</v>
      </c>
      <c r="F2061" s="75" t="s">
        <v>2426</v>
      </c>
      <c r="G2061" s="35" t="s">
        <v>370</v>
      </c>
      <c r="H2061" s="41" t="s">
        <v>371</v>
      </c>
      <c r="I2061" s="44" t="str">
        <f>"0x"&amp;AE_w_WORK!L12</f>
        <v>0x0000</v>
      </c>
      <c r="J2061" s="36">
        <v>42271</v>
      </c>
      <c r="K2061" s="37"/>
      <c r="L2061" s="74">
        <f t="shared" si="34"/>
        <v>4110</v>
      </c>
    </row>
    <row r="2062" spans="2:12" hidden="1" outlineLevel="1">
      <c r="B2062" s="73">
        <v>2056</v>
      </c>
      <c r="C2062" s="39"/>
      <c r="D2062" s="40"/>
      <c r="E2062" s="34" t="s">
        <v>323</v>
      </c>
      <c r="F2062" s="75" t="s">
        <v>2427</v>
      </c>
      <c r="G2062" s="35" t="s">
        <v>370</v>
      </c>
      <c r="H2062" s="41" t="s">
        <v>371</v>
      </c>
      <c r="I2062" s="44" t="str">
        <f>"0x"&amp;AE_w_WORK!L13</f>
        <v>0x0000</v>
      </c>
      <c r="J2062" s="36">
        <v>42272</v>
      </c>
      <c r="K2062" s="37"/>
      <c r="L2062" s="74">
        <f t="shared" si="34"/>
        <v>4112</v>
      </c>
    </row>
    <row r="2063" spans="2:12" hidden="1" outlineLevel="1">
      <c r="B2063" s="73">
        <v>2057</v>
      </c>
      <c r="C2063" s="39"/>
      <c r="D2063" s="40"/>
      <c r="E2063" s="34" t="s">
        <v>323</v>
      </c>
      <c r="F2063" s="75" t="s">
        <v>2428</v>
      </c>
      <c r="G2063" s="35" t="s">
        <v>370</v>
      </c>
      <c r="H2063" s="41" t="s">
        <v>371</v>
      </c>
      <c r="I2063" s="44" t="str">
        <f>"0x"&amp;AE_w_WORK!L14</f>
        <v>0x0000</v>
      </c>
      <c r="J2063" s="36">
        <v>42273</v>
      </c>
      <c r="K2063" s="37"/>
      <c r="L2063" s="74">
        <f t="shared" si="34"/>
        <v>4114</v>
      </c>
    </row>
    <row r="2064" spans="2:12" hidden="1" outlineLevel="1">
      <c r="B2064" s="73">
        <v>2058</v>
      </c>
      <c r="C2064" s="39"/>
      <c r="D2064" s="40"/>
      <c r="E2064" s="34" t="s">
        <v>323</v>
      </c>
      <c r="F2064" s="75" t="s">
        <v>2429</v>
      </c>
      <c r="G2064" s="35" t="s">
        <v>370</v>
      </c>
      <c r="H2064" s="41" t="s">
        <v>371</v>
      </c>
      <c r="I2064" s="44" t="str">
        <f>"0x"&amp;AE_w_WORK!L15</f>
        <v>0x0000</v>
      </c>
      <c r="J2064" s="36">
        <v>42274</v>
      </c>
      <c r="K2064" s="37"/>
      <c r="L2064" s="74">
        <f t="shared" si="34"/>
        <v>4116</v>
      </c>
    </row>
    <row r="2065" spans="2:12" hidden="1" outlineLevel="1">
      <c r="B2065" s="73">
        <v>2059</v>
      </c>
      <c r="C2065" s="39"/>
      <c r="D2065" s="40"/>
      <c r="E2065" s="34" t="s">
        <v>323</v>
      </c>
      <c r="F2065" s="75" t="s">
        <v>2430</v>
      </c>
      <c r="G2065" s="35" t="s">
        <v>370</v>
      </c>
      <c r="H2065" s="41" t="s">
        <v>371</v>
      </c>
      <c r="I2065" s="44" t="str">
        <f>"0x"&amp;AE_w_WORK!L16</f>
        <v>0x0000</v>
      </c>
      <c r="J2065" s="36">
        <v>42275</v>
      </c>
      <c r="K2065" s="37"/>
      <c r="L2065" s="74">
        <f t="shared" si="34"/>
        <v>4118</v>
      </c>
    </row>
    <row r="2066" spans="2:12" hidden="1" outlineLevel="1">
      <c r="B2066" s="73">
        <v>2060</v>
      </c>
      <c r="C2066" s="39"/>
      <c r="D2066" s="40"/>
      <c r="E2066" s="34" t="s">
        <v>323</v>
      </c>
      <c r="F2066" s="75" t="s">
        <v>2431</v>
      </c>
      <c r="G2066" s="35" t="s">
        <v>370</v>
      </c>
      <c r="H2066" s="41" t="s">
        <v>371</v>
      </c>
      <c r="I2066" s="44" t="str">
        <f>"0x"&amp;AE_w_WORK!L17</f>
        <v>0x0000</v>
      </c>
      <c r="J2066" s="36">
        <v>42276</v>
      </c>
      <c r="K2066" s="37"/>
      <c r="L2066" s="74">
        <f t="shared" si="34"/>
        <v>4120</v>
      </c>
    </row>
    <row r="2067" spans="2:12" hidden="1" outlineLevel="1">
      <c r="B2067" s="73">
        <v>2061</v>
      </c>
      <c r="C2067" s="39"/>
      <c r="D2067" s="40"/>
      <c r="E2067" s="34" t="s">
        <v>323</v>
      </c>
      <c r="F2067" s="75" t="s">
        <v>2432</v>
      </c>
      <c r="G2067" s="35" t="s">
        <v>370</v>
      </c>
      <c r="H2067" s="41" t="s">
        <v>371</v>
      </c>
      <c r="I2067" s="44" t="str">
        <f>"0x"&amp;AE_w_WORK!L18</f>
        <v>0x0000</v>
      </c>
      <c r="J2067" s="36">
        <v>42277</v>
      </c>
      <c r="K2067" s="37"/>
      <c r="L2067" s="74">
        <f t="shared" si="34"/>
        <v>4122</v>
      </c>
    </row>
    <row r="2068" spans="2:12" hidden="1" outlineLevel="1">
      <c r="B2068" s="73">
        <v>2062</v>
      </c>
      <c r="C2068" s="39"/>
      <c r="D2068" s="40"/>
      <c r="E2068" s="34" t="s">
        <v>323</v>
      </c>
      <c r="F2068" s="75" t="s">
        <v>2433</v>
      </c>
      <c r="G2068" s="35" t="s">
        <v>370</v>
      </c>
      <c r="H2068" s="41" t="s">
        <v>371</v>
      </c>
      <c r="I2068" s="44" t="str">
        <f>"0x"&amp;AE_w_WORK!L19</f>
        <v>0x0000</v>
      </c>
      <c r="J2068" s="36">
        <v>42278</v>
      </c>
      <c r="K2068" s="37"/>
      <c r="L2068" s="74">
        <f t="shared" si="34"/>
        <v>4124</v>
      </c>
    </row>
    <row r="2069" spans="2:12" hidden="1" outlineLevel="1">
      <c r="B2069" s="73">
        <v>2063</v>
      </c>
      <c r="C2069" s="39"/>
      <c r="D2069" s="40"/>
      <c r="E2069" s="34" t="s">
        <v>323</v>
      </c>
      <c r="F2069" s="75" t="s">
        <v>2434</v>
      </c>
      <c r="G2069" s="35" t="s">
        <v>370</v>
      </c>
      <c r="H2069" s="41" t="s">
        <v>371</v>
      </c>
      <c r="I2069" s="44" t="str">
        <f>"0x"&amp;AE_w_WORK!L20</f>
        <v>0x0000</v>
      </c>
      <c r="J2069" s="36">
        <v>42279</v>
      </c>
      <c r="K2069" s="37"/>
      <c r="L2069" s="74">
        <f t="shared" si="34"/>
        <v>4126</v>
      </c>
    </row>
    <row r="2070" spans="2:12" hidden="1" outlineLevel="1">
      <c r="B2070" s="73">
        <v>2064</v>
      </c>
      <c r="C2070" s="39"/>
      <c r="D2070" s="40"/>
      <c r="E2070" s="34" t="s">
        <v>323</v>
      </c>
      <c r="F2070" s="75" t="s">
        <v>2435</v>
      </c>
      <c r="G2070" s="35" t="s">
        <v>370</v>
      </c>
      <c r="H2070" s="41" t="s">
        <v>371</v>
      </c>
      <c r="I2070" s="44" t="str">
        <f>"0x"&amp;AE_w_WORK!L21</f>
        <v>0x0000</v>
      </c>
      <c r="J2070" s="36">
        <v>42280</v>
      </c>
      <c r="K2070" s="37"/>
      <c r="L2070" s="74">
        <f t="shared" si="34"/>
        <v>4128</v>
      </c>
    </row>
    <row r="2071" spans="2:12" hidden="1" outlineLevel="1">
      <c r="B2071" s="73">
        <v>2065</v>
      </c>
      <c r="C2071" s="39"/>
      <c r="D2071" s="40"/>
      <c r="E2071" s="34" t="s">
        <v>323</v>
      </c>
      <c r="F2071" s="75" t="s">
        <v>2436</v>
      </c>
      <c r="G2071" s="35" t="s">
        <v>370</v>
      </c>
      <c r="H2071" s="41" t="s">
        <v>371</v>
      </c>
      <c r="I2071" s="44" t="str">
        <f>"0x"&amp;AE_w_WORK!L22</f>
        <v>0x0000</v>
      </c>
      <c r="J2071" s="36">
        <v>42281</v>
      </c>
      <c r="K2071" s="37"/>
      <c r="L2071" s="74">
        <f t="shared" si="34"/>
        <v>4130</v>
      </c>
    </row>
    <row r="2072" spans="2:12" hidden="1" outlineLevel="1">
      <c r="B2072" s="73">
        <v>2066</v>
      </c>
      <c r="C2072" s="39"/>
      <c r="D2072" s="40"/>
      <c r="E2072" s="34" t="s">
        <v>323</v>
      </c>
      <c r="F2072" s="75" t="s">
        <v>2437</v>
      </c>
      <c r="G2072" s="35" t="s">
        <v>370</v>
      </c>
      <c r="H2072" s="41" t="s">
        <v>371</v>
      </c>
      <c r="I2072" s="44" t="str">
        <f>"0x"&amp;AE_w_WORK!L23</f>
        <v>0x0000</v>
      </c>
      <c r="J2072" s="36">
        <v>42282</v>
      </c>
      <c r="K2072" s="37"/>
      <c r="L2072" s="74">
        <f t="shared" si="34"/>
        <v>4132</v>
      </c>
    </row>
    <row r="2073" spans="2:12" hidden="1" outlineLevel="1">
      <c r="B2073" s="73">
        <v>2067</v>
      </c>
      <c r="C2073" s="39"/>
      <c r="D2073" s="40"/>
      <c r="E2073" s="34" t="s">
        <v>323</v>
      </c>
      <c r="F2073" s="75" t="s">
        <v>2438</v>
      </c>
      <c r="G2073" s="35" t="s">
        <v>370</v>
      </c>
      <c r="H2073" s="41" t="s">
        <v>371</v>
      </c>
      <c r="I2073" s="44" t="str">
        <f>"0x"&amp;AE_w_WORK!L24</f>
        <v>0x0000</v>
      </c>
      <c r="J2073" s="36">
        <v>42283</v>
      </c>
      <c r="K2073" s="37"/>
      <c r="L2073" s="74">
        <f t="shared" si="34"/>
        <v>4134</v>
      </c>
    </row>
    <row r="2074" spans="2:12" hidden="1" outlineLevel="1">
      <c r="B2074" s="73">
        <v>2068</v>
      </c>
      <c r="C2074" s="39"/>
      <c r="D2074" s="40"/>
      <c r="E2074" s="34" t="s">
        <v>323</v>
      </c>
      <c r="F2074" s="75" t="s">
        <v>2439</v>
      </c>
      <c r="G2074" s="35" t="s">
        <v>370</v>
      </c>
      <c r="H2074" s="41" t="s">
        <v>371</v>
      </c>
      <c r="I2074" s="44" t="str">
        <f>"0x"&amp;AE_w_WORK!L25</f>
        <v>0x0000</v>
      </c>
      <c r="J2074" s="36">
        <v>42284</v>
      </c>
      <c r="K2074" s="37"/>
      <c r="L2074" s="74">
        <f t="shared" si="34"/>
        <v>4136</v>
      </c>
    </row>
    <row r="2075" spans="2:12" hidden="1" outlineLevel="1">
      <c r="B2075" s="73">
        <v>2069</v>
      </c>
      <c r="C2075" s="39"/>
      <c r="D2075" s="40"/>
      <c r="E2075" s="34" t="s">
        <v>323</v>
      </c>
      <c r="F2075" s="75" t="s">
        <v>2440</v>
      </c>
      <c r="G2075" s="35" t="s">
        <v>370</v>
      </c>
      <c r="H2075" s="41" t="s">
        <v>371</v>
      </c>
      <c r="I2075" s="44" t="str">
        <f>"0x"&amp;AE_w_WORK!L26</f>
        <v>0x0000</v>
      </c>
      <c r="J2075" s="36">
        <v>42285</v>
      </c>
      <c r="K2075" s="37"/>
      <c r="L2075" s="74">
        <f t="shared" si="34"/>
        <v>4138</v>
      </c>
    </row>
    <row r="2076" spans="2:12" hidden="1" outlineLevel="1">
      <c r="B2076" s="73">
        <v>2070</v>
      </c>
      <c r="C2076" s="39"/>
      <c r="D2076" s="40"/>
      <c r="E2076" s="34" t="s">
        <v>323</v>
      </c>
      <c r="F2076" s="75" t="s">
        <v>2441</v>
      </c>
      <c r="G2076" s="35" t="s">
        <v>370</v>
      </c>
      <c r="H2076" s="41" t="s">
        <v>371</v>
      </c>
      <c r="I2076" s="44" t="str">
        <f>"0x"&amp;AE_w_WORK!L27</f>
        <v>0x0000</v>
      </c>
      <c r="J2076" s="36">
        <v>42286</v>
      </c>
      <c r="K2076" s="37"/>
      <c r="L2076" s="74">
        <f t="shared" si="34"/>
        <v>4140</v>
      </c>
    </row>
    <row r="2077" spans="2:12" hidden="1" outlineLevel="1">
      <c r="B2077" s="73">
        <v>2071</v>
      </c>
      <c r="C2077" s="39"/>
      <c r="D2077" s="40"/>
      <c r="E2077" s="34" t="s">
        <v>323</v>
      </c>
      <c r="F2077" s="75" t="s">
        <v>2442</v>
      </c>
      <c r="G2077" s="35" t="s">
        <v>370</v>
      </c>
      <c r="H2077" s="41" t="s">
        <v>371</v>
      </c>
      <c r="I2077" s="44" t="str">
        <f>"0x"&amp;AE_w_WORK!L28</f>
        <v>0x0000</v>
      </c>
      <c r="J2077" s="36">
        <v>42287</v>
      </c>
      <c r="K2077" s="37"/>
      <c r="L2077" s="74">
        <f t="shared" si="34"/>
        <v>4142</v>
      </c>
    </row>
    <row r="2078" spans="2:12" hidden="1" outlineLevel="1">
      <c r="B2078" s="73">
        <v>2072</v>
      </c>
      <c r="C2078" s="39"/>
      <c r="D2078" s="40"/>
      <c r="E2078" s="34" t="s">
        <v>323</v>
      </c>
      <c r="F2078" s="75" t="s">
        <v>2443</v>
      </c>
      <c r="G2078" s="35" t="s">
        <v>370</v>
      </c>
      <c r="H2078" s="41" t="s">
        <v>371</v>
      </c>
      <c r="I2078" s="44" t="str">
        <f>"0x"&amp;AE_w_WORK!L29</f>
        <v>0x0000</v>
      </c>
      <c r="J2078" s="36">
        <v>42288</v>
      </c>
      <c r="K2078" s="37"/>
      <c r="L2078" s="74">
        <f t="shared" si="34"/>
        <v>4144</v>
      </c>
    </row>
    <row r="2079" spans="2:12" hidden="1" outlineLevel="1">
      <c r="B2079" s="73">
        <v>2073</v>
      </c>
      <c r="C2079" s="39"/>
      <c r="D2079" s="40"/>
      <c r="E2079" s="34" t="s">
        <v>323</v>
      </c>
      <c r="F2079" s="75" t="s">
        <v>2444</v>
      </c>
      <c r="G2079" s="35" t="s">
        <v>370</v>
      </c>
      <c r="H2079" s="41" t="s">
        <v>371</v>
      </c>
      <c r="I2079" s="44" t="str">
        <f>"0x"&amp;AE_w_WORK!L30</f>
        <v>0x0000</v>
      </c>
      <c r="J2079" s="36">
        <v>42289</v>
      </c>
      <c r="K2079" s="37"/>
      <c r="L2079" s="74">
        <f t="shared" si="34"/>
        <v>4146</v>
      </c>
    </row>
    <row r="2080" spans="2:12" hidden="1" outlineLevel="1">
      <c r="B2080" s="73">
        <v>2074</v>
      </c>
      <c r="C2080" s="39"/>
      <c r="D2080" s="40"/>
      <c r="E2080" s="34" t="s">
        <v>323</v>
      </c>
      <c r="F2080" s="75" t="s">
        <v>2445</v>
      </c>
      <c r="G2080" s="35" t="s">
        <v>370</v>
      </c>
      <c r="H2080" s="41" t="s">
        <v>371</v>
      </c>
      <c r="I2080" s="44" t="str">
        <f>"0x"&amp;AE_w_WORK!L31</f>
        <v>0x0000</v>
      </c>
      <c r="J2080" s="36">
        <v>42290</v>
      </c>
      <c r="K2080" s="37"/>
      <c r="L2080" s="74">
        <f t="shared" si="34"/>
        <v>4148</v>
      </c>
    </row>
    <row r="2081" spans="2:12" hidden="1" outlineLevel="1">
      <c r="B2081" s="73">
        <v>2075</v>
      </c>
      <c r="C2081" s="39"/>
      <c r="D2081" s="40"/>
      <c r="E2081" s="34" t="s">
        <v>323</v>
      </c>
      <c r="F2081" s="75" t="s">
        <v>2446</v>
      </c>
      <c r="G2081" s="35" t="s">
        <v>370</v>
      </c>
      <c r="H2081" s="41" t="s">
        <v>371</v>
      </c>
      <c r="I2081" s="44" t="str">
        <f>"0x"&amp;AE_w_WORK!L32</f>
        <v>0x0000</v>
      </c>
      <c r="J2081" s="36">
        <v>42291</v>
      </c>
      <c r="K2081" s="37"/>
      <c r="L2081" s="74">
        <f t="shared" si="34"/>
        <v>4150</v>
      </c>
    </row>
    <row r="2082" spans="2:12" hidden="1" outlineLevel="1">
      <c r="B2082" s="73">
        <v>2076</v>
      </c>
      <c r="C2082" s="39"/>
      <c r="D2082" s="40"/>
      <c r="E2082" s="34" t="s">
        <v>323</v>
      </c>
      <c r="F2082" s="75" t="s">
        <v>2447</v>
      </c>
      <c r="G2082" s="35" t="s">
        <v>370</v>
      </c>
      <c r="H2082" s="41" t="s">
        <v>371</v>
      </c>
      <c r="I2082" s="44" t="str">
        <f>"0x"&amp;AE_w_WORK!L33</f>
        <v>0x0000</v>
      </c>
      <c r="J2082" s="36">
        <v>42292</v>
      </c>
      <c r="K2082" s="37"/>
      <c r="L2082" s="74">
        <f t="shared" si="34"/>
        <v>4152</v>
      </c>
    </row>
    <row r="2083" spans="2:12" hidden="1" outlineLevel="1">
      <c r="B2083" s="73">
        <v>2077</v>
      </c>
      <c r="C2083" s="39"/>
      <c r="D2083" s="40"/>
      <c r="E2083" s="34" t="s">
        <v>323</v>
      </c>
      <c r="F2083" s="75" t="s">
        <v>2448</v>
      </c>
      <c r="G2083" s="35" t="s">
        <v>370</v>
      </c>
      <c r="H2083" s="41" t="s">
        <v>371</v>
      </c>
      <c r="I2083" s="44" t="str">
        <f>"0x"&amp;AE_w_WORK!L34</f>
        <v>0x0000</v>
      </c>
      <c r="J2083" s="36">
        <v>42293</v>
      </c>
      <c r="K2083" s="37"/>
      <c r="L2083" s="74">
        <f t="shared" si="34"/>
        <v>4154</v>
      </c>
    </row>
    <row r="2084" spans="2:12" hidden="1" outlineLevel="1">
      <c r="B2084" s="73">
        <v>2078</v>
      </c>
      <c r="C2084" s="39"/>
      <c r="D2084" s="40"/>
      <c r="E2084" s="34" t="s">
        <v>323</v>
      </c>
      <c r="F2084" s="75" t="s">
        <v>2449</v>
      </c>
      <c r="G2084" s="35" t="s">
        <v>370</v>
      </c>
      <c r="H2084" s="41" t="s">
        <v>371</v>
      </c>
      <c r="I2084" s="44" t="str">
        <f>"0x"&amp;AE_w_WORK!L35</f>
        <v>0x0000</v>
      </c>
      <c r="J2084" s="36">
        <v>42294</v>
      </c>
      <c r="K2084" s="37"/>
      <c r="L2084" s="74">
        <f t="shared" si="34"/>
        <v>4156</v>
      </c>
    </row>
    <row r="2085" spans="2:12" hidden="1" outlineLevel="1">
      <c r="B2085" s="73">
        <v>2079</v>
      </c>
      <c r="C2085" s="39"/>
      <c r="D2085" s="40"/>
      <c r="E2085" s="34" t="s">
        <v>323</v>
      </c>
      <c r="F2085" s="75" t="s">
        <v>2450</v>
      </c>
      <c r="G2085" s="35" t="s">
        <v>370</v>
      </c>
      <c r="H2085" s="41" t="s">
        <v>371</v>
      </c>
      <c r="I2085" s="44" t="str">
        <f>"0x"&amp;AE_w_WORK!L36</f>
        <v>0x0000</v>
      </c>
      <c r="J2085" s="36">
        <v>42295</v>
      </c>
      <c r="K2085" s="37"/>
      <c r="L2085" s="74">
        <f t="shared" si="34"/>
        <v>4158</v>
      </c>
    </row>
    <row r="2086" spans="2:12" hidden="1" outlineLevel="1">
      <c r="B2086" s="73">
        <v>2080</v>
      </c>
      <c r="C2086" s="39"/>
      <c r="D2086" s="40"/>
      <c r="E2086" s="34" t="s">
        <v>323</v>
      </c>
      <c r="F2086" s="75" t="s">
        <v>2451</v>
      </c>
      <c r="G2086" s="35" t="s">
        <v>370</v>
      </c>
      <c r="H2086" s="41" t="s">
        <v>371</v>
      </c>
      <c r="I2086" s="44" t="str">
        <f>"0x"&amp;AE_w_WORK!L37</f>
        <v>0x0000</v>
      </c>
      <c r="J2086" s="36">
        <v>42296</v>
      </c>
      <c r="K2086" s="37"/>
      <c r="L2086" s="74">
        <f t="shared" si="34"/>
        <v>4160</v>
      </c>
    </row>
    <row r="2087" spans="2:12" hidden="1" outlineLevel="1">
      <c r="B2087" s="73">
        <v>2081</v>
      </c>
      <c r="C2087" s="39"/>
      <c r="D2087" s="40"/>
      <c r="E2087" s="34" t="s">
        <v>323</v>
      </c>
      <c r="F2087" s="75" t="s">
        <v>2452</v>
      </c>
      <c r="G2087" s="35" t="s">
        <v>370</v>
      </c>
      <c r="H2087" s="41" t="s">
        <v>371</v>
      </c>
      <c r="I2087" s="44" t="str">
        <f>"0x"&amp;AE_w_WORK!L38</f>
        <v>0x0000</v>
      </c>
      <c r="J2087" s="36">
        <v>42297</v>
      </c>
      <c r="K2087" s="37"/>
      <c r="L2087" s="74">
        <f t="shared" si="34"/>
        <v>4162</v>
      </c>
    </row>
    <row r="2088" spans="2:12" hidden="1" outlineLevel="1">
      <c r="B2088" s="73">
        <v>2082</v>
      </c>
      <c r="C2088" s="39"/>
      <c r="D2088" s="40"/>
      <c r="E2088" s="34" t="s">
        <v>323</v>
      </c>
      <c r="F2088" s="75" t="s">
        <v>2453</v>
      </c>
      <c r="G2088" s="35" t="s">
        <v>370</v>
      </c>
      <c r="H2088" s="41" t="s">
        <v>371</v>
      </c>
      <c r="I2088" s="44" t="str">
        <f>"0x"&amp;AE_w_WORK!L39</f>
        <v>0x0000</v>
      </c>
      <c r="J2088" s="36">
        <v>42298</v>
      </c>
      <c r="K2088" s="37"/>
      <c r="L2088" s="74">
        <f t="shared" si="34"/>
        <v>4164</v>
      </c>
    </row>
    <row r="2089" spans="2:12" hidden="1" outlineLevel="1">
      <c r="B2089" s="73">
        <v>2083</v>
      </c>
      <c r="C2089" s="39"/>
      <c r="D2089" s="40"/>
      <c r="E2089" s="34" t="s">
        <v>323</v>
      </c>
      <c r="F2089" s="75" t="s">
        <v>2454</v>
      </c>
      <c r="G2089" s="35" t="s">
        <v>370</v>
      </c>
      <c r="H2089" s="41" t="s">
        <v>371</v>
      </c>
      <c r="I2089" s="44" t="str">
        <f>"0x"&amp;AE_w_WORK!L40</f>
        <v>0x0000</v>
      </c>
      <c r="J2089" s="36">
        <v>42299</v>
      </c>
      <c r="K2089" s="37"/>
      <c r="L2089" s="74">
        <f t="shared" si="34"/>
        <v>4166</v>
      </c>
    </row>
    <row r="2090" spans="2:12" hidden="1" outlineLevel="1">
      <c r="B2090" s="73">
        <v>2084</v>
      </c>
      <c r="C2090" s="39"/>
      <c r="D2090" s="40"/>
      <c r="E2090" s="34" t="s">
        <v>323</v>
      </c>
      <c r="F2090" s="75" t="s">
        <v>2455</v>
      </c>
      <c r="G2090" s="35" t="s">
        <v>370</v>
      </c>
      <c r="H2090" s="41" t="s">
        <v>371</v>
      </c>
      <c r="I2090" s="44" t="str">
        <f>"0x"&amp;AE_w_WORK!L41</f>
        <v>0x0000</v>
      </c>
      <c r="J2090" s="36">
        <v>42300</v>
      </c>
      <c r="K2090" s="37"/>
      <c r="L2090" s="74">
        <f t="shared" si="34"/>
        <v>4168</v>
      </c>
    </row>
    <row r="2091" spans="2:12" hidden="1" outlineLevel="1">
      <c r="B2091" s="73">
        <v>2085</v>
      </c>
      <c r="C2091" s="39"/>
      <c r="D2091" s="40"/>
      <c r="E2091" s="34" t="s">
        <v>323</v>
      </c>
      <c r="F2091" s="75" t="s">
        <v>2456</v>
      </c>
      <c r="G2091" s="35" t="s">
        <v>370</v>
      </c>
      <c r="H2091" s="41" t="s">
        <v>371</v>
      </c>
      <c r="I2091" s="44" t="str">
        <f>"0x"&amp;AE_w_WORK!L42</f>
        <v>0x0000</v>
      </c>
      <c r="J2091" s="36">
        <v>42301</v>
      </c>
      <c r="K2091" s="37"/>
      <c r="L2091" s="74">
        <f t="shared" si="34"/>
        <v>4170</v>
      </c>
    </row>
    <row r="2092" spans="2:12" hidden="1" outlineLevel="1">
      <c r="B2092" s="73">
        <v>2086</v>
      </c>
      <c r="C2092" s="39"/>
      <c r="D2092" s="40"/>
      <c r="E2092" s="34" t="s">
        <v>323</v>
      </c>
      <c r="F2092" s="75" t="s">
        <v>2457</v>
      </c>
      <c r="G2092" s="35" t="s">
        <v>370</v>
      </c>
      <c r="H2092" s="41" t="s">
        <v>371</v>
      </c>
      <c r="I2092" s="44" t="str">
        <f>"0x"&amp;AE_w_WORK!L43</f>
        <v>0x0000</v>
      </c>
      <c r="J2092" s="36">
        <v>42302</v>
      </c>
      <c r="K2092" s="37"/>
      <c r="L2092" s="74">
        <f t="shared" si="34"/>
        <v>4172</v>
      </c>
    </row>
    <row r="2093" spans="2:12" hidden="1" outlineLevel="1">
      <c r="B2093" s="73">
        <v>2087</v>
      </c>
      <c r="C2093" s="39"/>
      <c r="D2093" s="40"/>
      <c r="E2093" s="34" t="s">
        <v>323</v>
      </c>
      <c r="F2093" s="75" t="s">
        <v>2458</v>
      </c>
      <c r="G2093" s="35" t="s">
        <v>370</v>
      </c>
      <c r="H2093" s="41" t="s">
        <v>371</v>
      </c>
      <c r="I2093" s="44" t="str">
        <f>"0x"&amp;AE_w_WORK!L44</f>
        <v>0x0000</v>
      </c>
      <c r="J2093" s="36">
        <v>42303</v>
      </c>
      <c r="K2093" s="37"/>
      <c r="L2093" s="74">
        <f t="shared" si="34"/>
        <v>4174</v>
      </c>
    </row>
    <row r="2094" spans="2:12" hidden="1" outlineLevel="1">
      <c r="B2094" s="73">
        <v>2088</v>
      </c>
      <c r="C2094" s="39"/>
      <c r="D2094" s="40"/>
      <c r="E2094" s="34" t="s">
        <v>323</v>
      </c>
      <c r="F2094" s="75" t="s">
        <v>2459</v>
      </c>
      <c r="G2094" s="35" t="s">
        <v>370</v>
      </c>
      <c r="H2094" s="41" t="s">
        <v>371</v>
      </c>
      <c r="I2094" s="44" t="str">
        <f>"0x"&amp;AE_w_WORK!L45</f>
        <v>0x0000</v>
      </c>
      <c r="J2094" s="36">
        <v>42304</v>
      </c>
      <c r="K2094" s="37"/>
      <c r="L2094" s="74">
        <f t="shared" si="34"/>
        <v>4176</v>
      </c>
    </row>
    <row r="2095" spans="2:12" hidden="1" outlineLevel="1">
      <c r="B2095" s="73">
        <v>2089</v>
      </c>
      <c r="C2095" s="39"/>
      <c r="D2095" s="40"/>
      <c r="E2095" s="34" t="s">
        <v>323</v>
      </c>
      <c r="F2095" s="75" t="s">
        <v>2460</v>
      </c>
      <c r="G2095" s="35" t="s">
        <v>370</v>
      </c>
      <c r="H2095" s="41" t="s">
        <v>371</v>
      </c>
      <c r="I2095" s="44" t="str">
        <f>"0x"&amp;AE_w_WORK!L46</f>
        <v>0x0000</v>
      </c>
      <c r="J2095" s="36">
        <v>42305</v>
      </c>
      <c r="K2095" s="37"/>
      <c r="L2095" s="74">
        <f t="shared" si="34"/>
        <v>4178</v>
      </c>
    </row>
    <row r="2096" spans="2:12" hidden="1" outlineLevel="1">
      <c r="B2096" s="73">
        <v>2090</v>
      </c>
      <c r="C2096" s="39"/>
      <c r="D2096" s="40"/>
      <c r="E2096" s="34" t="s">
        <v>323</v>
      </c>
      <c r="F2096" s="75" t="s">
        <v>2461</v>
      </c>
      <c r="G2096" s="35" t="s">
        <v>370</v>
      </c>
      <c r="H2096" s="41" t="s">
        <v>371</v>
      </c>
      <c r="I2096" s="44" t="str">
        <f>"0x"&amp;AE_w_WORK!L47</f>
        <v>0x0000</v>
      </c>
      <c r="J2096" s="36">
        <v>42306</v>
      </c>
      <c r="K2096" s="37"/>
      <c r="L2096" s="74">
        <f t="shared" si="34"/>
        <v>4180</v>
      </c>
    </row>
    <row r="2097" spans="2:12" hidden="1" outlineLevel="1">
      <c r="B2097" s="73">
        <v>2091</v>
      </c>
      <c r="C2097" s="39"/>
      <c r="D2097" s="40"/>
      <c r="E2097" s="34" t="s">
        <v>323</v>
      </c>
      <c r="F2097" s="75" t="s">
        <v>2462</v>
      </c>
      <c r="G2097" s="35" t="s">
        <v>370</v>
      </c>
      <c r="H2097" s="41" t="s">
        <v>371</v>
      </c>
      <c r="I2097" s="44" t="str">
        <f>"0x"&amp;AE_w_WORK!L48</f>
        <v>0x0000</v>
      </c>
      <c r="J2097" s="36">
        <v>42307</v>
      </c>
      <c r="K2097" s="37"/>
      <c r="L2097" s="74">
        <f t="shared" si="34"/>
        <v>4182</v>
      </c>
    </row>
    <row r="2098" spans="2:12" hidden="1" outlineLevel="1">
      <c r="B2098" s="73">
        <v>2092</v>
      </c>
      <c r="C2098" s="39"/>
      <c r="D2098" s="40"/>
      <c r="E2098" s="34" t="s">
        <v>323</v>
      </c>
      <c r="F2098" s="75" t="s">
        <v>2463</v>
      </c>
      <c r="G2098" s="35" t="s">
        <v>370</v>
      </c>
      <c r="H2098" s="41" t="s">
        <v>371</v>
      </c>
      <c r="I2098" s="44" t="str">
        <f>"0x"&amp;AE_w_WORK!L49</f>
        <v>0x0000</v>
      </c>
      <c r="J2098" s="36">
        <v>42308</v>
      </c>
      <c r="K2098" s="37"/>
      <c r="L2098" s="74">
        <f t="shared" si="34"/>
        <v>4184</v>
      </c>
    </row>
    <row r="2099" spans="2:12" hidden="1" outlineLevel="1">
      <c r="B2099" s="73">
        <v>2093</v>
      </c>
      <c r="C2099" s="39"/>
      <c r="D2099" s="40"/>
      <c r="E2099" s="34" t="s">
        <v>323</v>
      </c>
      <c r="F2099" s="75" t="s">
        <v>2464</v>
      </c>
      <c r="G2099" s="35" t="s">
        <v>370</v>
      </c>
      <c r="H2099" s="41" t="s">
        <v>371</v>
      </c>
      <c r="I2099" s="44" t="str">
        <f>"0x"&amp;AE_w_WORK!L50</f>
        <v>0x0000</v>
      </c>
      <c r="J2099" s="36">
        <v>42309</v>
      </c>
      <c r="K2099" s="37"/>
      <c r="L2099" s="74">
        <f t="shared" si="34"/>
        <v>4186</v>
      </c>
    </row>
    <row r="2100" spans="2:12" hidden="1" outlineLevel="1">
      <c r="B2100" s="73">
        <v>2094</v>
      </c>
      <c r="C2100" s="39"/>
      <c r="D2100" s="40"/>
      <c r="E2100" s="34" t="s">
        <v>323</v>
      </c>
      <c r="F2100" s="75" t="s">
        <v>2465</v>
      </c>
      <c r="G2100" s="35" t="s">
        <v>370</v>
      </c>
      <c r="H2100" s="41" t="s">
        <v>371</v>
      </c>
      <c r="I2100" s="44" t="str">
        <f>"0x"&amp;AE_w_WORK!L51</f>
        <v>0x0000</v>
      </c>
      <c r="J2100" s="36">
        <v>42310</v>
      </c>
      <c r="K2100" s="37"/>
      <c r="L2100" s="74">
        <f t="shared" si="34"/>
        <v>4188</v>
      </c>
    </row>
    <row r="2101" spans="2:12" hidden="1" outlineLevel="1">
      <c r="B2101" s="73">
        <v>2095</v>
      </c>
      <c r="C2101" s="39"/>
      <c r="D2101" s="40"/>
      <c r="E2101" s="34" t="s">
        <v>323</v>
      </c>
      <c r="F2101" s="75" t="s">
        <v>2466</v>
      </c>
      <c r="G2101" s="35" t="s">
        <v>370</v>
      </c>
      <c r="H2101" s="41" t="s">
        <v>371</v>
      </c>
      <c r="I2101" s="44" t="str">
        <f>"0x"&amp;AE_w_WORK!L52</f>
        <v>0x0000</v>
      </c>
      <c r="J2101" s="36">
        <v>42311</v>
      </c>
      <c r="K2101" s="37"/>
      <c r="L2101" s="74">
        <f t="shared" si="34"/>
        <v>4190</v>
      </c>
    </row>
    <row r="2102" spans="2:12" hidden="1" outlineLevel="1">
      <c r="B2102" s="73">
        <v>2096</v>
      </c>
      <c r="C2102" s="39"/>
      <c r="D2102" s="40"/>
      <c r="E2102" s="34" t="s">
        <v>323</v>
      </c>
      <c r="F2102" s="75" t="s">
        <v>2467</v>
      </c>
      <c r="G2102" s="35" t="s">
        <v>370</v>
      </c>
      <c r="H2102" s="41" t="s">
        <v>371</v>
      </c>
      <c r="I2102" s="44" t="str">
        <f>"0x"&amp;AE_w_WORK!L53</f>
        <v>0x0000</v>
      </c>
      <c r="J2102" s="36">
        <v>42312</v>
      </c>
      <c r="K2102" s="37"/>
      <c r="L2102" s="74">
        <f t="shared" si="34"/>
        <v>4192</v>
      </c>
    </row>
    <row r="2103" spans="2:12" hidden="1" outlineLevel="1">
      <c r="B2103" s="73">
        <v>2097</v>
      </c>
      <c r="C2103" s="39"/>
      <c r="D2103" s="40"/>
      <c r="E2103" s="34" t="s">
        <v>323</v>
      </c>
      <c r="F2103" s="75" t="s">
        <v>2468</v>
      </c>
      <c r="G2103" s="35" t="s">
        <v>370</v>
      </c>
      <c r="H2103" s="41" t="s">
        <v>371</v>
      </c>
      <c r="I2103" s="44" t="str">
        <f>"0x"&amp;AE_w_WORK!L54</f>
        <v>0x0000</v>
      </c>
      <c r="J2103" s="36">
        <v>42313</v>
      </c>
      <c r="K2103" s="37"/>
      <c r="L2103" s="74">
        <f t="shared" si="34"/>
        <v>4194</v>
      </c>
    </row>
    <row r="2104" spans="2:12" hidden="1" outlineLevel="1">
      <c r="B2104" s="73">
        <v>2098</v>
      </c>
      <c r="C2104" s="39"/>
      <c r="D2104" s="40"/>
      <c r="E2104" s="34" t="s">
        <v>323</v>
      </c>
      <c r="F2104" s="75" t="s">
        <v>2469</v>
      </c>
      <c r="G2104" s="35" t="s">
        <v>370</v>
      </c>
      <c r="H2104" s="41" t="s">
        <v>371</v>
      </c>
      <c r="I2104" s="44" t="str">
        <f>"0x"&amp;AE_w_WORK!L55</f>
        <v>0x0000</v>
      </c>
      <c r="J2104" s="36">
        <v>42314</v>
      </c>
      <c r="K2104" s="37"/>
      <c r="L2104" s="74">
        <f t="shared" si="34"/>
        <v>4196</v>
      </c>
    </row>
    <row r="2105" spans="2:12" hidden="1" outlineLevel="1">
      <c r="B2105" s="73">
        <v>2099</v>
      </c>
      <c r="C2105" s="39"/>
      <c r="D2105" s="40"/>
      <c r="E2105" s="34" t="s">
        <v>323</v>
      </c>
      <c r="F2105" s="75" t="s">
        <v>2470</v>
      </c>
      <c r="G2105" s="35" t="s">
        <v>370</v>
      </c>
      <c r="H2105" s="41" t="s">
        <v>371</v>
      </c>
      <c r="I2105" s="44" t="str">
        <f>"0x"&amp;AE_w_WORK!L56</f>
        <v>0x0000</v>
      </c>
      <c r="J2105" s="36">
        <v>42315</v>
      </c>
      <c r="K2105" s="37"/>
      <c r="L2105" s="74">
        <f t="shared" si="34"/>
        <v>4198</v>
      </c>
    </row>
    <row r="2106" spans="2:12" hidden="1" outlineLevel="1">
      <c r="B2106" s="73">
        <v>2100</v>
      </c>
      <c r="C2106" s="39"/>
      <c r="D2106" s="40"/>
      <c r="E2106" s="34" t="s">
        <v>323</v>
      </c>
      <c r="F2106" s="75" t="s">
        <v>2471</v>
      </c>
      <c r="G2106" s="35" t="s">
        <v>370</v>
      </c>
      <c r="H2106" s="41" t="s">
        <v>371</v>
      </c>
      <c r="I2106" s="44" t="str">
        <f>"0x"&amp;AE_w_WORK!L57</f>
        <v>0x0000</v>
      </c>
      <c r="J2106" s="36">
        <v>42316</v>
      </c>
      <c r="K2106" s="37"/>
      <c r="L2106" s="74">
        <f t="shared" si="34"/>
        <v>4200</v>
      </c>
    </row>
    <row r="2107" spans="2:12" hidden="1" outlineLevel="1">
      <c r="B2107" s="73">
        <v>2101</v>
      </c>
      <c r="C2107" s="39"/>
      <c r="D2107" s="40"/>
      <c r="E2107" s="34" t="s">
        <v>323</v>
      </c>
      <c r="F2107" s="75" t="s">
        <v>2472</v>
      </c>
      <c r="G2107" s="35" t="s">
        <v>370</v>
      </c>
      <c r="H2107" s="41" t="s">
        <v>371</v>
      </c>
      <c r="I2107" s="44" t="str">
        <f>"0x"&amp;AE_w_WORK!L58</f>
        <v>0x0000</v>
      </c>
      <c r="J2107" s="36">
        <v>42317</v>
      </c>
      <c r="K2107" s="37"/>
      <c r="L2107" s="74">
        <f t="shared" si="34"/>
        <v>4202</v>
      </c>
    </row>
    <row r="2108" spans="2:12" hidden="1" outlineLevel="1">
      <c r="B2108" s="73">
        <v>2102</v>
      </c>
      <c r="C2108" s="39"/>
      <c r="D2108" s="40"/>
      <c r="E2108" s="34" t="s">
        <v>323</v>
      </c>
      <c r="F2108" s="75" t="s">
        <v>2473</v>
      </c>
      <c r="G2108" s="35" t="s">
        <v>370</v>
      </c>
      <c r="H2108" s="41" t="s">
        <v>371</v>
      </c>
      <c r="I2108" s="44" t="str">
        <f>"0x"&amp;AE_w_WORK!L59</f>
        <v>0x0000</v>
      </c>
      <c r="J2108" s="36">
        <v>42318</v>
      </c>
      <c r="K2108" s="37"/>
      <c r="L2108" s="74">
        <f t="shared" si="34"/>
        <v>4204</v>
      </c>
    </row>
    <row r="2109" spans="2:12" hidden="1" outlineLevel="1">
      <c r="B2109" s="73">
        <v>2103</v>
      </c>
      <c r="C2109" s="39"/>
      <c r="D2109" s="40"/>
      <c r="E2109" s="34" t="s">
        <v>323</v>
      </c>
      <c r="F2109" s="75" t="s">
        <v>2474</v>
      </c>
      <c r="G2109" s="35" t="s">
        <v>370</v>
      </c>
      <c r="H2109" s="41" t="s">
        <v>371</v>
      </c>
      <c r="I2109" s="44" t="str">
        <f>"0x"&amp;AE_w_WORK!L60</f>
        <v>0x0000</v>
      </c>
      <c r="J2109" s="36">
        <v>42319</v>
      </c>
      <c r="K2109" s="37"/>
      <c r="L2109" s="74">
        <f t="shared" si="34"/>
        <v>4206</v>
      </c>
    </row>
    <row r="2110" spans="2:12" hidden="1" outlineLevel="1">
      <c r="B2110" s="73">
        <v>2104</v>
      </c>
      <c r="C2110" s="39"/>
      <c r="D2110" s="40"/>
      <c r="E2110" s="34" t="s">
        <v>323</v>
      </c>
      <c r="F2110" s="75" t="s">
        <v>2475</v>
      </c>
      <c r="G2110" s="35" t="s">
        <v>370</v>
      </c>
      <c r="H2110" s="41" t="s">
        <v>371</v>
      </c>
      <c r="I2110" s="44" t="str">
        <f>"0x"&amp;AE_w_WORK!L61</f>
        <v>0x0000</v>
      </c>
      <c r="J2110" s="36">
        <v>42320</v>
      </c>
      <c r="K2110" s="37"/>
      <c r="L2110" s="74">
        <f t="shared" si="34"/>
        <v>4208</v>
      </c>
    </row>
    <row r="2111" spans="2:12" hidden="1" outlineLevel="1">
      <c r="B2111" s="73">
        <v>2105</v>
      </c>
      <c r="C2111" s="39"/>
      <c r="D2111" s="40"/>
      <c r="E2111" s="34" t="s">
        <v>323</v>
      </c>
      <c r="F2111" s="75" t="s">
        <v>2476</v>
      </c>
      <c r="G2111" s="35" t="s">
        <v>370</v>
      </c>
      <c r="H2111" s="41" t="s">
        <v>371</v>
      </c>
      <c r="I2111" s="44" t="str">
        <f>"0x"&amp;AE_w_WORK!L62</f>
        <v>0x0000</v>
      </c>
      <c r="J2111" s="36">
        <v>42321</v>
      </c>
      <c r="K2111" s="37"/>
      <c r="L2111" s="74">
        <f t="shared" si="34"/>
        <v>4210</v>
      </c>
    </row>
    <row r="2112" spans="2:12" hidden="1" outlineLevel="1">
      <c r="B2112" s="73">
        <v>2106</v>
      </c>
      <c r="C2112" s="39"/>
      <c r="D2112" s="40"/>
      <c r="E2112" s="34" t="s">
        <v>323</v>
      </c>
      <c r="F2112" s="75" t="s">
        <v>2477</v>
      </c>
      <c r="G2112" s="35" t="s">
        <v>370</v>
      </c>
      <c r="H2112" s="41" t="s">
        <v>371</v>
      </c>
      <c r="I2112" s="44" t="str">
        <f>"0x"&amp;AE_w_WORK!L63</f>
        <v>0x0000</v>
      </c>
      <c r="J2112" s="36">
        <v>42322</v>
      </c>
      <c r="K2112" s="37"/>
      <c r="L2112" s="74">
        <f t="shared" si="34"/>
        <v>4212</v>
      </c>
    </row>
    <row r="2113" spans="2:12" hidden="1" outlineLevel="1">
      <c r="B2113" s="73">
        <v>2107</v>
      </c>
      <c r="C2113" s="39"/>
      <c r="D2113" s="40"/>
      <c r="E2113" s="34" t="s">
        <v>323</v>
      </c>
      <c r="F2113" s="75" t="s">
        <v>2478</v>
      </c>
      <c r="G2113" s="35" t="s">
        <v>370</v>
      </c>
      <c r="H2113" s="41" t="s">
        <v>371</v>
      </c>
      <c r="I2113" s="44" t="str">
        <f>"0x"&amp;AE_w_WORK!L64</f>
        <v>0x0000</v>
      </c>
      <c r="J2113" s="36">
        <v>42323</v>
      </c>
      <c r="K2113" s="37"/>
      <c r="L2113" s="74">
        <f t="shared" si="34"/>
        <v>4214</v>
      </c>
    </row>
    <row r="2114" spans="2:12" hidden="1" outlineLevel="1">
      <c r="B2114" s="73">
        <v>2108</v>
      </c>
      <c r="C2114" s="39"/>
      <c r="D2114" s="40"/>
      <c r="E2114" s="34" t="s">
        <v>323</v>
      </c>
      <c r="F2114" s="75" t="s">
        <v>2479</v>
      </c>
      <c r="G2114" s="35" t="s">
        <v>370</v>
      </c>
      <c r="H2114" s="41" t="s">
        <v>371</v>
      </c>
      <c r="I2114" s="44" t="str">
        <f>"0x"&amp;AE_w_WORK!L65</f>
        <v>0x0000</v>
      </c>
      <c r="J2114" s="36">
        <v>42324</v>
      </c>
      <c r="K2114" s="37"/>
      <c r="L2114" s="74">
        <f t="shared" si="34"/>
        <v>4216</v>
      </c>
    </row>
    <row r="2115" spans="2:12" hidden="1" outlineLevel="1">
      <c r="B2115" s="73">
        <v>2109</v>
      </c>
      <c r="C2115" s="39"/>
      <c r="D2115" s="40"/>
      <c r="E2115" s="34" t="s">
        <v>323</v>
      </c>
      <c r="F2115" s="75" t="s">
        <v>2480</v>
      </c>
      <c r="G2115" s="35" t="s">
        <v>370</v>
      </c>
      <c r="H2115" s="41" t="s">
        <v>371</v>
      </c>
      <c r="I2115" s="44" t="str">
        <f>"0x"&amp;AE_w_WORK!L66</f>
        <v>0x0000</v>
      </c>
      <c r="J2115" s="36">
        <v>42325</v>
      </c>
      <c r="K2115" s="37"/>
      <c r="L2115" s="74">
        <f t="shared" si="34"/>
        <v>4218</v>
      </c>
    </row>
    <row r="2116" spans="2:12" hidden="1" outlineLevel="1">
      <c r="B2116" s="73">
        <v>2110</v>
      </c>
      <c r="C2116" s="39"/>
      <c r="D2116" s="40"/>
      <c r="E2116" s="34" t="s">
        <v>323</v>
      </c>
      <c r="F2116" s="75" t="s">
        <v>2481</v>
      </c>
      <c r="G2116" s="35" t="s">
        <v>370</v>
      </c>
      <c r="H2116" s="41" t="s">
        <v>371</v>
      </c>
      <c r="I2116" s="44" t="str">
        <f>"0x"&amp;AE_w_WORK!L67</f>
        <v>0x0000</v>
      </c>
      <c r="J2116" s="36">
        <v>42326</v>
      </c>
      <c r="K2116" s="37"/>
      <c r="L2116" s="74">
        <f t="shared" si="34"/>
        <v>4220</v>
      </c>
    </row>
    <row r="2117" spans="2:12" hidden="1" outlineLevel="1">
      <c r="B2117" s="73">
        <v>2111</v>
      </c>
      <c r="C2117" s="39"/>
      <c r="D2117" s="40"/>
      <c r="E2117" s="34" t="s">
        <v>323</v>
      </c>
      <c r="F2117" s="75" t="s">
        <v>2482</v>
      </c>
      <c r="G2117" s="35" t="s">
        <v>370</v>
      </c>
      <c r="H2117" s="41" t="s">
        <v>371</v>
      </c>
      <c r="I2117" s="44" t="str">
        <f>"0x"&amp;AE_w_WORK!L68</f>
        <v>0x0000</v>
      </c>
      <c r="J2117" s="36">
        <v>42327</v>
      </c>
      <c r="K2117" s="37"/>
      <c r="L2117" s="74">
        <f t="shared" si="34"/>
        <v>4222</v>
      </c>
    </row>
    <row r="2118" spans="2:12" hidden="1" outlineLevel="1">
      <c r="B2118" s="73">
        <v>2112</v>
      </c>
      <c r="C2118" s="39"/>
      <c r="D2118" s="40"/>
      <c r="E2118" s="34" t="s">
        <v>323</v>
      </c>
      <c r="F2118" s="75" t="s">
        <v>2483</v>
      </c>
      <c r="G2118" s="35" t="s">
        <v>370</v>
      </c>
      <c r="H2118" s="41" t="s">
        <v>371</v>
      </c>
      <c r="I2118" s="44" t="str">
        <f>"0x"&amp;AE_w_WORK!L69</f>
        <v>0x0000</v>
      </c>
      <c r="J2118" s="36">
        <v>42328</v>
      </c>
      <c r="K2118" s="37"/>
      <c r="L2118" s="74">
        <f t="shared" si="34"/>
        <v>4224</v>
      </c>
    </row>
    <row r="2119" spans="2:12" hidden="1" outlineLevel="1">
      <c r="B2119" s="73">
        <v>2113</v>
      </c>
      <c r="C2119" s="39"/>
      <c r="D2119" s="40"/>
      <c r="E2119" s="34" t="s">
        <v>323</v>
      </c>
      <c r="F2119" s="75" t="s">
        <v>2484</v>
      </c>
      <c r="G2119" s="35" t="s">
        <v>370</v>
      </c>
      <c r="H2119" s="41" t="s">
        <v>371</v>
      </c>
      <c r="I2119" s="44" t="str">
        <f>"0x"&amp;AE_w_WORK!L70</f>
        <v>0x0000</v>
      </c>
      <c r="J2119" s="36">
        <v>42329</v>
      </c>
      <c r="K2119" s="37"/>
      <c r="L2119" s="74">
        <f t="shared" si="34"/>
        <v>4226</v>
      </c>
    </row>
    <row r="2120" spans="2:12" hidden="1" outlineLevel="1">
      <c r="B2120" s="73">
        <v>2114</v>
      </c>
      <c r="C2120" s="39"/>
      <c r="D2120" s="40"/>
      <c r="E2120" s="34" t="s">
        <v>323</v>
      </c>
      <c r="F2120" s="75" t="s">
        <v>2485</v>
      </c>
      <c r="G2120" s="35" t="s">
        <v>370</v>
      </c>
      <c r="H2120" s="41" t="s">
        <v>371</v>
      </c>
      <c r="I2120" s="44" t="str">
        <f>"0x"&amp;AE_w_WORK!L71</f>
        <v>0x0000</v>
      </c>
      <c r="J2120" s="36">
        <v>42330</v>
      </c>
      <c r="K2120" s="37"/>
      <c r="L2120" s="74">
        <f t="shared" si="34"/>
        <v>4228</v>
      </c>
    </row>
    <row r="2121" spans="2:12" hidden="1" outlineLevel="1">
      <c r="B2121" s="73">
        <v>2115</v>
      </c>
      <c r="C2121" s="39"/>
      <c r="D2121" s="40"/>
      <c r="E2121" s="34" t="s">
        <v>323</v>
      </c>
      <c r="F2121" s="75" t="s">
        <v>2486</v>
      </c>
      <c r="G2121" s="35" t="s">
        <v>370</v>
      </c>
      <c r="H2121" s="41" t="s">
        <v>371</v>
      </c>
      <c r="I2121" s="44" t="str">
        <f>"0x"&amp;AE_w_WORK!L72</f>
        <v>0x0000</v>
      </c>
      <c r="J2121" s="36">
        <v>42331</v>
      </c>
      <c r="K2121" s="37"/>
      <c r="L2121" s="74">
        <f t="shared" ref="L2121:L2184" si="35">L2120+2</f>
        <v>4230</v>
      </c>
    </row>
    <row r="2122" spans="2:12" hidden="1" outlineLevel="1">
      <c r="B2122" s="73">
        <v>2116</v>
      </c>
      <c r="C2122" s="39"/>
      <c r="D2122" s="40"/>
      <c r="E2122" s="34" t="s">
        <v>323</v>
      </c>
      <c r="F2122" s="75" t="s">
        <v>2487</v>
      </c>
      <c r="G2122" s="35" t="s">
        <v>370</v>
      </c>
      <c r="H2122" s="41" t="s">
        <v>371</v>
      </c>
      <c r="I2122" s="44" t="str">
        <f>"0x"&amp;AE_w_WORK!L73</f>
        <v>0x0000</v>
      </c>
      <c r="J2122" s="36">
        <v>42332</v>
      </c>
      <c r="K2122" s="37"/>
      <c r="L2122" s="74">
        <f t="shared" si="35"/>
        <v>4232</v>
      </c>
    </row>
    <row r="2123" spans="2:12" hidden="1" outlineLevel="1">
      <c r="B2123" s="73">
        <v>2117</v>
      </c>
      <c r="C2123" s="39"/>
      <c r="D2123" s="40"/>
      <c r="E2123" s="34" t="s">
        <v>323</v>
      </c>
      <c r="F2123" s="75" t="s">
        <v>2488</v>
      </c>
      <c r="G2123" s="35" t="s">
        <v>370</v>
      </c>
      <c r="H2123" s="41" t="s">
        <v>371</v>
      </c>
      <c r="I2123" s="44" t="str">
        <f>"0x"&amp;AE_w_WORK!L74</f>
        <v>0x0000</v>
      </c>
      <c r="J2123" s="36">
        <v>42333</v>
      </c>
      <c r="K2123" s="37"/>
      <c r="L2123" s="74">
        <f t="shared" si="35"/>
        <v>4234</v>
      </c>
    </row>
    <row r="2124" spans="2:12" hidden="1" outlineLevel="1">
      <c r="B2124" s="73">
        <v>2118</v>
      </c>
      <c r="C2124" s="39"/>
      <c r="D2124" s="40"/>
      <c r="E2124" s="34" t="s">
        <v>323</v>
      </c>
      <c r="F2124" s="75" t="s">
        <v>2489</v>
      </c>
      <c r="G2124" s="35" t="s">
        <v>370</v>
      </c>
      <c r="H2124" s="41" t="s">
        <v>371</v>
      </c>
      <c r="I2124" s="44" t="str">
        <f>"0x"&amp;AE_w_WORK!L75</f>
        <v>0x0000</v>
      </c>
      <c r="J2124" s="36">
        <v>42334</v>
      </c>
      <c r="K2124" s="37"/>
      <c r="L2124" s="74">
        <f t="shared" si="35"/>
        <v>4236</v>
      </c>
    </row>
    <row r="2125" spans="2:12" hidden="1" outlineLevel="1">
      <c r="B2125" s="73">
        <v>2119</v>
      </c>
      <c r="C2125" s="39"/>
      <c r="D2125" s="40"/>
      <c r="E2125" s="34" t="s">
        <v>323</v>
      </c>
      <c r="F2125" s="75" t="s">
        <v>2490</v>
      </c>
      <c r="G2125" s="35" t="s">
        <v>370</v>
      </c>
      <c r="H2125" s="41" t="s">
        <v>371</v>
      </c>
      <c r="I2125" s="44" t="str">
        <f>"0x"&amp;AE_w_WORK!L76</f>
        <v>0x0000</v>
      </c>
      <c r="J2125" s="36">
        <v>42335</v>
      </c>
      <c r="K2125" s="37"/>
      <c r="L2125" s="74">
        <f t="shared" si="35"/>
        <v>4238</v>
      </c>
    </row>
    <row r="2126" spans="2:12" hidden="1" outlineLevel="1">
      <c r="B2126" s="73">
        <v>2120</v>
      </c>
      <c r="C2126" s="39"/>
      <c r="D2126" s="40"/>
      <c r="E2126" s="34" t="s">
        <v>323</v>
      </c>
      <c r="F2126" s="75" t="s">
        <v>2491</v>
      </c>
      <c r="G2126" s="35" t="s">
        <v>370</v>
      </c>
      <c r="H2126" s="41" t="s">
        <v>371</v>
      </c>
      <c r="I2126" s="44" t="str">
        <f>"0x"&amp;AE_w_WORK!L77</f>
        <v>0x0000</v>
      </c>
      <c r="J2126" s="36">
        <v>42336</v>
      </c>
      <c r="K2126" s="37"/>
      <c r="L2126" s="74">
        <f t="shared" si="35"/>
        <v>4240</v>
      </c>
    </row>
    <row r="2127" spans="2:12" hidden="1" outlineLevel="1">
      <c r="B2127" s="73">
        <v>2121</v>
      </c>
      <c r="C2127" s="39"/>
      <c r="D2127" s="40"/>
      <c r="E2127" s="34" t="s">
        <v>323</v>
      </c>
      <c r="F2127" s="75" t="s">
        <v>2492</v>
      </c>
      <c r="G2127" s="35" t="s">
        <v>370</v>
      </c>
      <c r="H2127" s="41" t="s">
        <v>371</v>
      </c>
      <c r="I2127" s="44" t="str">
        <f>"0x"&amp;AE_w_WORK!L78</f>
        <v>0x0000</v>
      </c>
      <c r="J2127" s="36">
        <v>42337</v>
      </c>
      <c r="K2127" s="37"/>
      <c r="L2127" s="74">
        <f t="shared" si="35"/>
        <v>4242</v>
      </c>
    </row>
    <row r="2128" spans="2:12" hidden="1" outlineLevel="1">
      <c r="B2128" s="73">
        <v>2122</v>
      </c>
      <c r="C2128" s="39"/>
      <c r="D2128" s="40"/>
      <c r="E2128" s="34" t="s">
        <v>323</v>
      </c>
      <c r="F2128" s="75" t="s">
        <v>2493</v>
      </c>
      <c r="G2128" s="35" t="s">
        <v>370</v>
      </c>
      <c r="H2128" s="41" t="s">
        <v>371</v>
      </c>
      <c r="I2128" s="44" t="str">
        <f>"0x"&amp;AE_w_WORK!L79</f>
        <v>0x0000</v>
      </c>
      <c r="J2128" s="36">
        <v>42338</v>
      </c>
      <c r="K2128" s="37"/>
      <c r="L2128" s="74">
        <f t="shared" si="35"/>
        <v>4244</v>
      </c>
    </row>
    <row r="2129" spans="2:12" hidden="1" outlineLevel="1">
      <c r="B2129" s="73">
        <v>2123</v>
      </c>
      <c r="C2129" s="39"/>
      <c r="D2129" s="40"/>
      <c r="E2129" s="34" t="s">
        <v>323</v>
      </c>
      <c r="F2129" s="75" t="s">
        <v>2494</v>
      </c>
      <c r="G2129" s="35" t="s">
        <v>370</v>
      </c>
      <c r="H2129" s="41" t="s">
        <v>371</v>
      </c>
      <c r="I2129" s="44" t="str">
        <f>"0x"&amp;AE_w_WORK!L80</f>
        <v>0x0000</v>
      </c>
      <c r="J2129" s="36">
        <v>42339</v>
      </c>
      <c r="K2129" s="37"/>
      <c r="L2129" s="74">
        <f t="shared" si="35"/>
        <v>4246</v>
      </c>
    </row>
    <row r="2130" spans="2:12" hidden="1" outlineLevel="1">
      <c r="B2130" s="73">
        <v>2124</v>
      </c>
      <c r="C2130" s="39"/>
      <c r="D2130" s="40"/>
      <c r="E2130" s="34" t="s">
        <v>323</v>
      </c>
      <c r="F2130" s="75" t="s">
        <v>2495</v>
      </c>
      <c r="G2130" s="35" t="s">
        <v>370</v>
      </c>
      <c r="H2130" s="41" t="s">
        <v>371</v>
      </c>
      <c r="I2130" s="44" t="str">
        <f>"0x"&amp;AE_w_WORK!L81</f>
        <v>0x0000</v>
      </c>
      <c r="J2130" s="36">
        <v>42340</v>
      </c>
      <c r="K2130" s="37"/>
      <c r="L2130" s="74">
        <f t="shared" si="35"/>
        <v>4248</v>
      </c>
    </row>
    <row r="2131" spans="2:12" hidden="1" outlineLevel="1">
      <c r="B2131" s="73">
        <v>2125</v>
      </c>
      <c r="C2131" s="39"/>
      <c r="D2131" s="40"/>
      <c r="E2131" s="34" t="s">
        <v>323</v>
      </c>
      <c r="F2131" s="75" t="s">
        <v>2496</v>
      </c>
      <c r="G2131" s="35" t="s">
        <v>370</v>
      </c>
      <c r="H2131" s="41" t="s">
        <v>371</v>
      </c>
      <c r="I2131" s="44" t="str">
        <f>"0x"&amp;AE_w_WORK!L82</f>
        <v>0x0000</v>
      </c>
      <c r="J2131" s="36">
        <v>42341</v>
      </c>
      <c r="K2131" s="37"/>
      <c r="L2131" s="74">
        <f t="shared" si="35"/>
        <v>4250</v>
      </c>
    </row>
    <row r="2132" spans="2:12" hidden="1" outlineLevel="1">
      <c r="B2132" s="73">
        <v>2126</v>
      </c>
      <c r="C2132" s="39"/>
      <c r="D2132" s="40"/>
      <c r="E2132" s="34" t="s">
        <v>323</v>
      </c>
      <c r="F2132" s="75" t="s">
        <v>2497</v>
      </c>
      <c r="G2132" s="35" t="s">
        <v>370</v>
      </c>
      <c r="H2132" s="41" t="s">
        <v>371</v>
      </c>
      <c r="I2132" s="44" t="str">
        <f>"0x"&amp;AE_w_WORK!L83</f>
        <v>0x0000</v>
      </c>
      <c r="J2132" s="36">
        <v>42342</v>
      </c>
      <c r="K2132" s="37"/>
      <c r="L2132" s="74">
        <f t="shared" si="35"/>
        <v>4252</v>
      </c>
    </row>
    <row r="2133" spans="2:12" hidden="1" outlineLevel="1">
      <c r="B2133" s="73">
        <v>2127</v>
      </c>
      <c r="C2133" s="39"/>
      <c r="D2133" s="40"/>
      <c r="E2133" s="34" t="s">
        <v>323</v>
      </c>
      <c r="F2133" s="75" t="s">
        <v>2498</v>
      </c>
      <c r="G2133" s="35" t="s">
        <v>370</v>
      </c>
      <c r="H2133" s="41" t="s">
        <v>371</v>
      </c>
      <c r="I2133" s="44" t="str">
        <f>"0x"&amp;AE_w_WORK!L84</f>
        <v>0x0000</v>
      </c>
      <c r="J2133" s="36">
        <v>42343</v>
      </c>
      <c r="K2133" s="37"/>
      <c r="L2133" s="74">
        <f t="shared" si="35"/>
        <v>4254</v>
      </c>
    </row>
    <row r="2134" spans="2:12" hidden="1" outlineLevel="1">
      <c r="B2134" s="73">
        <v>2128</v>
      </c>
      <c r="C2134" s="39"/>
      <c r="D2134" s="40"/>
      <c r="E2134" s="34" t="s">
        <v>323</v>
      </c>
      <c r="F2134" s="75" t="s">
        <v>2499</v>
      </c>
      <c r="G2134" s="35" t="s">
        <v>370</v>
      </c>
      <c r="H2134" s="41" t="s">
        <v>371</v>
      </c>
      <c r="I2134" s="44" t="str">
        <f>"0x"&amp;AE_w_WORK!L85</f>
        <v>0x0000</v>
      </c>
      <c r="J2134" s="36">
        <v>42344</v>
      </c>
      <c r="K2134" s="37"/>
      <c r="L2134" s="74">
        <f t="shared" si="35"/>
        <v>4256</v>
      </c>
    </row>
    <row r="2135" spans="2:12" hidden="1" outlineLevel="1">
      <c r="B2135" s="73">
        <v>2129</v>
      </c>
      <c r="C2135" s="39"/>
      <c r="D2135" s="40"/>
      <c r="E2135" s="34" t="s">
        <v>323</v>
      </c>
      <c r="F2135" s="75" t="s">
        <v>2500</v>
      </c>
      <c r="G2135" s="35" t="s">
        <v>370</v>
      </c>
      <c r="H2135" s="41" t="s">
        <v>371</v>
      </c>
      <c r="I2135" s="44" t="str">
        <f>"0x"&amp;AE_w_WORK!L86</f>
        <v>0x0000</v>
      </c>
      <c r="J2135" s="36">
        <v>42345</v>
      </c>
      <c r="K2135" s="37"/>
      <c r="L2135" s="74">
        <f t="shared" si="35"/>
        <v>4258</v>
      </c>
    </row>
    <row r="2136" spans="2:12" hidden="1" outlineLevel="1">
      <c r="B2136" s="73">
        <v>2130</v>
      </c>
      <c r="C2136" s="39"/>
      <c r="D2136" s="40"/>
      <c r="E2136" s="34" t="s">
        <v>323</v>
      </c>
      <c r="F2136" s="75" t="s">
        <v>2501</v>
      </c>
      <c r="G2136" s="35" t="s">
        <v>370</v>
      </c>
      <c r="H2136" s="41" t="s">
        <v>371</v>
      </c>
      <c r="I2136" s="44" t="str">
        <f>"0x"&amp;AE_w_WORK!L87</f>
        <v>0x0000</v>
      </c>
      <c r="J2136" s="36">
        <v>42346</v>
      </c>
      <c r="K2136" s="37"/>
      <c r="L2136" s="74">
        <f t="shared" si="35"/>
        <v>4260</v>
      </c>
    </row>
    <row r="2137" spans="2:12" hidden="1" outlineLevel="1">
      <c r="B2137" s="73">
        <v>2131</v>
      </c>
      <c r="C2137" s="39"/>
      <c r="D2137" s="40"/>
      <c r="E2137" s="34" t="s">
        <v>323</v>
      </c>
      <c r="F2137" s="75" t="s">
        <v>2502</v>
      </c>
      <c r="G2137" s="35" t="s">
        <v>370</v>
      </c>
      <c r="H2137" s="41" t="s">
        <v>371</v>
      </c>
      <c r="I2137" s="44" t="str">
        <f>"0x"&amp;AE_w_WORK!L88</f>
        <v>0x0000</v>
      </c>
      <c r="J2137" s="36">
        <v>42347</v>
      </c>
      <c r="K2137" s="37"/>
      <c r="L2137" s="74">
        <f t="shared" si="35"/>
        <v>4262</v>
      </c>
    </row>
    <row r="2138" spans="2:12" hidden="1" outlineLevel="1">
      <c r="B2138" s="73">
        <v>2132</v>
      </c>
      <c r="C2138" s="39"/>
      <c r="D2138" s="40"/>
      <c r="E2138" s="34" t="s">
        <v>323</v>
      </c>
      <c r="F2138" s="75" t="s">
        <v>2503</v>
      </c>
      <c r="G2138" s="35" t="s">
        <v>370</v>
      </c>
      <c r="H2138" s="41" t="s">
        <v>371</v>
      </c>
      <c r="I2138" s="44" t="str">
        <f>"0x"&amp;AE_w_WORK!L89</f>
        <v>0x0000</v>
      </c>
      <c r="J2138" s="36">
        <v>42348</v>
      </c>
      <c r="K2138" s="37"/>
      <c r="L2138" s="74">
        <f t="shared" si="35"/>
        <v>4264</v>
      </c>
    </row>
    <row r="2139" spans="2:12" hidden="1" outlineLevel="1">
      <c r="B2139" s="73">
        <v>2133</v>
      </c>
      <c r="C2139" s="39"/>
      <c r="D2139" s="40"/>
      <c r="E2139" s="34" t="s">
        <v>323</v>
      </c>
      <c r="F2139" s="75" t="s">
        <v>2504</v>
      </c>
      <c r="G2139" s="35" t="s">
        <v>370</v>
      </c>
      <c r="H2139" s="41" t="s">
        <v>371</v>
      </c>
      <c r="I2139" s="44" t="str">
        <f>"0x"&amp;AE_w_WORK!L90</f>
        <v>0x0000</v>
      </c>
      <c r="J2139" s="36">
        <v>42349</v>
      </c>
      <c r="K2139" s="37"/>
      <c r="L2139" s="74">
        <f t="shared" si="35"/>
        <v>4266</v>
      </c>
    </row>
    <row r="2140" spans="2:12" hidden="1" outlineLevel="1">
      <c r="B2140" s="73">
        <v>2134</v>
      </c>
      <c r="C2140" s="39"/>
      <c r="D2140" s="40"/>
      <c r="E2140" s="34" t="s">
        <v>323</v>
      </c>
      <c r="F2140" s="75" t="s">
        <v>2505</v>
      </c>
      <c r="G2140" s="35" t="s">
        <v>370</v>
      </c>
      <c r="H2140" s="41" t="s">
        <v>371</v>
      </c>
      <c r="I2140" s="44" t="str">
        <f>"0x"&amp;AE_w_WORK!L91</f>
        <v>0x0000</v>
      </c>
      <c r="J2140" s="36">
        <v>42350</v>
      </c>
      <c r="K2140" s="37"/>
      <c r="L2140" s="74">
        <f t="shared" si="35"/>
        <v>4268</v>
      </c>
    </row>
    <row r="2141" spans="2:12" hidden="1" outlineLevel="1">
      <c r="B2141" s="73">
        <v>2135</v>
      </c>
      <c r="C2141" s="39"/>
      <c r="D2141" s="40"/>
      <c r="E2141" s="34" t="s">
        <v>323</v>
      </c>
      <c r="F2141" s="75" t="s">
        <v>2506</v>
      </c>
      <c r="G2141" s="35" t="s">
        <v>370</v>
      </c>
      <c r="H2141" s="41" t="s">
        <v>371</v>
      </c>
      <c r="I2141" s="44" t="str">
        <f>"0x"&amp;AE_w_WORK!L92</f>
        <v>0x0000</v>
      </c>
      <c r="J2141" s="36">
        <v>42351</v>
      </c>
      <c r="K2141" s="37"/>
      <c r="L2141" s="74">
        <f t="shared" si="35"/>
        <v>4270</v>
      </c>
    </row>
    <row r="2142" spans="2:12" hidden="1" outlineLevel="1">
      <c r="B2142" s="73">
        <v>2136</v>
      </c>
      <c r="C2142" s="39"/>
      <c r="D2142" s="40"/>
      <c r="E2142" s="34" t="s">
        <v>323</v>
      </c>
      <c r="F2142" s="75" t="s">
        <v>2507</v>
      </c>
      <c r="G2142" s="35" t="s">
        <v>370</v>
      </c>
      <c r="H2142" s="41" t="s">
        <v>371</v>
      </c>
      <c r="I2142" s="44" t="str">
        <f>"0x"&amp;AE_w_WORK!L93</f>
        <v>0x0000</v>
      </c>
      <c r="J2142" s="36">
        <v>42352</v>
      </c>
      <c r="K2142" s="37"/>
      <c r="L2142" s="74">
        <f t="shared" si="35"/>
        <v>4272</v>
      </c>
    </row>
    <row r="2143" spans="2:12" hidden="1" outlineLevel="1">
      <c r="B2143" s="73">
        <v>2137</v>
      </c>
      <c r="C2143" s="39"/>
      <c r="D2143" s="40"/>
      <c r="E2143" s="34" t="s">
        <v>323</v>
      </c>
      <c r="F2143" s="75" t="s">
        <v>2508</v>
      </c>
      <c r="G2143" s="35" t="s">
        <v>370</v>
      </c>
      <c r="H2143" s="41" t="s">
        <v>371</v>
      </c>
      <c r="I2143" s="44" t="str">
        <f>"0x"&amp;AE_w_WORK!L94</f>
        <v>0x0000</v>
      </c>
      <c r="J2143" s="36">
        <v>42353</v>
      </c>
      <c r="K2143" s="37"/>
      <c r="L2143" s="74">
        <f t="shared" si="35"/>
        <v>4274</v>
      </c>
    </row>
    <row r="2144" spans="2:12" hidden="1" outlineLevel="1">
      <c r="B2144" s="73">
        <v>2138</v>
      </c>
      <c r="C2144" s="39"/>
      <c r="D2144" s="40"/>
      <c r="E2144" s="34" t="s">
        <v>323</v>
      </c>
      <c r="F2144" s="75" t="s">
        <v>2509</v>
      </c>
      <c r="G2144" s="35" t="s">
        <v>370</v>
      </c>
      <c r="H2144" s="41" t="s">
        <v>371</v>
      </c>
      <c r="I2144" s="44" t="str">
        <f>"0x"&amp;AE_w_WORK!L95</f>
        <v>0x0000</v>
      </c>
      <c r="J2144" s="36">
        <v>42354</v>
      </c>
      <c r="K2144" s="37"/>
      <c r="L2144" s="74">
        <f t="shared" si="35"/>
        <v>4276</v>
      </c>
    </row>
    <row r="2145" spans="2:12" hidden="1" outlineLevel="1">
      <c r="B2145" s="73">
        <v>2139</v>
      </c>
      <c r="C2145" s="39"/>
      <c r="D2145" s="40"/>
      <c r="E2145" s="34" t="s">
        <v>323</v>
      </c>
      <c r="F2145" s="75" t="s">
        <v>2510</v>
      </c>
      <c r="G2145" s="35" t="s">
        <v>370</v>
      </c>
      <c r="H2145" s="41" t="s">
        <v>371</v>
      </c>
      <c r="I2145" s="44" t="str">
        <f>"0x"&amp;AE_w_WORK!L96</f>
        <v>0x0000</v>
      </c>
      <c r="J2145" s="36">
        <v>42355</v>
      </c>
      <c r="K2145" s="37"/>
      <c r="L2145" s="74">
        <f t="shared" si="35"/>
        <v>4278</v>
      </c>
    </row>
    <row r="2146" spans="2:12" hidden="1" outlineLevel="1">
      <c r="B2146" s="73">
        <v>2140</v>
      </c>
      <c r="C2146" s="39"/>
      <c r="D2146" s="40"/>
      <c r="E2146" s="34" t="s">
        <v>323</v>
      </c>
      <c r="F2146" s="75" t="s">
        <v>2511</v>
      </c>
      <c r="G2146" s="35" t="s">
        <v>370</v>
      </c>
      <c r="H2146" s="41" t="s">
        <v>371</v>
      </c>
      <c r="I2146" s="44" t="str">
        <f>"0x"&amp;AE_w_WORK!L97</f>
        <v>0x1100</v>
      </c>
      <c r="J2146" s="36">
        <v>42356</v>
      </c>
      <c r="K2146" s="37"/>
      <c r="L2146" s="74">
        <f t="shared" si="35"/>
        <v>4280</v>
      </c>
    </row>
    <row r="2147" spans="2:12" hidden="1" outlineLevel="1">
      <c r="B2147" s="73">
        <v>2141</v>
      </c>
      <c r="C2147" s="39"/>
      <c r="D2147" s="40"/>
      <c r="E2147" s="34" t="s">
        <v>323</v>
      </c>
      <c r="F2147" s="75" t="s">
        <v>2512</v>
      </c>
      <c r="G2147" s="35" t="s">
        <v>370</v>
      </c>
      <c r="H2147" s="41" t="s">
        <v>371</v>
      </c>
      <c r="I2147" s="44" t="str">
        <f>"0x"&amp;AE_w_WORK!L98</f>
        <v>0x0011</v>
      </c>
      <c r="J2147" s="36">
        <v>42357</v>
      </c>
      <c r="K2147" s="37"/>
      <c r="L2147" s="74">
        <f t="shared" si="35"/>
        <v>4282</v>
      </c>
    </row>
    <row r="2148" spans="2:12" hidden="1" outlineLevel="1">
      <c r="B2148" s="73">
        <v>2142</v>
      </c>
      <c r="C2148" s="39"/>
      <c r="D2148" s="40"/>
      <c r="E2148" s="34" t="s">
        <v>323</v>
      </c>
      <c r="F2148" s="75" t="s">
        <v>2513</v>
      </c>
      <c r="G2148" s="35" t="s">
        <v>370</v>
      </c>
      <c r="H2148" s="41" t="s">
        <v>371</v>
      </c>
      <c r="I2148" s="44" t="str">
        <f>"0x"&amp;AE_w_WORK!L99</f>
        <v>0x0000</v>
      </c>
      <c r="J2148" s="36">
        <v>42358</v>
      </c>
      <c r="K2148" s="37"/>
      <c r="L2148" s="74">
        <f t="shared" si="35"/>
        <v>4284</v>
      </c>
    </row>
    <row r="2149" spans="2:12" hidden="1" outlineLevel="1">
      <c r="B2149" s="73">
        <v>2143</v>
      </c>
      <c r="C2149" s="39"/>
      <c r="D2149" s="40"/>
      <c r="E2149" s="34" t="s">
        <v>323</v>
      </c>
      <c r="F2149" s="75" t="s">
        <v>2514</v>
      </c>
      <c r="G2149" s="35" t="s">
        <v>370</v>
      </c>
      <c r="H2149" s="41" t="s">
        <v>371</v>
      </c>
      <c r="I2149" s="44" t="str">
        <f>"0x"&amp;AE_w_WORK!L100</f>
        <v>0x0000</v>
      </c>
      <c r="J2149" s="36">
        <v>42359</v>
      </c>
      <c r="K2149" s="37"/>
      <c r="L2149" s="74">
        <f t="shared" si="35"/>
        <v>4286</v>
      </c>
    </row>
    <row r="2150" spans="2:12" hidden="1" outlineLevel="1">
      <c r="B2150" s="73">
        <v>2144</v>
      </c>
      <c r="C2150" s="39"/>
      <c r="D2150" s="40"/>
      <c r="E2150" s="34" t="s">
        <v>323</v>
      </c>
      <c r="F2150" s="75" t="s">
        <v>2515</v>
      </c>
      <c r="G2150" s="35" t="s">
        <v>370</v>
      </c>
      <c r="H2150" s="41" t="s">
        <v>371</v>
      </c>
      <c r="I2150" s="44" t="str">
        <f>"0x"&amp;AE_w_WORK!L101</f>
        <v>0x0000</v>
      </c>
      <c r="J2150" s="36">
        <v>42360</v>
      </c>
      <c r="K2150" s="37"/>
      <c r="L2150" s="74">
        <f t="shared" si="35"/>
        <v>4288</v>
      </c>
    </row>
    <row r="2151" spans="2:12" hidden="1" outlineLevel="1">
      <c r="B2151" s="73">
        <v>2145</v>
      </c>
      <c r="C2151" s="39"/>
      <c r="D2151" s="40"/>
      <c r="E2151" s="34" t="s">
        <v>323</v>
      </c>
      <c r="F2151" s="75" t="s">
        <v>2516</v>
      </c>
      <c r="G2151" s="35" t="s">
        <v>370</v>
      </c>
      <c r="H2151" s="41" t="s">
        <v>371</v>
      </c>
      <c r="I2151" s="44" t="str">
        <f>"0x"&amp;AE_w_WORK!L102</f>
        <v>0x0000</v>
      </c>
      <c r="J2151" s="36">
        <v>42361</v>
      </c>
      <c r="K2151" s="37"/>
      <c r="L2151" s="74">
        <f t="shared" si="35"/>
        <v>4290</v>
      </c>
    </row>
    <row r="2152" spans="2:12" hidden="1" outlineLevel="1">
      <c r="B2152" s="73">
        <v>2146</v>
      </c>
      <c r="C2152" s="39"/>
      <c r="D2152" s="40"/>
      <c r="E2152" s="34" t="s">
        <v>323</v>
      </c>
      <c r="F2152" s="75" t="s">
        <v>2517</v>
      </c>
      <c r="G2152" s="35" t="s">
        <v>370</v>
      </c>
      <c r="H2152" s="41" t="s">
        <v>371</v>
      </c>
      <c r="I2152" s="44" t="str">
        <f>"0x"&amp;AE_w_WORK!L103</f>
        <v>0x0000</v>
      </c>
      <c r="J2152" s="36">
        <v>42362</v>
      </c>
      <c r="K2152" s="37"/>
      <c r="L2152" s="74">
        <f t="shared" si="35"/>
        <v>4292</v>
      </c>
    </row>
    <row r="2153" spans="2:12" hidden="1" outlineLevel="1">
      <c r="B2153" s="73">
        <v>2147</v>
      </c>
      <c r="C2153" s="39"/>
      <c r="D2153" s="40"/>
      <c r="E2153" s="34" t="s">
        <v>323</v>
      </c>
      <c r="F2153" s="75" t="s">
        <v>2518</v>
      </c>
      <c r="G2153" s="35" t="s">
        <v>370</v>
      </c>
      <c r="H2153" s="41" t="s">
        <v>371</v>
      </c>
      <c r="I2153" s="44" t="str">
        <f>"0x"&amp;AE_w_WORK!L104</f>
        <v>0x0000</v>
      </c>
      <c r="J2153" s="36">
        <v>42363</v>
      </c>
      <c r="K2153" s="37"/>
      <c r="L2153" s="74">
        <f t="shared" si="35"/>
        <v>4294</v>
      </c>
    </row>
    <row r="2154" spans="2:12" hidden="1" outlineLevel="1">
      <c r="B2154" s="73">
        <v>2148</v>
      </c>
      <c r="C2154" s="39"/>
      <c r="D2154" s="40"/>
      <c r="E2154" s="34" t="s">
        <v>323</v>
      </c>
      <c r="F2154" s="75" t="s">
        <v>2519</v>
      </c>
      <c r="G2154" s="35" t="s">
        <v>370</v>
      </c>
      <c r="H2154" s="41" t="s">
        <v>371</v>
      </c>
      <c r="I2154" s="44" t="str">
        <f>"0x"&amp;AE_w_WORK!L105</f>
        <v>0x0000</v>
      </c>
      <c r="J2154" s="36">
        <v>42364</v>
      </c>
      <c r="K2154" s="37"/>
      <c r="L2154" s="74">
        <f t="shared" si="35"/>
        <v>4296</v>
      </c>
    </row>
    <row r="2155" spans="2:12" hidden="1" outlineLevel="1">
      <c r="B2155" s="73">
        <v>2149</v>
      </c>
      <c r="C2155" s="39"/>
      <c r="D2155" s="40"/>
      <c r="E2155" s="34" t="s">
        <v>323</v>
      </c>
      <c r="F2155" s="75" t="s">
        <v>2520</v>
      </c>
      <c r="G2155" s="35" t="s">
        <v>370</v>
      </c>
      <c r="H2155" s="41" t="s">
        <v>371</v>
      </c>
      <c r="I2155" s="44" t="str">
        <f>"0x"&amp;AE_w_WORK!L106</f>
        <v>0x0000</v>
      </c>
      <c r="J2155" s="36">
        <v>42365</v>
      </c>
      <c r="K2155" s="37"/>
      <c r="L2155" s="74">
        <f t="shared" si="35"/>
        <v>4298</v>
      </c>
    </row>
    <row r="2156" spans="2:12" hidden="1" outlineLevel="1">
      <c r="B2156" s="73">
        <v>2150</v>
      </c>
      <c r="C2156" s="39"/>
      <c r="D2156" s="40"/>
      <c r="E2156" s="34" t="s">
        <v>323</v>
      </c>
      <c r="F2156" s="75" t="s">
        <v>2521</v>
      </c>
      <c r="G2156" s="35" t="s">
        <v>370</v>
      </c>
      <c r="H2156" s="41" t="s">
        <v>371</v>
      </c>
      <c r="I2156" s="44" t="str">
        <f>"0x"&amp;AE_w_WORK!L107</f>
        <v>0x0000</v>
      </c>
      <c r="J2156" s="36">
        <v>42366</v>
      </c>
      <c r="K2156" s="37"/>
      <c r="L2156" s="74">
        <f t="shared" si="35"/>
        <v>4300</v>
      </c>
    </row>
    <row r="2157" spans="2:12" hidden="1" outlineLevel="1">
      <c r="B2157" s="73">
        <v>2151</v>
      </c>
      <c r="C2157" s="39"/>
      <c r="D2157" s="40"/>
      <c r="E2157" s="34" t="s">
        <v>323</v>
      </c>
      <c r="F2157" s="75" t="s">
        <v>2522</v>
      </c>
      <c r="G2157" s="35" t="s">
        <v>370</v>
      </c>
      <c r="H2157" s="41" t="s">
        <v>371</v>
      </c>
      <c r="I2157" s="44" t="str">
        <f>"0x"&amp;AE_w_WORK!L108</f>
        <v>0x0000</v>
      </c>
      <c r="J2157" s="36">
        <v>42367</v>
      </c>
      <c r="K2157" s="37"/>
      <c r="L2157" s="74">
        <f t="shared" si="35"/>
        <v>4302</v>
      </c>
    </row>
    <row r="2158" spans="2:12" hidden="1" outlineLevel="1">
      <c r="B2158" s="73">
        <v>2152</v>
      </c>
      <c r="C2158" s="39"/>
      <c r="D2158" s="40"/>
      <c r="E2158" s="34" t="s">
        <v>323</v>
      </c>
      <c r="F2158" s="75" t="s">
        <v>2523</v>
      </c>
      <c r="G2158" s="35" t="s">
        <v>370</v>
      </c>
      <c r="H2158" s="41" t="s">
        <v>371</v>
      </c>
      <c r="I2158" s="44" t="str">
        <f>"0x"&amp;AE_w_WORK!L109</f>
        <v>0x0000</v>
      </c>
      <c r="J2158" s="36">
        <v>42368</v>
      </c>
      <c r="K2158" s="37"/>
      <c r="L2158" s="74">
        <f t="shared" si="35"/>
        <v>4304</v>
      </c>
    </row>
    <row r="2159" spans="2:12" hidden="1" outlineLevel="1">
      <c r="B2159" s="73">
        <v>2153</v>
      </c>
      <c r="C2159" s="39"/>
      <c r="D2159" s="40"/>
      <c r="E2159" s="34" t="s">
        <v>323</v>
      </c>
      <c r="F2159" s="75" t="s">
        <v>2524</v>
      </c>
      <c r="G2159" s="35" t="s">
        <v>370</v>
      </c>
      <c r="H2159" s="41" t="s">
        <v>371</v>
      </c>
      <c r="I2159" s="44" t="str">
        <f>"0x"&amp;AE_w_WORK!L110</f>
        <v>0x0000</v>
      </c>
      <c r="J2159" s="36">
        <v>42369</v>
      </c>
      <c r="K2159" s="37"/>
      <c r="L2159" s="74">
        <f t="shared" si="35"/>
        <v>4306</v>
      </c>
    </row>
    <row r="2160" spans="2:12" hidden="1" outlineLevel="1">
      <c r="B2160" s="73">
        <v>2154</v>
      </c>
      <c r="C2160" s="39"/>
      <c r="D2160" s="40"/>
      <c r="E2160" s="34" t="s">
        <v>323</v>
      </c>
      <c r="F2160" s="75" t="s">
        <v>2525</v>
      </c>
      <c r="G2160" s="35" t="s">
        <v>370</v>
      </c>
      <c r="H2160" s="41" t="s">
        <v>371</v>
      </c>
      <c r="I2160" s="44" t="str">
        <f>"0x"&amp;AE_w_WORK!L111</f>
        <v>0x0000</v>
      </c>
      <c r="J2160" s="36">
        <v>42370</v>
      </c>
      <c r="K2160" s="37"/>
      <c r="L2160" s="74">
        <f t="shared" si="35"/>
        <v>4308</v>
      </c>
    </row>
    <row r="2161" spans="2:12" hidden="1" outlineLevel="1">
      <c r="B2161" s="73">
        <v>2155</v>
      </c>
      <c r="C2161" s="39"/>
      <c r="D2161" s="40"/>
      <c r="E2161" s="34" t="s">
        <v>323</v>
      </c>
      <c r="F2161" s="75" t="s">
        <v>2526</v>
      </c>
      <c r="G2161" s="35" t="s">
        <v>370</v>
      </c>
      <c r="H2161" s="41" t="s">
        <v>371</v>
      </c>
      <c r="I2161" s="44" t="str">
        <f>"0x"&amp;AE_w_WORK!L112</f>
        <v>0x0000</v>
      </c>
      <c r="J2161" s="36">
        <v>42371</v>
      </c>
      <c r="K2161" s="37"/>
      <c r="L2161" s="74">
        <f t="shared" si="35"/>
        <v>4310</v>
      </c>
    </row>
    <row r="2162" spans="2:12" hidden="1" outlineLevel="1">
      <c r="B2162" s="73">
        <v>2156</v>
      </c>
      <c r="C2162" s="39"/>
      <c r="D2162" s="40"/>
      <c r="E2162" s="34" t="s">
        <v>323</v>
      </c>
      <c r="F2162" s="75" t="s">
        <v>2527</v>
      </c>
      <c r="G2162" s="35" t="s">
        <v>370</v>
      </c>
      <c r="H2162" s="41" t="s">
        <v>371</v>
      </c>
      <c r="I2162" s="44" t="str">
        <f>"0x"&amp;AE_w_WORK!L113</f>
        <v>0x0000</v>
      </c>
      <c r="J2162" s="36">
        <v>42372</v>
      </c>
      <c r="K2162" s="37"/>
      <c r="L2162" s="74">
        <f t="shared" si="35"/>
        <v>4312</v>
      </c>
    </row>
    <row r="2163" spans="2:12" hidden="1" outlineLevel="1">
      <c r="B2163" s="73">
        <v>2157</v>
      </c>
      <c r="C2163" s="39"/>
      <c r="D2163" s="40"/>
      <c r="E2163" s="34" t="s">
        <v>323</v>
      </c>
      <c r="F2163" s="75" t="s">
        <v>2528</v>
      </c>
      <c r="G2163" s="35" t="s">
        <v>370</v>
      </c>
      <c r="H2163" s="41" t="s">
        <v>371</v>
      </c>
      <c r="I2163" s="44" t="str">
        <f>"0x"&amp;AE_w_WORK!L114</f>
        <v>0x0000</v>
      </c>
      <c r="J2163" s="36">
        <v>42373</v>
      </c>
      <c r="K2163" s="37"/>
      <c r="L2163" s="74">
        <f t="shared" si="35"/>
        <v>4314</v>
      </c>
    </row>
    <row r="2164" spans="2:12" hidden="1" outlineLevel="1">
      <c r="B2164" s="73">
        <v>2158</v>
      </c>
      <c r="C2164" s="39"/>
      <c r="D2164" s="40"/>
      <c r="E2164" s="34" t="s">
        <v>323</v>
      </c>
      <c r="F2164" s="75" t="s">
        <v>2529</v>
      </c>
      <c r="G2164" s="35" t="s">
        <v>370</v>
      </c>
      <c r="H2164" s="41" t="s">
        <v>371</v>
      </c>
      <c r="I2164" s="44" t="str">
        <f>"0x"&amp;AE_w_WORK!L115</f>
        <v>0x0000</v>
      </c>
      <c r="J2164" s="36">
        <v>42374</v>
      </c>
      <c r="K2164" s="37"/>
      <c r="L2164" s="74">
        <f t="shared" si="35"/>
        <v>4316</v>
      </c>
    </row>
    <row r="2165" spans="2:12" hidden="1" outlineLevel="1">
      <c r="B2165" s="73">
        <v>2159</v>
      </c>
      <c r="C2165" s="39"/>
      <c r="D2165" s="40"/>
      <c r="E2165" s="34" t="s">
        <v>323</v>
      </c>
      <c r="F2165" s="75" t="s">
        <v>2530</v>
      </c>
      <c r="G2165" s="35" t="s">
        <v>370</v>
      </c>
      <c r="H2165" s="41" t="s">
        <v>371</v>
      </c>
      <c r="I2165" s="44" t="str">
        <f>"0x"&amp;AE_w_WORK!L116</f>
        <v>0x0000</v>
      </c>
      <c r="J2165" s="36">
        <v>42375</v>
      </c>
      <c r="K2165" s="37"/>
      <c r="L2165" s="74">
        <f t="shared" si="35"/>
        <v>4318</v>
      </c>
    </row>
    <row r="2166" spans="2:12" hidden="1" outlineLevel="1">
      <c r="B2166" s="73">
        <v>2160</v>
      </c>
      <c r="C2166" s="39"/>
      <c r="D2166" s="40"/>
      <c r="E2166" s="34" t="s">
        <v>323</v>
      </c>
      <c r="F2166" s="75" t="s">
        <v>2531</v>
      </c>
      <c r="G2166" s="35" t="s">
        <v>370</v>
      </c>
      <c r="H2166" s="41" t="s">
        <v>371</v>
      </c>
      <c r="I2166" s="44" t="str">
        <f>"0x"&amp;AE_w_WORK!L117</f>
        <v>0x0000</v>
      </c>
      <c r="J2166" s="36">
        <v>42376</v>
      </c>
      <c r="K2166" s="37"/>
      <c r="L2166" s="74">
        <f t="shared" si="35"/>
        <v>4320</v>
      </c>
    </row>
    <row r="2167" spans="2:12" hidden="1" outlineLevel="1">
      <c r="B2167" s="73">
        <v>2161</v>
      </c>
      <c r="C2167" s="39"/>
      <c r="D2167" s="40"/>
      <c r="E2167" s="34" t="s">
        <v>323</v>
      </c>
      <c r="F2167" s="75" t="s">
        <v>2532</v>
      </c>
      <c r="G2167" s="35" t="s">
        <v>370</v>
      </c>
      <c r="H2167" s="41" t="s">
        <v>371</v>
      </c>
      <c r="I2167" s="44" t="str">
        <f>"0x"&amp;AE_w_WORK!L118</f>
        <v>0x0000</v>
      </c>
      <c r="J2167" s="36">
        <v>42377</v>
      </c>
      <c r="K2167" s="37"/>
      <c r="L2167" s="74">
        <f t="shared" si="35"/>
        <v>4322</v>
      </c>
    </row>
    <row r="2168" spans="2:12" hidden="1" outlineLevel="1">
      <c r="B2168" s="73">
        <v>2162</v>
      </c>
      <c r="C2168" s="39"/>
      <c r="D2168" s="40"/>
      <c r="E2168" s="34" t="s">
        <v>323</v>
      </c>
      <c r="F2168" s="75" t="s">
        <v>2533</v>
      </c>
      <c r="G2168" s="35" t="s">
        <v>370</v>
      </c>
      <c r="H2168" s="41" t="s">
        <v>371</v>
      </c>
      <c r="I2168" s="44" t="str">
        <f>"0x"&amp;AE_w_WORK!L119</f>
        <v>0x0000</v>
      </c>
      <c r="J2168" s="36">
        <v>42378</v>
      </c>
      <c r="K2168" s="37"/>
      <c r="L2168" s="74">
        <f t="shared" si="35"/>
        <v>4324</v>
      </c>
    </row>
    <row r="2169" spans="2:12" hidden="1" outlineLevel="1">
      <c r="B2169" s="73">
        <v>2163</v>
      </c>
      <c r="C2169" s="39"/>
      <c r="D2169" s="40"/>
      <c r="E2169" s="34" t="s">
        <v>323</v>
      </c>
      <c r="F2169" s="75" t="s">
        <v>2534</v>
      </c>
      <c r="G2169" s="35" t="s">
        <v>370</v>
      </c>
      <c r="H2169" s="41" t="s">
        <v>371</v>
      </c>
      <c r="I2169" s="44" t="str">
        <f>"0x"&amp;AE_w_WORK!L120</f>
        <v>0x0000</v>
      </c>
      <c r="J2169" s="36">
        <v>42379</v>
      </c>
      <c r="K2169" s="37"/>
      <c r="L2169" s="74">
        <f t="shared" si="35"/>
        <v>4326</v>
      </c>
    </row>
    <row r="2170" spans="2:12" hidden="1" outlineLevel="1">
      <c r="B2170" s="73">
        <v>2164</v>
      </c>
      <c r="C2170" s="39"/>
      <c r="D2170" s="40"/>
      <c r="E2170" s="34" t="s">
        <v>323</v>
      </c>
      <c r="F2170" s="75" t="s">
        <v>2535</v>
      </c>
      <c r="G2170" s="35" t="s">
        <v>370</v>
      </c>
      <c r="H2170" s="41" t="s">
        <v>371</v>
      </c>
      <c r="I2170" s="44" t="str">
        <f>"0x"&amp;AE_w_WORK!L121</f>
        <v>0x0000</v>
      </c>
      <c r="J2170" s="36">
        <v>42380</v>
      </c>
      <c r="K2170" s="37"/>
      <c r="L2170" s="74">
        <f t="shared" si="35"/>
        <v>4328</v>
      </c>
    </row>
    <row r="2171" spans="2:12" hidden="1" outlineLevel="1">
      <c r="B2171" s="73">
        <v>2165</v>
      </c>
      <c r="C2171" s="39"/>
      <c r="D2171" s="40"/>
      <c r="E2171" s="34" t="s">
        <v>323</v>
      </c>
      <c r="F2171" s="75" t="s">
        <v>2536</v>
      </c>
      <c r="G2171" s="35" t="s">
        <v>370</v>
      </c>
      <c r="H2171" s="41" t="s">
        <v>371</v>
      </c>
      <c r="I2171" s="44" t="str">
        <f>"0x"&amp;AE_w_WORK!L122</f>
        <v>0x0000</v>
      </c>
      <c r="J2171" s="36">
        <v>42381</v>
      </c>
      <c r="K2171" s="37"/>
      <c r="L2171" s="74">
        <f t="shared" si="35"/>
        <v>4330</v>
      </c>
    </row>
    <row r="2172" spans="2:12" hidden="1" outlineLevel="1">
      <c r="B2172" s="73">
        <v>2166</v>
      </c>
      <c r="C2172" s="39"/>
      <c r="D2172" s="40"/>
      <c r="E2172" s="34" t="s">
        <v>323</v>
      </c>
      <c r="F2172" s="75" t="s">
        <v>2537</v>
      </c>
      <c r="G2172" s="35" t="s">
        <v>370</v>
      </c>
      <c r="H2172" s="41" t="s">
        <v>371</v>
      </c>
      <c r="I2172" s="44" t="str">
        <f>"0x"&amp;AE_w_WORK!L123</f>
        <v>0x0000</v>
      </c>
      <c r="J2172" s="36">
        <v>42382</v>
      </c>
      <c r="K2172" s="37"/>
      <c r="L2172" s="74">
        <f t="shared" si="35"/>
        <v>4332</v>
      </c>
    </row>
    <row r="2173" spans="2:12" hidden="1" outlineLevel="1">
      <c r="B2173" s="73">
        <v>2167</v>
      </c>
      <c r="C2173" s="39"/>
      <c r="D2173" s="40"/>
      <c r="E2173" s="34" t="s">
        <v>323</v>
      </c>
      <c r="F2173" s="75" t="s">
        <v>2538</v>
      </c>
      <c r="G2173" s="35" t="s">
        <v>370</v>
      </c>
      <c r="H2173" s="41" t="s">
        <v>371</v>
      </c>
      <c r="I2173" s="44" t="str">
        <f>"0x"&amp;AE_w_WORK!L124</f>
        <v>0x0000</v>
      </c>
      <c r="J2173" s="36">
        <v>42383</v>
      </c>
      <c r="K2173" s="37"/>
      <c r="L2173" s="74">
        <f t="shared" si="35"/>
        <v>4334</v>
      </c>
    </row>
    <row r="2174" spans="2:12" hidden="1" outlineLevel="1">
      <c r="B2174" s="73">
        <v>2168</v>
      </c>
      <c r="C2174" s="39"/>
      <c r="D2174" s="40"/>
      <c r="E2174" s="34" t="s">
        <v>323</v>
      </c>
      <c r="F2174" s="75" t="s">
        <v>2539</v>
      </c>
      <c r="G2174" s="35" t="s">
        <v>370</v>
      </c>
      <c r="H2174" s="41" t="s">
        <v>371</v>
      </c>
      <c r="I2174" s="44" t="str">
        <f>"0x"&amp;AE_w_WORK!L125</f>
        <v>0x0000</v>
      </c>
      <c r="J2174" s="36">
        <v>42384</v>
      </c>
      <c r="K2174" s="37"/>
      <c r="L2174" s="74">
        <f t="shared" si="35"/>
        <v>4336</v>
      </c>
    </row>
    <row r="2175" spans="2:12" hidden="1" outlineLevel="1">
      <c r="B2175" s="73">
        <v>2169</v>
      </c>
      <c r="C2175" s="39"/>
      <c r="D2175" s="40"/>
      <c r="E2175" s="34" t="s">
        <v>323</v>
      </c>
      <c r="F2175" s="75" t="s">
        <v>2540</v>
      </c>
      <c r="G2175" s="35" t="s">
        <v>370</v>
      </c>
      <c r="H2175" s="41" t="s">
        <v>371</v>
      </c>
      <c r="I2175" s="44" t="str">
        <f>"0x"&amp;AE_w_WORK!L126</f>
        <v>0x0000</v>
      </c>
      <c r="J2175" s="36">
        <v>42385</v>
      </c>
      <c r="K2175" s="37"/>
      <c r="L2175" s="74">
        <f t="shared" si="35"/>
        <v>4338</v>
      </c>
    </row>
    <row r="2176" spans="2:12" hidden="1" outlineLevel="1">
      <c r="B2176" s="73">
        <v>2170</v>
      </c>
      <c r="C2176" s="39"/>
      <c r="D2176" s="40"/>
      <c r="E2176" s="34" t="s">
        <v>323</v>
      </c>
      <c r="F2176" s="75" t="s">
        <v>2541</v>
      </c>
      <c r="G2176" s="35" t="s">
        <v>370</v>
      </c>
      <c r="H2176" s="41" t="s">
        <v>371</v>
      </c>
      <c r="I2176" s="44" t="str">
        <f>"0x"&amp;AE_w_WORK!L127</f>
        <v>0x0000</v>
      </c>
      <c r="J2176" s="36">
        <v>42386</v>
      </c>
      <c r="K2176" s="37"/>
      <c r="L2176" s="74">
        <f t="shared" si="35"/>
        <v>4340</v>
      </c>
    </row>
    <row r="2177" spans="2:12" hidden="1" outlineLevel="1">
      <c r="B2177" s="73">
        <v>2171</v>
      </c>
      <c r="C2177" s="39"/>
      <c r="D2177" s="40"/>
      <c r="E2177" s="34" t="s">
        <v>323</v>
      </c>
      <c r="F2177" s="75" t="s">
        <v>2542</v>
      </c>
      <c r="G2177" s="35" t="s">
        <v>370</v>
      </c>
      <c r="H2177" s="41" t="s">
        <v>371</v>
      </c>
      <c r="I2177" s="44" t="str">
        <f>"0x"&amp;AE_w_WORK!L128</f>
        <v>0x1100</v>
      </c>
      <c r="J2177" s="36">
        <v>42387</v>
      </c>
      <c r="K2177" s="37"/>
      <c r="L2177" s="74">
        <f t="shared" si="35"/>
        <v>4342</v>
      </c>
    </row>
    <row r="2178" spans="2:12" hidden="1" outlineLevel="1">
      <c r="B2178" s="73">
        <v>2172</v>
      </c>
      <c r="C2178" s="39"/>
      <c r="D2178" s="40"/>
      <c r="E2178" s="34" t="s">
        <v>323</v>
      </c>
      <c r="F2178" s="75" t="s">
        <v>2543</v>
      </c>
      <c r="G2178" s="35" t="s">
        <v>370</v>
      </c>
      <c r="H2178" s="41" t="s">
        <v>371</v>
      </c>
      <c r="I2178" s="44" t="str">
        <f>"0x"&amp;AE_w_WORK!L129</f>
        <v>0x0000</v>
      </c>
      <c r="J2178" s="36">
        <v>42388</v>
      </c>
      <c r="K2178" s="37"/>
      <c r="L2178" s="74">
        <f t="shared" si="35"/>
        <v>4344</v>
      </c>
    </row>
    <row r="2179" spans="2:12" hidden="1" outlineLevel="1">
      <c r="B2179" s="73">
        <v>2173</v>
      </c>
      <c r="C2179" s="39"/>
      <c r="D2179" s="40"/>
      <c r="E2179" s="34" t="s">
        <v>323</v>
      </c>
      <c r="F2179" s="75" t="s">
        <v>2544</v>
      </c>
      <c r="G2179" s="35" t="s">
        <v>370</v>
      </c>
      <c r="H2179" s="41" t="s">
        <v>371</v>
      </c>
      <c r="I2179" s="44" t="str">
        <f>"0x"&amp;AE_w_WORK!L130</f>
        <v>0x0000</v>
      </c>
      <c r="J2179" s="36">
        <v>42389</v>
      </c>
      <c r="K2179" s="37"/>
      <c r="L2179" s="74">
        <f t="shared" si="35"/>
        <v>4346</v>
      </c>
    </row>
    <row r="2180" spans="2:12" hidden="1" outlineLevel="1">
      <c r="B2180" s="73">
        <v>2174</v>
      </c>
      <c r="C2180" s="39"/>
      <c r="D2180" s="40"/>
      <c r="E2180" s="34" t="s">
        <v>323</v>
      </c>
      <c r="F2180" s="75" t="s">
        <v>2545</v>
      </c>
      <c r="G2180" s="35" t="s">
        <v>370</v>
      </c>
      <c r="H2180" s="41" t="s">
        <v>371</v>
      </c>
      <c r="I2180" s="44" t="str">
        <f>"0x"&amp;AE_w_WORK!L131</f>
        <v>0x0011</v>
      </c>
      <c r="J2180" s="36">
        <v>42390</v>
      </c>
      <c r="K2180" s="37"/>
      <c r="L2180" s="74">
        <f t="shared" si="35"/>
        <v>4348</v>
      </c>
    </row>
    <row r="2181" spans="2:12" hidden="1" outlineLevel="1">
      <c r="B2181" s="73">
        <v>2175</v>
      </c>
      <c r="C2181" s="39"/>
      <c r="D2181" s="40"/>
      <c r="E2181" s="34" t="s">
        <v>323</v>
      </c>
      <c r="F2181" s="75" t="s">
        <v>2546</v>
      </c>
      <c r="G2181" s="35" t="s">
        <v>370</v>
      </c>
      <c r="H2181" s="41" t="s">
        <v>371</v>
      </c>
      <c r="I2181" s="44" t="str">
        <f>"0x"&amp;AE_w_WORK!L132</f>
        <v>0x0000</v>
      </c>
      <c r="J2181" s="36">
        <v>42391</v>
      </c>
      <c r="K2181" s="37"/>
      <c r="L2181" s="74">
        <f t="shared" si="35"/>
        <v>4350</v>
      </c>
    </row>
    <row r="2182" spans="2:12" hidden="1" outlineLevel="1">
      <c r="B2182" s="73">
        <v>2176</v>
      </c>
      <c r="C2182" s="39"/>
      <c r="D2182" s="40"/>
      <c r="E2182" s="34" t="s">
        <v>323</v>
      </c>
      <c r="F2182" s="75" t="s">
        <v>2547</v>
      </c>
      <c r="G2182" s="35" t="s">
        <v>370</v>
      </c>
      <c r="H2182" s="41" t="s">
        <v>371</v>
      </c>
      <c r="I2182" s="44" t="str">
        <f>"0x"&amp;AE_w_WORK!L133</f>
        <v>0x0000</v>
      </c>
      <c r="J2182" s="36">
        <v>42392</v>
      </c>
      <c r="K2182" s="37"/>
      <c r="L2182" s="74">
        <f t="shared" si="35"/>
        <v>4352</v>
      </c>
    </row>
    <row r="2183" spans="2:12" hidden="1" outlineLevel="1">
      <c r="B2183" s="73">
        <v>2177</v>
      </c>
      <c r="C2183" s="39"/>
      <c r="D2183" s="40"/>
      <c r="E2183" s="34" t="s">
        <v>323</v>
      </c>
      <c r="F2183" s="75" t="s">
        <v>2548</v>
      </c>
      <c r="G2183" s="35" t="s">
        <v>370</v>
      </c>
      <c r="H2183" s="41" t="s">
        <v>371</v>
      </c>
      <c r="I2183" s="44" t="str">
        <f>"0x"&amp;AE_w_WORK!L134</f>
        <v>0x0000</v>
      </c>
      <c r="J2183" s="36">
        <v>42393</v>
      </c>
      <c r="K2183" s="37"/>
      <c r="L2183" s="74">
        <f t="shared" si="35"/>
        <v>4354</v>
      </c>
    </row>
    <row r="2184" spans="2:12" hidden="1" outlineLevel="1">
      <c r="B2184" s="73">
        <v>2178</v>
      </c>
      <c r="C2184" s="39"/>
      <c r="D2184" s="40"/>
      <c r="E2184" s="34" t="s">
        <v>323</v>
      </c>
      <c r="F2184" s="75" t="s">
        <v>2549</v>
      </c>
      <c r="G2184" s="35" t="s">
        <v>370</v>
      </c>
      <c r="H2184" s="41" t="s">
        <v>371</v>
      </c>
      <c r="I2184" s="44" t="str">
        <f>"0x"&amp;AE_w_WORK!L135</f>
        <v>0x0000</v>
      </c>
      <c r="J2184" s="36">
        <v>42394</v>
      </c>
      <c r="K2184" s="37"/>
      <c r="L2184" s="74">
        <f t="shared" si="35"/>
        <v>4356</v>
      </c>
    </row>
    <row r="2185" spans="2:12" hidden="1" outlineLevel="1">
      <c r="B2185" s="73">
        <v>2179</v>
      </c>
      <c r="C2185" s="39"/>
      <c r="D2185" s="40"/>
      <c r="E2185" s="34" t="s">
        <v>323</v>
      </c>
      <c r="F2185" s="75" t="s">
        <v>2550</v>
      </c>
      <c r="G2185" s="35" t="s">
        <v>370</v>
      </c>
      <c r="H2185" s="41" t="s">
        <v>371</v>
      </c>
      <c r="I2185" s="44" t="str">
        <f>"0x"&amp;AE_w_WORK!L136</f>
        <v>0x0000</v>
      </c>
      <c r="J2185" s="36">
        <v>42395</v>
      </c>
      <c r="K2185" s="37"/>
      <c r="L2185" s="74">
        <f t="shared" ref="L2185:L2248" si="36">L2184+2</f>
        <v>4358</v>
      </c>
    </row>
    <row r="2186" spans="2:12" hidden="1" outlineLevel="1">
      <c r="B2186" s="73">
        <v>2180</v>
      </c>
      <c r="C2186" s="39"/>
      <c r="D2186" s="40"/>
      <c r="E2186" s="34" t="s">
        <v>323</v>
      </c>
      <c r="F2186" s="75" t="s">
        <v>2551</v>
      </c>
      <c r="G2186" s="35" t="s">
        <v>370</v>
      </c>
      <c r="H2186" s="41" t="s">
        <v>371</v>
      </c>
      <c r="I2186" s="44" t="str">
        <f>"0x"&amp;AE_w_WORK!L137</f>
        <v>0x0000</v>
      </c>
      <c r="J2186" s="36">
        <v>42396</v>
      </c>
      <c r="K2186" s="37"/>
      <c r="L2186" s="74">
        <f t="shared" si="36"/>
        <v>4360</v>
      </c>
    </row>
    <row r="2187" spans="2:12" hidden="1" outlineLevel="1">
      <c r="B2187" s="73">
        <v>2181</v>
      </c>
      <c r="C2187" s="39"/>
      <c r="D2187" s="40"/>
      <c r="E2187" s="34" t="s">
        <v>323</v>
      </c>
      <c r="F2187" s="75" t="s">
        <v>2552</v>
      </c>
      <c r="G2187" s="35" t="s">
        <v>370</v>
      </c>
      <c r="H2187" s="41" t="s">
        <v>371</v>
      </c>
      <c r="I2187" s="44" t="str">
        <f>"0x"&amp;AE_w_WORK!L138</f>
        <v>0x0000</v>
      </c>
      <c r="J2187" s="36">
        <v>42397</v>
      </c>
      <c r="K2187" s="37"/>
      <c r="L2187" s="74">
        <f t="shared" si="36"/>
        <v>4362</v>
      </c>
    </row>
    <row r="2188" spans="2:12" hidden="1" outlineLevel="1">
      <c r="B2188" s="73">
        <v>2182</v>
      </c>
      <c r="C2188" s="39"/>
      <c r="D2188" s="40"/>
      <c r="E2188" s="34" t="s">
        <v>323</v>
      </c>
      <c r="F2188" s="75" t="s">
        <v>2553</v>
      </c>
      <c r="G2188" s="35" t="s">
        <v>370</v>
      </c>
      <c r="H2188" s="41" t="s">
        <v>371</v>
      </c>
      <c r="I2188" s="44" t="str">
        <f>"0x"&amp;AE_w_WORK!L139</f>
        <v>0x0000</v>
      </c>
      <c r="J2188" s="36">
        <v>42398</v>
      </c>
      <c r="K2188" s="37"/>
      <c r="L2188" s="74">
        <f t="shared" si="36"/>
        <v>4364</v>
      </c>
    </row>
    <row r="2189" spans="2:12" hidden="1" outlineLevel="1">
      <c r="B2189" s="73">
        <v>2183</v>
      </c>
      <c r="C2189" s="39"/>
      <c r="D2189" s="40"/>
      <c r="E2189" s="34" t="s">
        <v>323</v>
      </c>
      <c r="F2189" s="75" t="s">
        <v>2554</v>
      </c>
      <c r="G2189" s="35" t="s">
        <v>370</v>
      </c>
      <c r="H2189" s="41" t="s">
        <v>371</v>
      </c>
      <c r="I2189" s="44" t="str">
        <f>"0x"&amp;AE_w_WORK!L140</f>
        <v>0x0000</v>
      </c>
      <c r="J2189" s="36">
        <v>42399</v>
      </c>
      <c r="K2189" s="37"/>
      <c r="L2189" s="74">
        <f t="shared" si="36"/>
        <v>4366</v>
      </c>
    </row>
    <row r="2190" spans="2:12" hidden="1" outlineLevel="1">
      <c r="B2190" s="73">
        <v>2184</v>
      </c>
      <c r="C2190" s="39"/>
      <c r="D2190" s="40"/>
      <c r="E2190" s="34" t="s">
        <v>323</v>
      </c>
      <c r="F2190" s="75" t="s">
        <v>2555</v>
      </c>
      <c r="G2190" s="35" t="s">
        <v>370</v>
      </c>
      <c r="H2190" s="41" t="s">
        <v>371</v>
      </c>
      <c r="I2190" s="44" t="str">
        <f>"0x"&amp;AE_w_WORK!L141</f>
        <v>0x0000</v>
      </c>
      <c r="J2190" s="36">
        <v>42400</v>
      </c>
      <c r="K2190" s="37"/>
      <c r="L2190" s="74">
        <f t="shared" si="36"/>
        <v>4368</v>
      </c>
    </row>
    <row r="2191" spans="2:12" hidden="1" outlineLevel="1">
      <c r="B2191" s="73">
        <v>2185</v>
      </c>
      <c r="C2191" s="39"/>
      <c r="D2191" s="40"/>
      <c r="E2191" s="34" t="s">
        <v>323</v>
      </c>
      <c r="F2191" s="75" t="s">
        <v>2556</v>
      </c>
      <c r="G2191" s="35" t="s">
        <v>370</v>
      </c>
      <c r="H2191" s="41" t="s">
        <v>371</v>
      </c>
      <c r="I2191" s="44" t="str">
        <f>"0x"&amp;AE_w_WORK!L142</f>
        <v>0x0000</v>
      </c>
      <c r="J2191" s="36">
        <v>42401</v>
      </c>
      <c r="K2191" s="37"/>
      <c r="L2191" s="74">
        <f t="shared" si="36"/>
        <v>4370</v>
      </c>
    </row>
    <row r="2192" spans="2:12" hidden="1" outlineLevel="1">
      <c r="B2192" s="73">
        <v>2186</v>
      </c>
      <c r="C2192" s="39"/>
      <c r="D2192" s="40"/>
      <c r="E2192" s="34" t="s">
        <v>323</v>
      </c>
      <c r="F2192" s="75" t="s">
        <v>2557</v>
      </c>
      <c r="G2192" s="35" t="s">
        <v>370</v>
      </c>
      <c r="H2192" s="41" t="s">
        <v>371</v>
      </c>
      <c r="I2192" s="44" t="str">
        <f>"0x"&amp;AE_w_WORK!L143</f>
        <v>0x0000</v>
      </c>
      <c r="J2192" s="36">
        <v>42402</v>
      </c>
      <c r="K2192" s="37"/>
      <c r="L2192" s="74">
        <f t="shared" si="36"/>
        <v>4372</v>
      </c>
    </row>
    <row r="2193" spans="2:12" hidden="1" outlineLevel="1">
      <c r="B2193" s="73">
        <v>2187</v>
      </c>
      <c r="C2193" s="39"/>
      <c r="D2193" s="40"/>
      <c r="E2193" s="34" t="s">
        <v>323</v>
      </c>
      <c r="F2193" s="75" t="s">
        <v>2558</v>
      </c>
      <c r="G2193" s="35" t="s">
        <v>370</v>
      </c>
      <c r="H2193" s="41" t="s">
        <v>371</v>
      </c>
      <c r="I2193" s="44" t="str">
        <f>"0x"&amp;AE_w_WORK!L144</f>
        <v>0x0000</v>
      </c>
      <c r="J2193" s="36">
        <v>42403</v>
      </c>
      <c r="K2193" s="37"/>
      <c r="L2193" s="74">
        <f t="shared" si="36"/>
        <v>4374</v>
      </c>
    </row>
    <row r="2194" spans="2:12" hidden="1" outlineLevel="1">
      <c r="B2194" s="73">
        <v>2188</v>
      </c>
      <c r="C2194" s="39"/>
      <c r="D2194" s="40"/>
      <c r="E2194" s="34" t="s">
        <v>323</v>
      </c>
      <c r="F2194" s="75" t="s">
        <v>2559</v>
      </c>
      <c r="G2194" s="35" t="s">
        <v>370</v>
      </c>
      <c r="H2194" s="41" t="s">
        <v>371</v>
      </c>
      <c r="I2194" s="44" t="str">
        <f>"0x"&amp;AE_w_WORK!L145</f>
        <v>0x0000</v>
      </c>
      <c r="J2194" s="36">
        <v>42404</v>
      </c>
      <c r="K2194" s="37"/>
      <c r="L2194" s="74">
        <f t="shared" si="36"/>
        <v>4376</v>
      </c>
    </row>
    <row r="2195" spans="2:12" hidden="1" outlineLevel="1">
      <c r="B2195" s="73">
        <v>2189</v>
      </c>
      <c r="C2195" s="39"/>
      <c r="D2195" s="40"/>
      <c r="E2195" s="34" t="s">
        <v>323</v>
      </c>
      <c r="F2195" s="75" t="s">
        <v>2560</v>
      </c>
      <c r="G2195" s="35" t="s">
        <v>370</v>
      </c>
      <c r="H2195" s="41" t="s">
        <v>371</v>
      </c>
      <c r="I2195" s="44" t="str">
        <f>"0x"&amp;AE_w_WORK!L146</f>
        <v>0x0000</v>
      </c>
      <c r="J2195" s="36">
        <v>42405</v>
      </c>
      <c r="K2195" s="37"/>
      <c r="L2195" s="74">
        <f t="shared" si="36"/>
        <v>4378</v>
      </c>
    </row>
    <row r="2196" spans="2:12" hidden="1" outlineLevel="1">
      <c r="B2196" s="73">
        <v>2190</v>
      </c>
      <c r="C2196" s="39"/>
      <c r="D2196" s="40"/>
      <c r="E2196" s="34" t="s">
        <v>323</v>
      </c>
      <c r="F2196" s="75" t="s">
        <v>2561</v>
      </c>
      <c r="G2196" s="35" t="s">
        <v>370</v>
      </c>
      <c r="H2196" s="41" t="s">
        <v>371</v>
      </c>
      <c r="I2196" s="44" t="str">
        <f>"0x"&amp;AE_w_WORK!L147</f>
        <v>0x0000</v>
      </c>
      <c r="J2196" s="36">
        <v>42406</v>
      </c>
      <c r="K2196" s="37"/>
      <c r="L2196" s="74">
        <f t="shared" si="36"/>
        <v>4380</v>
      </c>
    </row>
    <row r="2197" spans="2:12" hidden="1" outlineLevel="1">
      <c r="B2197" s="73">
        <v>2191</v>
      </c>
      <c r="C2197" s="39"/>
      <c r="D2197" s="40"/>
      <c r="E2197" s="34" t="s">
        <v>323</v>
      </c>
      <c r="F2197" s="75" t="s">
        <v>2562</v>
      </c>
      <c r="G2197" s="35" t="s">
        <v>370</v>
      </c>
      <c r="H2197" s="41" t="s">
        <v>371</v>
      </c>
      <c r="I2197" s="44" t="str">
        <f>"0x"&amp;AE_w_WORK!L148</f>
        <v>0x0000</v>
      </c>
      <c r="J2197" s="36">
        <v>42407</v>
      </c>
      <c r="K2197" s="37"/>
      <c r="L2197" s="74">
        <f t="shared" si="36"/>
        <v>4382</v>
      </c>
    </row>
    <row r="2198" spans="2:12" hidden="1" outlineLevel="1">
      <c r="B2198" s="73">
        <v>2192</v>
      </c>
      <c r="C2198" s="39"/>
      <c r="D2198" s="40"/>
      <c r="E2198" s="34" t="s">
        <v>323</v>
      </c>
      <c r="F2198" s="75" t="s">
        <v>2563</v>
      </c>
      <c r="G2198" s="35" t="s">
        <v>370</v>
      </c>
      <c r="H2198" s="41" t="s">
        <v>371</v>
      </c>
      <c r="I2198" s="44" t="str">
        <f>"0x"&amp;AE_w_WORK!L149</f>
        <v>0x0000</v>
      </c>
      <c r="J2198" s="36">
        <v>42408</v>
      </c>
      <c r="K2198" s="37"/>
      <c r="L2198" s="74">
        <f t="shared" si="36"/>
        <v>4384</v>
      </c>
    </row>
    <row r="2199" spans="2:12" hidden="1" outlineLevel="1">
      <c r="B2199" s="73">
        <v>2193</v>
      </c>
      <c r="C2199" s="39"/>
      <c r="D2199" s="40"/>
      <c r="E2199" s="34" t="s">
        <v>323</v>
      </c>
      <c r="F2199" s="75" t="s">
        <v>2564</v>
      </c>
      <c r="G2199" s="35" t="s">
        <v>370</v>
      </c>
      <c r="H2199" s="41" t="s">
        <v>371</v>
      </c>
      <c r="I2199" s="44" t="str">
        <f>"0x"&amp;AE_w_WORK!L150</f>
        <v>0x0000</v>
      </c>
      <c r="J2199" s="36">
        <v>42409</v>
      </c>
      <c r="K2199" s="37"/>
      <c r="L2199" s="74">
        <f t="shared" si="36"/>
        <v>4386</v>
      </c>
    </row>
    <row r="2200" spans="2:12" hidden="1" outlineLevel="1">
      <c r="B2200" s="73">
        <v>2194</v>
      </c>
      <c r="C2200" s="39"/>
      <c r="D2200" s="40"/>
      <c r="E2200" s="34" t="s">
        <v>323</v>
      </c>
      <c r="F2200" s="75" t="s">
        <v>2565</v>
      </c>
      <c r="G2200" s="35" t="s">
        <v>370</v>
      </c>
      <c r="H2200" s="41" t="s">
        <v>371</v>
      </c>
      <c r="I2200" s="44" t="str">
        <f>"0x"&amp;AE_w_WORK!L151</f>
        <v>0x0000</v>
      </c>
      <c r="J2200" s="36">
        <v>42410</v>
      </c>
      <c r="K2200" s="37"/>
      <c r="L2200" s="74">
        <f t="shared" si="36"/>
        <v>4388</v>
      </c>
    </row>
    <row r="2201" spans="2:12" hidden="1" outlineLevel="1">
      <c r="B2201" s="73">
        <v>2195</v>
      </c>
      <c r="C2201" s="39"/>
      <c r="D2201" s="40"/>
      <c r="E2201" s="34" t="s">
        <v>323</v>
      </c>
      <c r="F2201" s="75" t="s">
        <v>2566</v>
      </c>
      <c r="G2201" s="35" t="s">
        <v>370</v>
      </c>
      <c r="H2201" s="41" t="s">
        <v>371</v>
      </c>
      <c r="I2201" s="44" t="str">
        <f>"0x"&amp;AE_w_WORK!L152</f>
        <v>0x0000</v>
      </c>
      <c r="J2201" s="36">
        <v>42411</v>
      </c>
      <c r="K2201" s="37"/>
      <c r="L2201" s="74">
        <f t="shared" si="36"/>
        <v>4390</v>
      </c>
    </row>
    <row r="2202" spans="2:12" hidden="1" outlineLevel="1">
      <c r="B2202" s="73">
        <v>2196</v>
      </c>
      <c r="C2202" s="39"/>
      <c r="D2202" s="40"/>
      <c r="E2202" s="34" t="s">
        <v>323</v>
      </c>
      <c r="F2202" s="75" t="s">
        <v>2567</v>
      </c>
      <c r="G2202" s="35" t="s">
        <v>370</v>
      </c>
      <c r="H2202" s="41" t="s">
        <v>371</v>
      </c>
      <c r="I2202" s="44" t="str">
        <f>"0x"&amp;AE_w_WORK!L153</f>
        <v>0x0000</v>
      </c>
      <c r="J2202" s="36">
        <v>42412</v>
      </c>
      <c r="K2202" s="37"/>
      <c r="L2202" s="74">
        <f t="shared" si="36"/>
        <v>4392</v>
      </c>
    </row>
    <row r="2203" spans="2:12" hidden="1" outlineLevel="1">
      <c r="B2203" s="73">
        <v>2197</v>
      </c>
      <c r="C2203" s="39"/>
      <c r="D2203" s="40"/>
      <c r="E2203" s="34" t="s">
        <v>323</v>
      </c>
      <c r="F2203" s="75" t="s">
        <v>2568</v>
      </c>
      <c r="G2203" s="35" t="s">
        <v>370</v>
      </c>
      <c r="H2203" s="41" t="s">
        <v>371</v>
      </c>
      <c r="I2203" s="44" t="str">
        <f>"0x"&amp;AE_w_WORK!L154</f>
        <v>0x0000</v>
      </c>
      <c r="J2203" s="36">
        <v>42413</v>
      </c>
      <c r="K2203" s="37"/>
      <c r="L2203" s="74">
        <f t="shared" si="36"/>
        <v>4394</v>
      </c>
    </row>
    <row r="2204" spans="2:12" hidden="1" outlineLevel="1">
      <c r="B2204" s="73">
        <v>2198</v>
      </c>
      <c r="C2204" s="39"/>
      <c r="D2204" s="40"/>
      <c r="E2204" s="34" t="s">
        <v>323</v>
      </c>
      <c r="F2204" s="75" t="s">
        <v>2569</v>
      </c>
      <c r="G2204" s="35" t="s">
        <v>370</v>
      </c>
      <c r="H2204" s="41" t="s">
        <v>371</v>
      </c>
      <c r="I2204" s="44" t="str">
        <f>"0x"&amp;AE_w_WORK!L155</f>
        <v>0x0000</v>
      </c>
      <c r="J2204" s="36">
        <v>42414</v>
      </c>
      <c r="K2204" s="37"/>
      <c r="L2204" s="74">
        <f t="shared" si="36"/>
        <v>4396</v>
      </c>
    </row>
    <row r="2205" spans="2:12" hidden="1" outlineLevel="1">
      <c r="B2205" s="73">
        <v>2199</v>
      </c>
      <c r="C2205" s="39"/>
      <c r="D2205" s="40"/>
      <c r="E2205" s="34" t="s">
        <v>323</v>
      </c>
      <c r="F2205" s="75" t="s">
        <v>2570</v>
      </c>
      <c r="G2205" s="35" t="s">
        <v>370</v>
      </c>
      <c r="H2205" s="41" t="s">
        <v>371</v>
      </c>
      <c r="I2205" s="44" t="str">
        <f>"0x"&amp;AE_w_WORK!L156</f>
        <v>0x0000</v>
      </c>
      <c r="J2205" s="36">
        <v>42415</v>
      </c>
      <c r="K2205" s="37"/>
      <c r="L2205" s="74">
        <f t="shared" si="36"/>
        <v>4398</v>
      </c>
    </row>
    <row r="2206" spans="2:12" hidden="1" outlineLevel="1">
      <c r="B2206" s="73">
        <v>2200</v>
      </c>
      <c r="C2206" s="39"/>
      <c r="D2206" s="40"/>
      <c r="E2206" s="34" t="s">
        <v>323</v>
      </c>
      <c r="F2206" s="75" t="s">
        <v>2571</v>
      </c>
      <c r="G2206" s="35" t="s">
        <v>370</v>
      </c>
      <c r="H2206" s="41" t="s">
        <v>371</v>
      </c>
      <c r="I2206" s="44" t="str">
        <f>"0x"&amp;AE_w_WORK!L157</f>
        <v>0x0000</v>
      </c>
      <c r="J2206" s="36">
        <v>42416</v>
      </c>
      <c r="K2206" s="37"/>
      <c r="L2206" s="74">
        <f t="shared" si="36"/>
        <v>4400</v>
      </c>
    </row>
    <row r="2207" spans="2:12" hidden="1" outlineLevel="1">
      <c r="B2207" s="73">
        <v>2201</v>
      </c>
      <c r="C2207" s="39"/>
      <c r="D2207" s="40"/>
      <c r="E2207" s="34" t="s">
        <v>323</v>
      </c>
      <c r="F2207" s="75" t="s">
        <v>2572</v>
      </c>
      <c r="G2207" s="35" t="s">
        <v>370</v>
      </c>
      <c r="H2207" s="41" t="s">
        <v>371</v>
      </c>
      <c r="I2207" s="44" t="str">
        <f>"0x"&amp;AE_w_WORK!L158</f>
        <v>0x0000</v>
      </c>
      <c r="J2207" s="36">
        <v>42417</v>
      </c>
      <c r="K2207" s="37"/>
      <c r="L2207" s="74">
        <f t="shared" si="36"/>
        <v>4402</v>
      </c>
    </row>
    <row r="2208" spans="2:12" hidden="1" outlineLevel="1">
      <c r="B2208" s="73">
        <v>2202</v>
      </c>
      <c r="C2208" s="39"/>
      <c r="D2208" s="40"/>
      <c r="E2208" s="34" t="s">
        <v>323</v>
      </c>
      <c r="F2208" s="75" t="s">
        <v>2573</v>
      </c>
      <c r="G2208" s="35" t="s">
        <v>370</v>
      </c>
      <c r="H2208" s="41" t="s">
        <v>371</v>
      </c>
      <c r="I2208" s="44" t="str">
        <f>"0x"&amp;AE_w_WORK!L159</f>
        <v>0x1100</v>
      </c>
      <c r="J2208" s="36">
        <v>42418</v>
      </c>
      <c r="K2208" s="37"/>
      <c r="L2208" s="74">
        <f t="shared" si="36"/>
        <v>4404</v>
      </c>
    </row>
    <row r="2209" spans="2:12" hidden="1" outlineLevel="1">
      <c r="B2209" s="73">
        <v>2203</v>
      </c>
      <c r="C2209" s="39"/>
      <c r="D2209" s="40"/>
      <c r="E2209" s="34" t="s">
        <v>323</v>
      </c>
      <c r="F2209" s="75" t="s">
        <v>2574</v>
      </c>
      <c r="G2209" s="35" t="s">
        <v>370</v>
      </c>
      <c r="H2209" s="41" t="s">
        <v>371</v>
      </c>
      <c r="I2209" s="44" t="str">
        <f>"0x"&amp;AE_w_WORK!L160</f>
        <v>0x0000</v>
      </c>
      <c r="J2209" s="36">
        <v>42419</v>
      </c>
      <c r="K2209" s="37"/>
      <c r="L2209" s="74">
        <f t="shared" si="36"/>
        <v>4406</v>
      </c>
    </row>
    <row r="2210" spans="2:12" hidden="1" outlineLevel="1">
      <c r="B2210" s="73">
        <v>2204</v>
      </c>
      <c r="C2210" s="39"/>
      <c r="D2210" s="40"/>
      <c r="E2210" s="34" t="s">
        <v>323</v>
      </c>
      <c r="F2210" s="75" t="s">
        <v>2575</v>
      </c>
      <c r="G2210" s="35" t="s">
        <v>370</v>
      </c>
      <c r="H2210" s="41" t="s">
        <v>371</v>
      </c>
      <c r="I2210" s="44" t="str">
        <f>"0x"&amp;AE_w_WORK!L161</f>
        <v>0x1100</v>
      </c>
      <c r="J2210" s="36">
        <v>42420</v>
      </c>
      <c r="K2210" s="37"/>
      <c r="L2210" s="74">
        <f t="shared" si="36"/>
        <v>4408</v>
      </c>
    </row>
    <row r="2211" spans="2:12" hidden="1" outlineLevel="1">
      <c r="B2211" s="73">
        <v>2205</v>
      </c>
      <c r="C2211" s="39"/>
      <c r="D2211" s="40"/>
      <c r="E2211" s="34" t="s">
        <v>323</v>
      </c>
      <c r="F2211" s="75" t="s">
        <v>2576</v>
      </c>
      <c r="G2211" s="35" t="s">
        <v>370</v>
      </c>
      <c r="H2211" s="41" t="s">
        <v>371</v>
      </c>
      <c r="I2211" s="44" t="str">
        <f>"0x"&amp;AE_w_WORK!L162</f>
        <v>0x0011</v>
      </c>
      <c r="J2211" s="36">
        <v>42421</v>
      </c>
      <c r="K2211" s="37"/>
      <c r="L2211" s="74">
        <f t="shared" si="36"/>
        <v>4410</v>
      </c>
    </row>
    <row r="2212" spans="2:12" hidden="1" outlineLevel="1">
      <c r="B2212" s="73">
        <v>2206</v>
      </c>
      <c r="C2212" s="39"/>
      <c r="D2212" s="40"/>
      <c r="E2212" s="34" t="s">
        <v>323</v>
      </c>
      <c r="F2212" s="75" t="s">
        <v>2577</v>
      </c>
      <c r="G2212" s="35" t="s">
        <v>370</v>
      </c>
      <c r="H2212" s="41" t="s">
        <v>371</v>
      </c>
      <c r="I2212" s="44" t="str">
        <f>"0x"&amp;AE_w_WORK!L163</f>
        <v>0x0000</v>
      </c>
      <c r="J2212" s="36">
        <v>42422</v>
      </c>
      <c r="K2212" s="37"/>
      <c r="L2212" s="74">
        <f t="shared" si="36"/>
        <v>4412</v>
      </c>
    </row>
    <row r="2213" spans="2:12" hidden="1" outlineLevel="1">
      <c r="B2213" s="73">
        <v>2207</v>
      </c>
      <c r="C2213" s="39"/>
      <c r="D2213" s="40"/>
      <c r="E2213" s="34" t="s">
        <v>323</v>
      </c>
      <c r="F2213" s="75" t="s">
        <v>2578</v>
      </c>
      <c r="G2213" s="35" t="s">
        <v>370</v>
      </c>
      <c r="H2213" s="41" t="s">
        <v>371</v>
      </c>
      <c r="I2213" s="44" t="str">
        <f>"0x"&amp;AE_w_WORK!L164</f>
        <v>0x0011</v>
      </c>
      <c r="J2213" s="36">
        <v>42423</v>
      </c>
      <c r="K2213" s="37"/>
      <c r="L2213" s="74">
        <f t="shared" si="36"/>
        <v>4414</v>
      </c>
    </row>
    <row r="2214" spans="2:12" hidden="1" outlineLevel="1">
      <c r="B2214" s="73">
        <v>2208</v>
      </c>
      <c r="C2214" s="39"/>
      <c r="D2214" s="40"/>
      <c r="E2214" s="34" t="s">
        <v>323</v>
      </c>
      <c r="F2214" s="75" t="s">
        <v>2579</v>
      </c>
      <c r="G2214" s="35" t="s">
        <v>370</v>
      </c>
      <c r="H2214" s="41" t="s">
        <v>371</v>
      </c>
      <c r="I2214" s="44" t="str">
        <f>"0x"&amp;AE_w_WORK!L165</f>
        <v>0x0000</v>
      </c>
      <c r="J2214" s="36">
        <v>42424</v>
      </c>
      <c r="K2214" s="37"/>
      <c r="L2214" s="74">
        <f t="shared" si="36"/>
        <v>4416</v>
      </c>
    </row>
    <row r="2215" spans="2:12" hidden="1" outlineLevel="1">
      <c r="B2215" s="73">
        <v>2209</v>
      </c>
      <c r="C2215" s="39"/>
      <c r="D2215" s="40"/>
      <c r="E2215" s="34" t="s">
        <v>323</v>
      </c>
      <c r="F2215" s="75" t="s">
        <v>2580</v>
      </c>
      <c r="G2215" s="35" t="s">
        <v>370</v>
      </c>
      <c r="H2215" s="41" t="s">
        <v>371</v>
      </c>
      <c r="I2215" s="44" t="str">
        <f>"0x"&amp;AE_w_WORK!L166</f>
        <v>0x0000</v>
      </c>
      <c r="J2215" s="36">
        <v>42425</v>
      </c>
      <c r="K2215" s="37"/>
      <c r="L2215" s="74">
        <f t="shared" si="36"/>
        <v>4418</v>
      </c>
    </row>
    <row r="2216" spans="2:12" hidden="1" outlineLevel="1">
      <c r="B2216" s="73">
        <v>2210</v>
      </c>
      <c r="C2216" s="39"/>
      <c r="D2216" s="40"/>
      <c r="E2216" s="34" t="s">
        <v>323</v>
      </c>
      <c r="F2216" s="75" t="s">
        <v>2581</v>
      </c>
      <c r="G2216" s="35" t="s">
        <v>370</v>
      </c>
      <c r="H2216" s="41" t="s">
        <v>371</v>
      </c>
      <c r="I2216" s="44" t="str">
        <f>"0x"&amp;AE_w_WORK!L167</f>
        <v>0x0000</v>
      </c>
      <c r="J2216" s="36">
        <v>42426</v>
      </c>
      <c r="K2216" s="37"/>
      <c r="L2216" s="74">
        <f t="shared" si="36"/>
        <v>4420</v>
      </c>
    </row>
    <row r="2217" spans="2:12" hidden="1" outlineLevel="1">
      <c r="B2217" s="73">
        <v>2211</v>
      </c>
      <c r="C2217" s="39"/>
      <c r="D2217" s="40"/>
      <c r="E2217" s="34" t="s">
        <v>323</v>
      </c>
      <c r="F2217" s="75" t="s">
        <v>2582</v>
      </c>
      <c r="G2217" s="35" t="s">
        <v>370</v>
      </c>
      <c r="H2217" s="41" t="s">
        <v>371</v>
      </c>
      <c r="I2217" s="44" t="str">
        <f>"0x"&amp;AE_w_WORK!L168</f>
        <v>0x0000</v>
      </c>
      <c r="J2217" s="36">
        <v>42427</v>
      </c>
      <c r="K2217" s="37"/>
      <c r="L2217" s="74">
        <f t="shared" si="36"/>
        <v>4422</v>
      </c>
    </row>
    <row r="2218" spans="2:12" hidden="1" outlineLevel="1">
      <c r="B2218" s="73">
        <v>2212</v>
      </c>
      <c r="C2218" s="39"/>
      <c r="D2218" s="40"/>
      <c r="E2218" s="34" t="s">
        <v>323</v>
      </c>
      <c r="F2218" s="75" t="s">
        <v>2583</v>
      </c>
      <c r="G2218" s="35" t="s">
        <v>370</v>
      </c>
      <c r="H2218" s="41" t="s">
        <v>371</v>
      </c>
      <c r="I2218" s="44" t="str">
        <f>"0x"&amp;AE_w_WORK!L169</f>
        <v>0x0000</v>
      </c>
      <c r="J2218" s="36">
        <v>42428</v>
      </c>
      <c r="K2218" s="37"/>
      <c r="L2218" s="74">
        <f t="shared" si="36"/>
        <v>4424</v>
      </c>
    </row>
    <row r="2219" spans="2:12" hidden="1" outlineLevel="1">
      <c r="B2219" s="73">
        <v>2213</v>
      </c>
      <c r="C2219" s="39"/>
      <c r="D2219" s="40"/>
      <c r="E2219" s="34" t="s">
        <v>323</v>
      </c>
      <c r="F2219" s="75" t="s">
        <v>2584</v>
      </c>
      <c r="G2219" s="35" t="s">
        <v>370</v>
      </c>
      <c r="H2219" s="41" t="s">
        <v>371</v>
      </c>
      <c r="I2219" s="44" t="str">
        <f>"0x"&amp;AE_w_WORK!L170</f>
        <v>0x0000</v>
      </c>
      <c r="J2219" s="36">
        <v>42429</v>
      </c>
      <c r="K2219" s="37"/>
      <c r="L2219" s="74">
        <f t="shared" si="36"/>
        <v>4426</v>
      </c>
    </row>
    <row r="2220" spans="2:12" hidden="1" outlineLevel="1">
      <c r="B2220" s="73">
        <v>2214</v>
      </c>
      <c r="C2220" s="39"/>
      <c r="D2220" s="40"/>
      <c r="E2220" s="34" t="s">
        <v>323</v>
      </c>
      <c r="F2220" s="75" t="s">
        <v>2585</v>
      </c>
      <c r="G2220" s="35" t="s">
        <v>370</v>
      </c>
      <c r="H2220" s="41" t="s">
        <v>371</v>
      </c>
      <c r="I2220" s="44" t="str">
        <f>"0x"&amp;AE_w_WORK!L171</f>
        <v>0x0000</v>
      </c>
      <c r="J2220" s="36">
        <v>42430</v>
      </c>
      <c r="K2220" s="37"/>
      <c r="L2220" s="74">
        <f t="shared" si="36"/>
        <v>4428</v>
      </c>
    </row>
    <row r="2221" spans="2:12" hidden="1" outlineLevel="1">
      <c r="B2221" s="73">
        <v>2215</v>
      </c>
      <c r="C2221" s="39"/>
      <c r="D2221" s="40"/>
      <c r="E2221" s="34" t="s">
        <v>323</v>
      </c>
      <c r="F2221" s="75" t="s">
        <v>2586</v>
      </c>
      <c r="G2221" s="35" t="s">
        <v>370</v>
      </c>
      <c r="H2221" s="41" t="s">
        <v>371</v>
      </c>
      <c r="I2221" s="44" t="str">
        <f>"0x"&amp;AE_w_WORK!L172</f>
        <v>0x0000</v>
      </c>
      <c r="J2221" s="36">
        <v>42431</v>
      </c>
      <c r="K2221" s="37"/>
      <c r="L2221" s="74">
        <f t="shared" si="36"/>
        <v>4430</v>
      </c>
    </row>
    <row r="2222" spans="2:12" hidden="1" outlineLevel="1">
      <c r="B2222" s="73">
        <v>2216</v>
      </c>
      <c r="C2222" s="39"/>
      <c r="D2222" s="40"/>
      <c r="E2222" s="34" t="s">
        <v>323</v>
      </c>
      <c r="F2222" s="75" t="s">
        <v>2587</v>
      </c>
      <c r="G2222" s="35" t="s">
        <v>370</v>
      </c>
      <c r="H2222" s="41" t="s">
        <v>371</v>
      </c>
      <c r="I2222" s="44" t="str">
        <f>"0x"&amp;AE_w_WORK!L173</f>
        <v>0x0000</v>
      </c>
      <c r="J2222" s="36">
        <v>42432</v>
      </c>
      <c r="K2222" s="37"/>
      <c r="L2222" s="74">
        <f t="shared" si="36"/>
        <v>4432</v>
      </c>
    </row>
    <row r="2223" spans="2:12" hidden="1" outlineLevel="1">
      <c r="B2223" s="73">
        <v>2217</v>
      </c>
      <c r="C2223" s="39"/>
      <c r="D2223" s="40"/>
      <c r="E2223" s="34" t="s">
        <v>323</v>
      </c>
      <c r="F2223" s="75" t="s">
        <v>2588</v>
      </c>
      <c r="G2223" s="35" t="s">
        <v>370</v>
      </c>
      <c r="H2223" s="41" t="s">
        <v>371</v>
      </c>
      <c r="I2223" s="44" t="str">
        <f>"0x"&amp;AE_w_WORK!L174</f>
        <v>0x0000</v>
      </c>
      <c r="J2223" s="36">
        <v>42433</v>
      </c>
      <c r="K2223" s="37"/>
      <c r="L2223" s="74">
        <f t="shared" si="36"/>
        <v>4434</v>
      </c>
    </row>
    <row r="2224" spans="2:12" hidden="1" outlineLevel="1">
      <c r="B2224" s="73">
        <v>2218</v>
      </c>
      <c r="C2224" s="39"/>
      <c r="D2224" s="40"/>
      <c r="E2224" s="34" t="s">
        <v>323</v>
      </c>
      <c r="F2224" s="75" t="s">
        <v>2589</v>
      </c>
      <c r="G2224" s="35" t="s">
        <v>370</v>
      </c>
      <c r="H2224" s="41" t="s">
        <v>371</v>
      </c>
      <c r="I2224" s="44" t="str">
        <f>"0x"&amp;AE_w_WORK!L175</f>
        <v>0x0000</v>
      </c>
      <c r="J2224" s="36">
        <v>42434</v>
      </c>
      <c r="K2224" s="37"/>
      <c r="L2224" s="74">
        <f t="shared" si="36"/>
        <v>4436</v>
      </c>
    </row>
    <row r="2225" spans="2:12" hidden="1" outlineLevel="1">
      <c r="B2225" s="73">
        <v>2219</v>
      </c>
      <c r="C2225" s="39"/>
      <c r="D2225" s="40"/>
      <c r="E2225" s="34" t="s">
        <v>323</v>
      </c>
      <c r="F2225" s="75" t="s">
        <v>2590</v>
      </c>
      <c r="G2225" s="35" t="s">
        <v>370</v>
      </c>
      <c r="H2225" s="41" t="s">
        <v>371</v>
      </c>
      <c r="I2225" s="44" t="str">
        <f>"0x"&amp;AE_w_WORK!L176</f>
        <v>0x0000</v>
      </c>
      <c r="J2225" s="36">
        <v>42435</v>
      </c>
      <c r="K2225" s="37"/>
      <c r="L2225" s="74">
        <f t="shared" si="36"/>
        <v>4438</v>
      </c>
    </row>
    <row r="2226" spans="2:12" hidden="1" outlineLevel="1">
      <c r="B2226" s="73">
        <v>2220</v>
      </c>
      <c r="C2226" s="39"/>
      <c r="D2226" s="40"/>
      <c r="E2226" s="34" t="s">
        <v>323</v>
      </c>
      <c r="F2226" s="75" t="s">
        <v>2591</v>
      </c>
      <c r="G2226" s="35" t="s">
        <v>370</v>
      </c>
      <c r="H2226" s="41" t="s">
        <v>371</v>
      </c>
      <c r="I2226" s="44" t="str">
        <f>"0x"&amp;AE_w_WORK!L177</f>
        <v>0x0000</v>
      </c>
      <c r="J2226" s="36">
        <v>42436</v>
      </c>
      <c r="K2226" s="37"/>
      <c r="L2226" s="74">
        <f t="shared" si="36"/>
        <v>4440</v>
      </c>
    </row>
    <row r="2227" spans="2:12" hidden="1" outlineLevel="1">
      <c r="B2227" s="73">
        <v>2221</v>
      </c>
      <c r="C2227" s="39"/>
      <c r="D2227" s="40"/>
      <c r="E2227" s="34" t="s">
        <v>323</v>
      </c>
      <c r="F2227" s="75" t="s">
        <v>2592</v>
      </c>
      <c r="G2227" s="35" t="s">
        <v>370</v>
      </c>
      <c r="H2227" s="41" t="s">
        <v>371</v>
      </c>
      <c r="I2227" s="44" t="str">
        <f>"0x"&amp;AE_w_WORK!L178</f>
        <v>0x0000</v>
      </c>
      <c r="J2227" s="36">
        <v>42437</v>
      </c>
      <c r="K2227" s="37"/>
      <c r="L2227" s="74">
        <f t="shared" si="36"/>
        <v>4442</v>
      </c>
    </row>
    <row r="2228" spans="2:12" hidden="1" outlineLevel="1">
      <c r="B2228" s="73">
        <v>2222</v>
      </c>
      <c r="C2228" s="39"/>
      <c r="D2228" s="40"/>
      <c r="E2228" s="34" t="s">
        <v>323</v>
      </c>
      <c r="F2228" s="75" t="s">
        <v>2593</v>
      </c>
      <c r="G2228" s="35" t="s">
        <v>370</v>
      </c>
      <c r="H2228" s="41" t="s">
        <v>371</v>
      </c>
      <c r="I2228" s="44" t="str">
        <f>"0x"&amp;AE_w_WORK!L179</f>
        <v>0x0000</v>
      </c>
      <c r="J2228" s="36">
        <v>42438</v>
      </c>
      <c r="K2228" s="37"/>
      <c r="L2228" s="74">
        <f t="shared" si="36"/>
        <v>4444</v>
      </c>
    </row>
    <row r="2229" spans="2:12" hidden="1" outlineLevel="1">
      <c r="B2229" s="73">
        <v>2223</v>
      </c>
      <c r="C2229" s="39"/>
      <c r="D2229" s="40"/>
      <c r="E2229" s="34" t="s">
        <v>323</v>
      </c>
      <c r="F2229" s="75" t="s">
        <v>2594</v>
      </c>
      <c r="G2229" s="35" t="s">
        <v>370</v>
      </c>
      <c r="H2229" s="41" t="s">
        <v>371</v>
      </c>
      <c r="I2229" s="44" t="str">
        <f>"0x"&amp;AE_w_WORK!L180</f>
        <v>0x0000</v>
      </c>
      <c r="J2229" s="36">
        <v>42439</v>
      </c>
      <c r="K2229" s="37"/>
      <c r="L2229" s="74">
        <f t="shared" si="36"/>
        <v>4446</v>
      </c>
    </row>
    <row r="2230" spans="2:12" hidden="1" outlineLevel="1">
      <c r="B2230" s="73">
        <v>2224</v>
      </c>
      <c r="C2230" s="39"/>
      <c r="D2230" s="40"/>
      <c r="E2230" s="34" t="s">
        <v>323</v>
      </c>
      <c r="F2230" s="75" t="s">
        <v>2595</v>
      </c>
      <c r="G2230" s="35" t="s">
        <v>370</v>
      </c>
      <c r="H2230" s="41" t="s">
        <v>371</v>
      </c>
      <c r="I2230" s="44" t="str">
        <f>"0x"&amp;AE_w_WORK!L181</f>
        <v>0x0000</v>
      </c>
      <c r="J2230" s="36">
        <v>42440</v>
      </c>
      <c r="K2230" s="37"/>
      <c r="L2230" s="74">
        <f t="shared" si="36"/>
        <v>4448</v>
      </c>
    </row>
    <row r="2231" spans="2:12" hidden="1" outlineLevel="1">
      <c r="B2231" s="73">
        <v>2225</v>
      </c>
      <c r="C2231" s="39"/>
      <c r="D2231" s="40"/>
      <c r="E2231" s="34" t="s">
        <v>323</v>
      </c>
      <c r="F2231" s="75" t="s">
        <v>2596</v>
      </c>
      <c r="G2231" s="35" t="s">
        <v>370</v>
      </c>
      <c r="H2231" s="41" t="s">
        <v>371</v>
      </c>
      <c r="I2231" s="44" t="str">
        <f>"0x"&amp;AE_w_WORK!L182</f>
        <v>0x0000</v>
      </c>
      <c r="J2231" s="36">
        <v>42441</v>
      </c>
      <c r="K2231" s="37"/>
      <c r="L2231" s="74">
        <f t="shared" si="36"/>
        <v>4450</v>
      </c>
    </row>
    <row r="2232" spans="2:12" hidden="1" outlineLevel="1">
      <c r="B2232" s="73">
        <v>2226</v>
      </c>
      <c r="C2232" s="39"/>
      <c r="D2232" s="40"/>
      <c r="E2232" s="34" t="s">
        <v>323</v>
      </c>
      <c r="F2232" s="75" t="s">
        <v>2597</v>
      </c>
      <c r="G2232" s="35" t="s">
        <v>370</v>
      </c>
      <c r="H2232" s="41" t="s">
        <v>371</v>
      </c>
      <c r="I2232" s="44" t="str">
        <f>"0x"&amp;AE_w_WORK!L183</f>
        <v>0x0000</v>
      </c>
      <c r="J2232" s="36">
        <v>42442</v>
      </c>
      <c r="K2232" s="37"/>
      <c r="L2232" s="74">
        <f t="shared" si="36"/>
        <v>4452</v>
      </c>
    </row>
    <row r="2233" spans="2:12" hidden="1" outlineLevel="1">
      <c r="B2233" s="73">
        <v>2227</v>
      </c>
      <c r="C2233" s="39"/>
      <c r="D2233" s="40"/>
      <c r="E2233" s="34" t="s">
        <v>323</v>
      </c>
      <c r="F2233" s="75" t="s">
        <v>2598</v>
      </c>
      <c r="G2233" s="35" t="s">
        <v>370</v>
      </c>
      <c r="H2233" s="41" t="s">
        <v>371</v>
      </c>
      <c r="I2233" s="44" t="str">
        <f>"0x"&amp;AE_w_WORK!L184</f>
        <v>0x0000</v>
      </c>
      <c r="J2233" s="36">
        <v>42443</v>
      </c>
      <c r="K2233" s="37"/>
      <c r="L2233" s="74">
        <f t="shared" si="36"/>
        <v>4454</v>
      </c>
    </row>
    <row r="2234" spans="2:12" hidden="1" outlineLevel="1">
      <c r="B2234" s="73">
        <v>2228</v>
      </c>
      <c r="C2234" s="39"/>
      <c r="D2234" s="40"/>
      <c r="E2234" s="34" t="s">
        <v>323</v>
      </c>
      <c r="F2234" s="75" t="s">
        <v>2599</v>
      </c>
      <c r="G2234" s="35" t="s">
        <v>370</v>
      </c>
      <c r="H2234" s="41" t="s">
        <v>371</v>
      </c>
      <c r="I2234" s="44" t="str">
        <f>"0x"&amp;AE_w_WORK!L185</f>
        <v>0x0000</v>
      </c>
      <c r="J2234" s="36">
        <v>42444</v>
      </c>
      <c r="K2234" s="37"/>
      <c r="L2234" s="74">
        <f t="shared" si="36"/>
        <v>4456</v>
      </c>
    </row>
    <row r="2235" spans="2:12" hidden="1" outlineLevel="1">
      <c r="B2235" s="73">
        <v>2229</v>
      </c>
      <c r="C2235" s="39"/>
      <c r="D2235" s="40"/>
      <c r="E2235" s="34" t="s">
        <v>323</v>
      </c>
      <c r="F2235" s="75" t="s">
        <v>2600</v>
      </c>
      <c r="G2235" s="35" t="s">
        <v>370</v>
      </c>
      <c r="H2235" s="41" t="s">
        <v>371</v>
      </c>
      <c r="I2235" s="44" t="str">
        <f>"0x"&amp;AE_w_WORK!L186</f>
        <v>0x0000</v>
      </c>
      <c r="J2235" s="36">
        <v>42445</v>
      </c>
      <c r="K2235" s="37"/>
      <c r="L2235" s="74">
        <f t="shared" si="36"/>
        <v>4458</v>
      </c>
    </row>
    <row r="2236" spans="2:12" hidden="1" outlineLevel="1">
      <c r="B2236" s="73">
        <v>2230</v>
      </c>
      <c r="C2236" s="39"/>
      <c r="D2236" s="40"/>
      <c r="E2236" s="34" t="s">
        <v>323</v>
      </c>
      <c r="F2236" s="75" t="s">
        <v>2601</v>
      </c>
      <c r="G2236" s="35" t="s">
        <v>370</v>
      </c>
      <c r="H2236" s="41" t="s">
        <v>371</v>
      </c>
      <c r="I2236" s="44" t="str">
        <f>"0x"&amp;AE_w_WORK!L187</f>
        <v>0x0000</v>
      </c>
      <c r="J2236" s="36">
        <v>42446</v>
      </c>
      <c r="K2236" s="37"/>
      <c r="L2236" s="74">
        <f t="shared" si="36"/>
        <v>4460</v>
      </c>
    </row>
    <row r="2237" spans="2:12" hidden="1" outlineLevel="1">
      <c r="B2237" s="73">
        <v>2231</v>
      </c>
      <c r="C2237" s="39"/>
      <c r="D2237" s="40"/>
      <c r="E2237" s="34" t="s">
        <v>323</v>
      </c>
      <c r="F2237" s="75" t="s">
        <v>2602</v>
      </c>
      <c r="G2237" s="35" t="s">
        <v>370</v>
      </c>
      <c r="H2237" s="41" t="s">
        <v>371</v>
      </c>
      <c r="I2237" s="44" t="str">
        <f>"0x"&amp;AE_w_WORK!L188</f>
        <v>0x0000</v>
      </c>
      <c r="J2237" s="36">
        <v>42447</v>
      </c>
      <c r="K2237" s="37"/>
      <c r="L2237" s="74">
        <f t="shared" si="36"/>
        <v>4462</v>
      </c>
    </row>
    <row r="2238" spans="2:12" hidden="1" outlineLevel="1">
      <c r="B2238" s="73">
        <v>2232</v>
      </c>
      <c r="C2238" s="39"/>
      <c r="D2238" s="40"/>
      <c r="E2238" s="34" t="s">
        <v>323</v>
      </c>
      <c r="F2238" s="75" t="s">
        <v>2603</v>
      </c>
      <c r="G2238" s="35" t="s">
        <v>370</v>
      </c>
      <c r="H2238" s="41" t="s">
        <v>371</v>
      </c>
      <c r="I2238" s="44" t="str">
        <f>"0x"&amp;AE_w_WORK!L189</f>
        <v>0x0000</v>
      </c>
      <c r="J2238" s="36">
        <v>42448</v>
      </c>
      <c r="K2238" s="37"/>
      <c r="L2238" s="74">
        <f t="shared" si="36"/>
        <v>4464</v>
      </c>
    </row>
    <row r="2239" spans="2:12" hidden="1" outlineLevel="1">
      <c r="B2239" s="73">
        <v>2233</v>
      </c>
      <c r="C2239" s="39"/>
      <c r="D2239" s="40"/>
      <c r="E2239" s="34" t="s">
        <v>323</v>
      </c>
      <c r="F2239" s="75" t="s">
        <v>2604</v>
      </c>
      <c r="G2239" s="35" t="s">
        <v>370</v>
      </c>
      <c r="H2239" s="41" t="s">
        <v>371</v>
      </c>
      <c r="I2239" s="44" t="str">
        <f>"0x"&amp;AE_w_WORK!L190</f>
        <v>0x0000</v>
      </c>
      <c r="J2239" s="36">
        <v>42449</v>
      </c>
      <c r="K2239" s="37"/>
      <c r="L2239" s="74">
        <f t="shared" si="36"/>
        <v>4466</v>
      </c>
    </row>
    <row r="2240" spans="2:12" hidden="1" outlineLevel="1">
      <c r="B2240" s="73">
        <v>2234</v>
      </c>
      <c r="C2240" s="39"/>
      <c r="D2240" s="40"/>
      <c r="E2240" s="34" t="s">
        <v>323</v>
      </c>
      <c r="F2240" s="75" t="s">
        <v>2605</v>
      </c>
      <c r="G2240" s="35" t="s">
        <v>370</v>
      </c>
      <c r="H2240" s="41" t="s">
        <v>371</v>
      </c>
      <c r="I2240" s="44" t="str">
        <f>"0x"&amp;AE_w_WORK!L191</f>
        <v>0x0000</v>
      </c>
      <c r="J2240" s="36">
        <v>42450</v>
      </c>
      <c r="K2240" s="37"/>
      <c r="L2240" s="74">
        <f t="shared" si="36"/>
        <v>4468</v>
      </c>
    </row>
    <row r="2241" spans="2:12" hidden="1" outlineLevel="1">
      <c r="B2241" s="73">
        <v>2235</v>
      </c>
      <c r="C2241" s="39"/>
      <c r="D2241" s="40"/>
      <c r="E2241" s="34" t="s">
        <v>323</v>
      </c>
      <c r="F2241" s="75" t="s">
        <v>2606</v>
      </c>
      <c r="G2241" s="35" t="s">
        <v>370</v>
      </c>
      <c r="H2241" s="41" t="s">
        <v>371</v>
      </c>
      <c r="I2241" s="44" t="str">
        <f>"0x"&amp;AE_w_WORK!L192</f>
        <v>0x0000</v>
      </c>
      <c r="J2241" s="36">
        <v>42451</v>
      </c>
      <c r="K2241" s="37"/>
      <c r="L2241" s="74">
        <f t="shared" si="36"/>
        <v>4470</v>
      </c>
    </row>
    <row r="2242" spans="2:12" hidden="1" outlineLevel="1">
      <c r="B2242" s="73">
        <v>2236</v>
      </c>
      <c r="C2242" s="39"/>
      <c r="D2242" s="40"/>
      <c r="E2242" s="34" t="s">
        <v>323</v>
      </c>
      <c r="F2242" s="75" t="s">
        <v>2607</v>
      </c>
      <c r="G2242" s="35" t="s">
        <v>370</v>
      </c>
      <c r="H2242" s="41" t="s">
        <v>371</v>
      </c>
      <c r="I2242" s="44" t="str">
        <f>"0x"&amp;AE_w_WORK!L193</f>
        <v>0x1100</v>
      </c>
      <c r="J2242" s="36">
        <v>42452</v>
      </c>
      <c r="K2242" s="37"/>
      <c r="L2242" s="74">
        <f t="shared" si="36"/>
        <v>4472</v>
      </c>
    </row>
    <row r="2243" spans="2:12" hidden="1" outlineLevel="1">
      <c r="B2243" s="73">
        <v>2237</v>
      </c>
      <c r="C2243" s="39"/>
      <c r="D2243" s="40"/>
      <c r="E2243" s="34" t="s">
        <v>323</v>
      </c>
      <c r="F2243" s="75" t="s">
        <v>2608</v>
      </c>
      <c r="G2243" s="35" t="s">
        <v>370</v>
      </c>
      <c r="H2243" s="41" t="s">
        <v>371</v>
      </c>
      <c r="I2243" s="44" t="str">
        <f>"0x"&amp;AE_w_WORK!L194</f>
        <v>0x0011</v>
      </c>
      <c r="J2243" s="36">
        <v>42453</v>
      </c>
      <c r="K2243" s="37"/>
      <c r="L2243" s="74">
        <f t="shared" si="36"/>
        <v>4474</v>
      </c>
    </row>
    <row r="2244" spans="2:12" hidden="1" outlineLevel="1">
      <c r="B2244" s="73">
        <v>2238</v>
      </c>
      <c r="C2244" s="39"/>
      <c r="D2244" s="40"/>
      <c r="E2244" s="34" t="s">
        <v>323</v>
      </c>
      <c r="F2244" s="75" t="s">
        <v>2609</v>
      </c>
      <c r="G2244" s="35" t="s">
        <v>370</v>
      </c>
      <c r="H2244" s="41" t="s">
        <v>371</v>
      </c>
      <c r="I2244" s="44" t="str">
        <f>"0x"&amp;AE_w_WORK!L195</f>
        <v>0x0000</v>
      </c>
      <c r="J2244" s="36">
        <v>42454</v>
      </c>
      <c r="K2244" s="37"/>
      <c r="L2244" s="74">
        <f t="shared" si="36"/>
        <v>4476</v>
      </c>
    </row>
    <row r="2245" spans="2:12" hidden="1" outlineLevel="1">
      <c r="B2245" s="73">
        <v>2239</v>
      </c>
      <c r="C2245" s="39"/>
      <c r="D2245" s="40"/>
      <c r="E2245" s="34" t="s">
        <v>323</v>
      </c>
      <c r="F2245" s="75" t="s">
        <v>2610</v>
      </c>
      <c r="G2245" s="35" t="s">
        <v>370</v>
      </c>
      <c r="H2245" s="41" t="s">
        <v>371</v>
      </c>
      <c r="I2245" s="44" t="str">
        <f>"0x"&amp;AE_w_WORK!L196</f>
        <v>0x0000</v>
      </c>
      <c r="J2245" s="36">
        <v>42455</v>
      </c>
      <c r="K2245" s="37"/>
      <c r="L2245" s="74">
        <f t="shared" si="36"/>
        <v>4478</v>
      </c>
    </row>
    <row r="2246" spans="2:12" hidden="1" outlineLevel="1">
      <c r="B2246" s="73">
        <v>2240</v>
      </c>
      <c r="C2246" s="39"/>
      <c r="D2246" s="40"/>
      <c r="E2246" s="34" t="s">
        <v>323</v>
      </c>
      <c r="F2246" s="75" t="s">
        <v>2611</v>
      </c>
      <c r="G2246" s="35" t="s">
        <v>370</v>
      </c>
      <c r="H2246" s="41" t="s">
        <v>371</v>
      </c>
      <c r="I2246" s="44" t="str">
        <f>"0x"&amp;AE_w_WORK!L197</f>
        <v>0x0000</v>
      </c>
      <c r="J2246" s="36">
        <v>42456</v>
      </c>
      <c r="K2246" s="37"/>
      <c r="L2246" s="74">
        <f t="shared" si="36"/>
        <v>4480</v>
      </c>
    </row>
    <row r="2247" spans="2:12" hidden="1" outlineLevel="1">
      <c r="B2247" s="73">
        <v>2241</v>
      </c>
      <c r="C2247" s="39"/>
      <c r="D2247" s="40"/>
      <c r="E2247" s="34" t="s">
        <v>323</v>
      </c>
      <c r="F2247" s="75" t="s">
        <v>2612</v>
      </c>
      <c r="G2247" s="35" t="s">
        <v>370</v>
      </c>
      <c r="H2247" s="41" t="s">
        <v>371</v>
      </c>
      <c r="I2247" s="44" t="str">
        <f>"0x"&amp;AE_w_WORK!L198</f>
        <v>0x0000</v>
      </c>
      <c r="J2247" s="36">
        <v>42457</v>
      </c>
      <c r="K2247" s="37"/>
      <c r="L2247" s="74">
        <f t="shared" si="36"/>
        <v>4482</v>
      </c>
    </row>
    <row r="2248" spans="2:12" hidden="1" outlineLevel="1">
      <c r="B2248" s="73">
        <v>2242</v>
      </c>
      <c r="C2248" s="39"/>
      <c r="D2248" s="40"/>
      <c r="E2248" s="34" t="s">
        <v>323</v>
      </c>
      <c r="F2248" s="75" t="s">
        <v>2613</v>
      </c>
      <c r="G2248" s="35" t="s">
        <v>370</v>
      </c>
      <c r="H2248" s="41" t="s">
        <v>371</v>
      </c>
      <c r="I2248" s="44" t="str">
        <f>"0x"&amp;AE_w_WORK!L199</f>
        <v>0x0000</v>
      </c>
      <c r="J2248" s="36">
        <v>42458</v>
      </c>
      <c r="K2248" s="37"/>
      <c r="L2248" s="74">
        <f t="shared" si="36"/>
        <v>4484</v>
      </c>
    </row>
    <row r="2249" spans="2:12" hidden="1" outlineLevel="1">
      <c r="B2249" s="73">
        <v>2243</v>
      </c>
      <c r="C2249" s="39"/>
      <c r="D2249" s="40"/>
      <c r="E2249" s="34" t="s">
        <v>323</v>
      </c>
      <c r="F2249" s="75" t="s">
        <v>2614</v>
      </c>
      <c r="G2249" s="35" t="s">
        <v>370</v>
      </c>
      <c r="H2249" s="41" t="s">
        <v>371</v>
      </c>
      <c r="I2249" s="44" t="str">
        <f>"0x"&amp;AE_w_WORK!L200</f>
        <v>0x0000</v>
      </c>
      <c r="J2249" s="36">
        <v>42459</v>
      </c>
      <c r="K2249" s="37"/>
      <c r="L2249" s="74">
        <f t="shared" ref="L2249:L2312" si="37">L2248+2</f>
        <v>4486</v>
      </c>
    </row>
    <row r="2250" spans="2:12" hidden="1" outlineLevel="1">
      <c r="B2250" s="73">
        <v>2244</v>
      </c>
      <c r="C2250" s="39"/>
      <c r="D2250" s="40"/>
      <c r="E2250" s="34" t="s">
        <v>323</v>
      </c>
      <c r="F2250" s="75" t="s">
        <v>2615</v>
      </c>
      <c r="G2250" s="35" t="s">
        <v>370</v>
      </c>
      <c r="H2250" s="41" t="s">
        <v>371</v>
      </c>
      <c r="I2250" s="44" t="str">
        <f>"0x"&amp;AE_w_WORK!L201</f>
        <v>0x0000</v>
      </c>
      <c r="J2250" s="36">
        <v>42460</v>
      </c>
      <c r="K2250" s="37"/>
      <c r="L2250" s="74">
        <f t="shared" si="37"/>
        <v>4488</v>
      </c>
    </row>
    <row r="2251" spans="2:12" hidden="1" outlineLevel="1">
      <c r="B2251" s="73">
        <v>2245</v>
      </c>
      <c r="C2251" s="39"/>
      <c r="D2251" s="40"/>
      <c r="E2251" s="34" t="s">
        <v>323</v>
      </c>
      <c r="F2251" s="75" t="s">
        <v>2616</v>
      </c>
      <c r="G2251" s="35" t="s">
        <v>370</v>
      </c>
      <c r="H2251" s="41" t="s">
        <v>371</v>
      </c>
      <c r="I2251" s="44" t="str">
        <f>"0x"&amp;AE_w_WORK!L202</f>
        <v>0x0000</v>
      </c>
      <c r="J2251" s="36">
        <v>42461</v>
      </c>
      <c r="K2251" s="37"/>
      <c r="L2251" s="74">
        <f t="shared" si="37"/>
        <v>4490</v>
      </c>
    </row>
    <row r="2252" spans="2:12" hidden="1" outlineLevel="1">
      <c r="B2252" s="73">
        <v>2246</v>
      </c>
      <c r="C2252" s="39"/>
      <c r="D2252" s="40"/>
      <c r="E2252" s="34" t="s">
        <v>323</v>
      </c>
      <c r="F2252" s="75" t="s">
        <v>2617</v>
      </c>
      <c r="G2252" s="35" t="s">
        <v>370</v>
      </c>
      <c r="H2252" s="41" t="s">
        <v>371</v>
      </c>
      <c r="I2252" s="44" t="str">
        <f>"0x"&amp;AE_w_WORK!L203</f>
        <v>0x0000</v>
      </c>
      <c r="J2252" s="36">
        <v>42462</v>
      </c>
      <c r="K2252" s="37"/>
      <c r="L2252" s="74">
        <f t="shared" si="37"/>
        <v>4492</v>
      </c>
    </row>
    <row r="2253" spans="2:12" hidden="1" outlineLevel="1">
      <c r="B2253" s="73">
        <v>2247</v>
      </c>
      <c r="C2253" s="39"/>
      <c r="D2253" s="40"/>
      <c r="E2253" s="34" t="s">
        <v>323</v>
      </c>
      <c r="F2253" s="75" t="s">
        <v>2618</v>
      </c>
      <c r="G2253" s="35" t="s">
        <v>370</v>
      </c>
      <c r="H2253" s="41" t="s">
        <v>371</v>
      </c>
      <c r="I2253" s="44" t="str">
        <f>"0x"&amp;AE_w_WORK!L204</f>
        <v>0x0000</v>
      </c>
      <c r="J2253" s="36">
        <v>42463</v>
      </c>
      <c r="K2253" s="37"/>
      <c r="L2253" s="74">
        <f t="shared" si="37"/>
        <v>4494</v>
      </c>
    </row>
    <row r="2254" spans="2:12" hidden="1" outlineLevel="1">
      <c r="B2254" s="73">
        <v>2248</v>
      </c>
      <c r="C2254" s="39"/>
      <c r="D2254" s="40"/>
      <c r="E2254" s="34" t="s">
        <v>323</v>
      </c>
      <c r="F2254" s="75" t="s">
        <v>2619</v>
      </c>
      <c r="G2254" s="35" t="s">
        <v>370</v>
      </c>
      <c r="H2254" s="41" t="s">
        <v>371</v>
      </c>
      <c r="I2254" s="44" t="str">
        <f>"0x"&amp;AE_w_WORK!L205</f>
        <v>0x0000</v>
      </c>
      <c r="J2254" s="36">
        <v>42464</v>
      </c>
      <c r="K2254" s="37"/>
      <c r="L2254" s="74">
        <f t="shared" si="37"/>
        <v>4496</v>
      </c>
    </row>
    <row r="2255" spans="2:12" hidden="1" outlineLevel="1">
      <c r="B2255" s="73">
        <v>2249</v>
      </c>
      <c r="C2255" s="39"/>
      <c r="D2255" s="40"/>
      <c r="E2255" s="34" t="s">
        <v>323</v>
      </c>
      <c r="F2255" s="75" t="s">
        <v>2620</v>
      </c>
      <c r="G2255" s="35" t="s">
        <v>370</v>
      </c>
      <c r="H2255" s="41" t="s">
        <v>371</v>
      </c>
      <c r="I2255" s="44" t="str">
        <f>"0x"&amp;AE_w_WORK!L206</f>
        <v>0x0000</v>
      </c>
      <c r="J2255" s="36">
        <v>42465</v>
      </c>
      <c r="K2255" s="37"/>
      <c r="L2255" s="74">
        <f t="shared" si="37"/>
        <v>4498</v>
      </c>
    </row>
    <row r="2256" spans="2:12" hidden="1" outlineLevel="1">
      <c r="B2256" s="73">
        <v>2250</v>
      </c>
      <c r="C2256" s="39"/>
      <c r="D2256" s="40"/>
      <c r="E2256" s="34" t="s">
        <v>323</v>
      </c>
      <c r="F2256" s="75" t="s">
        <v>2621</v>
      </c>
      <c r="G2256" s="35" t="s">
        <v>370</v>
      </c>
      <c r="H2256" s="41" t="s">
        <v>371</v>
      </c>
      <c r="I2256" s="44" t="str">
        <f>"0x"&amp;AE_w_WORK!L207</f>
        <v>0x0000</v>
      </c>
      <c r="J2256" s="36">
        <v>42466</v>
      </c>
      <c r="K2256" s="37"/>
      <c r="L2256" s="74">
        <f t="shared" si="37"/>
        <v>4500</v>
      </c>
    </row>
    <row r="2257" spans="2:12" hidden="1" outlineLevel="1">
      <c r="B2257" s="73">
        <v>2251</v>
      </c>
      <c r="C2257" s="39"/>
      <c r="D2257" s="40"/>
      <c r="E2257" s="34" t="s">
        <v>323</v>
      </c>
      <c r="F2257" s="75" t="s">
        <v>2622</v>
      </c>
      <c r="G2257" s="35" t="s">
        <v>370</v>
      </c>
      <c r="H2257" s="41" t="s">
        <v>371</v>
      </c>
      <c r="I2257" s="44" t="str">
        <f>"0x"&amp;AE_w_WORK!L208</f>
        <v>0x0000</v>
      </c>
      <c r="J2257" s="36">
        <v>42467</v>
      </c>
      <c r="K2257" s="37"/>
      <c r="L2257" s="74">
        <f t="shared" si="37"/>
        <v>4502</v>
      </c>
    </row>
    <row r="2258" spans="2:12" hidden="1" outlineLevel="1">
      <c r="B2258" s="73">
        <v>2252</v>
      </c>
      <c r="C2258" s="39"/>
      <c r="D2258" s="40"/>
      <c r="E2258" s="34" t="s">
        <v>323</v>
      </c>
      <c r="F2258" s="75" t="s">
        <v>2623</v>
      </c>
      <c r="G2258" s="35" t="s">
        <v>370</v>
      </c>
      <c r="H2258" s="41" t="s">
        <v>371</v>
      </c>
      <c r="I2258" s="44" t="str">
        <f>"0x"&amp;AE_w_WORK!L209</f>
        <v>0x0000</v>
      </c>
      <c r="J2258" s="36">
        <v>42468</v>
      </c>
      <c r="K2258" s="37"/>
      <c r="L2258" s="74">
        <f t="shared" si="37"/>
        <v>4504</v>
      </c>
    </row>
    <row r="2259" spans="2:12" hidden="1" outlineLevel="1">
      <c r="B2259" s="73">
        <v>2253</v>
      </c>
      <c r="C2259" s="39"/>
      <c r="D2259" s="40"/>
      <c r="E2259" s="34" t="s">
        <v>323</v>
      </c>
      <c r="F2259" s="75" t="s">
        <v>2624</v>
      </c>
      <c r="G2259" s="35" t="s">
        <v>370</v>
      </c>
      <c r="H2259" s="41" t="s">
        <v>371</v>
      </c>
      <c r="I2259" s="44" t="str">
        <f>"0x"&amp;AE_w_WORK!L210</f>
        <v>0x0000</v>
      </c>
      <c r="J2259" s="36">
        <v>42469</v>
      </c>
      <c r="K2259" s="37"/>
      <c r="L2259" s="74">
        <f t="shared" si="37"/>
        <v>4506</v>
      </c>
    </row>
    <row r="2260" spans="2:12" hidden="1" outlineLevel="1">
      <c r="B2260" s="73">
        <v>2254</v>
      </c>
      <c r="C2260" s="39"/>
      <c r="D2260" s="40"/>
      <c r="E2260" s="34" t="s">
        <v>323</v>
      </c>
      <c r="F2260" s="75" t="s">
        <v>2625</v>
      </c>
      <c r="G2260" s="35" t="s">
        <v>370</v>
      </c>
      <c r="H2260" s="41" t="s">
        <v>371</v>
      </c>
      <c r="I2260" s="44" t="str">
        <f>"0x"&amp;AE_w_WORK!L211</f>
        <v>0x0000</v>
      </c>
      <c r="J2260" s="36">
        <v>42470</v>
      </c>
      <c r="K2260" s="37"/>
      <c r="L2260" s="74">
        <f t="shared" si="37"/>
        <v>4508</v>
      </c>
    </row>
    <row r="2261" spans="2:12" hidden="1" outlineLevel="1">
      <c r="B2261" s="73">
        <v>2255</v>
      </c>
      <c r="C2261" s="39"/>
      <c r="D2261" s="40"/>
      <c r="E2261" s="34" t="s">
        <v>323</v>
      </c>
      <c r="F2261" s="75" t="s">
        <v>2626</v>
      </c>
      <c r="G2261" s="35" t="s">
        <v>370</v>
      </c>
      <c r="H2261" s="41" t="s">
        <v>371</v>
      </c>
      <c r="I2261" s="44" t="str">
        <f>"0x"&amp;AE_w_WORK!L212</f>
        <v>0x0000</v>
      </c>
      <c r="J2261" s="36">
        <v>42471</v>
      </c>
      <c r="K2261" s="37"/>
      <c r="L2261" s="74">
        <f t="shared" si="37"/>
        <v>4510</v>
      </c>
    </row>
    <row r="2262" spans="2:12" hidden="1" outlineLevel="1">
      <c r="B2262" s="73">
        <v>2256</v>
      </c>
      <c r="C2262" s="39"/>
      <c r="D2262" s="40"/>
      <c r="E2262" s="34" t="s">
        <v>323</v>
      </c>
      <c r="F2262" s="75" t="s">
        <v>2627</v>
      </c>
      <c r="G2262" s="35" t="s">
        <v>370</v>
      </c>
      <c r="H2262" s="41" t="s">
        <v>371</v>
      </c>
      <c r="I2262" s="44" t="str">
        <f>"0x"&amp;AE_w_WORK!L213</f>
        <v>0x0000</v>
      </c>
      <c r="J2262" s="36">
        <v>42472</v>
      </c>
      <c r="K2262" s="37"/>
      <c r="L2262" s="74">
        <f t="shared" si="37"/>
        <v>4512</v>
      </c>
    </row>
    <row r="2263" spans="2:12" hidden="1" outlineLevel="1">
      <c r="B2263" s="73">
        <v>2257</v>
      </c>
      <c r="C2263" s="39"/>
      <c r="D2263" s="40"/>
      <c r="E2263" s="34" t="s">
        <v>323</v>
      </c>
      <c r="F2263" s="75" t="s">
        <v>2628</v>
      </c>
      <c r="G2263" s="35" t="s">
        <v>370</v>
      </c>
      <c r="H2263" s="41" t="s">
        <v>371</v>
      </c>
      <c r="I2263" s="44" t="str">
        <f>"0x"&amp;AE_w_WORK!L214</f>
        <v>0x0000</v>
      </c>
      <c r="J2263" s="36">
        <v>42473</v>
      </c>
      <c r="K2263" s="37"/>
      <c r="L2263" s="74">
        <f t="shared" si="37"/>
        <v>4514</v>
      </c>
    </row>
    <row r="2264" spans="2:12" hidden="1" outlineLevel="1">
      <c r="B2264" s="73">
        <v>2258</v>
      </c>
      <c r="C2264" s="39"/>
      <c r="D2264" s="40"/>
      <c r="E2264" s="34" t="s">
        <v>323</v>
      </c>
      <c r="F2264" s="75" t="s">
        <v>2629</v>
      </c>
      <c r="G2264" s="35" t="s">
        <v>370</v>
      </c>
      <c r="H2264" s="41" t="s">
        <v>371</v>
      </c>
      <c r="I2264" s="44" t="str">
        <f>"0x"&amp;AE_w_WORK!L215</f>
        <v>0x0000</v>
      </c>
      <c r="J2264" s="36">
        <v>42474</v>
      </c>
      <c r="K2264" s="37"/>
      <c r="L2264" s="74">
        <f t="shared" si="37"/>
        <v>4516</v>
      </c>
    </row>
    <row r="2265" spans="2:12" hidden="1" outlineLevel="1">
      <c r="B2265" s="73">
        <v>2259</v>
      </c>
      <c r="C2265" s="39"/>
      <c r="D2265" s="40"/>
      <c r="E2265" s="34" t="s">
        <v>323</v>
      </c>
      <c r="F2265" s="75" t="s">
        <v>2630</v>
      </c>
      <c r="G2265" s="35" t="s">
        <v>370</v>
      </c>
      <c r="H2265" s="41" t="s">
        <v>371</v>
      </c>
      <c r="I2265" s="44" t="str">
        <f>"0x"&amp;AE_w_WORK!L216</f>
        <v>0x0000</v>
      </c>
      <c r="J2265" s="36">
        <v>42475</v>
      </c>
      <c r="K2265" s="37"/>
      <c r="L2265" s="74">
        <f t="shared" si="37"/>
        <v>4518</v>
      </c>
    </row>
    <row r="2266" spans="2:12" hidden="1" outlineLevel="1">
      <c r="B2266" s="73">
        <v>2260</v>
      </c>
      <c r="C2266" s="39"/>
      <c r="D2266" s="40"/>
      <c r="E2266" s="34" t="s">
        <v>323</v>
      </c>
      <c r="F2266" s="75" t="s">
        <v>2631</v>
      </c>
      <c r="G2266" s="35" t="s">
        <v>370</v>
      </c>
      <c r="H2266" s="41" t="s">
        <v>371</v>
      </c>
      <c r="I2266" s="44" t="str">
        <f>"0x"&amp;AE_w_WORK!L217</f>
        <v>0x0000</v>
      </c>
      <c r="J2266" s="36">
        <v>42476</v>
      </c>
      <c r="K2266" s="37"/>
      <c r="L2266" s="74">
        <f t="shared" si="37"/>
        <v>4520</v>
      </c>
    </row>
    <row r="2267" spans="2:12" hidden="1" outlineLevel="1">
      <c r="B2267" s="73">
        <v>2261</v>
      </c>
      <c r="C2267" s="39"/>
      <c r="D2267" s="40"/>
      <c r="E2267" s="34" t="s">
        <v>323</v>
      </c>
      <c r="F2267" s="75" t="s">
        <v>2632</v>
      </c>
      <c r="G2267" s="35" t="s">
        <v>370</v>
      </c>
      <c r="H2267" s="41" t="s">
        <v>371</v>
      </c>
      <c r="I2267" s="44" t="str">
        <f>"0x"&amp;AE_w_WORK!L218</f>
        <v>0x0000</v>
      </c>
      <c r="J2267" s="36">
        <v>42477</v>
      </c>
      <c r="K2267" s="37"/>
      <c r="L2267" s="74">
        <f t="shared" si="37"/>
        <v>4522</v>
      </c>
    </row>
    <row r="2268" spans="2:12" hidden="1" outlineLevel="1">
      <c r="B2268" s="73">
        <v>2262</v>
      </c>
      <c r="C2268" s="39"/>
      <c r="D2268" s="40"/>
      <c r="E2268" s="34" t="s">
        <v>323</v>
      </c>
      <c r="F2268" s="75" t="s">
        <v>2633</v>
      </c>
      <c r="G2268" s="35" t="s">
        <v>370</v>
      </c>
      <c r="H2268" s="41" t="s">
        <v>371</v>
      </c>
      <c r="I2268" s="44" t="str">
        <f>"0x"&amp;AE_w_WORK!L219</f>
        <v>0x0000</v>
      </c>
      <c r="J2268" s="36">
        <v>42478</v>
      </c>
      <c r="K2268" s="37"/>
      <c r="L2268" s="74">
        <f t="shared" si="37"/>
        <v>4524</v>
      </c>
    </row>
    <row r="2269" spans="2:12" hidden="1" outlineLevel="1">
      <c r="B2269" s="73">
        <v>2263</v>
      </c>
      <c r="C2269" s="39"/>
      <c r="D2269" s="40"/>
      <c r="E2269" s="34" t="s">
        <v>323</v>
      </c>
      <c r="F2269" s="75" t="s">
        <v>2634</v>
      </c>
      <c r="G2269" s="35" t="s">
        <v>370</v>
      </c>
      <c r="H2269" s="41" t="s">
        <v>371</v>
      </c>
      <c r="I2269" s="44" t="str">
        <f>"0x"&amp;AE_w_WORK!L220</f>
        <v>0x0000</v>
      </c>
      <c r="J2269" s="36">
        <v>42479</v>
      </c>
      <c r="K2269" s="37"/>
      <c r="L2269" s="74">
        <f t="shared" si="37"/>
        <v>4526</v>
      </c>
    </row>
    <row r="2270" spans="2:12" hidden="1" outlineLevel="1">
      <c r="B2270" s="73">
        <v>2264</v>
      </c>
      <c r="C2270" s="39"/>
      <c r="D2270" s="40"/>
      <c r="E2270" s="34" t="s">
        <v>323</v>
      </c>
      <c r="F2270" s="75" t="s">
        <v>2635</v>
      </c>
      <c r="G2270" s="35" t="s">
        <v>370</v>
      </c>
      <c r="H2270" s="41" t="s">
        <v>371</v>
      </c>
      <c r="I2270" s="44" t="str">
        <f>"0x"&amp;AE_w_WORK!L221</f>
        <v>0x0000</v>
      </c>
      <c r="J2270" s="36">
        <v>42480</v>
      </c>
      <c r="K2270" s="37"/>
      <c r="L2270" s="74">
        <f t="shared" si="37"/>
        <v>4528</v>
      </c>
    </row>
    <row r="2271" spans="2:12" hidden="1" outlineLevel="1">
      <c r="B2271" s="73">
        <v>2265</v>
      </c>
      <c r="C2271" s="39"/>
      <c r="D2271" s="40"/>
      <c r="E2271" s="34" t="s">
        <v>323</v>
      </c>
      <c r="F2271" s="75" t="s">
        <v>2636</v>
      </c>
      <c r="G2271" s="35" t="s">
        <v>370</v>
      </c>
      <c r="H2271" s="41" t="s">
        <v>371</v>
      </c>
      <c r="I2271" s="44" t="str">
        <f>"0x"&amp;AE_w_WORK!L222</f>
        <v>0x0000</v>
      </c>
      <c r="J2271" s="36">
        <v>42481</v>
      </c>
      <c r="K2271" s="37"/>
      <c r="L2271" s="74">
        <f t="shared" si="37"/>
        <v>4530</v>
      </c>
    </row>
    <row r="2272" spans="2:12" hidden="1" outlineLevel="1">
      <c r="B2272" s="73">
        <v>2266</v>
      </c>
      <c r="C2272" s="39"/>
      <c r="D2272" s="40"/>
      <c r="E2272" s="34" t="s">
        <v>323</v>
      </c>
      <c r="F2272" s="75" t="s">
        <v>2637</v>
      </c>
      <c r="G2272" s="35" t="s">
        <v>370</v>
      </c>
      <c r="H2272" s="41" t="s">
        <v>371</v>
      </c>
      <c r="I2272" s="44" t="str">
        <f>"0x"&amp;AE_w_WORK!L223</f>
        <v>0x0000</v>
      </c>
      <c r="J2272" s="36">
        <v>42482</v>
      </c>
      <c r="K2272" s="37"/>
      <c r="L2272" s="74">
        <f t="shared" si="37"/>
        <v>4532</v>
      </c>
    </row>
    <row r="2273" spans="2:12" hidden="1" outlineLevel="1">
      <c r="B2273" s="73">
        <v>2267</v>
      </c>
      <c r="C2273" s="39"/>
      <c r="D2273" s="40"/>
      <c r="E2273" s="34" t="s">
        <v>323</v>
      </c>
      <c r="F2273" s="75" t="s">
        <v>2638</v>
      </c>
      <c r="G2273" s="35" t="s">
        <v>370</v>
      </c>
      <c r="H2273" s="41" t="s">
        <v>371</v>
      </c>
      <c r="I2273" s="44" t="str">
        <f>"0x"&amp;AE_w_WORK!L224</f>
        <v>0x0000</v>
      </c>
      <c r="J2273" s="36">
        <v>42483</v>
      </c>
      <c r="K2273" s="37"/>
      <c r="L2273" s="74">
        <f t="shared" si="37"/>
        <v>4534</v>
      </c>
    </row>
    <row r="2274" spans="2:12" hidden="1" outlineLevel="1">
      <c r="B2274" s="73">
        <v>2268</v>
      </c>
      <c r="C2274" s="39"/>
      <c r="D2274" s="40"/>
      <c r="E2274" s="34" t="s">
        <v>323</v>
      </c>
      <c r="F2274" s="75" t="s">
        <v>2639</v>
      </c>
      <c r="G2274" s="35" t="s">
        <v>370</v>
      </c>
      <c r="H2274" s="41" t="s">
        <v>371</v>
      </c>
      <c r="I2274" s="44" t="str">
        <f>"0x"&amp;AE_w_WORK!L225</f>
        <v>0x1100</v>
      </c>
      <c r="J2274" s="36">
        <v>42484</v>
      </c>
      <c r="K2274" s="37"/>
      <c r="L2274" s="74">
        <f t="shared" si="37"/>
        <v>4536</v>
      </c>
    </row>
    <row r="2275" spans="2:12" hidden="1" outlineLevel="1">
      <c r="B2275" s="73">
        <v>2269</v>
      </c>
      <c r="C2275" s="39"/>
      <c r="D2275" s="40"/>
      <c r="E2275" s="34" t="s">
        <v>323</v>
      </c>
      <c r="F2275" s="75" t="s">
        <v>2640</v>
      </c>
      <c r="G2275" s="35" t="s">
        <v>370</v>
      </c>
      <c r="H2275" s="41" t="s">
        <v>371</v>
      </c>
      <c r="I2275" s="44" t="str">
        <f>"0x"&amp;AE_w_WORK!L226</f>
        <v>0x0011</v>
      </c>
      <c r="J2275" s="36">
        <v>42485</v>
      </c>
      <c r="K2275" s="37"/>
      <c r="L2275" s="74">
        <f t="shared" si="37"/>
        <v>4538</v>
      </c>
    </row>
    <row r="2276" spans="2:12" hidden="1" outlineLevel="1">
      <c r="B2276" s="73">
        <v>2270</v>
      </c>
      <c r="C2276" s="39"/>
      <c r="D2276" s="40"/>
      <c r="E2276" s="34" t="s">
        <v>323</v>
      </c>
      <c r="F2276" s="75" t="s">
        <v>2641</v>
      </c>
      <c r="G2276" s="35" t="s">
        <v>370</v>
      </c>
      <c r="H2276" s="41" t="s">
        <v>371</v>
      </c>
      <c r="I2276" s="44" t="str">
        <f>"0x"&amp;AE_w_WORK!L227</f>
        <v>0x0000</v>
      </c>
      <c r="J2276" s="36">
        <v>42486</v>
      </c>
      <c r="K2276" s="37"/>
      <c r="L2276" s="74">
        <f t="shared" si="37"/>
        <v>4540</v>
      </c>
    </row>
    <row r="2277" spans="2:12" hidden="1" outlineLevel="1">
      <c r="B2277" s="73">
        <v>2271</v>
      </c>
      <c r="C2277" s="39"/>
      <c r="D2277" s="40"/>
      <c r="E2277" s="34" t="s">
        <v>323</v>
      </c>
      <c r="F2277" s="75" t="s">
        <v>2642</v>
      </c>
      <c r="G2277" s="35" t="s">
        <v>370</v>
      </c>
      <c r="H2277" s="41" t="s">
        <v>371</v>
      </c>
      <c r="I2277" s="44" t="str">
        <f>"0x"&amp;AE_w_WORK!L228</f>
        <v>0x0000</v>
      </c>
      <c r="J2277" s="36">
        <v>42487</v>
      </c>
      <c r="K2277" s="37"/>
      <c r="L2277" s="74">
        <f t="shared" si="37"/>
        <v>4542</v>
      </c>
    </row>
    <row r="2278" spans="2:12" hidden="1" outlineLevel="1">
      <c r="B2278" s="73">
        <v>2272</v>
      </c>
      <c r="C2278" s="39"/>
      <c r="D2278" s="40"/>
      <c r="E2278" s="34" t="s">
        <v>323</v>
      </c>
      <c r="F2278" s="75" t="s">
        <v>2643</v>
      </c>
      <c r="G2278" s="35" t="s">
        <v>370</v>
      </c>
      <c r="H2278" s="41" t="s">
        <v>371</v>
      </c>
      <c r="I2278" s="44" t="str">
        <f>"0x"&amp;AE_w_WORK!L229</f>
        <v>0x0000</v>
      </c>
      <c r="J2278" s="36">
        <v>42488</v>
      </c>
      <c r="K2278" s="37"/>
      <c r="L2278" s="74">
        <f t="shared" si="37"/>
        <v>4544</v>
      </c>
    </row>
    <row r="2279" spans="2:12" hidden="1" outlineLevel="1">
      <c r="B2279" s="73">
        <v>2273</v>
      </c>
      <c r="C2279" s="39"/>
      <c r="D2279" s="40"/>
      <c r="E2279" s="34" t="s">
        <v>323</v>
      </c>
      <c r="F2279" s="75" t="s">
        <v>2644</v>
      </c>
      <c r="G2279" s="35" t="s">
        <v>370</v>
      </c>
      <c r="H2279" s="41" t="s">
        <v>371</v>
      </c>
      <c r="I2279" s="44" t="str">
        <f>"0x"&amp;AE_w_WORK!L230</f>
        <v>0x0000</v>
      </c>
      <c r="J2279" s="36">
        <v>42489</v>
      </c>
      <c r="K2279" s="37"/>
      <c r="L2279" s="74">
        <f t="shared" si="37"/>
        <v>4546</v>
      </c>
    </row>
    <row r="2280" spans="2:12" hidden="1" outlineLevel="1">
      <c r="B2280" s="73">
        <v>2274</v>
      </c>
      <c r="C2280" s="39"/>
      <c r="D2280" s="40"/>
      <c r="E2280" s="34" t="s">
        <v>323</v>
      </c>
      <c r="F2280" s="75" t="s">
        <v>2645</v>
      </c>
      <c r="G2280" s="35" t="s">
        <v>370</v>
      </c>
      <c r="H2280" s="41" t="s">
        <v>371</v>
      </c>
      <c r="I2280" s="44" t="str">
        <f>"0x"&amp;AE_w_WORK!L231</f>
        <v>0x0000</v>
      </c>
      <c r="J2280" s="36">
        <v>42490</v>
      </c>
      <c r="K2280" s="37"/>
      <c r="L2280" s="74">
        <f t="shared" si="37"/>
        <v>4548</v>
      </c>
    </row>
    <row r="2281" spans="2:12" hidden="1" outlineLevel="1">
      <c r="B2281" s="73">
        <v>2275</v>
      </c>
      <c r="C2281" s="39"/>
      <c r="D2281" s="40"/>
      <c r="E2281" s="34" t="s">
        <v>323</v>
      </c>
      <c r="F2281" s="75" t="s">
        <v>2646</v>
      </c>
      <c r="G2281" s="35" t="s">
        <v>370</v>
      </c>
      <c r="H2281" s="41" t="s">
        <v>371</v>
      </c>
      <c r="I2281" s="44" t="str">
        <f>"0x"&amp;AE_w_WORK!L232</f>
        <v>0x0000</v>
      </c>
      <c r="J2281" s="36">
        <v>42491</v>
      </c>
      <c r="K2281" s="37"/>
      <c r="L2281" s="74">
        <f t="shared" si="37"/>
        <v>4550</v>
      </c>
    </row>
    <row r="2282" spans="2:12" hidden="1" outlineLevel="1">
      <c r="B2282" s="73">
        <v>2276</v>
      </c>
      <c r="C2282" s="39"/>
      <c r="D2282" s="40"/>
      <c r="E2282" s="34" t="s">
        <v>323</v>
      </c>
      <c r="F2282" s="75" t="s">
        <v>2647</v>
      </c>
      <c r="G2282" s="35" t="s">
        <v>370</v>
      </c>
      <c r="H2282" s="41" t="s">
        <v>371</v>
      </c>
      <c r="I2282" s="44" t="str">
        <f>"0x"&amp;AE_w_WORK!L233</f>
        <v>0x0000</v>
      </c>
      <c r="J2282" s="36">
        <v>42492</v>
      </c>
      <c r="K2282" s="37"/>
      <c r="L2282" s="74">
        <f t="shared" si="37"/>
        <v>4552</v>
      </c>
    </row>
    <row r="2283" spans="2:12" hidden="1" outlineLevel="1">
      <c r="B2283" s="73">
        <v>2277</v>
      </c>
      <c r="C2283" s="39"/>
      <c r="D2283" s="40"/>
      <c r="E2283" s="34" t="s">
        <v>323</v>
      </c>
      <c r="F2283" s="75" t="s">
        <v>2648</v>
      </c>
      <c r="G2283" s="35" t="s">
        <v>370</v>
      </c>
      <c r="H2283" s="41" t="s">
        <v>371</v>
      </c>
      <c r="I2283" s="44" t="str">
        <f>"0x"&amp;AE_w_WORK!L234</f>
        <v>0x0000</v>
      </c>
      <c r="J2283" s="36">
        <v>42493</v>
      </c>
      <c r="K2283" s="37"/>
      <c r="L2283" s="74">
        <f t="shared" si="37"/>
        <v>4554</v>
      </c>
    </row>
    <row r="2284" spans="2:12" hidden="1" outlineLevel="1">
      <c r="B2284" s="73">
        <v>2278</v>
      </c>
      <c r="C2284" s="39"/>
      <c r="D2284" s="40"/>
      <c r="E2284" s="34" t="s">
        <v>323</v>
      </c>
      <c r="F2284" s="75" t="s">
        <v>2649</v>
      </c>
      <c r="G2284" s="35" t="s">
        <v>370</v>
      </c>
      <c r="H2284" s="41" t="s">
        <v>371</v>
      </c>
      <c r="I2284" s="44" t="str">
        <f>"0x"&amp;AE_w_WORK!L235</f>
        <v>0x0000</v>
      </c>
      <c r="J2284" s="36">
        <v>42494</v>
      </c>
      <c r="K2284" s="37"/>
      <c r="L2284" s="74">
        <f t="shared" si="37"/>
        <v>4556</v>
      </c>
    </row>
    <row r="2285" spans="2:12" hidden="1" outlineLevel="1">
      <c r="B2285" s="73">
        <v>2279</v>
      </c>
      <c r="C2285" s="39"/>
      <c r="D2285" s="40"/>
      <c r="E2285" s="34" t="s">
        <v>323</v>
      </c>
      <c r="F2285" s="75" t="s">
        <v>2650</v>
      </c>
      <c r="G2285" s="35" t="s">
        <v>370</v>
      </c>
      <c r="H2285" s="41" t="s">
        <v>371</v>
      </c>
      <c r="I2285" s="44" t="str">
        <f>"0x"&amp;AE_w_WORK!L236</f>
        <v>0x0000</v>
      </c>
      <c r="J2285" s="36">
        <v>42495</v>
      </c>
      <c r="K2285" s="37"/>
      <c r="L2285" s="74">
        <f t="shared" si="37"/>
        <v>4558</v>
      </c>
    </row>
    <row r="2286" spans="2:12" hidden="1" outlineLevel="1">
      <c r="B2286" s="73">
        <v>2280</v>
      </c>
      <c r="C2286" s="39"/>
      <c r="D2286" s="40"/>
      <c r="E2286" s="34" t="s">
        <v>323</v>
      </c>
      <c r="F2286" s="75" t="s">
        <v>2651</v>
      </c>
      <c r="G2286" s="35" t="s">
        <v>370</v>
      </c>
      <c r="H2286" s="41" t="s">
        <v>371</v>
      </c>
      <c r="I2286" s="44" t="str">
        <f>"0x"&amp;AE_w_WORK!L237</f>
        <v>0x0000</v>
      </c>
      <c r="J2286" s="36">
        <v>42496</v>
      </c>
      <c r="K2286" s="37"/>
      <c r="L2286" s="74">
        <f t="shared" si="37"/>
        <v>4560</v>
      </c>
    </row>
    <row r="2287" spans="2:12" hidden="1" outlineLevel="1">
      <c r="B2287" s="73">
        <v>2281</v>
      </c>
      <c r="C2287" s="39"/>
      <c r="D2287" s="40"/>
      <c r="E2287" s="34" t="s">
        <v>323</v>
      </c>
      <c r="F2287" s="75" t="s">
        <v>2652</v>
      </c>
      <c r="G2287" s="35" t="s">
        <v>370</v>
      </c>
      <c r="H2287" s="41" t="s">
        <v>371</v>
      </c>
      <c r="I2287" s="44" t="str">
        <f>"0x"&amp;AE_w_WORK!L238</f>
        <v>0x0000</v>
      </c>
      <c r="J2287" s="36">
        <v>42497</v>
      </c>
      <c r="K2287" s="37"/>
      <c r="L2287" s="74">
        <f t="shared" si="37"/>
        <v>4562</v>
      </c>
    </row>
    <row r="2288" spans="2:12" hidden="1" outlineLevel="1">
      <c r="B2288" s="73">
        <v>2282</v>
      </c>
      <c r="C2288" s="39"/>
      <c r="D2288" s="40"/>
      <c r="E2288" s="34" t="s">
        <v>323</v>
      </c>
      <c r="F2288" s="75" t="s">
        <v>2653</v>
      </c>
      <c r="G2288" s="35" t="s">
        <v>370</v>
      </c>
      <c r="H2288" s="41" t="s">
        <v>371</v>
      </c>
      <c r="I2288" s="44" t="str">
        <f>"0x"&amp;AE_w_WORK!L239</f>
        <v>0x0000</v>
      </c>
      <c r="J2288" s="36">
        <v>42498</v>
      </c>
      <c r="K2288" s="37"/>
      <c r="L2288" s="74">
        <f t="shared" si="37"/>
        <v>4564</v>
      </c>
    </row>
    <row r="2289" spans="2:12" hidden="1" outlineLevel="1">
      <c r="B2289" s="73">
        <v>2283</v>
      </c>
      <c r="C2289" s="39"/>
      <c r="D2289" s="40"/>
      <c r="E2289" s="34" t="s">
        <v>323</v>
      </c>
      <c r="F2289" s="75" t="s">
        <v>2654</v>
      </c>
      <c r="G2289" s="35" t="s">
        <v>370</v>
      </c>
      <c r="H2289" s="41" t="s">
        <v>371</v>
      </c>
      <c r="I2289" s="44" t="str">
        <f>"0x"&amp;AE_w_WORK!L240</f>
        <v>0x0000</v>
      </c>
      <c r="J2289" s="36">
        <v>42499</v>
      </c>
      <c r="K2289" s="37"/>
      <c r="L2289" s="74">
        <f t="shared" si="37"/>
        <v>4566</v>
      </c>
    </row>
    <row r="2290" spans="2:12" hidden="1" outlineLevel="1">
      <c r="B2290" s="73">
        <v>2284</v>
      </c>
      <c r="C2290" s="39"/>
      <c r="D2290" s="40"/>
      <c r="E2290" s="34" t="s">
        <v>323</v>
      </c>
      <c r="F2290" s="75" t="s">
        <v>2655</v>
      </c>
      <c r="G2290" s="35" t="s">
        <v>370</v>
      </c>
      <c r="H2290" s="41" t="s">
        <v>371</v>
      </c>
      <c r="I2290" s="44" t="str">
        <f>"0x"&amp;AE_w_WORK!L241</f>
        <v>0x0000</v>
      </c>
      <c r="J2290" s="36">
        <v>42500</v>
      </c>
      <c r="K2290" s="37"/>
      <c r="L2290" s="74">
        <f t="shared" si="37"/>
        <v>4568</v>
      </c>
    </row>
    <row r="2291" spans="2:12" hidden="1" outlineLevel="1">
      <c r="B2291" s="73">
        <v>2285</v>
      </c>
      <c r="C2291" s="39"/>
      <c r="D2291" s="40"/>
      <c r="E2291" s="34" t="s">
        <v>323</v>
      </c>
      <c r="F2291" s="75" t="s">
        <v>2656</v>
      </c>
      <c r="G2291" s="35" t="s">
        <v>370</v>
      </c>
      <c r="H2291" s="41" t="s">
        <v>371</v>
      </c>
      <c r="I2291" s="44" t="str">
        <f>"0x"&amp;AE_w_WORK!L242</f>
        <v>0x0000</v>
      </c>
      <c r="J2291" s="36">
        <v>42501</v>
      </c>
      <c r="K2291" s="37"/>
      <c r="L2291" s="74">
        <f t="shared" si="37"/>
        <v>4570</v>
      </c>
    </row>
    <row r="2292" spans="2:12" hidden="1" outlineLevel="1">
      <c r="B2292" s="73">
        <v>2286</v>
      </c>
      <c r="C2292" s="39"/>
      <c r="D2292" s="40"/>
      <c r="E2292" s="34" t="s">
        <v>323</v>
      </c>
      <c r="F2292" s="75" t="s">
        <v>2657</v>
      </c>
      <c r="G2292" s="35" t="s">
        <v>370</v>
      </c>
      <c r="H2292" s="41" t="s">
        <v>371</v>
      </c>
      <c r="I2292" s="44" t="str">
        <f>"0x"&amp;AE_w_WORK!L243</f>
        <v>0x0000</v>
      </c>
      <c r="J2292" s="36">
        <v>42502</v>
      </c>
      <c r="K2292" s="37"/>
      <c r="L2292" s="74">
        <f t="shared" si="37"/>
        <v>4572</v>
      </c>
    </row>
    <row r="2293" spans="2:12" hidden="1" outlineLevel="1">
      <c r="B2293" s="73">
        <v>2287</v>
      </c>
      <c r="C2293" s="39"/>
      <c r="D2293" s="40"/>
      <c r="E2293" s="34" t="s">
        <v>323</v>
      </c>
      <c r="F2293" s="75" t="s">
        <v>2658</v>
      </c>
      <c r="G2293" s="35" t="s">
        <v>370</v>
      </c>
      <c r="H2293" s="41" t="s">
        <v>371</v>
      </c>
      <c r="I2293" s="44" t="str">
        <f>"0x"&amp;AE_w_WORK!L244</f>
        <v>0x0000</v>
      </c>
      <c r="J2293" s="36">
        <v>42503</v>
      </c>
      <c r="K2293" s="37"/>
      <c r="L2293" s="74">
        <f t="shared" si="37"/>
        <v>4574</v>
      </c>
    </row>
    <row r="2294" spans="2:12" hidden="1" outlineLevel="1">
      <c r="B2294" s="73">
        <v>2288</v>
      </c>
      <c r="C2294" s="39"/>
      <c r="D2294" s="40"/>
      <c r="E2294" s="34" t="s">
        <v>323</v>
      </c>
      <c r="F2294" s="75" t="s">
        <v>2659</v>
      </c>
      <c r="G2294" s="35" t="s">
        <v>370</v>
      </c>
      <c r="H2294" s="41" t="s">
        <v>371</v>
      </c>
      <c r="I2294" s="44" t="str">
        <f>"0x"&amp;AE_w_WORK!L245</f>
        <v>0x0000</v>
      </c>
      <c r="J2294" s="36">
        <v>42504</v>
      </c>
      <c r="K2294" s="37"/>
      <c r="L2294" s="74">
        <f t="shared" si="37"/>
        <v>4576</v>
      </c>
    </row>
    <row r="2295" spans="2:12" hidden="1" outlineLevel="1">
      <c r="B2295" s="73">
        <v>2289</v>
      </c>
      <c r="C2295" s="39"/>
      <c r="D2295" s="40"/>
      <c r="E2295" s="34" t="s">
        <v>323</v>
      </c>
      <c r="F2295" s="75" t="s">
        <v>2660</v>
      </c>
      <c r="G2295" s="35" t="s">
        <v>370</v>
      </c>
      <c r="H2295" s="41" t="s">
        <v>371</v>
      </c>
      <c r="I2295" s="44" t="str">
        <f>"0x"&amp;AE_w_WORK!L246</f>
        <v>0x0000</v>
      </c>
      <c r="J2295" s="36">
        <v>42505</v>
      </c>
      <c r="K2295" s="37"/>
      <c r="L2295" s="74">
        <f t="shared" si="37"/>
        <v>4578</v>
      </c>
    </row>
    <row r="2296" spans="2:12" hidden="1" outlineLevel="1">
      <c r="B2296" s="73">
        <v>2290</v>
      </c>
      <c r="C2296" s="39"/>
      <c r="D2296" s="40"/>
      <c r="E2296" s="34" t="s">
        <v>323</v>
      </c>
      <c r="F2296" s="75" t="s">
        <v>2661</v>
      </c>
      <c r="G2296" s="35" t="s">
        <v>370</v>
      </c>
      <c r="H2296" s="41" t="s">
        <v>371</v>
      </c>
      <c r="I2296" s="44" t="str">
        <f>"0x"&amp;AE_w_WORK!L247</f>
        <v>0x0000</v>
      </c>
      <c r="J2296" s="36">
        <v>42506</v>
      </c>
      <c r="K2296" s="37"/>
      <c r="L2296" s="74">
        <f t="shared" si="37"/>
        <v>4580</v>
      </c>
    </row>
    <row r="2297" spans="2:12" hidden="1" outlineLevel="1">
      <c r="B2297" s="73">
        <v>2291</v>
      </c>
      <c r="C2297" s="39"/>
      <c r="D2297" s="40"/>
      <c r="E2297" s="34" t="s">
        <v>323</v>
      </c>
      <c r="F2297" s="75" t="s">
        <v>2662</v>
      </c>
      <c r="G2297" s="35" t="s">
        <v>370</v>
      </c>
      <c r="H2297" s="41" t="s">
        <v>371</v>
      </c>
      <c r="I2297" s="44" t="str">
        <f>"0x"&amp;AE_w_WORK!L248</f>
        <v>0x0000</v>
      </c>
      <c r="J2297" s="36">
        <v>42507</v>
      </c>
      <c r="K2297" s="37"/>
      <c r="L2297" s="74">
        <f t="shared" si="37"/>
        <v>4582</v>
      </c>
    </row>
    <row r="2298" spans="2:12" hidden="1" outlineLevel="1">
      <c r="B2298" s="73">
        <v>2292</v>
      </c>
      <c r="C2298" s="39"/>
      <c r="D2298" s="40"/>
      <c r="E2298" s="34" t="s">
        <v>323</v>
      </c>
      <c r="F2298" s="75" t="s">
        <v>2663</v>
      </c>
      <c r="G2298" s="35" t="s">
        <v>370</v>
      </c>
      <c r="H2298" s="41" t="s">
        <v>371</v>
      </c>
      <c r="I2298" s="44" t="str">
        <f>"0x"&amp;AE_w_WORK!L249</f>
        <v>0x0000</v>
      </c>
      <c r="J2298" s="36">
        <v>42508</v>
      </c>
      <c r="K2298" s="37"/>
      <c r="L2298" s="74">
        <f t="shared" si="37"/>
        <v>4584</v>
      </c>
    </row>
    <row r="2299" spans="2:12" hidden="1" outlineLevel="1">
      <c r="B2299" s="73">
        <v>2293</v>
      </c>
      <c r="C2299" s="39"/>
      <c r="D2299" s="40"/>
      <c r="E2299" s="34" t="s">
        <v>323</v>
      </c>
      <c r="F2299" s="75" t="s">
        <v>2664</v>
      </c>
      <c r="G2299" s="35" t="s">
        <v>370</v>
      </c>
      <c r="H2299" s="41" t="s">
        <v>371</v>
      </c>
      <c r="I2299" s="44" t="str">
        <f>"0x"&amp;AE_w_WORK!L250</f>
        <v>0x0000</v>
      </c>
      <c r="J2299" s="36">
        <v>42509</v>
      </c>
      <c r="K2299" s="37"/>
      <c r="L2299" s="74">
        <f t="shared" si="37"/>
        <v>4586</v>
      </c>
    </row>
    <row r="2300" spans="2:12" hidden="1" outlineLevel="1">
      <c r="B2300" s="73">
        <v>2294</v>
      </c>
      <c r="C2300" s="39"/>
      <c r="D2300" s="40"/>
      <c r="E2300" s="34" t="s">
        <v>323</v>
      </c>
      <c r="F2300" s="75" t="s">
        <v>2665</v>
      </c>
      <c r="G2300" s="35" t="s">
        <v>370</v>
      </c>
      <c r="H2300" s="41" t="s">
        <v>371</v>
      </c>
      <c r="I2300" s="44" t="str">
        <f>"0x"&amp;AE_w_WORK!L251</f>
        <v>0x0000</v>
      </c>
      <c r="J2300" s="36">
        <v>42510</v>
      </c>
      <c r="K2300" s="37"/>
      <c r="L2300" s="74">
        <f t="shared" si="37"/>
        <v>4588</v>
      </c>
    </row>
    <row r="2301" spans="2:12" hidden="1" outlineLevel="1">
      <c r="B2301" s="73">
        <v>2295</v>
      </c>
      <c r="C2301" s="39"/>
      <c r="D2301" s="40"/>
      <c r="E2301" s="34" t="s">
        <v>323</v>
      </c>
      <c r="F2301" s="75" t="s">
        <v>2666</v>
      </c>
      <c r="G2301" s="35" t="s">
        <v>370</v>
      </c>
      <c r="H2301" s="41" t="s">
        <v>371</v>
      </c>
      <c r="I2301" s="44" t="str">
        <f>"0x"&amp;AE_w_WORK!L252</f>
        <v>0x0000</v>
      </c>
      <c r="J2301" s="36">
        <v>42511</v>
      </c>
      <c r="K2301" s="37"/>
      <c r="L2301" s="74">
        <f t="shared" si="37"/>
        <v>4590</v>
      </c>
    </row>
    <row r="2302" spans="2:12" hidden="1" outlineLevel="1">
      <c r="B2302" s="73">
        <v>2296</v>
      </c>
      <c r="C2302" s="39"/>
      <c r="D2302" s="40"/>
      <c r="E2302" s="34" t="s">
        <v>323</v>
      </c>
      <c r="F2302" s="75" t="s">
        <v>2667</v>
      </c>
      <c r="G2302" s="35" t="s">
        <v>370</v>
      </c>
      <c r="H2302" s="41" t="s">
        <v>371</v>
      </c>
      <c r="I2302" s="44" t="str">
        <f>"0x"&amp;AE_w_WORK!L253</f>
        <v>0x0000</v>
      </c>
      <c r="J2302" s="36">
        <v>42512</v>
      </c>
      <c r="K2302" s="37"/>
      <c r="L2302" s="74">
        <f t="shared" si="37"/>
        <v>4592</v>
      </c>
    </row>
    <row r="2303" spans="2:12" hidden="1" outlineLevel="1">
      <c r="B2303" s="73">
        <v>2297</v>
      </c>
      <c r="C2303" s="39"/>
      <c r="D2303" s="40"/>
      <c r="E2303" s="34" t="s">
        <v>323</v>
      </c>
      <c r="F2303" s="75" t="s">
        <v>2668</v>
      </c>
      <c r="G2303" s="35" t="s">
        <v>370</v>
      </c>
      <c r="H2303" s="41" t="s">
        <v>371</v>
      </c>
      <c r="I2303" s="44" t="str">
        <f>"0x"&amp;AE_w_WORK!L254</f>
        <v>0x0000</v>
      </c>
      <c r="J2303" s="36">
        <v>42513</v>
      </c>
      <c r="K2303" s="37"/>
      <c r="L2303" s="74">
        <f t="shared" si="37"/>
        <v>4594</v>
      </c>
    </row>
    <row r="2304" spans="2:12" hidden="1" outlineLevel="1">
      <c r="B2304" s="73">
        <v>2298</v>
      </c>
      <c r="C2304" s="39"/>
      <c r="D2304" s="40"/>
      <c r="E2304" s="34" t="s">
        <v>323</v>
      </c>
      <c r="F2304" s="75" t="s">
        <v>2669</v>
      </c>
      <c r="G2304" s="35" t="s">
        <v>370</v>
      </c>
      <c r="H2304" s="41" t="s">
        <v>371</v>
      </c>
      <c r="I2304" s="44" t="str">
        <f>"0x"&amp;AE_w_WORK!L255</f>
        <v>0x0000</v>
      </c>
      <c r="J2304" s="36">
        <v>42514</v>
      </c>
      <c r="K2304" s="37"/>
      <c r="L2304" s="74">
        <f t="shared" si="37"/>
        <v>4596</v>
      </c>
    </row>
    <row r="2305" spans="2:12" hidden="1" outlineLevel="1">
      <c r="B2305" s="73">
        <v>2299</v>
      </c>
      <c r="C2305" s="39"/>
      <c r="D2305" s="40"/>
      <c r="E2305" s="34" t="s">
        <v>323</v>
      </c>
      <c r="F2305" s="75" t="s">
        <v>2670</v>
      </c>
      <c r="G2305" s="35" t="s">
        <v>370</v>
      </c>
      <c r="H2305" s="41" t="s">
        <v>371</v>
      </c>
      <c r="I2305" s="44" t="str">
        <f>"0x"&amp;AE_w_WORK!L256</f>
        <v>0x0000</v>
      </c>
      <c r="J2305" s="36">
        <v>42515</v>
      </c>
      <c r="K2305" s="37"/>
      <c r="L2305" s="74">
        <f t="shared" si="37"/>
        <v>4598</v>
      </c>
    </row>
    <row r="2306" spans="2:12" hidden="1" outlineLevel="1">
      <c r="B2306" s="73">
        <v>2300</v>
      </c>
      <c r="C2306" s="39"/>
      <c r="D2306" s="40"/>
      <c r="E2306" s="34" t="s">
        <v>323</v>
      </c>
      <c r="F2306" s="75" t="s">
        <v>2671</v>
      </c>
      <c r="G2306" s="35" t="s">
        <v>370</v>
      </c>
      <c r="H2306" s="41" t="s">
        <v>371</v>
      </c>
      <c r="I2306" s="44" t="str">
        <f>"0x"&amp;AE_w_WORK!L257</f>
        <v>0x0000</v>
      </c>
      <c r="J2306" s="36">
        <v>42516</v>
      </c>
      <c r="K2306" s="37"/>
      <c r="L2306" s="74">
        <f t="shared" si="37"/>
        <v>4600</v>
      </c>
    </row>
    <row r="2307" spans="2:12" hidden="1" outlineLevel="1">
      <c r="B2307" s="73">
        <v>2301</v>
      </c>
      <c r="C2307" s="39"/>
      <c r="D2307" s="40"/>
      <c r="E2307" s="34" t="s">
        <v>323</v>
      </c>
      <c r="F2307" s="75" t="s">
        <v>2672</v>
      </c>
      <c r="G2307" s="35" t="s">
        <v>370</v>
      </c>
      <c r="H2307" s="41" t="s">
        <v>371</v>
      </c>
      <c r="I2307" s="44" t="str">
        <f>"0x"&amp;AE_w_WORK!L258</f>
        <v>0x0000</v>
      </c>
      <c r="J2307" s="36">
        <v>42517</v>
      </c>
      <c r="K2307" s="37"/>
      <c r="L2307" s="74">
        <f t="shared" si="37"/>
        <v>4602</v>
      </c>
    </row>
    <row r="2308" spans="2:12" hidden="1" outlineLevel="1">
      <c r="B2308" s="73">
        <v>2302</v>
      </c>
      <c r="C2308" s="39"/>
      <c r="D2308" s="40"/>
      <c r="E2308" s="34" t="s">
        <v>323</v>
      </c>
      <c r="F2308" s="75" t="s">
        <v>2673</v>
      </c>
      <c r="G2308" s="35" t="s">
        <v>370</v>
      </c>
      <c r="H2308" s="41" t="s">
        <v>371</v>
      </c>
      <c r="I2308" s="44" t="str">
        <f>"0x"&amp;AE_w_WORK!L259</f>
        <v>0x0000</v>
      </c>
      <c r="J2308" s="36">
        <v>42518</v>
      </c>
      <c r="K2308" s="37"/>
      <c r="L2308" s="74">
        <f t="shared" si="37"/>
        <v>4604</v>
      </c>
    </row>
    <row r="2309" spans="2:12" hidden="1" outlineLevel="1">
      <c r="B2309" s="73">
        <v>2303</v>
      </c>
      <c r="C2309" s="39"/>
      <c r="D2309" s="40"/>
      <c r="E2309" s="34" t="s">
        <v>323</v>
      </c>
      <c r="F2309" s="75" t="s">
        <v>2674</v>
      </c>
      <c r="G2309" s="35" t="s">
        <v>370</v>
      </c>
      <c r="H2309" s="41" t="s">
        <v>371</v>
      </c>
      <c r="I2309" s="44" t="str">
        <f>"0x"&amp;AE_w_WORK!L260</f>
        <v>0x0000</v>
      </c>
      <c r="J2309" s="36">
        <v>42519</v>
      </c>
      <c r="K2309" s="37"/>
      <c r="L2309" s="74">
        <f t="shared" si="37"/>
        <v>4606</v>
      </c>
    </row>
    <row r="2310" spans="2:12" hidden="1" outlineLevel="1">
      <c r="B2310" s="73">
        <v>2304</v>
      </c>
      <c r="C2310" s="39"/>
      <c r="D2310" s="40"/>
      <c r="E2310" s="34" t="s">
        <v>323</v>
      </c>
      <c r="F2310" s="75" t="s">
        <v>2675</v>
      </c>
      <c r="G2310" s="35" t="s">
        <v>370</v>
      </c>
      <c r="H2310" s="41" t="s">
        <v>371</v>
      </c>
      <c r="I2310" s="44" t="str">
        <f>"0x"&amp;AE_w_WORK!L261</f>
        <v>0x0000</v>
      </c>
      <c r="J2310" s="36">
        <v>42520</v>
      </c>
      <c r="K2310" s="37"/>
      <c r="L2310" s="74">
        <f t="shared" si="37"/>
        <v>4608</v>
      </c>
    </row>
    <row r="2311" spans="2:12" collapsed="1">
      <c r="B2311" s="73">
        <v>2305</v>
      </c>
      <c r="C2311" s="39"/>
      <c r="D2311" s="40"/>
      <c r="E2311" s="34" t="s">
        <v>323</v>
      </c>
      <c r="F2311" s="75" t="s">
        <v>2676</v>
      </c>
      <c r="G2311" s="35" t="s">
        <v>370</v>
      </c>
      <c r="H2311" s="41" t="s">
        <v>371</v>
      </c>
      <c r="I2311" s="44" t="str">
        <f>"0x"&amp;AE_w_WORK!M6</f>
        <v>0x0000</v>
      </c>
      <c r="J2311" s="36">
        <v>42521</v>
      </c>
      <c r="K2311" s="37" t="s">
        <v>346</v>
      </c>
      <c r="L2311" s="74">
        <f t="shared" si="37"/>
        <v>4610</v>
      </c>
    </row>
    <row r="2312" spans="2:12" hidden="1" outlineLevel="1">
      <c r="B2312" s="73">
        <v>2306</v>
      </c>
      <c r="C2312" s="39"/>
      <c r="D2312" s="40"/>
      <c r="E2312" s="34" t="s">
        <v>323</v>
      </c>
      <c r="F2312" s="75" t="s">
        <v>2677</v>
      </c>
      <c r="G2312" s="35" t="s">
        <v>370</v>
      </c>
      <c r="H2312" s="41" t="s">
        <v>371</v>
      </c>
      <c r="I2312" s="44" t="str">
        <f>"0x"&amp;AE_w_WORK!M7</f>
        <v>0x0000</v>
      </c>
      <c r="J2312" s="36">
        <v>42522</v>
      </c>
      <c r="K2312" s="37"/>
      <c r="L2312" s="74">
        <f t="shared" si="37"/>
        <v>4612</v>
      </c>
    </row>
    <row r="2313" spans="2:12" hidden="1" outlineLevel="1">
      <c r="B2313" s="73">
        <v>2307</v>
      </c>
      <c r="C2313" s="39"/>
      <c r="D2313" s="40"/>
      <c r="E2313" s="34" t="s">
        <v>323</v>
      </c>
      <c r="F2313" s="75" t="s">
        <v>2678</v>
      </c>
      <c r="G2313" s="35" t="s">
        <v>370</v>
      </c>
      <c r="H2313" s="41" t="s">
        <v>371</v>
      </c>
      <c r="I2313" s="44" t="str">
        <f>"0x"&amp;AE_w_WORK!M8</f>
        <v>0x0000</v>
      </c>
      <c r="J2313" s="36">
        <v>42523</v>
      </c>
      <c r="K2313" s="37"/>
      <c r="L2313" s="74">
        <f t="shared" ref="L2313:L2376" si="38">L2312+2</f>
        <v>4614</v>
      </c>
    </row>
    <row r="2314" spans="2:12" hidden="1" outlineLevel="1">
      <c r="B2314" s="73">
        <v>2308</v>
      </c>
      <c r="C2314" s="39"/>
      <c r="D2314" s="40"/>
      <c r="E2314" s="34" t="s">
        <v>323</v>
      </c>
      <c r="F2314" s="75" t="s">
        <v>2679</v>
      </c>
      <c r="G2314" s="35" t="s">
        <v>370</v>
      </c>
      <c r="H2314" s="41" t="s">
        <v>371</v>
      </c>
      <c r="I2314" s="44" t="str">
        <f>"0x"&amp;AE_w_WORK!M9</f>
        <v>0x0000</v>
      </c>
      <c r="J2314" s="36">
        <v>42524</v>
      </c>
      <c r="K2314" s="37"/>
      <c r="L2314" s="74">
        <f t="shared" si="38"/>
        <v>4616</v>
      </c>
    </row>
    <row r="2315" spans="2:12" hidden="1" outlineLevel="1">
      <c r="B2315" s="73">
        <v>2309</v>
      </c>
      <c r="C2315" s="39"/>
      <c r="D2315" s="40"/>
      <c r="E2315" s="34" t="s">
        <v>323</v>
      </c>
      <c r="F2315" s="75" t="s">
        <v>2680</v>
      </c>
      <c r="G2315" s="35" t="s">
        <v>370</v>
      </c>
      <c r="H2315" s="41" t="s">
        <v>371</v>
      </c>
      <c r="I2315" s="44" t="str">
        <f>"0x"&amp;AE_w_WORK!M10</f>
        <v>0x0000</v>
      </c>
      <c r="J2315" s="36">
        <v>42525</v>
      </c>
      <c r="K2315" s="37"/>
      <c r="L2315" s="74">
        <f t="shared" si="38"/>
        <v>4618</v>
      </c>
    </row>
    <row r="2316" spans="2:12" hidden="1" outlineLevel="1">
      <c r="B2316" s="73">
        <v>2310</v>
      </c>
      <c r="C2316" s="39"/>
      <c r="D2316" s="40"/>
      <c r="E2316" s="34" t="s">
        <v>323</v>
      </c>
      <c r="F2316" s="75" t="s">
        <v>2681</v>
      </c>
      <c r="G2316" s="35" t="s">
        <v>370</v>
      </c>
      <c r="H2316" s="41" t="s">
        <v>371</v>
      </c>
      <c r="I2316" s="44" t="str">
        <f>"0x"&amp;AE_w_WORK!M11</f>
        <v>0x0000</v>
      </c>
      <c r="J2316" s="36">
        <v>42526</v>
      </c>
      <c r="K2316" s="37"/>
      <c r="L2316" s="74">
        <f t="shared" si="38"/>
        <v>4620</v>
      </c>
    </row>
    <row r="2317" spans="2:12" hidden="1" outlineLevel="1">
      <c r="B2317" s="73">
        <v>2311</v>
      </c>
      <c r="C2317" s="39"/>
      <c r="D2317" s="40"/>
      <c r="E2317" s="34" t="s">
        <v>323</v>
      </c>
      <c r="F2317" s="75" t="s">
        <v>2682</v>
      </c>
      <c r="G2317" s="35" t="s">
        <v>370</v>
      </c>
      <c r="H2317" s="41" t="s">
        <v>371</v>
      </c>
      <c r="I2317" s="44" t="str">
        <f>"0x"&amp;AE_w_WORK!M12</f>
        <v>0x0000</v>
      </c>
      <c r="J2317" s="36">
        <v>42527</v>
      </c>
      <c r="K2317" s="37"/>
      <c r="L2317" s="74">
        <f t="shared" si="38"/>
        <v>4622</v>
      </c>
    </row>
    <row r="2318" spans="2:12" hidden="1" outlineLevel="1">
      <c r="B2318" s="73">
        <v>2312</v>
      </c>
      <c r="C2318" s="39"/>
      <c r="D2318" s="40"/>
      <c r="E2318" s="34" t="s">
        <v>323</v>
      </c>
      <c r="F2318" s="75" t="s">
        <v>2683</v>
      </c>
      <c r="G2318" s="35" t="s">
        <v>370</v>
      </c>
      <c r="H2318" s="41" t="s">
        <v>371</v>
      </c>
      <c r="I2318" s="44" t="str">
        <f>"0x"&amp;AE_w_WORK!M13</f>
        <v>0x0000</v>
      </c>
      <c r="J2318" s="36">
        <v>42528</v>
      </c>
      <c r="K2318" s="37"/>
      <c r="L2318" s="74">
        <f t="shared" si="38"/>
        <v>4624</v>
      </c>
    </row>
    <row r="2319" spans="2:12" hidden="1" outlineLevel="1">
      <c r="B2319" s="73">
        <v>2313</v>
      </c>
      <c r="C2319" s="39"/>
      <c r="D2319" s="40"/>
      <c r="E2319" s="34" t="s">
        <v>323</v>
      </c>
      <c r="F2319" s="75" t="s">
        <v>2684</v>
      </c>
      <c r="G2319" s="35" t="s">
        <v>370</v>
      </c>
      <c r="H2319" s="41" t="s">
        <v>371</v>
      </c>
      <c r="I2319" s="44" t="str">
        <f>"0x"&amp;AE_w_WORK!M14</f>
        <v>0x0000</v>
      </c>
      <c r="J2319" s="36">
        <v>42529</v>
      </c>
      <c r="K2319" s="37"/>
      <c r="L2319" s="74">
        <f t="shared" si="38"/>
        <v>4626</v>
      </c>
    </row>
    <row r="2320" spans="2:12" hidden="1" outlineLevel="1">
      <c r="B2320" s="73">
        <v>2314</v>
      </c>
      <c r="C2320" s="39"/>
      <c r="D2320" s="40"/>
      <c r="E2320" s="34" t="s">
        <v>323</v>
      </c>
      <c r="F2320" s="75" t="s">
        <v>2685</v>
      </c>
      <c r="G2320" s="35" t="s">
        <v>370</v>
      </c>
      <c r="H2320" s="41" t="s">
        <v>371</v>
      </c>
      <c r="I2320" s="44" t="str">
        <f>"0x"&amp;AE_w_WORK!M15</f>
        <v>0x0000</v>
      </c>
      <c r="J2320" s="36">
        <v>42530</v>
      </c>
      <c r="K2320" s="37"/>
      <c r="L2320" s="74">
        <f t="shared" si="38"/>
        <v>4628</v>
      </c>
    </row>
    <row r="2321" spans="2:12" hidden="1" outlineLevel="1">
      <c r="B2321" s="73">
        <v>2315</v>
      </c>
      <c r="C2321" s="39"/>
      <c r="D2321" s="40"/>
      <c r="E2321" s="34" t="s">
        <v>323</v>
      </c>
      <c r="F2321" s="75" t="s">
        <v>2686</v>
      </c>
      <c r="G2321" s="35" t="s">
        <v>370</v>
      </c>
      <c r="H2321" s="41" t="s">
        <v>371</v>
      </c>
      <c r="I2321" s="44" t="str">
        <f>"0x"&amp;AE_w_WORK!M16</f>
        <v>0x0000</v>
      </c>
      <c r="J2321" s="36">
        <v>42531</v>
      </c>
      <c r="K2321" s="37"/>
      <c r="L2321" s="74">
        <f t="shared" si="38"/>
        <v>4630</v>
      </c>
    </row>
    <row r="2322" spans="2:12" hidden="1" outlineLevel="1">
      <c r="B2322" s="73">
        <v>2316</v>
      </c>
      <c r="C2322" s="39"/>
      <c r="D2322" s="40"/>
      <c r="E2322" s="34" t="s">
        <v>323</v>
      </c>
      <c r="F2322" s="75" t="s">
        <v>2687</v>
      </c>
      <c r="G2322" s="35" t="s">
        <v>370</v>
      </c>
      <c r="H2322" s="41" t="s">
        <v>371</v>
      </c>
      <c r="I2322" s="44" t="str">
        <f>"0x"&amp;AE_w_WORK!M17</f>
        <v>0x0000</v>
      </c>
      <c r="J2322" s="36">
        <v>42532</v>
      </c>
      <c r="K2322" s="37"/>
      <c r="L2322" s="74">
        <f t="shared" si="38"/>
        <v>4632</v>
      </c>
    </row>
    <row r="2323" spans="2:12" hidden="1" outlineLevel="1">
      <c r="B2323" s="73">
        <v>2317</v>
      </c>
      <c r="C2323" s="39"/>
      <c r="D2323" s="40"/>
      <c r="E2323" s="34" t="s">
        <v>323</v>
      </c>
      <c r="F2323" s="75" t="s">
        <v>2688</v>
      </c>
      <c r="G2323" s="35" t="s">
        <v>370</v>
      </c>
      <c r="H2323" s="41" t="s">
        <v>371</v>
      </c>
      <c r="I2323" s="44" t="str">
        <f>"0x"&amp;AE_w_WORK!M18</f>
        <v>0x0000</v>
      </c>
      <c r="J2323" s="36">
        <v>42533</v>
      </c>
      <c r="K2323" s="37"/>
      <c r="L2323" s="74">
        <f t="shared" si="38"/>
        <v>4634</v>
      </c>
    </row>
    <row r="2324" spans="2:12" hidden="1" outlineLevel="1">
      <c r="B2324" s="73">
        <v>2318</v>
      </c>
      <c r="C2324" s="39"/>
      <c r="D2324" s="40"/>
      <c r="E2324" s="34" t="s">
        <v>323</v>
      </c>
      <c r="F2324" s="75" t="s">
        <v>2689</v>
      </c>
      <c r="G2324" s="35" t="s">
        <v>370</v>
      </c>
      <c r="H2324" s="41" t="s">
        <v>371</v>
      </c>
      <c r="I2324" s="44" t="str">
        <f>"0x"&amp;AE_w_WORK!M19</f>
        <v>0x0000</v>
      </c>
      <c r="J2324" s="36">
        <v>42534</v>
      </c>
      <c r="K2324" s="37"/>
      <c r="L2324" s="74">
        <f t="shared" si="38"/>
        <v>4636</v>
      </c>
    </row>
    <row r="2325" spans="2:12" hidden="1" outlineLevel="1">
      <c r="B2325" s="73">
        <v>2319</v>
      </c>
      <c r="C2325" s="39"/>
      <c r="D2325" s="40"/>
      <c r="E2325" s="34" t="s">
        <v>323</v>
      </c>
      <c r="F2325" s="75" t="s">
        <v>2690</v>
      </c>
      <c r="G2325" s="35" t="s">
        <v>370</v>
      </c>
      <c r="H2325" s="41" t="s">
        <v>371</v>
      </c>
      <c r="I2325" s="44" t="str">
        <f>"0x"&amp;AE_w_WORK!M20</f>
        <v>0x0000</v>
      </c>
      <c r="J2325" s="36">
        <v>42535</v>
      </c>
      <c r="K2325" s="37"/>
      <c r="L2325" s="74">
        <f t="shared" si="38"/>
        <v>4638</v>
      </c>
    </row>
    <row r="2326" spans="2:12" hidden="1" outlineLevel="1">
      <c r="B2326" s="73">
        <v>2320</v>
      </c>
      <c r="C2326" s="39"/>
      <c r="D2326" s="40"/>
      <c r="E2326" s="34" t="s">
        <v>323</v>
      </c>
      <c r="F2326" s="75" t="s">
        <v>2691</v>
      </c>
      <c r="G2326" s="35" t="s">
        <v>370</v>
      </c>
      <c r="H2326" s="41" t="s">
        <v>371</v>
      </c>
      <c r="I2326" s="44" t="str">
        <f>"0x"&amp;AE_w_WORK!M21</f>
        <v>0x0000</v>
      </c>
      <c r="J2326" s="36">
        <v>42536</v>
      </c>
      <c r="K2326" s="37"/>
      <c r="L2326" s="74">
        <f t="shared" si="38"/>
        <v>4640</v>
      </c>
    </row>
    <row r="2327" spans="2:12" hidden="1" outlineLevel="1">
      <c r="B2327" s="73">
        <v>2321</v>
      </c>
      <c r="C2327" s="39"/>
      <c r="D2327" s="40"/>
      <c r="E2327" s="34" t="s">
        <v>323</v>
      </c>
      <c r="F2327" s="75" t="s">
        <v>2692</v>
      </c>
      <c r="G2327" s="35" t="s">
        <v>370</v>
      </c>
      <c r="H2327" s="41" t="s">
        <v>371</v>
      </c>
      <c r="I2327" s="44" t="str">
        <f>"0x"&amp;AE_w_WORK!M22</f>
        <v>0x0000</v>
      </c>
      <c r="J2327" s="36">
        <v>42537</v>
      </c>
      <c r="K2327" s="37"/>
      <c r="L2327" s="74">
        <f t="shared" si="38"/>
        <v>4642</v>
      </c>
    </row>
    <row r="2328" spans="2:12" hidden="1" outlineLevel="1">
      <c r="B2328" s="73">
        <v>2322</v>
      </c>
      <c r="C2328" s="39"/>
      <c r="D2328" s="40"/>
      <c r="E2328" s="34" t="s">
        <v>323</v>
      </c>
      <c r="F2328" s="75" t="s">
        <v>2693</v>
      </c>
      <c r="G2328" s="35" t="s">
        <v>370</v>
      </c>
      <c r="H2328" s="41" t="s">
        <v>371</v>
      </c>
      <c r="I2328" s="44" t="str">
        <f>"0x"&amp;AE_w_WORK!M23</f>
        <v>0x0000</v>
      </c>
      <c r="J2328" s="36">
        <v>42538</v>
      </c>
      <c r="K2328" s="37"/>
      <c r="L2328" s="74">
        <f t="shared" si="38"/>
        <v>4644</v>
      </c>
    </row>
    <row r="2329" spans="2:12" hidden="1" outlineLevel="1">
      <c r="B2329" s="73">
        <v>2323</v>
      </c>
      <c r="C2329" s="39"/>
      <c r="D2329" s="40"/>
      <c r="E2329" s="34" t="s">
        <v>323</v>
      </c>
      <c r="F2329" s="75" t="s">
        <v>2694</v>
      </c>
      <c r="G2329" s="35" t="s">
        <v>370</v>
      </c>
      <c r="H2329" s="41" t="s">
        <v>371</v>
      </c>
      <c r="I2329" s="44" t="str">
        <f>"0x"&amp;AE_w_WORK!M24</f>
        <v>0x0000</v>
      </c>
      <c r="J2329" s="36">
        <v>42539</v>
      </c>
      <c r="K2329" s="37"/>
      <c r="L2329" s="74">
        <f t="shared" si="38"/>
        <v>4646</v>
      </c>
    </row>
    <row r="2330" spans="2:12" hidden="1" outlineLevel="1">
      <c r="B2330" s="73">
        <v>2324</v>
      </c>
      <c r="C2330" s="39"/>
      <c r="D2330" s="40"/>
      <c r="E2330" s="34" t="s">
        <v>323</v>
      </c>
      <c r="F2330" s="75" t="s">
        <v>2695</v>
      </c>
      <c r="G2330" s="35" t="s">
        <v>370</v>
      </c>
      <c r="H2330" s="41" t="s">
        <v>371</v>
      </c>
      <c r="I2330" s="44" t="str">
        <f>"0x"&amp;AE_w_WORK!M25</f>
        <v>0x0000</v>
      </c>
      <c r="J2330" s="36">
        <v>42540</v>
      </c>
      <c r="K2330" s="37"/>
      <c r="L2330" s="74">
        <f t="shared" si="38"/>
        <v>4648</v>
      </c>
    </row>
    <row r="2331" spans="2:12" hidden="1" outlineLevel="1">
      <c r="B2331" s="73">
        <v>2325</v>
      </c>
      <c r="C2331" s="39"/>
      <c r="D2331" s="40"/>
      <c r="E2331" s="34" t="s">
        <v>323</v>
      </c>
      <c r="F2331" s="75" t="s">
        <v>2696</v>
      </c>
      <c r="G2331" s="35" t="s">
        <v>370</v>
      </c>
      <c r="H2331" s="41" t="s">
        <v>371</v>
      </c>
      <c r="I2331" s="44" t="str">
        <f>"0x"&amp;AE_w_WORK!M26</f>
        <v>0x0000</v>
      </c>
      <c r="J2331" s="36">
        <v>42541</v>
      </c>
      <c r="K2331" s="37"/>
      <c r="L2331" s="74">
        <f t="shared" si="38"/>
        <v>4650</v>
      </c>
    </row>
    <row r="2332" spans="2:12" hidden="1" outlineLevel="1">
      <c r="B2332" s="73">
        <v>2326</v>
      </c>
      <c r="C2332" s="39"/>
      <c r="D2332" s="40"/>
      <c r="E2332" s="34" t="s">
        <v>323</v>
      </c>
      <c r="F2332" s="75" t="s">
        <v>2697</v>
      </c>
      <c r="G2332" s="35" t="s">
        <v>370</v>
      </c>
      <c r="H2332" s="41" t="s">
        <v>371</v>
      </c>
      <c r="I2332" s="44" t="str">
        <f>"0x"&amp;AE_w_WORK!M27</f>
        <v>0x0000</v>
      </c>
      <c r="J2332" s="36">
        <v>42542</v>
      </c>
      <c r="K2332" s="37"/>
      <c r="L2332" s="74">
        <f t="shared" si="38"/>
        <v>4652</v>
      </c>
    </row>
    <row r="2333" spans="2:12" hidden="1" outlineLevel="1">
      <c r="B2333" s="73">
        <v>2327</v>
      </c>
      <c r="C2333" s="39"/>
      <c r="D2333" s="40"/>
      <c r="E2333" s="34" t="s">
        <v>323</v>
      </c>
      <c r="F2333" s="75" t="s">
        <v>2698</v>
      </c>
      <c r="G2333" s="35" t="s">
        <v>370</v>
      </c>
      <c r="H2333" s="41" t="s">
        <v>371</v>
      </c>
      <c r="I2333" s="44" t="str">
        <f>"0x"&amp;AE_w_WORK!M28</f>
        <v>0x0000</v>
      </c>
      <c r="J2333" s="36">
        <v>42543</v>
      </c>
      <c r="K2333" s="37"/>
      <c r="L2333" s="74">
        <f t="shared" si="38"/>
        <v>4654</v>
      </c>
    </row>
    <row r="2334" spans="2:12" hidden="1" outlineLevel="1">
      <c r="B2334" s="73">
        <v>2328</v>
      </c>
      <c r="C2334" s="39"/>
      <c r="D2334" s="40"/>
      <c r="E2334" s="34" t="s">
        <v>323</v>
      </c>
      <c r="F2334" s="75" t="s">
        <v>2699</v>
      </c>
      <c r="G2334" s="35" t="s">
        <v>370</v>
      </c>
      <c r="H2334" s="41" t="s">
        <v>371</v>
      </c>
      <c r="I2334" s="44" t="str">
        <f>"0x"&amp;AE_w_WORK!M29</f>
        <v>0x0000</v>
      </c>
      <c r="J2334" s="36">
        <v>42544</v>
      </c>
      <c r="K2334" s="37"/>
      <c r="L2334" s="74">
        <f t="shared" si="38"/>
        <v>4656</v>
      </c>
    </row>
    <row r="2335" spans="2:12" hidden="1" outlineLevel="1">
      <c r="B2335" s="73">
        <v>2329</v>
      </c>
      <c r="C2335" s="39"/>
      <c r="D2335" s="40"/>
      <c r="E2335" s="34" t="s">
        <v>323</v>
      </c>
      <c r="F2335" s="75" t="s">
        <v>2700</v>
      </c>
      <c r="G2335" s="35" t="s">
        <v>370</v>
      </c>
      <c r="H2335" s="41" t="s">
        <v>371</v>
      </c>
      <c r="I2335" s="44" t="str">
        <f>"0x"&amp;AE_w_WORK!M30</f>
        <v>0x0000</v>
      </c>
      <c r="J2335" s="36">
        <v>42545</v>
      </c>
      <c r="K2335" s="37"/>
      <c r="L2335" s="74">
        <f t="shared" si="38"/>
        <v>4658</v>
      </c>
    </row>
    <row r="2336" spans="2:12" hidden="1" outlineLevel="1">
      <c r="B2336" s="73">
        <v>2330</v>
      </c>
      <c r="C2336" s="39"/>
      <c r="D2336" s="40"/>
      <c r="E2336" s="34" t="s">
        <v>323</v>
      </c>
      <c r="F2336" s="75" t="s">
        <v>2701</v>
      </c>
      <c r="G2336" s="35" t="s">
        <v>370</v>
      </c>
      <c r="H2336" s="41" t="s">
        <v>371</v>
      </c>
      <c r="I2336" s="44" t="str">
        <f>"0x"&amp;AE_w_WORK!M31</f>
        <v>0x0000</v>
      </c>
      <c r="J2336" s="36">
        <v>42546</v>
      </c>
      <c r="K2336" s="37"/>
      <c r="L2336" s="74">
        <f t="shared" si="38"/>
        <v>4660</v>
      </c>
    </row>
    <row r="2337" spans="2:12" hidden="1" outlineLevel="1">
      <c r="B2337" s="73">
        <v>2331</v>
      </c>
      <c r="C2337" s="39"/>
      <c r="D2337" s="40"/>
      <c r="E2337" s="34" t="s">
        <v>323</v>
      </c>
      <c r="F2337" s="75" t="s">
        <v>2702</v>
      </c>
      <c r="G2337" s="35" t="s">
        <v>370</v>
      </c>
      <c r="H2337" s="41" t="s">
        <v>371</v>
      </c>
      <c r="I2337" s="44" t="str">
        <f>"0x"&amp;AE_w_WORK!M32</f>
        <v>0x0000</v>
      </c>
      <c r="J2337" s="36">
        <v>42547</v>
      </c>
      <c r="K2337" s="37"/>
      <c r="L2337" s="74">
        <f t="shared" si="38"/>
        <v>4662</v>
      </c>
    </row>
    <row r="2338" spans="2:12" hidden="1" outlineLevel="1">
      <c r="B2338" s="73">
        <v>2332</v>
      </c>
      <c r="C2338" s="39"/>
      <c r="D2338" s="40"/>
      <c r="E2338" s="34" t="s">
        <v>323</v>
      </c>
      <c r="F2338" s="75" t="s">
        <v>2703</v>
      </c>
      <c r="G2338" s="35" t="s">
        <v>370</v>
      </c>
      <c r="H2338" s="41" t="s">
        <v>371</v>
      </c>
      <c r="I2338" s="44" t="str">
        <f>"0x"&amp;AE_w_WORK!M33</f>
        <v>0x1111</v>
      </c>
      <c r="J2338" s="36">
        <v>42548</v>
      </c>
      <c r="K2338" s="37"/>
      <c r="L2338" s="74">
        <f t="shared" si="38"/>
        <v>4664</v>
      </c>
    </row>
    <row r="2339" spans="2:12" hidden="1" outlineLevel="1">
      <c r="B2339" s="73">
        <v>2333</v>
      </c>
      <c r="C2339" s="39"/>
      <c r="D2339" s="40"/>
      <c r="E2339" s="34" t="s">
        <v>323</v>
      </c>
      <c r="F2339" s="75" t="s">
        <v>2704</v>
      </c>
      <c r="G2339" s="35" t="s">
        <v>370</v>
      </c>
      <c r="H2339" s="41" t="s">
        <v>371</v>
      </c>
      <c r="I2339" s="44" t="str">
        <f>"0x"&amp;AE_w_WORK!M34</f>
        <v>0x1111</v>
      </c>
      <c r="J2339" s="36">
        <v>42549</v>
      </c>
      <c r="K2339" s="37"/>
      <c r="L2339" s="74">
        <f t="shared" si="38"/>
        <v>4666</v>
      </c>
    </row>
    <row r="2340" spans="2:12" hidden="1" outlineLevel="1">
      <c r="B2340" s="73">
        <v>2334</v>
      </c>
      <c r="C2340" s="39"/>
      <c r="D2340" s="40"/>
      <c r="E2340" s="34" t="s">
        <v>323</v>
      </c>
      <c r="F2340" s="75" t="s">
        <v>2705</v>
      </c>
      <c r="G2340" s="35" t="s">
        <v>370</v>
      </c>
      <c r="H2340" s="41" t="s">
        <v>371</v>
      </c>
      <c r="I2340" s="44" t="str">
        <f>"0x"&amp;AE_w_WORK!M35</f>
        <v>0x0000</v>
      </c>
      <c r="J2340" s="36">
        <v>42550</v>
      </c>
      <c r="K2340" s="37"/>
      <c r="L2340" s="74">
        <f t="shared" si="38"/>
        <v>4668</v>
      </c>
    </row>
    <row r="2341" spans="2:12" hidden="1" outlineLevel="1">
      <c r="B2341" s="73">
        <v>2335</v>
      </c>
      <c r="C2341" s="39"/>
      <c r="D2341" s="40"/>
      <c r="E2341" s="34" t="s">
        <v>323</v>
      </c>
      <c r="F2341" s="75" t="s">
        <v>2706</v>
      </c>
      <c r="G2341" s="35" t="s">
        <v>370</v>
      </c>
      <c r="H2341" s="41" t="s">
        <v>371</v>
      </c>
      <c r="I2341" s="44" t="str">
        <f>"0x"&amp;AE_w_WORK!M36</f>
        <v>0x0000</v>
      </c>
      <c r="J2341" s="36">
        <v>42551</v>
      </c>
      <c r="K2341" s="37"/>
      <c r="L2341" s="74">
        <f t="shared" si="38"/>
        <v>4670</v>
      </c>
    </row>
    <row r="2342" spans="2:12" hidden="1" outlineLevel="1">
      <c r="B2342" s="73">
        <v>2336</v>
      </c>
      <c r="C2342" s="39"/>
      <c r="D2342" s="40"/>
      <c r="E2342" s="34" t="s">
        <v>323</v>
      </c>
      <c r="F2342" s="75" t="s">
        <v>2707</v>
      </c>
      <c r="G2342" s="35" t="s">
        <v>370</v>
      </c>
      <c r="H2342" s="41" t="s">
        <v>371</v>
      </c>
      <c r="I2342" s="44" t="str">
        <f>"0x"&amp;AE_w_WORK!M37</f>
        <v>0x0000</v>
      </c>
      <c r="J2342" s="36">
        <v>42552</v>
      </c>
      <c r="K2342" s="37"/>
      <c r="L2342" s="74">
        <f t="shared" si="38"/>
        <v>4672</v>
      </c>
    </row>
    <row r="2343" spans="2:12" hidden="1" outlineLevel="1">
      <c r="B2343" s="73">
        <v>2337</v>
      </c>
      <c r="C2343" s="39"/>
      <c r="D2343" s="40"/>
      <c r="E2343" s="34" t="s">
        <v>323</v>
      </c>
      <c r="F2343" s="75" t="s">
        <v>2708</v>
      </c>
      <c r="G2343" s="35" t="s">
        <v>370</v>
      </c>
      <c r="H2343" s="41" t="s">
        <v>371</v>
      </c>
      <c r="I2343" s="44" t="str">
        <f>"0x"&amp;AE_w_WORK!M38</f>
        <v>0x0000</v>
      </c>
      <c r="J2343" s="36">
        <v>42553</v>
      </c>
      <c r="K2343" s="37"/>
      <c r="L2343" s="74">
        <f t="shared" si="38"/>
        <v>4674</v>
      </c>
    </row>
    <row r="2344" spans="2:12" hidden="1" outlineLevel="1">
      <c r="B2344" s="73">
        <v>2338</v>
      </c>
      <c r="C2344" s="39"/>
      <c r="D2344" s="40"/>
      <c r="E2344" s="34" t="s">
        <v>323</v>
      </c>
      <c r="F2344" s="75" t="s">
        <v>2709</v>
      </c>
      <c r="G2344" s="35" t="s">
        <v>370</v>
      </c>
      <c r="H2344" s="41" t="s">
        <v>371</v>
      </c>
      <c r="I2344" s="44" t="str">
        <f>"0x"&amp;AE_w_WORK!M39</f>
        <v>0x0000</v>
      </c>
      <c r="J2344" s="36">
        <v>42554</v>
      </c>
      <c r="K2344" s="37"/>
      <c r="L2344" s="74">
        <f t="shared" si="38"/>
        <v>4676</v>
      </c>
    </row>
    <row r="2345" spans="2:12" hidden="1" outlineLevel="1">
      <c r="B2345" s="73">
        <v>2339</v>
      </c>
      <c r="C2345" s="39"/>
      <c r="D2345" s="40"/>
      <c r="E2345" s="34" t="s">
        <v>323</v>
      </c>
      <c r="F2345" s="75" t="s">
        <v>2710</v>
      </c>
      <c r="G2345" s="35" t="s">
        <v>370</v>
      </c>
      <c r="H2345" s="41" t="s">
        <v>371</v>
      </c>
      <c r="I2345" s="44" t="str">
        <f>"0x"&amp;AE_w_WORK!M40</f>
        <v>0x0011</v>
      </c>
      <c r="J2345" s="36">
        <v>42555</v>
      </c>
      <c r="K2345" s="37"/>
      <c r="L2345" s="74">
        <f t="shared" si="38"/>
        <v>4678</v>
      </c>
    </row>
    <row r="2346" spans="2:12" hidden="1" outlineLevel="1">
      <c r="B2346" s="73">
        <v>2340</v>
      </c>
      <c r="C2346" s="39"/>
      <c r="D2346" s="40"/>
      <c r="E2346" s="34" t="s">
        <v>323</v>
      </c>
      <c r="F2346" s="75" t="s">
        <v>2711</v>
      </c>
      <c r="G2346" s="35" t="s">
        <v>370</v>
      </c>
      <c r="H2346" s="41" t="s">
        <v>371</v>
      </c>
      <c r="I2346" s="44" t="str">
        <f>"0x"&amp;AE_w_WORK!M41</f>
        <v>0x1111</v>
      </c>
      <c r="J2346" s="36">
        <v>42556</v>
      </c>
      <c r="K2346" s="37"/>
      <c r="L2346" s="74">
        <f t="shared" si="38"/>
        <v>4680</v>
      </c>
    </row>
    <row r="2347" spans="2:12" hidden="1" outlineLevel="1">
      <c r="B2347" s="73">
        <v>2341</v>
      </c>
      <c r="C2347" s="39"/>
      <c r="D2347" s="40"/>
      <c r="E2347" s="34" t="s">
        <v>323</v>
      </c>
      <c r="F2347" s="75" t="s">
        <v>2712</v>
      </c>
      <c r="G2347" s="35" t="s">
        <v>370</v>
      </c>
      <c r="H2347" s="41" t="s">
        <v>371</v>
      </c>
      <c r="I2347" s="44" t="str">
        <f>"0x"&amp;AE_w_WORK!M42</f>
        <v>0x1111</v>
      </c>
      <c r="J2347" s="36">
        <v>42557</v>
      </c>
      <c r="K2347" s="37"/>
      <c r="L2347" s="74">
        <f t="shared" si="38"/>
        <v>4682</v>
      </c>
    </row>
    <row r="2348" spans="2:12" hidden="1" outlineLevel="1">
      <c r="B2348" s="73">
        <v>2342</v>
      </c>
      <c r="C2348" s="39"/>
      <c r="D2348" s="40"/>
      <c r="E2348" s="34" t="s">
        <v>323</v>
      </c>
      <c r="F2348" s="75" t="s">
        <v>2713</v>
      </c>
      <c r="G2348" s="35" t="s">
        <v>370</v>
      </c>
      <c r="H2348" s="41" t="s">
        <v>371</v>
      </c>
      <c r="I2348" s="44" t="str">
        <f>"0x"&amp;AE_w_WORK!M43</f>
        <v>0x1100</v>
      </c>
      <c r="J2348" s="36">
        <v>42558</v>
      </c>
      <c r="K2348" s="37"/>
      <c r="L2348" s="74">
        <f t="shared" si="38"/>
        <v>4684</v>
      </c>
    </row>
    <row r="2349" spans="2:12" hidden="1" outlineLevel="1">
      <c r="B2349" s="73">
        <v>2343</v>
      </c>
      <c r="C2349" s="39"/>
      <c r="D2349" s="40"/>
      <c r="E2349" s="34" t="s">
        <v>323</v>
      </c>
      <c r="F2349" s="75" t="s">
        <v>2714</v>
      </c>
      <c r="G2349" s="35" t="s">
        <v>370</v>
      </c>
      <c r="H2349" s="41" t="s">
        <v>371</v>
      </c>
      <c r="I2349" s="44" t="str">
        <f>"0x"&amp;AE_w_WORK!M44</f>
        <v>0x0000</v>
      </c>
      <c r="J2349" s="36">
        <v>42559</v>
      </c>
      <c r="K2349" s="37"/>
      <c r="L2349" s="74">
        <f t="shared" si="38"/>
        <v>4686</v>
      </c>
    </row>
    <row r="2350" spans="2:12" hidden="1" outlineLevel="1">
      <c r="B2350" s="73">
        <v>2344</v>
      </c>
      <c r="C2350" s="39"/>
      <c r="D2350" s="40"/>
      <c r="E2350" s="34" t="s">
        <v>323</v>
      </c>
      <c r="F2350" s="75" t="s">
        <v>2715</v>
      </c>
      <c r="G2350" s="35" t="s">
        <v>370</v>
      </c>
      <c r="H2350" s="41" t="s">
        <v>371</v>
      </c>
      <c r="I2350" s="44" t="str">
        <f>"0x"&amp;AE_w_WORK!M45</f>
        <v>0x0000</v>
      </c>
      <c r="J2350" s="36">
        <v>42560</v>
      </c>
      <c r="K2350" s="37"/>
      <c r="L2350" s="74">
        <f t="shared" si="38"/>
        <v>4688</v>
      </c>
    </row>
    <row r="2351" spans="2:12" hidden="1" outlineLevel="1">
      <c r="B2351" s="73">
        <v>2345</v>
      </c>
      <c r="C2351" s="39"/>
      <c r="D2351" s="40"/>
      <c r="E2351" s="34" t="s">
        <v>323</v>
      </c>
      <c r="F2351" s="75" t="s">
        <v>2716</v>
      </c>
      <c r="G2351" s="35" t="s">
        <v>370</v>
      </c>
      <c r="H2351" s="41" t="s">
        <v>371</v>
      </c>
      <c r="I2351" s="44" t="str">
        <f>"0x"&amp;AE_w_WORK!M46</f>
        <v>0x0000</v>
      </c>
      <c r="J2351" s="36">
        <v>42561</v>
      </c>
      <c r="K2351" s="37"/>
      <c r="L2351" s="74">
        <f t="shared" si="38"/>
        <v>4690</v>
      </c>
    </row>
    <row r="2352" spans="2:12" hidden="1" outlineLevel="1">
      <c r="B2352" s="73">
        <v>2346</v>
      </c>
      <c r="C2352" s="39"/>
      <c r="D2352" s="40"/>
      <c r="E2352" s="34" t="s">
        <v>323</v>
      </c>
      <c r="F2352" s="75" t="s">
        <v>2717</v>
      </c>
      <c r="G2352" s="35" t="s">
        <v>370</v>
      </c>
      <c r="H2352" s="41" t="s">
        <v>371</v>
      </c>
      <c r="I2352" s="44" t="str">
        <f>"0x"&amp;AE_w_WORK!M47</f>
        <v>0x0000</v>
      </c>
      <c r="J2352" s="36">
        <v>42562</v>
      </c>
      <c r="K2352" s="37"/>
      <c r="L2352" s="74">
        <f t="shared" si="38"/>
        <v>4692</v>
      </c>
    </row>
    <row r="2353" spans="2:12" hidden="1" outlineLevel="1">
      <c r="B2353" s="73">
        <v>2347</v>
      </c>
      <c r="C2353" s="39"/>
      <c r="D2353" s="40"/>
      <c r="E2353" s="34" t="s">
        <v>323</v>
      </c>
      <c r="F2353" s="75" t="s">
        <v>2718</v>
      </c>
      <c r="G2353" s="35" t="s">
        <v>370</v>
      </c>
      <c r="H2353" s="41" t="s">
        <v>371</v>
      </c>
      <c r="I2353" s="44" t="str">
        <f>"0x"&amp;AE_w_WORK!M48</f>
        <v>0x1111</v>
      </c>
      <c r="J2353" s="36">
        <v>42563</v>
      </c>
      <c r="K2353" s="37"/>
      <c r="L2353" s="74">
        <f t="shared" si="38"/>
        <v>4694</v>
      </c>
    </row>
    <row r="2354" spans="2:12" hidden="1" outlineLevel="1">
      <c r="B2354" s="73">
        <v>2348</v>
      </c>
      <c r="C2354" s="39"/>
      <c r="D2354" s="40"/>
      <c r="E2354" s="34" t="s">
        <v>323</v>
      </c>
      <c r="F2354" s="75" t="s">
        <v>2719</v>
      </c>
      <c r="G2354" s="35" t="s">
        <v>370</v>
      </c>
      <c r="H2354" s="41" t="s">
        <v>371</v>
      </c>
      <c r="I2354" s="44" t="str">
        <f>"0x"&amp;AE_w_WORK!M49</f>
        <v>0x2222</v>
      </c>
      <c r="J2354" s="36">
        <v>42564</v>
      </c>
      <c r="K2354" s="37"/>
      <c r="L2354" s="74">
        <f t="shared" si="38"/>
        <v>4696</v>
      </c>
    </row>
    <row r="2355" spans="2:12" hidden="1" outlineLevel="1">
      <c r="B2355" s="73">
        <v>2349</v>
      </c>
      <c r="C2355" s="39"/>
      <c r="D2355" s="40"/>
      <c r="E2355" s="34" t="s">
        <v>323</v>
      </c>
      <c r="F2355" s="75" t="s">
        <v>2720</v>
      </c>
      <c r="G2355" s="35" t="s">
        <v>370</v>
      </c>
      <c r="H2355" s="41" t="s">
        <v>371</v>
      </c>
      <c r="I2355" s="44" t="str">
        <f>"0x"&amp;AE_w_WORK!M50</f>
        <v>0x2222</v>
      </c>
      <c r="J2355" s="36">
        <v>42565</v>
      </c>
      <c r="K2355" s="37"/>
      <c r="L2355" s="74">
        <f t="shared" si="38"/>
        <v>4698</v>
      </c>
    </row>
    <row r="2356" spans="2:12" hidden="1" outlineLevel="1">
      <c r="B2356" s="73">
        <v>2350</v>
      </c>
      <c r="C2356" s="39"/>
      <c r="D2356" s="40"/>
      <c r="E2356" s="34" t="s">
        <v>323</v>
      </c>
      <c r="F2356" s="75" t="s">
        <v>2721</v>
      </c>
      <c r="G2356" s="35" t="s">
        <v>370</v>
      </c>
      <c r="H2356" s="41" t="s">
        <v>371</v>
      </c>
      <c r="I2356" s="44" t="str">
        <f>"0x"&amp;AE_w_WORK!M51</f>
        <v>0x1111</v>
      </c>
      <c r="J2356" s="36">
        <v>42566</v>
      </c>
      <c r="K2356" s="37"/>
      <c r="L2356" s="74">
        <f t="shared" si="38"/>
        <v>4700</v>
      </c>
    </row>
    <row r="2357" spans="2:12" hidden="1" outlineLevel="1">
      <c r="B2357" s="73">
        <v>2351</v>
      </c>
      <c r="C2357" s="39"/>
      <c r="D2357" s="40"/>
      <c r="E2357" s="34" t="s">
        <v>323</v>
      </c>
      <c r="F2357" s="75" t="s">
        <v>2722</v>
      </c>
      <c r="G2357" s="35" t="s">
        <v>370</v>
      </c>
      <c r="H2357" s="41" t="s">
        <v>371</v>
      </c>
      <c r="I2357" s="44" t="str">
        <f>"0x"&amp;AE_w_WORK!M52</f>
        <v>0x0000</v>
      </c>
      <c r="J2357" s="36">
        <v>42567</v>
      </c>
      <c r="K2357" s="37"/>
      <c r="L2357" s="74">
        <f t="shared" si="38"/>
        <v>4702</v>
      </c>
    </row>
    <row r="2358" spans="2:12" hidden="1" outlineLevel="1">
      <c r="B2358" s="73">
        <v>2352</v>
      </c>
      <c r="C2358" s="39"/>
      <c r="D2358" s="40"/>
      <c r="E2358" s="34" t="s">
        <v>323</v>
      </c>
      <c r="F2358" s="75" t="s">
        <v>2723</v>
      </c>
      <c r="G2358" s="35" t="s">
        <v>370</v>
      </c>
      <c r="H2358" s="41" t="s">
        <v>371</v>
      </c>
      <c r="I2358" s="44" t="str">
        <f>"0x"&amp;AE_w_WORK!M53</f>
        <v>0x0000</v>
      </c>
      <c r="J2358" s="36">
        <v>42568</v>
      </c>
      <c r="K2358" s="37"/>
      <c r="L2358" s="74">
        <f t="shared" si="38"/>
        <v>4704</v>
      </c>
    </row>
    <row r="2359" spans="2:12" hidden="1" outlineLevel="1">
      <c r="B2359" s="73">
        <v>2353</v>
      </c>
      <c r="C2359" s="39"/>
      <c r="D2359" s="40"/>
      <c r="E2359" s="34" t="s">
        <v>323</v>
      </c>
      <c r="F2359" s="75" t="s">
        <v>2724</v>
      </c>
      <c r="G2359" s="35" t="s">
        <v>370</v>
      </c>
      <c r="H2359" s="41" t="s">
        <v>371</v>
      </c>
      <c r="I2359" s="44" t="str">
        <f>"0x"&amp;AE_w_WORK!M54</f>
        <v>0x0000</v>
      </c>
      <c r="J2359" s="36">
        <v>42569</v>
      </c>
      <c r="K2359" s="37"/>
      <c r="L2359" s="74">
        <f t="shared" si="38"/>
        <v>4706</v>
      </c>
    </row>
    <row r="2360" spans="2:12" hidden="1" outlineLevel="1">
      <c r="B2360" s="73">
        <v>2354</v>
      </c>
      <c r="C2360" s="39"/>
      <c r="D2360" s="40"/>
      <c r="E2360" s="34" t="s">
        <v>323</v>
      </c>
      <c r="F2360" s="75" t="s">
        <v>2725</v>
      </c>
      <c r="G2360" s="35" t="s">
        <v>370</v>
      </c>
      <c r="H2360" s="41" t="s">
        <v>371</v>
      </c>
      <c r="I2360" s="44" t="str">
        <f>"0x"&amp;AE_w_WORK!M55</f>
        <v>0x0011</v>
      </c>
      <c r="J2360" s="36">
        <v>42570</v>
      </c>
      <c r="K2360" s="37"/>
      <c r="L2360" s="74">
        <f t="shared" si="38"/>
        <v>4708</v>
      </c>
    </row>
    <row r="2361" spans="2:12" hidden="1" outlineLevel="1">
      <c r="B2361" s="73">
        <v>2355</v>
      </c>
      <c r="C2361" s="39"/>
      <c r="D2361" s="40"/>
      <c r="E2361" s="34" t="s">
        <v>323</v>
      </c>
      <c r="F2361" s="75" t="s">
        <v>2726</v>
      </c>
      <c r="G2361" s="35" t="s">
        <v>370</v>
      </c>
      <c r="H2361" s="41" t="s">
        <v>371</v>
      </c>
      <c r="I2361" s="44" t="str">
        <f>"0x"&amp;AE_w_WORK!M56</f>
        <v>0x1122</v>
      </c>
      <c r="J2361" s="36">
        <v>42571</v>
      </c>
      <c r="K2361" s="37"/>
      <c r="L2361" s="74">
        <f t="shared" si="38"/>
        <v>4710</v>
      </c>
    </row>
    <row r="2362" spans="2:12" hidden="1" outlineLevel="1">
      <c r="B2362" s="73">
        <v>2356</v>
      </c>
      <c r="C2362" s="39"/>
      <c r="D2362" s="40"/>
      <c r="E2362" s="34" t="s">
        <v>323</v>
      </c>
      <c r="F2362" s="75" t="s">
        <v>2727</v>
      </c>
      <c r="G2362" s="35" t="s">
        <v>370</v>
      </c>
      <c r="H2362" s="41" t="s">
        <v>371</v>
      </c>
      <c r="I2362" s="44" t="str">
        <f>"0x"&amp;AE_w_WORK!M57</f>
        <v>0x2222</v>
      </c>
      <c r="J2362" s="36">
        <v>42572</v>
      </c>
      <c r="K2362" s="37"/>
      <c r="L2362" s="74">
        <f t="shared" si="38"/>
        <v>4712</v>
      </c>
    </row>
    <row r="2363" spans="2:12" hidden="1" outlineLevel="1">
      <c r="B2363" s="73">
        <v>2357</v>
      </c>
      <c r="C2363" s="39"/>
      <c r="D2363" s="40"/>
      <c r="E2363" s="34" t="s">
        <v>323</v>
      </c>
      <c r="F2363" s="75" t="s">
        <v>2728</v>
      </c>
      <c r="G2363" s="35" t="s">
        <v>370</v>
      </c>
      <c r="H2363" s="41" t="s">
        <v>371</v>
      </c>
      <c r="I2363" s="44" t="str">
        <f>"0x"&amp;AE_w_WORK!M58</f>
        <v>0x2222</v>
      </c>
      <c r="J2363" s="36">
        <v>42573</v>
      </c>
      <c r="K2363" s="37"/>
      <c r="L2363" s="74">
        <f t="shared" si="38"/>
        <v>4714</v>
      </c>
    </row>
    <row r="2364" spans="2:12" hidden="1" outlineLevel="1">
      <c r="B2364" s="73">
        <v>2358</v>
      </c>
      <c r="C2364" s="39"/>
      <c r="D2364" s="40"/>
      <c r="E2364" s="34" t="s">
        <v>323</v>
      </c>
      <c r="F2364" s="75" t="s">
        <v>2729</v>
      </c>
      <c r="G2364" s="35" t="s">
        <v>370</v>
      </c>
      <c r="H2364" s="41" t="s">
        <v>371</v>
      </c>
      <c r="I2364" s="44" t="str">
        <f>"0x"&amp;AE_w_WORK!M59</f>
        <v>0x2211</v>
      </c>
      <c r="J2364" s="36">
        <v>42574</v>
      </c>
      <c r="K2364" s="37"/>
      <c r="L2364" s="74">
        <f t="shared" si="38"/>
        <v>4716</v>
      </c>
    </row>
    <row r="2365" spans="2:12" hidden="1" outlineLevel="1">
      <c r="B2365" s="73">
        <v>2359</v>
      </c>
      <c r="C2365" s="39"/>
      <c r="D2365" s="40"/>
      <c r="E2365" s="34" t="s">
        <v>323</v>
      </c>
      <c r="F2365" s="75" t="s">
        <v>2730</v>
      </c>
      <c r="G2365" s="35" t="s">
        <v>370</v>
      </c>
      <c r="H2365" s="41" t="s">
        <v>371</v>
      </c>
      <c r="I2365" s="44" t="str">
        <f>"0x"&amp;AE_w_WORK!M60</f>
        <v>0x1100</v>
      </c>
      <c r="J2365" s="36">
        <v>42575</v>
      </c>
      <c r="K2365" s="37"/>
      <c r="L2365" s="74">
        <f t="shared" si="38"/>
        <v>4718</v>
      </c>
    </row>
    <row r="2366" spans="2:12" hidden="1" outlineLevel="1">
      <c r="B2366" s="73">
        <v>2360</v>
      </c>
      <c r="C2366" s="39"/>
      <c r="D2366" s="40"/>
      <c r="E2366" s="34" t="s">
        <v>323</v>
      </c>
      <c r="F2366" s="75" t="s">
        <v>2731</v>
      </c>
      <c r="G2366" s="35" t="s">
        <v>370</v>
      </c>
      <c r="H2366" s="41" t="s">
        <v>371</v>
      </c>
      <c r="I2366" s="44" t="str">
        <f>"0x"&amp;AE_w_WORK!M61</f>
        <v>0x0000</v>
      </c>
      <c r="J2366" s="36">
        <v>42576</v>
      </c>
      <c r="K2366" s="37"/>
      <c r="L2366" s="74">
        <f t="shared" si="38"/>
        <v>4720</v>
      </c>
    </row>
    <row r="2367" spans="2:12" hidden="1" outlineLevel="1">
      <c r="B2367" s="73">
        <v>2361</v>
      </c>
      <c r="C2367" s="39"/>
      <c r="D2367" s="40"/>
      <c r="E2367" s="34" t="s">
        <v>323</v>
      </c>
      <c r="F2367" s="75" t="s">
        <v>2732</v>
      </c>
      <c r="G2367" s="35" t="s">
        <v>370</v>
      </c>
      <c r="H2367" s="41" t="s">
        <v>371</v>
      </c>
      <c r="I2367" s="44" t="str">
        <f>"0x"&amp;AE_w_WORK!M62</f>
        <v>0x0000</v>
      </c>
      <c r="J2367" s="36">
        <v>42577</v>
      </c>
      <c r="K2367" s="37"/>
      <c r="L2367" s="74">
        <f t="shared" si="38"/>
        <v>4722</v>
      </c>
    </row>
    <row r="2368" spans="2:12" hidden="1" outlineLevel="1">
      <c r="B2368" s="73">
        <v>2362</v>
      </c>
      <c r="C2368" s="39"/>
      <c r="D2368" s="40"/>
      <c r="E2368" s="34" t="s">
        <v>323</v>
      </c>
      <c r="F2368" s="75" t="s">
        <v>2733</v>
      </c>
      <c r="G2368" s="35" t="s">
        <v>370</v>
      </c>
      <c r="H2368" s="41" t="s">
        <v>371</v>
      </c>
      <c r="I2368" s="44" t="str">
        <f>"0x"&amp;AE_w_WORK!M63</f>
        <v>0x0011</v>
      </c>
      <c r="J2368" s="36">
        <v>42578</v>
      </c>
      <c r="K2368" s="37"/>
      <c r="L2368" s="74">
        <f t="shared" si="38"/>
        <v>4724</v>
      </c>
    </row>
    <row r="2369" spans="2:12" hidden="1" outlineLevel="1">
      <c r="B2369" s="73">
        <v>2363</v>
      </c>
      <c r="C2369" s="39"/>
      <c r="D2369" s="40"/>
      <c r="E2369" s="34" t="s">
        <v>323</v>
      </c>
      <c r="F2369" s="75" t="s">
        <v>2734</v>
      </c>
      <c r="G2369" s="35" t="s">
        <v>370</v>
      </c>
      <c r="H2369" s="41" t="s">
        <v>371</v>
      </c>
      <c r="I2369" s="44" t="str">
        <f>"0x"&amp;AE_w_WORK!M64</f>
        <v>0x2222</v>
      </c>
      <c r="J2369" s="36">
        <v>42579</v>
      </c>
      <c r="K2369" s="37"/>
      <c r="L2369" s="74">
        <f t="shared" si="38"/>
        <v>4726</v>
      </c>
    </row>
    <row r="2370" spans="2:12" hidden="1" outlineLevel="1">
      <c r="B2370" s="73">
        <v>2364</v>
      </c>
      <c r="C2370" s="39"/>
      <c r="D2370" s="40"/>
      <c r="E2370" s="34" t="s">
        <v>323</v>
      </c>
      <c r="F2370" s="75" t="s">
        <v>2735</v>
      </c>
      <c r="G2370" s="35" t="s">
        <v>370</v>
      </c>
      <c r="H2370" s="41" t="s">
        <v>371</v>
      </c>
      <c r="I2370" s="44" t="str">
        <f>"0x"&amp;AE_w_WORK!M65</f>
        <v>0x2233</v>
      </c>
      <c r="J2370" s="36">
        <v>42580</v>
      </c>
      <c r="K2370" s="37"/>
      <c r="L2370" s="74">
        <f t="shared" si="38"/>
        <v>4728</v>
      </c>
    </row>
    <row r="2371" spans="2:12" hidden="1" outlineLevel="1">
      <c r="B2371" s="73">
        <v>2365</v>
      </c>
      <c r="C2371" s="39"/>
      <c r="D2371" s="40"/>
      <c r="E2371" s="34" t="s">
        <v>323</v>
      </c>
      <c r="F2371" s="75" t="s">
        <v>2736</v>
      </c>
      <c r="G2371" s="35" t="s">
        <v>370</v>
      </c>
      <c r="H2371" s="41" t="s">
        <v>371</v>
      </c>
      <c r="I2371" s="44" t="str">
        <f>"0x"&amp;AE_w_WORK!M66</f>
        <v>0x3322</v>
      </c>
      <c r="J2371" s="36">
        <v>42581</v>
      </c>
      <c r="K2371" s="37"/>
      <c r="L2371" s="74">
        <f t="shared" si="38"/>
        <v>4730</v>
      </c>
    </row>
    <row r="2372" spans="2:12" hidden="1" outlineLevel="1">
      <c r="B2372" s="73">
        <v>2366</v>
      </c>
      <c r="C2372" s="39"/>
      <c r="D2372" s="40"/>
      <c r="E2372" s="34" t="s">
        <v>323</v>
      </c>
      <c r="F2372" s="75" t="s">
        <v>2737</v>
      </c>
      <c r="G2372" s="35" t="s">
        <v>370</v>
      </c>
      <c r="H2372" s="41" t="s">
        <v>371</v>
      </c>
      <c r="I2372" s="44" t="str">
        <f>"0x"&amp;AE_w_WORK!M67</f>
        <v>0x2222</v>
      </c>
      <c r="J2372" s="36">
        <v>42582</v>
      </c>
      <c r="K2372" s="37"/>
      <c r="L2372" s="74">
        <f t="shared" si="38"/>
        <v>4732</v>
      </c>
    </row>
    <row r="2373" spans="2:12" hidden="1" outlineLevel="1">
      <c r="B2373" s="73">
        <v>2367</v>
      </c>
      <c r="C2373" s="39"/>
      <c r="D2373" s="40"/>
      <c r="E2373" s="34" t="s">
        <v>323</v>
      </c>
      <c r="F2373" s="75" t="s">
        <v>2738</v>
      </c>
      <c r="G2373" s="35" t="s">
        <v>370</v>
      </c>
      <c r="H2373" s="41" t="s">
        <v>371</v>
      </c>
      <c r="I2373" s="44" t="str">
        <f>"0x"&amp;AE_w_WORK!M68</f>
        <v>0x1100</v>
      </c>
      <c r="J2373" s="36">
        <v>42583</v>
      </c>
      <c r="K2373" s="37"/>
      <c r="L2373" s="74">
        <f t="shared" si="38"/>
        <v>4734</v>
      </c>
    </row>
    <row r="2374" spans="2:12" hidden="1" outlineLevel="1">
      <c r="B2374" s="73">
        <v>2368</v>
      </c>
      <c r="C2374" s="39"/>
      <c r="D2374" s="40"/>
      <c r="E2374" s="34" t="s">
        <v>323</v>
      </c>
      <c r="F2374" s="75" t="s">
        <v>2739</v>
      </c>
      <c r="G2374" s="35" t="s">
        <v>370</v>
      </c>
      <c r="H2374" s="41" t="s">
        <v>371</v>
      </c>
      <c r="I2374" s="44" t="str">
        <f>"0x"&amp;AE_w_WORK!M69</f>
        <v>0x0000</v>
      </c>
      <c r="J2374" s="36">
        <v>42584</v>
      </c>
      <c r="K2374" s="37"/>
      <c r="L2374" s="74">
        <f t="shared" si="38"/>
        <v>4736</v>
      </c>
    </row>
    <row r="2375" spans="2:12" hidden="1" outlineLevel="1">
      <c r="B2375" s="73">
        <v>2369</v>
      </c>
      <c r="C2375" s="39"/>
      <c r="D2375" s="40"/>
      <c r="E2375" s="34" t="s">
        <v>323</v>
      </c>
      <c r="F2375" s="75" t="s">
        <v>2740</v>
      </c>
      <c r="G2375" s="35" t="s">
        <v>370</v>
      </c>
      <c r="H2375" s="41" t="s">
        <v>371</v>
      </c>
      <c r="I2375" s="44" t="str">
        <f>"0x"&amp;AE_w_WORK!M70</f>
        <v>0x0000</v>
      </c>
      <c r="J2375" s="36">
        <v>42585</v>
      </c>
      <c r="K2375" s="37"/>
      <c r="L2375" s="74">
        <f t="shared" si="38"/>
        <v>4738</v>
      </c>
    </row>
    <row r="2376" spans="2:12" hidden="1" outlineLevel="1">
      <c r="B2376" s="73">
        <v>2370</v>
      </c>
      <c r="C2376" s="39"/>
      <c r="D2376" s="40"/>
      <c r="E2376" s="34" t="s">
        <v>323</v>
      </c>
      <c r="F2376" s="75" t="s">
        <v>2741</v>
      </c>
      <c r="G2376" s="35" t="s">
        <v>370</v>
      </c>
      <c r="H2376" s="41" t="s">
        <v>371</v>
      </c>
      <c r="I2376" s="44" t="str">
        <f>"0x"&amp;AE_w_WORK!M71</f>
        <v>0x1111</v>
      </c>
      <c r="J2376" s="36">
        <v>42586</v>
      </c>
      <c r="K2376" s="37"/>
      <c r="L2376" s="74">
        <f t="shared" si="38"/>
        <v>4740</v>
      </c>
    </row>
    <row r="2377" spans="2:12" hidden="1" outlineLevel="1">
      <c r="B2377" s="73">
        <v>2371</v>
      </c>
      <c r="C2377" s="39"/>
      <c r="D2377" s="40"/>
      <c r="E2377" s="34" t="s">
        <v>323</v>
      </c>
      <c r="F2377" s="75" t="s">
        <v>2742</v>
      </c>
      <c r="G2377" s="35" t="s">
        <v>370</v>
      </c>
      <c r="H2377" s="41" t="s">
        <v>371</v>
      </c>
      <c r="I2377" s="44" t="str">
        <f>"0x"&amp;AE_w_WORK!M72</f>
        <v>0x2222</v>
      </c>
      <c r="J2377" s="36">
        <v>42587</v>
      </c>
      <c r="K2377" s="37"/>
      <c r="L2377" s="74">
        <f t="shared" ref="L2377:L2440" si="39">L2376+2</f>
        <v>4742</v>
      </c>
    </row>
    <row r="2378" spans="2:12" hidden="1" outlineLevel="1">
      <c r="B2378" s="73">
        <v>2372</v>
      </c>
      <c r="C2378" s="39"/>
      <c r="D2378" s="40"/>
      <c r="E2378" s="34" t="s">
        <v>323</v>
      </c>
      <c r="F2378" s="75" t="s">
        <v>2743</v>
      </c>
      <c r="G2378" s="35" t="s">
        <v>370</v>
      </c>
      <c r="H2378" s="41" t="s">
        <v>371</v>
      </c>
      <c r="I2378" s="44" t="str">
        <f>"0x"&amp;AE_w_WORK!M73</f>
        <v>0x3333</v>
      </c>
      <c r="J2378" s="36">
        <v>42588</v>
      </c>
      <c r="K2378" s="37"/>
      <c r="L2378" s="74">
        <f t="shared" si="39"/>
        <v>4744</v>
      </c>
    </row>
    <row r="2379" spans="2:12" hidden="1" outlineLevel="1">
      <c r="B2379" s="73">
        <v>2373</v>
      </c>
      <c r="C2379" s="39"/>
      <c r="D2379" s="40"/>
      <c r="E2379" s="34" t="s">
        <v>323</v>
      </c>
      <c r="F2379" s="75" t="s">
        <v>2744</v>
      </c>
      <c r="G2379" s="35" t="s">
        <v>370</v>
      </c>
      <c r="H2379" s="41" t="s">
        <v>371</v>
      </c>
      <c r="I2379" s="44" t="str">
        <f>"0x"&amp;AE_w_WORK!M74</f>
        <v>0x3333</v>
      </c>
      <c r="J2379" s="36">
        <v>42589</v>
      </c>
      <c r="K2379" s="37"/>
      <c r="L2379" s="74">
        <f t="shared" si="39"/>
        <v>4746</v>
      </c>
    </row>
    <row r="2380" spans="2:12" hidden="1" outlineLevel="1">
      <c r="B2380" s="73">
        <v>2374</v>
      </c>
      <c r="C2380" s="39"/>
      <c r="D2380" s="40"/>
      <c r="E2380" s="34" t="s">
        <v>323</v>
      </c>
      <c r="F2380" s="75" t="s">
        <v>2745</v>
      </c>
      <c r="G2380" s="35" t="s">
        <v>370</v>
      </c>
      <c r="H2380" s="41" t="s">
        <v>371</v>
      </c>
      <c r="I2380" s="44" t="str">
        <f>"0x"&amp;AE_w_WORK!M75</f>
        <v>0x2222</v>
      </c>
      <c r="J2380" s="36">
        <v>42590</v>
      </c>
      <c r="K2380" s="37"/>
      <c r="L2380" s="74">
        <f t="shared" si="39"/>
        <v>4748</v>
      </c>
    </row>
    <row r="2381" spans="2:12" hidden="1" outlineLevel="1">
      <c r="B2381" s="73">
        <v>2375</v>
      </c>
      <c r="C2381" s="39"/>
      <c r="D2381" s="40"/>
      <c r="E2381" s="34" t="s">
        <v>323</v>
      </c>
      <c r="F2381" s="75" t="s">
        <v>2746</v>
      </c>
      <c r="G2381" s="35" t="s">
        <v>370</v>
      </c>
      <c r="H2381" s="41" t="s">
        <v>371</v>
      </c>
      <c r="I2381" s="44" t="str">
        <f>"0x"&amp;AE_w_WORK!M76</f>
        <v>0x1111</v>
      </c>
      <c r="J2381" s="36">
        <v>42591</v>
      </c>
      <c r="K2381" s="37"/>
      <c r="L2381" s="74">
        <f t="shared" si="39"/>
        <v>4750</v>
      </c>
    </row>
    <row r="2382" spans="2:12" hidden="1" outlineLevel="1">
      <c r="B2382" s="73">
        <v>2376</v>
      </c>
      <c r="C2382" s="39"/>
      <c r="D2382" s="40"/>
      <c r="E2382" s="34" t="s">
        <v>323</v>
      </c>
      <c r="F2382" s="75" t="s">
        <v>2747</v>
      </c>
      <c r="G2382" s="35" t="s">
        <v>370</v>
      </c>
      <c r="H2382" s="41" t="s">
        <v>371</v>
      </c>
      <c r="I2382" s="44" t="str">
        <f>"0x"&amp;AE_w_WORK!M77</f>
        <v>0x0000</v>
      </c>
      <c r="J2382" s="36">
        <v>42592</v>
      </c>
      <c r="K2382" s="37"/>
      <c r="L2382" s="74">
        <f t="shared" si="39"/>
        <v>4752</v>
      </c>
    </row>
    <row r="2383" spans="2:12" hidden="1" outlineLevel="1">
      <c r="B2383" s="73">
        <v>2377</v>
      </c>
      <c r="C2383" s="39"/>
      <c r="D2383" s="40"/>
      <c r="E2383" s="34" t="s">
        <v>323</v>
      </c>
      <c r="F2383" s="75" t="s">
        <v>2748</v>
      </c>
      <c r="G2383" s="35" t="s">
        <v>370</v>
      </c>
      <c r="H2383" s="41" t="s">
        <v>371</v>
      </c>
      <c r="I2383" s="44" t="str">
        <f>"0x"&amp;AE_w_WORK!M78</f>
        <v>0x0000</v>
      </c>
      <c r="J2383" s="36">
        <v>42593</v>
      </c>
      <c r="K2383" s="37"/>
      <c r="L2383" s="74">
        <f t="shared" si="39"/>
        <v>4754</v>
      </c>
    </row>
    <row r="2384" spans="2:12" hidden="1" outlineLevel="1">
      <c r="B2384" s="73">
        <v>2378</v>
      </c>
      <c r="C2384" s="39"/>
      <c r="D2384" s="40"/>
      <c r="E2384" s="34" t="s">
        <v>323</v>
      </c>
      <c r="F2384" s="75" t="s">
        <v>2749</v>
      </c>
      <c r="G2384" s="35" t="s">
        <v>370</v>
      </c>
      <c r="H2384" s="41" t="s">
        <v>371</v>
      </c>
      <c r="I2384" s="44" t="str">
        <f>"0x"&amp;AE_w_WORK!M79</f>
        <v>0x1122</v>
      </c>
      <c r="J2384" s="36">
        <v>42594</v>
      </c>
      <c r="K2384" s="37"/>
      <c r="L2384" s="74">
        <f t="shared" si="39"/>
        <v>4756</v>
      </c>
    </row>
    <row r="2385" spans="2:12" hidden="1" outlineLevel="1">
      <c r="B2385" s="73">
        <v>2379</v>
      </c>
      <c r="C2385" s="39"/>
      <c r="D2385" s="40"/>
      <c r="E2385" s="34" t="s">
        <v>323</v>
      </c>
      <c r="F2385" s="75" t="s">
        <v>2750</v>
      </c>
      <c r="G2385" s="35" t="s">
        <v>370</v>
      </c>
      <c r="H2385" s="41" t="s">
        <v>371</v>
      </c>
      <c r="I2385" s="44" t="str">
        <f>"0x"&amp;AE_w_WORK!M80</f>
        <v>0x2233</v>
      </c>
      <c r="J2385" s="36">
        <v>42595</v>
      </c>
      <c r="K2385" s="37"/>
      <c r="L2385" s="74">
        <f t="shared" si="39"/>
        <v>4758</v>
      </c>
    </row>
    <row r="2386" spans="2:12" hidden="1" outlineLevel="1">
      <c r="B2386" s="73">
        <v>2380</v>
      </c>
      <c r="C2386" s="39"/>
      <c r="D2386" s="40"/>
      <c r="E2386" s="34" t="s">
        <v>323</v>
      </c>
      <c r="F2386" s="75" t="s">
        <v>2751</v>
      </c>
      <c r="G2386" s="35" t="s">
        <v>370</v>
      </c>
      <c r="H2386" s="41" t="s">
        <v>371</v>
      </c>
      <c r="I2386" s="44" t="str">
        <f>"0x"&amp;AE_w_WORK!M81</f>
        <v>0x3344</v>
      </c>
      <c r="J2386" s="36">
        <v>42596</v>
      </c>
      <c r="K2386" s="37"/>
      <c r="L2386" s="74">
        <f t="shared" si="39"/>
        <v>4760</v>
      </c>
    </row>
    <row r="2387" spans="2:12" hidden="1" outlineLevel="1">
      <c r="B2387" s="73">
        <v>2381</v>
      </c>
      <c r="C2387" s="39"/>
      <c r="D2387" s="40"/>
      <c r="E2387" s="34" t="s">
        <v>323</v>
      </c>
      <c r="F2387" s="75" t="s">
        <v>2752</v>
      </c>
      <c r="G2387" s="35" t="s">
        <v>370</v>
      </c>
      <c r="H2387" s="41" t="s">
        <v>371</v>
      </c>
      <c r="I2387" s="44" t="str">
        <f>"0x"&amp;AE_w_WORK!M82</f>
        <v>0x4433</v>
      </c>
      <c r="J2387" s="36">
        <v>42597</v>
      </c>
      <c r="K2387" s="37"/>
      <c r="L2387" s="74">
        <f t="shared" si="39"/>
        <v>4762</v>
      </c>
    </row>
    <row r="2388" spans="2:12" hidden="1" outlineLevel="1">
      <c r="B2388" s="73">
        <v>2382</v>
      </c>
      <c r="C2388" s="39"/>
      <c r="D2388" s="40"/>
      <c r="E2388" s="34" t="s">
        <v>323</v>
      </c>
      <c r="F2388" s="75" t="s">
        <v>2753</v>
      </c>
      <c r="G2388" s="35" t="s">
        <v>370</v>
      </c>
      <c r="H2388" s="41" t="s">
        <v>371</v>
      </c>
      <c r="I2388" s="44" t="str">
        <f>"0x"&amp;AE_w_WORK!M83</f>
        <v>0x3322</v>
      </c>
      <c r="J2388" s="36">
        <v>42598</v>
      </c>
      <c r="K2388" s="37"/>
      <c r="L2388" s="74">
        <f t="shared" si="39"/>
        <v>4764</v>
      </c>
    </row>
    <row r="2389" spans="2:12" hidden="1" outlineLevel="1">
      <c r="B2389" s="73">
        <v>2383</v>
      </c>
      <c r="C2389" s="39"/>
      <c r="D2389" s="40"/>
      <c r="E2389" s="34" t="s">
        <v>323</v>
      </c>
      <c r="F2389" s="75" t="s">
        <v>2754</v>
      </c>
      <c r="G2389" s="35" t="s">
        <v>370</v>
      </c>
      <c r="H2389" s="41" t="s">
        <v>371</v>
      </c>
      <c r="I2389" s="44" t="str">
        <f>"0x"&amp;AE_w_WORK!M84</f>
        <v>0x2211</v>
      </c>
      <c r="J2389" s="36">
        <v>42599</v>
      </c>
      <c r="K2389" s="37"/>
      <c r="L2389" s="74">
        <f t="shared" si="39"/>
        <v>4766</v>
      </c>
    </row>
    <row r="2390" spans="2:12" hidden="1" outlineLevel="1">
      <c r="B2390" s="73">
        <v>2384</v>
      </c>
      <c r="C2390" s="39"/>
      <c r="D2390" s="40"/>
      <c r="E2390" s="34" t="s">
        <v>323</v>
      </c>
      <c r="F2390" s="75" t="s">
        <v>2755</v>
      </c>
      <c r="G2390" s="35" t="s">
        <v>370</v>
      </c>
      <c r="H2390" s="41" t="s">
        <v>371</v>
      </c>
      <c r="I2390" s="44" t="str">
        <f>"0x"&amp;AE_w_WORK!M85</f>
        <v>0x0000</v>
      </c>
      <c r="J2390" s="36">
        <v>42600</v>
      </c>
      <c r="K2390" s="37"/>
      <c r="L2390" s="74">
        <f t="shared" si="39"/>
        <v>4768</v>
      </c>
    </row>
    <row r="2391" spans="2:12" hidden="1" outlineLevel="1">
      <c r="B2391" s="73">
        <v>2385</v>
      </c>
      <c r="C2391" s="39"/>
      <c r="D2391" s="40"/>
      <c r="E2391" s="34" t="s">
        <v>323</v>
      </c>
      <c r="F2391" s="75" t="s">
        <v>2756</v>
      </c>
      <c r="G2391" s="35" t="s">
        <v>370</v>
      </c>
      <c r="H2391" s="41" t="s">
        <v>371</v>
      </c>
      <c r="I2391" s="44" t="str">
        <f>"0x"&amp;AE_w_WORK!M86</f>
        <v>0x0000</v>
      </c>
      <c r="J2391" s="36">
        <v>42601</v>
      </c>
      <c r="K2391" s="37"/>
      <c r="L2391" s="74">
        <f t="shared" si="39"/>
        <v>4770</v>
      </c>
    </row>
    <row r="2392" spans="2:12" hidden="1" outlineLevel="1">
      <c r="B2392" s="73">
        <v>2386</v>
      </c>
      <c r="C2392" s="39"/>
      <c r="D2392" s="40"/>
      <c r="E2392" s="34" t="s">
        <v>323</v>
      </c>
      <c r="F2392" s="75" t="s">
        <v>2757</v>
      </c>
      <c r="G2392" s="35" t="s">
        <v>370</v>
      </c>
      <c r="H2392" s="41" t="s">
        <v>371</v>
      </c>
      <c r="I2392" s="44" t="str">
        <f>"0x"&amp;AE_w_WORK!M87</f>
        <v>0x1122</v>
      </c>
      <c r="J2392" s="36">
        <v>42602</v>
      </c>
      <c r="K2392" s="37"/>
      <c r="L2392" s="74">
        <f t="shared" si="39"/>
        <v>4772</v>
      </c>
    </row>
    <row r="2393" spans="2:12" hidden="1" outlineLevel="1">
      <c r="B2393" s="73">
        <v>2387</v>
      </c>
      <c r="C2393" s="39"/>
      <c r="D2393" s="40"/>
      <c r="E2393" s="34" t="s">
        <v>323</v>
      </c>
      <c r="F2393" s="75" t="s">
        <v>2758</v>
      </c>
      <c r="G2393" s="35" t="s">
        <v>370</v>
      </c>
      <c r="H2393" s="41" t="s">
        <v>371</v>
      </c>
      <c r="I2393" s="44" t="str">
        <f>"0x"&amp;AE_w_WORK!M88</f>
        <v>0x3333</v>
      </c>
      <c r="J2393" s="36">
        <v>42603</v>
      </c>
      <c r="K2393" s="37"/>
      <c r="L2393" s="74">
        <f t="shared" si="39"/>
        <v>4774</v>
      </c>
    </row>
    <row r="2394" spans="2:12" hidden="1" outlineLevel="1">
      <c r="B2394" s="73">
        <v>2388</v>
      </c>
      <c r="C2394" s="39"/>
      <c r="D2394" s="40"/>
      <c r="E2394" s="34" t="s">
        <v>323</v>
      </c>
      <c r="F2394" s="75" t="s">
        <v>2759</v>
      </c>
      <c r="G2394" s="35" t="s">
        <v>370</v>
      </c>
      <c r="H2394" s="41" t="s">
        <v>371</v>
      </c>
      <c r="I2394" s="44" t="str">
        <f>"0x"&amp;AE_w_WORK!M89</f>
        <v>0x4455</v>
      </c>
      <c r="J2394" s="36">
        <v>42604</v>
      </c>
      <c r="K2394" s="37"/>
      <c r="L2394" s="74">
        <f t="shared" si="39"/>
        <v>4776</v>
      </c>
    </row>
    <row r="2395" spans="2:12" hidden="1" outlineLevel="1">
      <c r="B2395" s="73">
        <v>2389</v>
      </c>
      <c r="C2395" s="39"/>
      <c r="D2395" s="40"/>
      <c r="E2395" s="34" t="s">
        <v>323</v>
      </c>
      <c r="F2395" s="75" t="s">
        <v>2760</v>
      </c>
      <c r="G2395" s="35" t="s">
        <v>370</v>
      </c>
      <c r="H2395" s="41" t="s">
        <v>371</v>
      </c>
      <c r="I2395" s="44" t="str">
        <f>"0x"&amp;AE_w_WORK!M90</f>
        <v>0x5544</v>
      </c>
      <c r="J2395" s="36">
        <v>42605</v>
      </c>
      <c r="K2395" s="37"/>
      <c r="L2395" s="74">
        <f t="shared" si="39"/>
        <v>4778</v>
      </c>
    </row>
    <row r="2396" spans="2:12" hidden="1" outlineLevel="1">
      <c r="B2396" s="73">
        <v>2390</v>
      </c>
      <c r="C2396" s="39"/>
      <c r="D2396" s="40"/>
      <c r="E2396" s="34" t="s">
        <v>323</v>
      </c>
      <c r="F2396" s="75" t="s">
        <v>2761</v>
      </c>
      <c r="G2396" s="35" t="s">
        <v>370</v>
      </c>
      <c r="H2396" s="41" t="s">
        <v>371</v>
      </c>
      <c r="I2396" s="44" t="str">
        <f>"0x"&amp;AE_w_WORK!M91</f>
        <v>0x3333</v>
      </c>
      <c r="J2396" s="36">
        <v>42606</v>
      </c>
      <c r="K2396" s="37"/>
      <c r="L2396" s="74">
        <f t="shared" si="39"/>
        <v>4780</v>
      </c>
    </row>
    <row r="2397" spans="2:12" hidden="1" outlineLevel="1">
      <c r="B2397" s="73">
        <v>2391</v>
      </c>
      <c r="C2397" s="39"/>
      <c r="D2397" s="40"/>
      <c r="E2397" s="34" t="s">
        <v>323</v>
      </c>
      <c r="F2397" s="75" t="s">
        <v>2762</v>
      </c>
      <c r="G2397" s="35" t="s">
        <v>370</v>
      </c>
      <c r="H2397" s="41" t="s">
        <v>371</v>
      </c>
      <c r="I2397" s="44" t="str">
        <f>"0x"&amp;AE_w_WORK!M92</f>
        <v>0x2211</v>
      </c>
      <c r="J2397" s="36">
        <v>42607</v>
      </c>
      <c r="K2397" s="37"/>
      <c r="L2397" s="74">
        <f t="shared" si="39"/>
        <v>4782</v>
      </c>
    </row>
    <row r="2398" spans="2:12" hidden="1" outlineLevel="1">
      <c r="B2398" s="73">
        <v>2392</v>
      </c>
      <c r="C2398" s="39"/>
      <c r="D2398" s="40"/>
      <c r="E2398" s="34" t="s">
        <v>323</v>
      </c>
      <c r="F2398" s="75" t="s">
        <v>2763</v>
      </c>
      <c r="G2398" s="35" t="s">
        <v>370</v>
      </c>
      <c r="H2398" s="41" t="s">
        <v>371</v>
      </c>
      <c r="I2398" s="44" t="str">
        <f>"0x"&amp;AE_w_WORK!M93</f>
        <v>0x0000</v>
      </c>
      <c r="J2398" s="36">
        <v>42608</v>
      </c>
      <c r="K2398" s="37"/>
      <c r="L2398" s="74">
        <f t="shared" si="39"/>
        <v>4784</v>
      </c>
    </row>
    <row r="2399" spans="2:12" hidden="1" outlineLevel="1">
      <c r="B2399" s="73">
        <v>2393</v>
      </c>
      <c r="C2399" s="39"/>
      <c r="D2399" s="40"/>
      <c r="E2399" s="34" t="s">
        <v>323</v>
      </c>
      <c r="F2399" s="75" t="s">
        <v>2764</v>
      </c>
      <c r="G2399" s="35" t="s">
        <v>370</v>
      </c>
      <c r="H2399" s="41" t="s">
        <v>371</v>
      </c>
      <c r="I2399" s="44" t="str">
        <f>"0x"&amp;AE_w_WORK!M94</f>
        <v>0x0011</v>
      </c>
      <c r="J2399" s="36">
        <v>42609</v>
      </c>
      <c r="K2399" s="37"/>
      <c r="L2399" s="74">
        <f t="shared" si="39"/>
        <v>4786</v>
      </c>
    </row>
    <row r="2400" spans="2:12" hidden="1" outlineLevel="1">
      <c r="B2400" s="73">
        <v>2394</v>
      </c>
      <c r="C2400" s="39"/>
      <c r="D2400" s="40"/>
      <c r="E2400" s="34" t="s">
        <v>323</v>
      </c>
      <c r="F2400" s="75" t="s">
        <v>2765</v>
      </c>
      <c r="G2400" s="35" t="s">
        <v>370</v>
      </c>
      <c r="H2400" s="41" t="s">
        <v>371</v>
      </c>
      <c r="I2400" s="44" t="str">
        <f>"0x"&amp;AE_w_WORK!M95</f>
        <v>0x2222</v>
      </c>
      <c r="J2400" s="36">
        <v>42610</v>
      </c>
      <c r="K2400" s="37"/>
      <c r="L2400" s="74">
        <f t="shared" si="39"/>
        <v>4788</v>
      </c>
    </row>
    <row r="2401" spans="2:12" hidden="1" outlineLevel="1">
      <c r="B2401" s="73">
        <v>2395</v>
      </c>
      <c r="C2401" s="39"/>
      <c r="D2401" s="40"/>
      <c r="E2401" s="34" t="s">
        <v>323</v>
      </c>
      <c r="F2401" s="75" t="s">
        <v>2766</v>
      </c>
      <c r="G2401" s="35" t="s">
        <v>370</v>
      </c>
      <c r="H2401" s="41" t="s">
        <v>371</v>
      </c>
      <c r="I2401" s="44" t="str">
        <f>"0x"&amp;AE_w_WORK!M96</f>
        <v>0x3344</v>
      </c>
      <c r="J2401" s="36">
        <v>42611</v>
      </c>
      <c r="K2401" s="37"/>
      <c r="L2401" s="74">
        <f t="shared" si="39"/>
        <v>4790</v>
      </c>
    </row>
    <row r="2402" spans="2:12" hidden="1" outlineLevel="1">
      <c r="B2402" s="73">
        <v>2396</v>
      </c>
      <c r="C2402" s="39"/>
      <c r="D2402" s="40"/>
      <c r="E2402" s="34" t="s">
        <v>323</v>
      </c>
      <c r="F2402" s="75" t="s">
        <v>2767</v>
      </c>
      <c r="G2402" s="35" t="s">
        <v>370</v>
      </c>
      <c r="H2402" s="41" t="s">
        <v>371</v>
      </c>
      <c r="I2402" s="44" t="str">
        <f>"0x"&amp;AE_w_WORK!M97</f>
        <v>0x5555</v>
      </c>
      <c r="J2402" s="36">
        <v>42612</v>
      </c>
      <c r="K2402" s="37"/>
      <c r="L2402" s="74">
        <f t="shared" si="39"/>
        <v>4792</v>
      </c>
    </row>
    <row r="2403" spans="2:12" hidden="1" outlineLevel="1">
      <c r="B2403" s="73">
        <v>2397</v>
      </c>
      <c r="C2403" s="39"/>
      <c r="D2403" s="40"/>
      <c r="E2403" s="34" t="s">
        <v>323</v>
      </c>
      <c r="F2403" s="75" t="s">
        <v>2768</v>
      </c>
      <c r="G2403" s="35" t="s">
        <v>370</v>
      </c>
      <c r="H2403" s="41" t="s">
        <v>371</v>
      </c>
      <c r="I2403" s="44" t="str">
        <f>"0x"&amp;AE_w_WORK!M98</f>
        <v>0x5555</v>
      </c>
      <c r="J2403" s="36">
        <v>42613</v>
      </c>
      <c r="K2403" s="37"/>
      <c r="L2403" s="74">
        <f t="shared" si="39"/>
        <v>4794</v>
      </c>
    </row>
    <row r="2404" spans="2:12" hidden="1" outlineLevel="1">
      <c r="B2404" s="73">
        <v>2398</v>
      </c>
      <c r="C2404" s="39"/>
      <c r="D2404" s="40"/>
      <c r="E2404" s="34" t="s">
        <v>323</v>
      </c>
      <c r="F2404" s="75" t="s">
        <v>2769</v>
      </c>
      <c r="G2404" s="35" t="s">
        <v>370</v>
      </c>
      <c r="H2404" s="41" t="s">
        <v>371</v>
      </c>
      <c r="I2404" s="44" t="str">
        <f>"0x"&amp;AE_w_WORK!M99</f>
        <v>0x4433</v>
      </c>
      <c r="J2404" s="36">
        <v>42614</v>
      </c>
      <c r="K2404" s="37"/>
      <c r="L2404" s="74">
        <f t="shared" si="39"/>
        <v>4796</v>
      </c>
    </row>
    <row r="2405" spans="2:12" hidden="1" outlineLevel="1">
      <c r="B2405" s="73">
        <v>2399</v>
      </c>
      <c r="C2405" s="39"/>
      <c r="D2405" s="40"/>
      <c r="E2405" s="34" t="s">
        <v>323</v>
      </c>
      <c r="F2405" s="75" t="s">
        <v>2770</v>
      </c>
      <c r="G2405" s="35" t="s">
        <v>370</v>
      </c>
      <c r="H2405" s="41" t="s">
        <v>371</v>
      </c>
      <c r="I2405" s="44" t="str">
        <f>"0x"&amp;AE_w_WORK!M100</f>
        <v>0x2222</v>
      </c>
      <c r="J2405" s="36">
        <v>42615</v>
      </c>
      <c r="K2405" s="37"/>
      <c r="L2405" s="74">
        <f t="shared" si="39"/>
        <v>4798</v>
      </c>
    </row>
    <row r="2406" spans="2:12" hidden="1" outlineLevel="1">
      <c r="B2406" s="73">
        <v>2400</v>
      </c>
      <c r="C2406" s="39"/>
      <c r="D2406" s="40"/>
      <c r="E2406" s="34" t="s">
        <v>323</v>
      </c>
      <c r="F2406" s="75" t="s">
        <v>2771</v>
      </c>
      <c r="G2406" s="35" t="s">
        <v>370</v>
      </c>
      <c r="H2406" s="41" t="s">
        <v>371</v>
      </c>
      <c r="I2406" s="44" t="str">
        <f>"0x"&amp;AE_w_WORK!M101</f>
        <v>0x1100</v>
      </c>
      <c r="J2406" s="36">
        <v>42616</v>
      </c>
      <c r="K2406" s="37"/>
      <c r="L2406" s="74">
        <f t="shared" si="39"/>
        <v>4800</v>
      </c>
    </row>
    <row r="2407" spans="2:12" hidden="1" outlineLevel="1">
      <c r="B2407" s="73">
        <v>2401</v>
      </c>
      <c r="C2407" s="39"/>
      <c r="D2407" s="40"/>
      <c r="E2407" s="34" t="s">
        <v>323</v>
      </c>
      <c r="F2407" s="75" t="s">
        <v>2772</v>
      </c>
      <c r="G2407" s="35" t="s">
        <v>370</v>
      </c>
      <c r="H2407" s="41" t="s">
        <v>371</v>
      </c>
      <c r="I2407" s="44" t="str">
        <f>"0x"&amp;AE_w_WORK!M102</f>
        <v>0x0011</v>
      </c>
      <c r="J2407" s="36">
        <v>42617</v>
      </c>
      <c r="K2407" s="37"/>
      <c r="L2407" s="74">
        <f t="shared" si="39"/>
        <v>4802</v>
      </c>
    </row>
    <row r="2408" spans="2:12" hidden="1" outlineLevel="1">
      <c r="B2408" s="73">
        <v>2402</v>
      </c>
      <c r="C2408" s="39"/>
      <c r="D2408" s="40"/>
      <c r="E2408" s="34" t="s">
        <v>323</v>
      </c>
      <c r="F2408" s="75" t="s">
        <v>2773</v>
      </c>
      <c r="G2408" s="35" t="s">
        <v>370</v>
      </c>
      <c r="H2408" s="41" t="s">
        <v>371</v>
      </c>
      <c r="I2408" s="44" t="str">
        <f>"0x"&amp;AE_w_WORK!M103</f>
        <v>0x2233</v>
      </c>
      <c r="J2408" s="36">
        <v>42618</v>
      </c>
      <c r="K2408" s="37"/>
      <c r="L2408" s="74">
        <f t="shared" si="39"/>
        <v>4804</v>
      </c>
    </row>
    <row r="2409" spans="2:12" hidden="1" outlineLevel="1">
      <c r="B2409" s="73">
        <v>2403</v>
      </c>
      <c r="C2409" s="39"/>
      <c r="D2409" s="40"/>
      <c r="E2409" s="34" t="s">
        <v>323</v>
      </c>
      <c r="F2409" s="75" t="s">
        <v>2774</v>
      </c>
      <c r="G2409" s="35" t="s">
        <v>370</v>
      </c>
      <c r="H2409" s="41" t="s">
        <v>371</v>
      </c>
      <c r="I2409" s="44" t="str">
        <f>"0x"&amp;AE_w_WORK!M104</f>
        <v>0x3355</v>
      </c>
      <c r="J2409" s="36">
        <v>42619</v>
      </c>
      <c r="K2409" s="37"/>
      <c r="L2409" s="74">
        <f t="shared" si="39"/>
        <v>4806</v>
      </c>
    </row>
    <row r="2410" spans="2:12" hidden="1" outlineLevel="1">
      <c r="B2410" s="73">
        <v>2404</v>
      </c>
      <c r="C2410" s="39"/>
      <c r="D2410" s="40"/>
      <c r="E2410" s="34" t="s">
        <v>323</v>
      </c>
      <c r="F2410" s="75" t="s">
        <v>2775</v>
      </c>
      <c r="G2410" s="35" t="s">
        <v>370</v>
      </c>
      <c r="H2410" s="41" t="s">
        <v>371</v>
      </c>
      <c r="I2410" s="44" t="str">
        <f>"0x"&amp;AE_w_WORK!M105</f>
        <v>0x5555</v>
      </c>
      <c r="J2410" s="36">
        <v>42620</v>
      </c>
      <c r="K2410" s="37"/>
      <c r="L2410" s="74">
        <f t="shared" si="39"/>
        <v>4808</v>
      </c>
    </row>
    <row r="2411" spans="2:12" hidden="1" outlineLevel="1">
      <c r="B2411" s="73">
        <v>2405</v>
      </c>
      <c r="C2411" s="39"/>
      <c r="D2411" s="40"/>
      <c r="E2411" s="34" t="s">
        <v>323</v>
      </c>
      <c r="F2411" s="75" t="s">
        <v>2776</v>
      </c>
      <c r="G2411" s="35" t="s">
        <v>370</v>
      </c>
      <c r="H2411" s="41" t="s">
        <v>371</v>
      </c>
      <c r="I2411" s="44" t="str">
        <f>"0x"&amp;AE_w_WORK!M106</f>
        <v>0x5555</v>
      </c>
      <c r="J2411" s="36">
        <v>42621</v>
      </c>
      <c r="K2411" s="37"/>
      <c r="L2411" s="74">
        <f t="shared" si="39"/>
        <v>4810</v>
      </c>
    </row>
    <row r="2412" spans="2:12" hidden="1" outlineLevel="1">
      <c r="B2412" s="73">
        <v>2406</v>
      </c>
      <c r="C2412" s="39"/>
      <c r="D2412" s="40"/>
      <c r="E2412" s="34" t="s">
        <v>323</v>
      </c>
      <c r="F2412" s="75" t="s">
        <v>2777</v>
      </c>
      <c r="G2412" s="35" t="s">
        <v>370</v>
      </c>
      <c r="H2412" s="41" t="s">
        <v>371</v>
      </c>
      <c r="I2412" s="44" t="str">
        <f>"0x"&amp;AE_w_WORK!M107</f>
        <v>0x5533</v>
      </c>
      <c r="J2412" s="36">
        <v>42622</v>
      </c>
      <c r="K2412" s="37"/>
      <c r="L2412" s="74">
        <f t="shared" si="39"/>
        <v>4812</v>
      </c>
    </row>
    <row r="2413" spans="2:12" hidden="1" outlineLevel="1">
      <c r="B2413" s="73">
        <v>2407</v>
      </c>
      <c r="C2413" s="39"/>
      <c r="D2413" s="40"/>
      <c r="E2413" s="34" t="s">
        <v>323</v>
      </c>
      <c r="F2413" s="75" t="s">
        <v>2778</v>
      </c>
      <c r="G2413" s="35" t="s">
        <v>370</v>
      </c>
      <c r="H2413" s="41" t="s">
        <v>371</v>
      </c>
      <c r="I2413" s="44" t="str">
        <f>"0x"&amp;AE_w_WORK!M108</f>
        <v>0x3322</v>
      </c>
      <c r="J2413" s="36">
        <v>42623</v>
      </c>
      <c r="K2413" s="37"/>
      <c r="L2413" s="74">
        <f t="shared" si="39"/>
        <v>4814</v>
      </c>
    </row>
    <row r="2414" spans="2:12" hidden="1" outlineLevel="1">
      <c r="B2414" s="73">
        <v>2408</v>
      </c>
      <c r="C2414" s="39"/>
      <c r="D2414" s="40"/>
      <c r="E2414" s="34" t="s">
        <v>323</v>
      </c>
      <c r="F2414" s="75" t="s">
        <v>2779</v>
      </c>
      <c r="G2414" s="35" t="s">
        <v>370</v>
      </c>
      <c r="H2414" s="41" t="s">
        <v>371</v>
      </c>
      <c r="I2414" s="44" t="str">
        <f>"0x"&amp;AE_w_WORK!M109</f>
        <v>0x1100</v>
      </c>
      <c r="J2414" s="36">
        <v>42624</v>
      </c>
      <c r="K2414" s="37"/>
      <c r="L2414" s="74">
        <f t="shared" si="39"/>
        <v>4816</v>
      </c>
    </row>
    <row r="2415" spans="2:12" hidden="1" outlineLevel="1">
      <c r="B2415" s="73">
        <v>2409</v>
      </c>
      <c r="C2415" s="39"/>
      <c r="D2415" s="40"/>
      <c r="E2415" s="34" t="s">
        <v>323</v>
      </c>
      <c r="F2415" s="75" t="s">
        <v>2780</v>
      </c>
      <c r="G2415" s="35" t="s">
        <v>370</v>
      </c>
      <c r="H2415" s="41" t="s">
        <v>371</v>
      </c>
      <c r="I2415" s="44" t="str">
        <f>"0x"&amp;AE_w_WORK!M110</f>
        <v>0x0011</v>
      </c>
      <c r="J2415" s="36">
        <v>42625</v>
      </c>
      <c r="K2415" s="37"/>
      <c r="L2415" s="74">
        <f t="shared" si="39"/>
        <v>4818</v>
      </c>
    </row>
    <row r="2416" spans="2:12" hidden="1" outlineLevel="1">
      <c r="B2416" s="73">
        <v>2410</v>
      </c>
      <c r="C2416" s="39"/>
      <c r="D2416" s="40"/>
      <c r="E2416" s="34" t="s">
        <v>323</v>
      </c>
      <c r="F2416" s="75" t="s">
        <v>2781</v>
      </c>
      <c r="G2416" s="35" t="s">
        <v>370</v>
      </c>
      <c r="H2416" s="41" t="s">
        <v>371</v>
      </c>
      <c r="I2416" s="44" t="str">
        <f>"0x"&amp;AE_w_WORK!M111</f>
        <v>0x2233</v>
      </c>
      <c r="J2416" s="36">
        <v>42626</v>
      </c>
      <c r="K2416" s="37"/>
      <c r="L2416" s="74">
        <f t="shared" si="39"/>
        <v>4820</v>
      </c>
    </row>
    <row r="2417" spans="2:12" hidden="1" outlineLevel="1">
      <c r="B2417" s="73">
        <v>2411</v>
      </c>
      <c r="C2417" s="39"/>
      <c r="D2417" s="40"/>
      <c r="E2417" s="34" t="s">
        <v>323</v>
      </c>
      <c r="F2417" s="75" t="s">
        <v>2782</v>
      </c>
      <c r="G2417" s="35" t="s">
        <v>370</v>
      </c>
      <c r="H2417" s="41" t="s">
        <v>371</v>
      </c>
      <c r="I2417" s="44" t="str">
        <f>"0x"&amp;AE_w_WORK!M112</f>
        <v>0x4455</v>
      </c>
      <c r="J2417" s="36">
        <v>42627</v>
      </c>
      <c r="K2417" s="37"/>
      <c r="L2417" s="74">
        <f t="shared" si="39"/>
        <v>4822</v>
      </c>
    </row>
    <row r="2418" spans="2:12" hidden="1" outlineLevel="1">
      <c r="B2418" s="73">
        <v>2412</v>
      </c>
      <c r="C2418" s="39"/>
      <c r="D2418" s="40"/>
      <c r="E2418" s="34" t="s">
        <v>323</v>
      </c>
      <c r="F2418" s="75" t="s">
        <v>2783</v>
      </c>
      <c r="G2418" s="35" t="s">
        <v>370</v>
      </c>
      <c r="H2418" s="41" t="s">
        <v>371</v>
      </c>
      <c r="I2418" s="44" t="str">
        <f>"0x"&amp;AE_w_WORK!M113</f>
        <v>0x5566</v>
      </c>
      <c r="J2418" s="36">
        <v>42628</v>
      </c>
      <c r="K2418" s="37"/>
      <c r="L2418" s="74">
        <f t="shared" si="39"/>
        <v>4824</v>
      </c>
    </row>
    <row r="2419" spans="2:12" hidden="1" outlineLevel="1">
      <c r="B2419" s="73">
        <v>2413</v>
      </c>
      <c r="C2419" s="39"/>
      <c r="D2419" s="40"/>
      <c r="E2419" s="34" t="s">
        <v>323</v>
      </c>
      <c r="F2419" s="75" t="s">
        <v>2784</v>
      </c>
      <c r="G2419" s="35" t="s">
        <v>370</v>
      </c>
      <c r="H2419" s="41" t="s">
        <v>371</v>
      </c>
      <c r="I2419" s="44" t="str">
        <f>"0x"&amp;AE_w_WORK!M114</f>
        <v>0x6655</v>
      </c>
      <c r="J2419" s="36">
        <v>42629</v>
      </c>
      <c r="K2419" s="37"/>
      <c r="L2419" s="74">
        <f t="shared" si="39"/>
        <v>4826</v>
      </c>
    </row>
    <row r="2420" spans="2:12" hidden="1" outlineLevel="1">
      <c r="B2420" s="73">
        <v>2414</v>
      </c>
      <c r="C2420" s="39"/>
      <c r="D2420" s="40"/>
      <c r="E2420" s="34" t="s">
        <v>323</v>
      </c>
      <c r="F2420" s="75" t="s">
        <v>2785</v>
      </c>
      <c r="G2420" s="35" t="s">
        <v>370</v>
      </c>
      <c r="H2420" s="41" t="s">
        <v>371</v>
      </c>
      <c r="I2420" s="44" t="str">
        <f>"0x"&amp;AE_w_WORK!M115</f>
        <v>0x5544</v>
      </c>
      <c r="J2420" s="36">
        <v>42630</v>
      </c>
      <c r="K2420" s="37"/>
      <c r="L2420" s="74">
        <f t="shared" si="39"/>
        <v>4828</v>
      </c>
    </row>
    <row r="2421" spans="2:12" hidden="1" outlineLevel="1">
      <c r="B2421" s="73">
        <v>2415</v>
      </c>
      <c r="C2421" s="39"/>
      <c r="D2421" s="40"/>
      <c r="E2421" s="34" t="s">
        <v>323</v>
      </c>
      <c r="F2421" s="75" t="s">
        <v>2786</v>
      </c>
      <c r="G2421" s="35" t="s">
        <v>370</v>
      </c>
      <c r="H2421" s="41" t="s">
        <v>371</v>
      </c>
      <c r="I2421" s="44" t="str">
        <f>"0x"&amp;AE_w_WORK!M116</f>
        <v>0x3322</v>
      </c>
      <c r="J2421" s="36">
        <v>42631</v>
      </c>
      <c r="K2421" s="37"/>
      <c r="L2421" s="74">
        <f t="shared" si="39"/>
        <v>4830</v>
      </c>
    </row>
    <row r="2422" spans="2:12" hidden="1" outlineLevel="1">
      <c r="B2422" s="73">
        <v>2416</v>
      </c>
      <c r="C2422" s="39"/>
      <c r="D2422" s="40"/>
      <c r="E2422" s="34" t="s">
        <v>323</v>
      </c>
      <c r="F2422" s="75" t="s">
        <v>2787</v>
      </c>
      <c r="G2422" s="35" t="s">
        <v>370</v>
      </c>
      <c r="H2422" s="41" t="s">
        <v>371</v>
      </c>
      <c r="I2422" s="44" t="str">
        <f>"0x"&amp;AE_w_WORK!M117</f>
        <v>0x1100</v>
      </c>
      <c r="J2422" s="36">
        <v>42632</v>
      </c>
      <c r="K2422" s="37"/>
      <c r="L2422" s="74">
        <f t="shared" si="39"/>
        <v>4832</v>
      </c>
    </row>
    <row r="2423" spans="2:12" hidden="1" outlineLevel="1">
      <c r="B2423" s="73">
        <v>2417</v>
      </c>
      <c r="C2423" s="39"/>
      <c r="D2423" s="40"/>
      <c r="E2423" s="34" t="s">
        <v>323</v>
      </c>
      <c r="F2423" s="75" t="s">
        <v>2788</v>
      </c>
      <c r="G2423" s="35" t="s">
        <v>370</v>
      </c>
      <c r="H2423" s="41" t="s">
        <v>371</v>
      </c>
      <c r="I2423" s="44" t="str">
        <f>"0x"&amp;AE_w_WORK!M118</f>
        <v>0x0011</v>
      </c>
      <c r="J2423" s="36">
        <v>42633</v>
      </c>
      <c r="K2423" s="37"/>
      <c r="L2423" s="74">
        <f t="shared" si="39"/>
        <v>4834</v>
      </c>
    </row>
    <row r="2424" spans="2:12" hidden="1" outlineLevel="1">
      <c r="B2424" s="73">
        <v>2418</v>
      </c>
      <c r="C2424" s="39"/>
      <c r="D2424" s="40"/>
      <c r="E2424" s="34" t="s">
        <v>323</v>
      </c>
      <c r="F2424" s="75" t="s">
        <v>2789</v>
      </c>
      <c r="G2424" s="35" t="s">
        <v>370</v>
      </c>
      <c r="H2424" s="41" t="s">
        <v>371</v>
      </c>
      <c r="I2424" s="44" t="str">
        <f>"0x"&amp;AE_w_WORK!M119</f>
        <v>0x2233</v>
      </c>
      <c r="J2424" s="36">
        <v>42634</v>
      </c>
      <c r="K2424" s="37"/>
      <c r="L2424" s="74">
        <f t="shared" si="39"/>
        <v>4836</v>
      </c>
    </row>
    <row r="2425" spans="2:12" hidden="1" outlineLevel="1">
      <c r="B2425" s="73">
        <v>2419</v>
      </c>
      <c r="C2425" s="39"/>
      <c r="D2425" s="40"/>
      <c r="E2425" s="34" t="s">
        <v>323</v>
      </c>
      <c r="F2425" s="75" t="s">
        <v>2790</v>
      </c>
      <c r="G2425" s="35" t="s">
        <v>370</v>
      </c>
      <c r="H2425" s="41" t="s">
        <v>371</v>
      </c>
      <c r="I2425" s="44" t="str">
        <f>"0x"&amp;AE_w_WORK!M120</f>
        <v>0x4455</v>
      </c>
      <c r="J2425" s="36">
        <v>42635</v>
      </c>
      <c r="K2425" s="37"/>
      <c r="L2425" s="74">
        <f t="shared" si="39"/>
        <v>4838</v>
      </c>
    </row>
    <row r="2426" spans="2:12" hidden="1" outlineLevel="1">
      <c r="B2426" s="73">
        <v>2420</v>
      </c>
      <c r="C2426" s="39"/>
      <c r="D2426" s="40"/>
      <c r="E2426" s="34" t="s">
        <v>323</v>
      </c>
      <c r="F2426" s="75" t="s">
        <v>2791</v>
      </c>
      <c r="G2426" s="35" t="s">
        <v>370</v>
      </c>
      <c r="H2426" s="41" t="s">
        <v>371</v>
      </c>
      <c r="I2426" s="44" t="str">
        <f>"0x"&amp;AE_w_WORK!M121</f>
        <v>0x6666</v>
      </c>
      <c r="J2426" s="36">
        <v>42636</v>
      </c>
      <c r="K2426" s="37"/>
      <c r="L2426" s="74">
        <f t="shared" si="39"/>
        <v>4840</v>
      </c>
    </row>
    <row r="2427" spans="2:12" hidden="1" outlineLevel="1">
      <c r="B2427" s="73">
        <v>2421</v>
      </c>
      <c r="C2427" s="39"/>
      <c r="D2427" s="40"/>
      <c r="E2427" s="34" t="s">
        <v>323</v>
      </c>
      <c r="F2427" s="75" t="s">
        <v>2792</v>
      </c>
      <c r="G2427" s="35" t="s">
        <v>370</v>
      </c>
      <c r="H2427" s="41" t="s">
        <v>371</v>
      </c>
      <c r="I2427" s="44" t="str">
        <f>"0x"&amp;AE_w_WORK!M122</f>
        <v>0x6666</v>
      </c>
      <c r="J2427" s="36">
        <v>42637</v>
      </c>
      <c r="K2427" s="37"/>
      <c r="L2427" s="74">
        <f t="shared" si="39"/>
        <v>4842</v>
      </c>
    </row>
    <row r="2428" spans="2:12" hidden="1" outlineLevel="1">
      <c r="B2428" s="73">
        <v>2422</v>
      </c>
      <c r="C2428" s="39"/>
      <c r="D2428" s="40"/>
      <c r="E2428" s="34" t="s">
        <v>323</v>
      </c>
      <c r="F2428" s="75" t="s">
        <v>2793</v>
      </c>
      <c r="G2428" s="35" t="s">
        <v>370</v>
      </c>
      <c r="H2428" s="41" t="s">
        <v>371</v>
      </c>
      <c r="I2428" s="44" t="str">
        <f>"0x"&amp;AE_w_WORK!M123</f>
        <v>0x5544</v>
      </c>
      <c r="J2428" s="36">
        <v>42638</v>
      </c>
      <c r="K2428" s="37"/>
      <c r="L2428" s="74">
        <f t="shared" si="39"/>
        <v>4844</v>
      </c>
    </row>
    <row r="2429" spans="2:12" hidden="1" outlineLevel="1">
      <c r="B2429" s="73">
        <v>2423</v>
      </c>
      <c r="C2429" s="39"/>
      <c r="D2429" s="40"/>
      <c r="E2429" s="34" t="s">
        <v>323</v>
      </c>
      <c r="F2429" s="75" t="s">
        <v>2794</v>
      </c>
      <c r="G2429" s="35" t="s">
        <v>370</v>
      </c>
      <c r="H2429" s="41" t="s">
        <v>371</v>
      </c>
      <c r="I2429" s="44" t="str">
        <f>"0x"&amp;AE_w_WORK!M124</f>
        <v>0x3322</v>
      </c>
      <c r="J2429" s="36">
        <v>42639</v>
      </c>
      <c r="K2429" s="37"/>
      <c r="L2429" s="74">
        <f t="shared" si="39"/>
        <v>4846</v>
      </c>
    </row>
    <row r="2430" spans="2:12" hidden="1" outlineLevel="1">
      <c r="B2430" s="73">
        <v>2424</v>
      </c>
      <c r="C2430" s="39"/>
      <c r="D2430" s="40"/>
      <c r="E2430" s="34" t="s">
        <v>323</v>
      </c>
      <c r="F2430" s="75" t="s">
        <v>2795</v>
      </c>
      <c r="G2430" s="35" t="s">
        <v>370</v>
      </c>
      <c r="H2430" s="41" t="s">
        <v>371</v>
      </c>
      <c r="I2430" s="44" t="str">
        <f>"0x"&amp;AE_w_WORK!M125</f>
        <v>0x1100</v>
      </c>
      <c r="J2430" s="36">
        <v>42640</v>
      </c>
      <c r="K2430" s="37"/>
      <c r="L2430" s="74">
        <f t="shared" si="39"/>
        <v>4848</v>
      </c>
    </row>
    <row r="2431" spans="2:12" hidden="1" outlineLevel="1">
      <c r="B2431" s="73">
        <v>2425</v>
      </c>
      <c r="C2431" s="39"/>
      <c r="D2431" s="40"/>
      <c r="E2431" s="34" t="s">
        <v>323</v>
      </c>
      <c r="F2431" s="75" t="s">
        <v>2796</v>
      </c>
      <c r="G2431" s="35" t="s">
        <v>370</v>
      </c>
      <c r="H2431" s="41" t="s">
        <v>371</v>
      </c>
      <c r="I2431" s="44" t="str">
        <f>"0x"&amp;AE_w_WORK!M126</f>
        <v>0x0011</v>
      </c>
      <c r="J2431" s="36">
        <v>42641</v>
      </c>
      <c r="K2431" s="37"/>
      <c r="L2431" s="74">
        <f t="shared" si="39"/>
        <v>4850</v>
      </c>
    </row>
    <row r="2432" spans="2:12" hidden="1" outlineLevel="1">
      <c r="B2432" s="73">
        <v>2426</v>
      </c>
      <c r="C2432" s="39"/>
      <c r="D2432" s="40"/>
      <c r="E2432" s="34" t="s">
        <v>323</v>
      </c>
      <c r="F2432" s="75" t="s">
        <v>2797</v>
      </c>
      <c r="G2432" s="35" t="s">
        <v>370</v>
      </c>
      <c r="H2432" s="41" t="s">
        <v>371</v>
      </c>
      <c r="I2432" s="44" t="str">
        <f>"0x"&amp;AE_w_WORK!M127</f>
        <v>0x2233</v>
      </c>
      <c r="J2432" s="36">
        <v>42642</v>
      </c>
      <c r="K2432" s="37"/>
      <c r="L2432" s="74">
        <f t="shared" si="39"/>
        <v>4852</v>
      </c>
    </row>
    <row r="2433" spans="2:12" hidden="1" outlineLevel="1">
      <c r="B2433" s="73">
        <v>2427</v>
      </c>
      <c r="C2433" s="39"/>
      <c r="D2433" s="40"/>
      <c r="E2433" s="34" t="s">
        <v>323</v>
      </c>
      <c r="F2433" s="75" t="s">
        <v>2798</v>
      </c>
      <c r="G2433" s="35" t="s">
        <v>370</v>
      </c>
      <c r="H2433" s="41" t="s">
        <v>371</v>
      </c>
      <c r="I2433" s="44" t="str">
        <f>"0x"&amp;AE_w_WORK!M128</f>
        <v>0x4455</v>
      </c>
      <c r="J2433" s="36">
        <v>42643</v>
      </c>
      <c r="K2433" s="37"/>
      <c r="L2433" s="74">
        <f t="shared" si="39"/>
        <v>4854</v>
      </c>
    </row>
    <row r="2434" spans="2:12" hidden="1" outlineLevel="1">
      <c r="B2434" s="73">
        <v>2428</v>
      </c>
      <c r="C2434" s="39"/>
      <c r="D2434" s="40"/>
      <c r="E2434" s="34" t="s">
        <v>323</v>
      </c>
      <c r="F2434" s="75" t="s">
        <v>2799</v>
      </c>
      <c r="G2434" s="35" t="s">
        <v>370</v>
      </c>
      <c r="H2434" s="41" t="s">
        <v>371</v>
      </c>
      <c r="I2434" s="44" t="str">
        <f>"0x"&amp;AE_w_WORK!M129</f>
        <v>0x6666</v>
      </c>
      <c r="J2434" s="36">
        <v>42644</v>
      </c>
      <c r="K2434" s="37"/>
      <c r="L2434" s="74">
        <f t="shared" si="39"/>
        <v>4856</v>
      </c>
    </row>
    <row r="2435" spans="2:12" hidden="1" outlineLevel="1">
      <c r="B2435" s="73">
        <v>2429</v>
      </c>
      <c r="C2435" s="39"/>
      <c r="D2435" s="40"/>
      <c r="E2435" s="34" t="s">
        <v>323</v>
      </c>
      <c r="F2435" s="75" t="s">
        <v>2800</v>
      </c>
      <c r="G2435" s="35" t="s">
        <v>370</v>
      </c>
      <c r="H2435" s="41" t="s">
        <v>371</v>
      </c>
      <c r="I2435" s="44" t="str">
        <f>"0x"&amp;AE_w_WORK!M130</f>
        <v>0x6666</v>
      </c>
      <c r="J2435" s="36">
        <v>42645</v>
      </c>
      <c r="K2435" s="37"/>
      <c r="L2435" s="74">
        <f t="shared" si="39"/>
        <v>4858</v>
      </c>
    </row>
    <row r="2436" spans="2:12" hidden="1" outlineLevel="1">
      <c r="B2436" s="73">
        <v>2430</v>
      </c>
      <c r="C2436" s="39"/>
      <c r="D2436" s="40"/>
      <c r="E2436" s="34" t="s">
        <v>323</v>
      </c>
      <c r="F2436" s="75" t="s">
        <v>2801</v>
      </c>
      <c r="G2436" s="35" t="s">
        <v>370</v>
      </c>
      <c r="H2436" s="41" t="s">
        <v>371</v>
      </c>
      <c r="I2436" s="44" t="str">
        <f>"0x"&amp;AE_w_WORK!M131</f>
        <v>0x5544</v>
      </c>
      <c r="J2436" s="36">
        <v>42646</v>
      </c>
      <c r="K2436" s="37"/>
      <c r="L2436" s="74">
        <f t="shared" si="39"/>
        <v>4860</v>
      </c>
    </row>
    <row r="2437" spans="2:12" hidden="1" outlineLevel="1">
      <c r="B2437" s="73">
        <v>2431</v>
      </c>
      <c r="C2437" s="39"/>
      <c r="D2437" s="40"/>
      <c r="E2437" s="34" t="s">
        <v>323</v>
      </c>
      <c r="F2437" s="75" t="s">
        <v>2802</v>
      </c>
      <c r="G2437" s="35" t="s">
        <v>370</v>
      </c>
      <c r="H2437" s="41" t="s">
        <v>371</v>
      </c>
      <c r="I2437" s="44" t="str">
        <f>"0x"&amp;AE_w_WORK!M132</f>
        <v>0x3322</v>
      </c>
      <c r="J2437" s="36">
        <v>42647</v>
      </c>
      <c r="K2437" s="37"/>
      <c r="L2437" s="74">
        <f t="shared" si="39"/>
        <v>4862</v>
      </c>
    </row>
    <row r="2438" spans="2:12" hidden="1" outlineLevel="1">
      <c r="B2438" s="73">
        <v>2432</v>
      </c>
      <c r="C2438" s="39"/>
      <c r="D2438" s="40"/>
      <c r="E2438" s="34" t="s">
        <v>323</v>
      </c>
      <c r="F2438" s="75" t="s">
        <v>2803</v>
      </c>
      <c r="G2438" s="35" t="s">
        <v>370</v>
      </c>
      <c r="H2438" s="41" t="s">
        <v>371</v>
      </c>
      <c r="I2438" s="44" t="str">
        <f>"0x"&amp;AE_w_WORK!M133</f>
        <v>0x1100</v>
      </c>
      <c r="J2438" s="36">
        <v>42648</v>
      </c>
      <c r="K2438" s="37"/>
      <c r="L2438" s="74">
        <f t="shared" si="39"/>
        <v>4864</v>
      </c>
    </row>
    <row r="2439" spans="2:12" hidden="1" outlineLevel="1">
      <c r="B2439" s="73">
        <v>2433</v>
      </c>
      <c r="C2439" s="39"/>
      <c r="D2439" s="40"/>
      <c r="E2439" s="34" t="s">
        <v>323</v>
      </c>
      <c r="F2439" s="75" t="s">
        <v>2804</v>
      </c>
      <c r="G2439" s="35" t="s">
        <v>370</v>
      </c>
      <c r="H2439" s="41" t="s">
        <v>371</v>
      </c>
      <c r="I2439" s="44" t="str">
        <f>"0x"&amp;AE_w_WORK!M134</f>
        <v>0x0011</v>
      </c>
      <c r="J2439" s="36">
        <v>42649</v>
      </c>
      <c r="K2439" s="37"/>
      <c r="L2439" s="74">
        <f t="shared" si="39"/>
        <v>4866</v>
      </c>
    </row>
    <row r="2440" spans="2:12" hidden="1" outlineLevel="1">
      <c r="B2440" s="73">
        <v>2434</v>
      </c>
      <c r="C2440" s="39"/>
      <c r="D2440" s="40"/>
      <c r="E2440" s="34" t="s">
        <v>323</v>
      </c>
      <c r="F2440" s="75" t="s">
        <v>2805</v>
      </c>
      <c r="G2440" s="35" t="s">
        <v>370</v>
      </c>
      <c r="H2440" s="41" t="s">
        <v>371</v>
      </c>
      <c r="I2440" s="44" t="str">
        <f>"0x"&amp;AE_w_WORK!M135</f>
        <v>0x2233</v>
      </c>
      <c r="J2440" s="36">
        <v>42650</v>
      </c>
      <c r="K2440" s="37"/>
      <c r="L2440" s="74">
        <f t="shared" si="39"/>
        <v>4868</v>
      </c>
    </row>
    <row r="2441" spans="2:12" hidden="1" outlineLevel="1">
      <c r="B2441" s="73">
        <v>2435</v>
      </c>
      <c r="C2441" s="39"/>
      <c r="D2441" s="40"/>
      <c r="E2441" s="34" t="s">
        <v>323</v>
      </c>
      <c r="F2441" s="75" t="s">
        <v>2806</v>
      </c>
      <c r="G2441" s="35" t="s">
        <v>370</v>
      </c>
      <c r="H2441" s="41" t="s">
        <v>371</v>
      </c>
      <c r="I2441" s="44" t="str">
        <f>"0x"&amp;AE_w_WORK!M136</f>
        <v>0x4455</v>
      </c>
      <c r="J2441" s="36">
        <v>42651</v>
      </c>
      <c r="K2441" s="37"/>
      <c r="L2441" s="74">
        <f t="shared" ref="L2441:L2504" si="40">L2440+2</f>
        <v>4870</v>
      </c>
    </row>
    <row r="2442" spans="2:12" hidden="1" outlineLevel="1">
      <c r="B2442" s="73">
        <v>2436</v>
      </c>
      <c r="C2442" s="39"/>
      <c r="D2442" s="40"/>
      <c r="E2442" s="34" t="s">
        <v>323</v>
      </c>
      <c r="F2442" s="75" t="s">
        <v>2807</v>
      </c>
      <c r="G2442" s="35" t="s">
        <v>370</v>
      </c>
      <c r="H2442" s="41" t="s">
        <v>371</v>
      </c>
      <c r="I2442" s="44" t="str">
        <f>"0x"&amp;AE_w_WORK!M137</f>
        <v>0x6666</v>
      </c>
      <c r="J2442" s="36">
        <v>42652</v>
      </c>
      <c r="K2442" s="37"/>
      <c r="L2442" s="74">
        <f t="shared" si="40"/>
        <v>4872</v>
      </c>
    </row>
    <row r="2443" spans="2:12" hidden="1" outlineLevel="1">
      <c r="B2443" s="73">
        <v>2437</v>
      </c>
      <c r="C2443" s="39"/>
      <c r="D2443" s="40"/>
      <c r="E2443" s="34" t="s">
        <v>323</v>
      </c>
      <c r="F2443" s="75" t="s">
        <v>2808</v>
      </c>
      <c r="G2443" s="35" t="s">
        <v>370</v>
      </c>
      <c r="H2443" s="41" t="s">
        <v>371</v>
      </c>
      <c r="I2443" s="44" t="str">
        <f>"0x"&amp;AE_w_WORK!M138</f>
        <v>0x6666</v>
      </c>
      <c r="J2443" s="36">
        <v>42653</v>
      </c>
      <c r="K2443" s="37"/>
      <c r="L2443" s="74">
        <f t="shared" si="40"/>
        <v>4874</v>
      </c>
    </row>
    <row r="2444" spans="2:12" hidden="1" outlineLevel="1">
      <c r="B2444" s="73">
        <v>2438</v>
      </c>
      <c r="C2444" s="39"/>
      <c r="D2444" s="40"/>
      <c r="E2444" s="34" t="s">
        <v>323</v>
      </c>
      <c r="F2444" s="75" t="s">
        <v>2809</v>
      </c>
      <c r="G2444" s="35" t="s">
        <v>370</v>
      </c>
      <c r="H2444" s="41" t="s">
        <v>371</v>
      </c>
      <c r="I2444" s="44" t="str">
        <f>"0x"&amp;AE_w_WORK!M139</f>
        <v>0x5544</v>
      </c>
      <c r="J2444" s="36">
        <v>42654</v>
      </c>
      <c r="K2444" s="37"/>
      <c r="L2444" s="74">
        <f t="shared" si="40"/>
        <v>4876</v>
      </c>
    </row>
    <row r="2445" spans="2:12" hidden="1" outlineLevel="1">
      <c r="B2445" s="73">
        <v>2439</v>
      </c>
      <c r="C2445" s="39"/>
      <c r="D2445" s="40"/>
      <c r="E2445" s="34" t="s">
        <v>323</v>
      </c>
      <c r="F2445" s="75" t="s">
        <v>2810</v>
      </c>
      <c r="G2445" s="35" t="s">
        <v>370</v>
      </c>
      <c r="H2445" s="41" t="s">
        <v>371</v>
      </c>
      <c r="I2445" s="44" t="str">
        <f>"0x"&amp;AE_w_WORK!M140</f>
        <v>0x3322</v>
      </c>
      <c r="J2445" s="36">
        <v>42655</v>
      </c>
      <c r="K2445" s="37"/>
      <c r="L2445" s="74">
        <f t="shared" si="40"/>
        <v>4878</v>
      </c>
    </row>
    <row r="2446" spans="2:12" hidden="1" outlineLevel="1">
      <c r="B2446" s="73">
        <v>2440</v>
      </c>
      <c r="C2446" s="39"/>
      <c r="D2446" s="40"/>
      <c r="E2446" s="34" t="s">
        <v>323</v>
      </c>
      <c r="F2446" s="75" t="s">
        <v>2811</v>
      </c>
      <c r="G2446" s="35" t="s">
        <v>370</v>
      </c>
      <c r="H2446" s="41" t="s">
        <v>371</v>
      </c>
      <c r="I2446" s="44" t="str">
        <f>"0x"&amp;AE_w_WORK!M141</f>
        <v>0x1100</v>
      </c>
      <c r="J2446" s="36">
        <v>42656</v>
      </c>
      <c r="K2446" s="37"/>
      <c r="L2446" s="74">
        <f t="shared" si="40"/>
        <v>4880</v>
      </c>
    </row>
    <row r="2447" spans="2:12" hidden="1" outlineLevel="1">
      <c r="B2447" s="73">
        <v>2441</v>
      </c>
      <c r="C2447" s="39"/>
      <c r="D2447" s="40"/>
      <c r="E2447" s="34" t="s">
        <v>323</v>
      </c>
      <c r="F2447" s="75" t="s">
        <v>2812</v>
      </c>
      <c r="G2447" s="35" t="s">
        <v>370</v>
      </c>
      <c r="H2447" s="41" t="s">
        <v>371</v>
      </c>
      <c r="I2447" s="44" t="str">
        <f>"0x"&amp;AE_w_WORK!M142</f>
        <v>0x0011</v>
      </c>
      <c r="J2447" s="36">
        <v>42657</v>
      </c>
      <c r="K2447" s="37"/>
      <c r="L2447" s="74">
        <f t="shared" si="40"/>
        <v>4882</v>
      </c>
    </row>
    <row r="2448" spans="2:12" hidden="1" outlineLevel="1">
      <c r="B2448" s="73">
        <v>2442</v>
      </c>
      <c r="C2448" s="39"/>
      <c r="D2448" s="40"/>
      <c r="E2448" s="34" t="s">
        <v>323</v>
      </c>
      <c r="F2448" s="75" t="s">
        <v>2813</v>
      </c>
      <c r="G2448" s="35" t="s">
        <v>370</v>
      </c>
      <c r="H2448" s="41" t="s">
        <v>371</v>
      </c>
      <c r="I2448" s="44" t="str">
        <f>"0x"&amp;AE_w_WORK!M143</f>
        <v>0x2233</v>
      </c>
      <c r="J2448" s="36">
        <v>42658</v>
      </c>
      <c r="K2448" s="37"/>
      <c r="L2448" s="74">
        <f t="shared" si="40"/>
        <v>4884</v>
      </c>
    </row>
    <row r="2449" spans="2:12" hidden="1" outlineLevel="1">
      <c r="B2449" s="73">
        <v>2443</v>
      </c>
      <c r="C2449" s="39"/>
      <c r="D2449" s="40"/>
      <c r="E2449" s="34" t="s">
        <v>323</v>
      </c>
      <c r="F2449" s="75" t="s">
        <v>2814</v>
      </c>
      <c r="G2449" s="35" t="s">
        <v>370</v>
      </c>
      <c r="H2449" s="41" t="s">
        <v>371</v>
      </c>
      <c r="I2449" s="44" t="str">
        <f>"0x"&amp;AE_w_WORK!M144</f>
        <v>0x4455</v>
      </c>
      <c r="J2449" s="36">
        <v>42659</v>
      </c>
      <c r="K2449" s="37"/>
      <c r="L2449" s="74">
        <f t="shared" si="40"/>
        <v>4886</v>
      </c>
    </row>
    <row r="2450" spans="2:12" hidden="1" outlineLevel="1">
      <c r="B2450" s="73">
        <v>2444</v>
      </c>
      <c r="C2450" s="39"/>
      <c r="D2450" s="40"/>
      <c r="E2450" s="34" t="s">
        <v>323</v>
      </c>
      <c r="F2450" s="75" t="s">
        <v>2815</v>
      </c>
      <c r="G2450" s="35" t="s">
        <v>370</v>
      </c>
      <c r="H2450" s="41" t="s">
        <v>371</v>
      </c>
      <c r="I2450" s="44" t="str">
        <f>"0x"&amp;AE_w_WORK!M145</f>
        <v>0x6666</v>
      </c>
      <c r="J2450" s="36">
        <v>42660</v>
      </c>
      <c r="K2450" s="37"/>
      <c r="L2450" s="74">
        <f t="shared" si="40"/>
        <v>4888</v>
      </c>
    </row>
    <row r="2451" spans="2:12" hidden="1" outlineLevel="1">
      <c r="B2451" s="73">
        <v>2445</v>
      </c>
      <c r="C2451" s="39"/>
      <c r="D2451" s="40"/>
      <c r="E2451" s="34" t="s">
        <v>323</v>
      </c>
      <c r="F2451" s="75" t="s">
        <v>2816</v>
      </c>
      <c r="G2451" s="35" t="s">
        <v>370</v>
      </c>
      <c r="H2451" s="41" t="s">
        <v>371</v>
      </c>
      <c r="I2451" s="44" t="str">
        <f>"0x"&amp;AE_w_WORK!M146</f>
        <v>0x6666</v>
      </c>
      <c r="J2451" s="36">
        <v>42661</v>
      </c>
      <c r="K2451" s="37"/>
      <c r="L2451" s="74">
        <f t="shared" si="40"/>
        <v>4890</v>
      </c>
    </row>
    <row r="2452" spans="2:12" hidden="1" outlineLevel="1">
      <c r="B2452" s="73">
        <v>2446</v>
      </c>
      <c r="C2452" s="39"/>
      <c r="D2452" s="40"/>
      <c r="E2452" s="34" t="s">
        <v>323</v>
      </c>
      <c r="F2452" s="75" t="s">
        <v>2817</v>
      </c>
      <c r="G2452" s="35" t="s">
        <v>370</v>
      </c>
      <c r="H2452" s="41" t="s">
        <v>371</v>
      </c>
      <c r="I2452" s="44" t="str">
        <f>"0x"&amp;AE_w_WORK!M147</f>
        <v>0x5544</v>
      </c>
      <c r="J2452" s="36">
        <v>42662</v>
      </c>
      <c r="K2452" s="37"/>
      <c r="L2452" s="74">
        <f t="shared" si="40"/>
        <v>4892</v>
      </c>
    </row>
    <row r="2453" spans="2:12" hidden="1" outlineLevel="1">
      <c r="B2453" s="73">
        <v>2447</v>
      </c>
      <c r="C2453" s="39"/>
      <c r="D2453" s="40"/>
      <c r="E2453" s="34" t="s">
        <v>323</v>
      </c>
      <c r="F2453" s="75" t="s">
        <v>2818</v>
      </c>
      <c r="G2453" s="35" t="s">
        <v>370</v>
      </c>
      <c r="H2453" s="41" t="s">
        <v>371</v>
      </c>
      <c r="I2453" s="44" t="str">
        <f>"0x"&amp;AE_w_WORK!M148</f>
        <v>0x3322</v>
      </c>
      <c r="J2453" s="36">
        <v>42663</v>
      </c>
      <c r="K2453" s="37"/>
      <c r="L2453" s="74">
        <f t="shared" si="40"/>
        <v>4894</v>
      </c>
    </row>
    <row r="2454" spans="2:12" hidden="1" outlineLevel="1">
      <c r="B2454" s="73">
        <v>2448</v>
      </c>
      <c r="C2454" s="39"/>
      <c r="D2454" s="40"/>
      <c r="E2454" s="34" t="s">
        <v>323</v>
      </c>
      <c r="F2454" s="75" t="s">
        <v>2819</v>
      </c>
      <c r="G2454" s="35" t="s">
        <v>370</v>
      </c>
      <c r="H2454" s="41" t="s">
        <v>371</v>
      </c>
      <c r="I2454" s="44" t="str">
        <f>"0x"&amp;AE_w_WORK!M149</f>
        <v>0x1100</v>
      </c>
      <c r="J2454" s="36">
        <v>42664</v>
      </c>
      <c r="K2454" s="37"/>
      <c r="L2454" s="74">
        <f t="shared" si="40"/>
        <v>4896</v>
      </c>
    </row>
    <row r="2455" spans="2:12" hidden="1" outlineLevel="1">
      <c r="B2455" s="73">
        <v>2449</v>
      </c>
      <c r="C2455" s="39"/>
      <c r="D2455" s="40"/>
      <c r="E2455" s="34" t="s">
        <v>323</v>
      </c>
      <c r="F2455" s="75" t="s">
        <v>2820</v>
      </c>
      <c r="G2455" s="35" t="s">
        <v>370</v>
      </c>
      <c r="H2455" s="41" t="s">
        <v>371</v>
      </c>
      <c r="I2455" s="44" t="str">
        <f>"0x"&amp;AE_w_WORK!M150</f>
        <v>0x0011</v>
      </c>
      <c r="J2455" s="36">
        <v>42665</v>
      </c>
      <c r="K2455" s="37"/>
      <c r="L2455" s="74">
        <f t="shared" si="40"/>
        <v>4898</v>
      </c>
    </row>
    <row r="2456" spans="2:12" hidden="1" outlineLevel="1">
      <c r="B2456" s="73">
        <v>2450</v>
      </c>
      <c r="C2456" s="39"/>
      <c r="D2456" s="40"/>
      <c r="E2456" s="34" t="s">
        <v>323</v>
      </c>
      <c r="F2456" s="75" t="s">
        <v>2821</v>
      </c>
      <c r="G2456" s="35" t="s">
        <v>370</v>
      </c>
      <c r="H2456" s="41" t="s">
        <v>371</v>
      </c>
      <c r="I2456" s="44" t="str">
        <f>"0x"&amp;AE_w_WORK!M151</f>
        <v>0x2233</v>
      </c>
      <c r="J2456" s="36">
        <v>42666</v>
      </c>
      <c r="K2456" s="37"/>
      <c r="L2456" s="74">
        <f t="shared" si="40"/>
        <v>4900</v>
      </c>
    </row>
    <row r="2457" spans="2:12" hidden="1" outlineLevel="1">
      <c r="B2457" s="73">
        <v>2451</v>
      </c>
      <c r="C2457" s="39"/>
      <c r="D2457" s="40"/>
      <c r="E2457" s="34" t="s">
        <v>323</v>
      </c>
      <c r="F2457" s="75" t="s">
        <v>2822</v>
      </c>
      <c r="G2457" s="35" t="s">
        <v>370</v>
      </c>
      <c r="H2457" s="41" t="s">
        <v>371</v>
      </c>
      <c r="I2457" s="44" t="str">
        <f>"0x"&amp;AE_w_WORK!M152</f>
        <v>0x4455</v>
      </c>
      <c r="J2457" s="36">
        <v>42667</v>
      </c>
      <c r="K2457" s="37"/>
      <c r="L2457" s="74">
        <f t="shared" si="40"/>
        <v>4902</v>
      </c>
    </row>
    <row r="2458" spans="2:12" hidden="1" outlineLevel="1">
      <c r="B2458" s="73">
        <v>2452</v>
      </c>
      <c r="C2458" s="39"/>
      <c r="D2458" s="40"/>
      <c r="E2458" s="34" t="s">
        <v>323</v>
      </c>
      <c r="F2458" s="75" t="s">
        <v>2823</v>
      </c>
      <c r="G2458" s="35" t="s">
        <v>370</v>
      </c>
      <c r="H2458" s="41" t="s">
        <v>371</v>
      </c>
      <c r="I2458" s="44" t="str">
        <f>"0x"&amp;AE_w_WORK!M153</f>
        <v>0x6666</v>
      </c>
      <c r="J2458" s="36">
        <v>42668</v>
      </c>
      <c r="K2458" s="37"/>
      <c r="L2458" s="74">
        <f t="shared" si="40"/>
        <v>4904</v>
      </c>
    </row>
    <row r="2459" spans="2:12" hidden="1" outlineLevel="1">
      <c r="B2459" s="73">
        <v>2453</v>
      </c>
      <c r="C2459" s="39"/>
      <c r="D2459" s="40"/>
      <c r="E2459" s="34" t="s">
        <v>323</v>
      </c>
      <c r="F2459" s="75" t="s">
        <v>2824</v>
      </c>
      <c r="G2459" s="35" t="s">
        <v>370</v>
      </c>
      <c r="H2459" s="41" t="s">
        <v>371</v>
      </c>
      <c r="I2459" s="44" t="str">
        <f>"0x"&amp;AE_w_WORK!M154</f>
        <v>0x6666</v>
      </c>
      <c r="J2459" s="36">
        <v>42669</v>
      </c>
      <c r="K2459" s="37"/>
      <c r="L2459" s="74">
        <f t="shared" si="40"/>
        <v>4906</v>
      </c>
    </row>
    <row r="2460" spans="2:12" hidden="1" outlineLevel="1">
      <c r="B2460" s="73">
        <v>2454</v>
      </c>
      <c r="C2460" s="39"/>
      <c r="D2460" s="40"/>
      <c r="E2460" s="34" t="s">
        <v>323</v>
      </c>
      <c r="F2460" s="75" t="s">
        <v>2825</v>
      </c>
      <c r="G2460" s="35" t="s">
        <v>370</v>
      </c>
      <c r="H2460" s="41" t="s">
        <v>371</v>
      </c>
      <c r="I2460" s="44" t="str">
        <f>"0x"&amp;AE_w_WORK!M155</f>
        <v>0x5544</v>
      </c>
      <c r="J2460" s="36">
        <v>42670</v>
      </c>
      <c r="K2460" s="37"/>
      <c r="L2460" s="74">
        <f t="shared" si="40"/>
        <v>4908</v>
      </c>
    </row>
    <row r="2461" spans="2:12" hidden="1" outlineLevel="1">
      <c r="B2461" s="73">
        <v>2455</v>
      </c>
      <c r="C2461" s="39"/>
      <c r="D2461" s="40"/>
      <c r="E2461" s="34" t="s">
        <v>323</v>
      </c>
      <c r="F2461" s="75" t="s">
        <v>2826</v>
      </c>
      <c r="G2461" s="35" t="s">
        <v>370</v>
      </c>
      <c r="H2461" s="41" t="s">
        <v>371</v>
      </c>
      <c r="I2461" s="44" t="str">
        <f>"0x"&amp;AE_w_WORK!M156</f>
        <v>0x3322</v>
      </c>
      <c r="J2461" s="36">
        <v>42671</v>
      </c>
      <c r="K2461" s="37"/>
      <c r="L2461" s="74">
        <f t="shared" si="40"/>
        <v>4910</v>
      </c>
    </row>
    <row r="2462" spans="2:12" hidden="1" outlineLevel="1">
      <c r="B2462" s="73">
        <v>2456</v>
      </c>
      <c r="C2462" s="39"/>
      <c r="D2462" s="40"/>
      <c r="E2462" s="34" t="s">
        <v>323</v>
      </c>
      <c r="F2462" s="75" t="s">
        <v>2827</v>
      </c>
      <c r="G2462" s="35" t="s">
        <v>370</v>
      </c>
      <c r="H2462" s="41" t="s">
        <v>371</v>
      </c>
      <c r="I2462" s="44" t="str">
        <f>"0x"&amp;AE_w_WORK!M157</f>
        <v>0x1100</v>
      </c>
      <c r="J2462" s="36">
        <v>42672</v>
      </c>
      <c r="K2462" s="37"/>
      <c r="L2462" s="74">
        <f t="shared" si="40"/>
        <v>4912</v>
      </c>
    </row>
    <row r="2463" spans="2:12" hidden="1" outlineLevel="1">
      <c r="B2463" s="73">
        <v>2457</v>
      </c>
      <c r="C2463" s="39"/>
      <c r="D2463" s="40"/>
      <c r="E2463" s="34" t="s">
        <v>323</v>
      </c>
      <c r="F2463" s="75" t="s">
        <v>2828</v>
      </c>
      <c r="G2463" s="35" t="s">
        <v>370</v>
      </c>
      <c r="H2463" s="41" t="s">
        <v>371</v>
      </c>
      <c r="I2463" s="44" t="str">
        <f>"0x"&amp;AE_w_WORK!M158</f>
        <v>0x0011</v>
      </c>
      <c r="J2463" s="36">
        <v>42673</v>
      </c>
      <c r="K2463" s="37"/>
      <c r="L2463" s="74">
        <f t="shared" si="40"/>
        <v>4914</v>
      </c>
    </row>
    <row r="2464" spans="2:12" hidden="1" outlineLevel="1">
      <c r="B2464" s="73">
        <v>2458</v>
      </c>
      <c r="C2464" s="39"/>
      <c r="D2464" s="40"/>
      <c r="E2464" s="34" t="s">
        <v>323</v>
      </c>
      <c r="F2464" s="75" t="s">
        <v>2829</v>
      </c>
      <c r="G2464" s="35" t="s">
        <v>370</v>
      </c>
      <c r="H2464" s="41" t="s">
        <v>371</v>
      </c>
      <c r="I2464" s="44" t="str">
        <f>"0x"&amp;AE_w_WORK!M159</f>
        <v>0x2233</v>
      </c>
      <c r="J2464" s="36">
        <v>42674</v>
      </c>
      <c r="K2464" s="37"/>
      <c r="L2464" s="74">
        <f t="shared" si="40"/>
        <v>4916</v>
      </c>
    </row>
    <row r="2465" spans="2:12" hidden="1" outlineLevel="1">
      <c r="B2465" s="73">
        <v>2459</v>
      </c>
      <c r="C2465" s="39"/>
      <c r="D2465" s="40"/>
      <c r="E2465" s="34" t="s">
        <v>323</v>
      </c>
      <c r="F2465" s="75" t="s">
        <v>2830</v>
      </c>
      <c r="G2465" s="35" t="s">
        <v>370</v>
      </c>
      <c r="H2465" s="41" t="s">
        <v>371</v>
      </c>
      <c r="I2465" s="44" t="str">
        <f>"0x"&amp;AE_w_WORK!M160</f>
        <v>0x4455</v>
      </c>
      <c r="J2465" s="36">
        <v>42675</v>
      </c>
      <c r="K2465" s="37"/>
      <c r="L2465" s="74">
        <f t="shared" si="40"/>
        <v>4918</v>
      </c>
    </row>
    <row r="2466" spans="2:12" hidden="1" outlineLevel="1">
      <c r="B2466" s="73">
        <v>2460</v>
      </c>
      <c r="C2466" s="39"/>
      <c r="D2466" s="40"/>
      <c r="E2466" s="34" t="s">
        <v>323</v>
      </c>
      <c r="F2466" s="75" t="s">
        <v>2831</v>
      </c>
      <c r="G2466" s="35" t="s">
        <v>370</v>
      </c>
      <c r="H2466" s="41" t="s">
        <v>371</v>
      </c>
      <c r="I2466" s="44" t="str">
        <f>"0x"&amp;AE_w_WORK!M161</f>
        <v>0x6666</v>
      </c>
      <c r="J2466" s="36">
        <v>42676</v>
      </c>
      <c r="K2466" s="37"/>
      <c r="L2466" s="74">
        <f t="shared" si="40"/>
        <v>4920</v>
      </c>
    </row>
    <row r="2467" spans="2:12" hidden="1" outlineLevel="1">
      <c r="B2467" s="73">
        <v>2461</v>
      </c>
      <c r="C2467" s="39"/>
      <c r="D2467" s="40"/>
      <c r="E2467" s="34" t="s">
        <v>323</v>
      </c>
      <c r="F2467" s="75" t="s">
        <v>2832</v>
      </c>
      <c r="G2467" s="35" t="s">
        <v>370</v>
      </c>
      <c r="H2467" s="41" t="s">
        <v>371</v>
      </c>
      <c r="I2467" s="44" t="str">
        <f>"0x"&amp;AE_w_WORK!M162</f>
        <v>0x6666</v>
      </c>
      <c r="J2467" s="36">
        <v>42677</v>
      </c>
      <c r="K2467" s="37"/>
      <c r="L2467" s="74">
        <f t="shared" si="40"/>
        <v>4922</v>
      </c>
    </row>
    <row r="2468" spans="2:12" hidden="1" outlineLevel="1">
      <c r="B2468" s="73">
        <v>2462</v>
      </c>
      <c r="C2468" s="39"/>
      <c r="D2468" s="40"/>
      <c r="E2468" s="34" t="s">
        <v>323</v>
      </c>
      <c r="F2468" s="75" t="s">
        <v>2833</v>
      </c>
      <c r="G2468" s="35" t="s">
        <v>370</v>
      </c>
      <c r="H2468" s="41" t="s">
        <v>371</v>
      </c>
      <c r="I2468" s="44" t="str">
        <f>"0x"&amp;AE_w_WORK!M163</f>
        <v>0x5544</v>
      </c>
      <c r="J2468" s="36">
        <v>42678</v>
      </c>
      <c r="K2468" s="37"/>
      <c r="L2468" s="74">
        <f t="shared" si="40"/>
        <v>4924</v>
      </c>
    </row>
    <row r="2469" spans="2:12" hidden="1" outlineLevel="1">
      <c r="B2469" s="73">
        <v>2463</v>
      </c>
      <c r="C2469" s="39"/>
      <c r="D2469" s="40"/>
      <c r="E2469" s="34" t="s">
        <v>323</v>
      </c>
      <c r="F2469" s="75" t="s">
        <v>2834</v>
      </c>
      <c r="G2469" s="35" t="s">
        <v>370</v>
      </c>
      <c r="H2469" s="41" t="s">
        <v>371</v>
      </c>
      <c r="I2469" s="44" t="str">
        <f>"0x"&amp;AE_w_WORK!M164</f>
        <v>0x3322</v>
      </c>
      <c r="J2469" s="36">
        <v>42679</v>
      </c>
      <c r="K2469" s="37"/>
      <c r="L2469" s="74">
        <f t="shared" si="40"/>
        <v>4926</v>
      </c>
    </row>
    <row r="2470" spans="2:12" hidden="1" outlineLevel="1">
      <c r="B2470" s="73">
        <v>2464</v>
      </c>
      <c r="C2470" s="39"/>
      <c r="D2470" s="40"/>
      <c r="E2470" s="34" t="s">
        <v>323</v>
      </c>
      <c r="F2470" s="75" t="s">
        <v>2835</v>
      </c>
      <c r="G2470" s="35" t="s">
        <v>370</v>
      </c>
      <c r="H2470" s="41" t="s">
        <v>371</v>
      </c>
      <c r="I2470" s="44" t="str">
        <f>"0x"&amp;AE_w_WORK!M165</f>
        <v>0x1100</v>
      </c>
      <c r="J2470" s="36">
        <v>42680</v>
      </c>
      <c r="K2470" s="37"/>
      <c r="L2470" s="74">
        <f t="shared" si="40"/>
        <v>4928</v>
      </c>
    </row>
    <row r="2471" spans="2:12" hidden="1" outlineLevel="1">
      <c r="B2471" s="73">
        <v>2465</v>
      </c>
      <c r="C2471" s="39"/>
      <c r="D2471" s="40"/>
      <c r="E2471" s="34" t="s">
        <v>323</v>
      </c>
      <c r="F2471" s="75" t="s">
        <v>2836</v>
      </c>
      <c r="G2471" s="35" t="s">
        <v>370</v>
      </c>
      <c r="H2471" s="41" t="s">
        <v>371</v>
      </c>
      <c r="I2471" s="44" t="str">
        <f>"0x"&amp;AE_w_WORK!M166</f>
        <v>0x0011</v>
      </c>
      <c r="J2471" s="36">
        <v>42681</v>
      </c>
      <c r="K2471" s="37"/>
      <c r="L2471" s="74">
        <f t="shared" si="40"/>
        <v>4930</v>
      </c>
    </row>
    <row r="2472" spans="2:12" hidden="1" outlineLevel="1">
      <c r="B2472" s="73">
        <v>2466</v>
      </c>
      <c r="C2472" s="39"/>
      <c r="D2472" s="40"/>
      <c r="E2472" s="34" t="s">
        <v>323</v>
      </c>
      <c r="F2472" s="75" t="s">
        <v>2837</v>
      </c>
      <c r="G2472" s="35" t="s">
        <v>370</v>
      </c>
      <c r="H2472" s="41" t="s">
        <v>371</v>
      </c>
      <c r="I2472" s="44" t="str">
        <f>"0x"&amp;AE_w_WORK!M167</f>
        <v>0x2233</v>
      </c>
      <c r="J2472" s="36">
        <v>42682</v>
      </c>
      <c r="K2472" s="37"/>
      <c r="L2472" s="74">
        <f t="shared" si="40"/>
        <v>4932</v>
      </c>
    </row>
    <row r="2473" spans="2:12" hidden="1" outlineLevel="1">
      <c r="B2473" s="73">
        <v>2467</v>
      </c>
      <c r="C2473" s="39"/>
      <c r="D2473" s="40"/>
      <c r="E2473" s="34" t="s">
        <v>323</v>
      </c>
      <c r="F2473" s="75" t="s">
        <v>2838</v>
      </c>
      <c r="G2473" s="35" t="s">
        <v>370</v>
      </c>
      <c r="H2473" s="41" t="s">
        <v>371</v>
      </c>
      <c r="I2473" s="44" t="str">
        <f>"0x"&amp;AE_w_WORK!M168</f>
        <v>0x4455</v>
      </c>
      <c r="J2473" s="36">
        <v>42683</v>
      </c>
      <c r="K2473" s="37"/>
      <c r="L2473" s="74">
        <f t="shared" si="40"/>
        <v>4934</v>
      </c>
    </row>
    <row r="2474" spans="2:12" hidden="1" outlineLevel="1">
      <c r="B2474" s="73">
        <v>2468</v>
      </c>
      <c r="C2474" s="39"/>
      <c r="D2474" s="40"/>
      <c r="E2474" s="34" t="s">
        <v>323</v>
      </c>
      <c r="F2474" s="75" t="s">
        <v>2839</v>
      </c>
      <c r="G2474" s="35" t="s">
        <v>370</v>
      </c>
      <c r="H2474" s="41" t="s">
        <v>371</v>
      </c>
      <c r="I2474" s="44" t="str">
        <f>"0x"&amp;AE_w_WORK!M169</f>
        <v>0x6666</v>
      </c>
      <c r="J2474" s="36">
        <v>42684</v>
      </c>
      <c r="K2474" s="37"/>
      <c r="L2474" s="74">
        <f t="shared" si="40"/>
        <v>4936</v>
      </c>
    </row>
    <row r="2475" spans="2:12" hidden="1" outlineLevel="1">
      <c r="B2475" s="73">
        <v>2469</v>
      </c>
      <c r="C2475" s="39"/>
      <c r="D2475" s="40"/>
      <c r="E2475" s="34" t="s">
        <v>323</v>
      </c>
      <c r="F2475" s="75" t="s">
        <v>2840</v>
      </c>
      <c r="G2475" s="35" t="s">
        <v>370</v>
      </c>
      <c r="H2475" s="41" t="s">
        <v>371</v>
      </c>
      <c r="I2475" s="44" t="str">
        <f>"0x"&amp;AE_w_WORK!M170</f>
        <v>0x6666</v>
      </c>
      <c r="J2475" s="36">
        <v>42685</v>
      </c>
      <c r="K2475" s="37"/>
      <c r="L2475" s="74">
        <f t="shared" si="40"/>
        <v>4938</v>
      </c>
    </row>
    <row r="2476" spans="2:12" hidden="1" outlineLevel="1">
      <c r="B2476" s="73">
        <v>2470</v>
      </c>
      <c r="C2476" s="39"/>
      <c r="D2476" s="40"/>
      <c r="E2476" s="34" t="s">
        <v>323</v>
      </c>
      <c r="F2476" s="75" t="s">
        <v>2841</v>
      </c>
      <c r="G2476" s="35" t="s">
        <v>370</v>
      </c>
      <c r="H2476" s="41" t="s">
        <v>371</v>
      </c>
      <c r="I2476" s="44" t="str">
        <f>"0x"&amp;AE_w_WORK!M171</f>
        <v>0x5544</v>
      </c>
      <c r="J2476" s="36">
        <v>42686</v>
      </c>
      <c r="K2476" s="37"/>
      <c r="L2476" s="74">
        <f t="shared" si="40"/>
        <v>4940</v>
      </c>
    </row>
    <row r="2477" spans="2:12" hidden="1" outlineLevel="1">
      <c r="B2477" s="73">
        <v>2471</v>
      </c>
      <c r="C2477" s="39"/>
      <c r="D2477" s="40"/>
      <c r="E2477" s="34" t="s">
        <v>323</v>
      </c>
      <c r="F2477" s="75" t="s">
        <v>2842</v>
      </c>
      <c r="G2477" s="35" t="s">
        <v>370</v>
      </c>
      <c r="H2477" s="41" t="s">
        <v>371</v>
      </c>
      <c r="I2477" s="44" t="str">
        <f>"0x"&amp;AE_w_WORK!M172</f>
        <v>0x3322</v>
      </c>
      <c r="J2477" s="36">
        <v>42687</v>
      </c>
      <c r="K2477" s="37"/>
      <c r="L2477" s="74">
        <f t="shared" si="40"/>
        <v>4942</v>
      </c>
    </row>
    <row r="2478" spans="2:12" hidden="1" outlineLevel="1">
      <c r="B2478" s="73">
        <v>2472</v>
      </c>
      <c r="C2478" s="39"/>
      <c r="D2478" s="40"/>
      <c r="E2478" s="34" t="s">
        <v>323</v>
      </c>
      <c r="F2478" s="75" t="s">
        <v>2843</v>
      </c>
      <c r="G2478" s="35" t="s">
        <v>370</v>
      </c>
      <c r="H2478" s="41" t="s">
        <v>371</v>
      </c>
      <c r="I2478" s="44" t="str">
        <f>"0x"&amp;AE_w_WORK!M173</f>
        <v>0x1100</v>
      </c>
      <c r="J2478" s="36">
        <v>42688</v>
      </c>
      <c r="K2478" s="37"/>
      <c r="L2478" s="74">
        <f t="shared" si="40"/>
        <v>4944</v>
      </c>
    </row>
    <row r="2479" spans="2:12" hidden="1" outlineLevel="1">
      <c r="B2479" s="73">
        <v>2473</v>
      </c>
      <c r="C2479" s="39"/>
      <c r="D2479" s="40"/>
      <c r="E2479" s="34" t="s">
        <v>323</v>
      </c>
      <c r="F2479" s="75" t="s">
        <v>2844</v>
      </c>
      <c r="G2479" s="35" t="s">
        <v>370</v>
      </c>
      <c r="H2479" s="41" t="s">
        <v>371</v>
      </c>
      <c r="I2479" s="44" t="str">
        <f>"0x"&amp;AE_w_WORK!M174</f>
        <v>0x0011</v>
      </c>
      <c r="J2479" s="36">
        <v>42689</v>
      </c>
      <c r="K2479" s="37"/>
      <c r="L2479" s="74">
        <f t="shared" si="40"/>
        <v>4946</v>
      </c>
    </row>
    <row r="2480" spans="2:12" hidden="1" outlineLevel="1">
      <c r="B2480" s="73">
        <v>2474</v>
      </c>
      <c r="C2480" s="39"/>
      <c r="D2480" s="40"/>
      <c r="E2480" s="34" t="s">
        <v>323</v>
      </c>
      <c r="F2480" s="75" t="s">
        <v>2845</v>
      </c>
      <c r="G2480" s="35" t="s">
        <v>370</v>
      </c>
      <c r="H2480" s="41" t="s">
        <v>371</v>
      </c>
      <c r="I2480" s="44" t="str">
        <f>"0x"&amp;AE_w_WORK!M175</f>
        <v>0x2233</v>
      </c>
      <c r="J2480" s="36">
        <v>42690</v>
      </c>
      <c r="K2480" s="37"/>
      <c r="L2480" s="74">
        <f t="shared" si="40"/>
        <v>4948</v>
      </c>
    </row>
    <row r="2481" spans="2:12" hidden="1" outlineLevel="1">
      <c r="B2481" s="73">
        <v>2475</v>
      </c>
      <c r="C2481" s="39"/>
      <c r="D2481" s="40"/>
      <c r="E2481" s="34" t="s">
        <v>323</v>
      </c>
      <c r="F2481" s="75" t="s">
        <v>2846</v>
      </c>
      <c r="G2481" s="35" t="s">
        <v>370</v>
      </c>
      <c r="H2481" s="41" t="s">
        <v>371</v>
      </c>
      <c r="I2481" s="44" t="str">
        <f>"0x"&amp;AE_w_WORK!M176</f>
        <v>0x4455</v>
      </c>
      <c r="J2481" s="36">
        <v>42691</v>
      </c>
      <c r="K2481" s="37"/>
      <c r="L2481" s="74">
        <f t="shared" si="40"/>
        <v>4950</v>
      </c>
    </row>
    <row r="2482" spans="2:12" hidden="1" outlineLevel="1">
      <c r="B2482" s="73">
        <v>2476</v>
      </c>
      <c r="C2482" s="39"/>
      <c r="D2482" s="40"/>
      <c r="E2482" s="34" t="s">
        <v>323</v>
      </c>
      <c r="F2482" s="75" t="s">
        <v>2847</v>
      </c>
      <c r="G2482" s="35" t="s">
        <v>370</v>
      </c>
      <c r="H2482" s="41" t="s">
        <v>371</v>
      </c>
      <c r="I2482" s="44" t="str">
        <f>"0x"&amp;AE_w_WORK!M177</f>
        <v>0x5566</v>
      </c>
      <c r="J2482" s="36">
        <v>42692</v>
      </c>
      <c r="K2482" s="37"/>
      <c r="L2482" s="74">
        <f t="shared" si="40"/>
        <v>4952</v>
      </c>
    </row>
    <row r="2483" spans="2:12" hidden="1" outlineLevel="1">
      <c r="B2483" s="73">
        <v>2477</v>
      </c>
      <c r="C2483" s="39"/>
      <c r="D2483" s="40"/>
      <c r="E2483" s="34" t="s">
        <v>323</v>
      </c>
      <c r="F2483" s="75" t="s">
        <v>2848</v>
      </c>
      <c r="G2483" s="35" t="s">
        <v>370</v>
      </c>
      <c r="H2483" s="41" t="s">
        <v>371</v>
      </c>
      <c r="I2483" s="44" t="str">
        <f>"0x"&amp;AE_w_WORK!M178</f>
        <v>0x6655</v>
      </c>
      <c r="J2483" s="36">
        <v>42693</v>
      </c>
      <c r="K2483" s="37"/>
      <c r="L2483" s="74">
        <f t="shared" si="40"/>
        <v>4954</v>
      </c>
    </row>
    <row r="2484" spans="2:12" hidden="1" outlineLevel="1">
      <c r="B2484" s="73">
        <v>2478</v>
      </c>
      <c r="C2484" s="39"/>
      <c r="D2484" s="40"/>
      <c r="E2484" s="34" t="s">
        <v>323</v>
      </c>
      <c r="F2484" s="75" t="s">
        <v>2849</v>
      </c>
      <c r="G2484" s="35" t="s">
        <v>370</v>
      </c>
      <c r="H2484" s="41" t="s">
        <v>371</v>
      </c>
      <c r="I2484" s="44" t="str">
        <f>"0x"&amp;AE_w_WORK!M179</f>
        <v>0x5544</v>
      </c>
      <c r="J2484" s="36">
        <v>42694</v>
      </c>
      <c r="K2484" s="37"/>
      <c r="L2484" s="74">
        <f t="shared" si="40"/>
        <v>4956</v>
      </c>
    </row>
    <row r="2485" spans="2:12" hidden="1" outlineLevel="1">
      <c r="B2485" s="73">
        <v>2479</v>
      </c>
      <c r="C2485" s="39"/>
      <c r="D2485" s="40"/>
      <c r="E2485" s="34" t="s">
        <v>323</v>
      </c>
      <c r="F2485" s="75" t="s">
        <v>2850</v>
      </c>
      <c r="G2485" s="35" t="s">
        <v>370</v>
      </c>
      <c r="H2485" s="41" t="s">
        <v>371</v>
      </c>
      <c r="I2485" s="44" t="str">
        <f>"0x"&amp;AE_w_WORK!M180</f>
        <v>0x3322</v>
      </c>
      <c r="J2485" s="36">
        <v>42695</v>
      </c>
      <c r="K2485" s="37"/>
      <c r="L2485" s="74">
        <f t="shared" si="40"/>
        <v>4958</v>
      </c>
    </row>
    <row r="2486" spans="2:12" hidden="1" outlineLevel="1">
      <c r="B2486" s="73">
        <v>2480</v>
      </c>
      <c r="C2486" s="39"/>
      <c r="D2486" s="40"/>
      <c r="E2486" s="34" t="s">
        <v>323</v>
      </c>
      <c r="F2486" s="75" t="s">
        <v>2851</v>
      </c>
      <c r="G2486" s="35" t="s">
        <v>370</v>
      </c>
      <c r="H2486" s="41" t="s">
        <v>371</v>
      </c>
      <c r="I2486" s="44" t="str">
        <f>"0x"&amp;AE_w_WORK!M181</f>
        <v>0x1100</v>
      </c>
      <c r="J2486" s="36">
        <v>42696</v>
      </c>
      <c r="K2486" s="37"/>
      <c r="L2486" s="74">
        <f t="shared" si="40"/>
        <v>4960</v>
      </c>
    </row>
    <row r="2487" spans="2:12" hidden="1" outlineLevel="1">
      <c r="B2487" s="73">
        <v>2481</v>
      </c>
      <c r="C2487" s="39"/>
      <c r="D2487" s="40"/>
      <c r="E2487" s="34" t="s">
        <v>323</v>
      </c>
      <c r="F2487" s="75" t="s">
        <v>2852</v>
      </c>
      <c r="G2487" s="35" t="s">
        <v>370</v>
      </c>
      <c r="H2487" s="41" t="s">
        <v>371</v>
      </c>
      <c r="I2487" s="44" t="str">
        <f>"0x"&amp;AE_w_WORK!M182</f>
        <v>0x0011</v>
      </c>
      <c r="J2487" s="36">
        <v>42697</v>
      </c>
      <c r="K2487" s="37"/>
      <c r="L2487" s="74">
        <f t="shared" si="40"/>
        <v>4962</v>
      </c>
    </row>
    <row r="2488" spans="2:12" hidden="1" outlineLevel="1">
      <c r="B2488" s="73">
        <v>2482</v>
      </c>
      <c r="C2488" s="39"/>
      <c r="D2488" s="40"/>
      <c r="E2488" s="34" t="s">
        <v>323</v>
      </c>
      <c r="F2488" s="75" t="s">
        <v>2853</v>
      </c>
      <c r="G2488" s="35" t="s">
        <v>370</v>
      </c>
      <c r="H2488" s="41" t="s">
        <v>371</v>
      </c>
      <c r="I2488" s="44" t="str">
        <f>"0x"&amp;AE_w_WORK!M183</f>
        <v>0x2233</v>
      </c>
      <c r="J2488" s="36">
        <v>42698</v>
      </c>
      <c r="K2488" s="37"/>
      <c r="L2488" s="74">
        <f t="shared" si="40"/>
        <v>4964</v>
      </c>
    </row>
    <row r="2489" spans="2:12" hidden="1" outlineLevel="1">
      <c r="B2489" s="73">
        <v>2483</v>
      </c>
      <c r="C2489" s="39"/>
      <c r="D2489" s="40"/>
      <c r="E2489" s="34" t="s">
        <v>323</v>
      </c>
      <c r="F2489" s="75" t="s">
        <v>2854</v>
      </c>
      <c r="G2489" s="35" t="s">
        <v>370</v>
      </c>
      <c r="H2489" s="41" t="s">
        <v>371</v>
      </c>
      <c r="I2489" s="44" t="str">
        <f>"0x"&amp;AE_w_WORK!M184</f>
        <v>0x4455</v>
      </c>
      <c r="J2489" s="36">
        <v>42699</v>
      </c>
      <c r="K2489" s="37"/>
      <c r="L2489" s="74">
        <f t="shared" si="40"/>
        <v>4966</v>
      </c>
    </row>
    <row r="2490" spans="2:12" hidden="1" outlineLevel="1">
      <c r="B2490" s="73">
        <v>2484</v>
      </c>
      <c r="C2490" s="39"/>
      <c r="D2490" s="40"/>
      <c r="E2490" s="34" t="s">
        <v>323</v>
      </c>
      <c r="F2490" s="75" t="s">
        <v>2855</v>
      </c>
      <c r="G2490" s="35" t="s">
        <v>370</v>
      </c>
      <c r="H2490" s="41" t="s">
        <v>371</v>
      </c>
      <c r="I2490" s="44" t="str">
        <f>"0x"&amp;AE_w_WORK!M185</f>
        <v>0x5566</v>
      </c>
      <c r="J2490" s="36">
        <v>42700</v>
      </c>
      <c r="K2490" s="37"/>
      <c r="L2490" s="74">
        <f t="shared" si="40"/>
        <v>4968</v>
      </c>
    </row>
    <row r="2491" spans="2:12" hidden="1" outlineLevel="1">
      <c r="B2491" s="73">
        <v>2485</v>
      </c>
      <c r="C2491" s="39"/>
      <c r="D2491" s="40"/>
      <c r="E2491" s="34" t="s">
        <v>323</v>
      </c>
      <c r="F2491" s="75" t="s">
        <v>2856</v>
      </c>
      <c r="G2491" s="35" t="s">
        <v>370</v>
      </c>
      <c r="H2491" s="41" t="s">
        <v>371</v>
      </c>
      <c r="I2491" s="44" t="str">
        <f>"0x"&amp;AE_w_WORK!M186</f>
        <v>0x6655</v>
      </c>
      <c r="J2491" s="36">
        <v>42701</v>
      </c>
      <c r="K2491" s="37"/>
      <c r="L2491" s="74">
        <f t="shared" si="40"/>
        <v>4970</v>
      </c>
    </row>
    <row r="2492" spans="2:12" hidden="1" outlineLevel="1">
      <c r="B2492" s="73">
        <v>2486</v>
      </c>
      <c r="C2492" s="39"/>
      <c r="D2492" s="40"/>
      <c r="E2492" s="34" t="s">
        <v>323</v>
      </c>
      <c r="F2492" s="75" t="s">
        <v>2857</v>
      </c>
      <c r="G2492" s="35" t="s">
        <v>370</v>
      </c>
      <c r="H2492" s="41" t="s">
        <v>371</v>
      </c>
      <c r="I2492" s="44" t="str">
        <f>"0x"&amp;AE_w_WORK!M187</f>
        <v>0x5544</v>
      </c>
      <c r="J2492" s="36">
        <v>42702</v>
      </c>
      <c r="K2492" s="37"/>
      <c r="L2492" s="74">
        <f t="shared" si="40"/>
        <v>4972</v>
      </c>
    </row>
    <row r="2493" spans="2:12" hidden="1" outlineLevel="1">
      <c r="B2493" s="73">
        <v>2487</v>
      </c>
      <c r="C2493" s="39"/>
      <c r="D2493" s="40"/>
      <c r="E2493" s="34" t="s">
        <v>323</v>
      </c>
      <c r="F2493" s="75" t="s">
        <v>2858</v>
      </c>
      <c r="G2493" s="35" t="s">
        <v>370</v>
      </c>
      <c r="H2493" s="41" t="s">
        <v>371</v>
      </c>
      <c r="I2493" s="44" t="str">
        <f>"0x"&amp;AE_w_WORK!M188</f>
        <v>0x3322</v>
      </c>
      <c r="J2493" s="36">
        <v>42703</v>
      </c>
      <c r="K2493" s="37"/>
      <c r="L2493" s="74">
        <f t="shared" si="40"/>
        <v>4974</v>
      </c>
    </row>
    <row r="2494" spans="2:12" hidden="1" outlineLevel="1">
      <c r="B2494" s="73">
        <v>2488</v>
      </c>
      <c r="C2494" s="39"/>
      <c r="D2494" s="40"/>
      <c r="E2494" s="34" t="s">
        <v>323</v>
      </c>
      <c r="F2494" s="75" t="s">
        <v>2859</v>
      </c>
      <c r="G2494" s="35" t="s">
        <v>370</v>
      </c>
      <c r="H2494" s="41" t="s">
        <v>371</v>
      </c>
      <c r="I2494" s="44" t="str">
        <f>"0x"&amp;AE_w_WORK!M189</f>
        <v>0x1100</v>
      </c>
      <c r="J2494" s="36">
        <v>42704</v>
      </c>
      <c r="K2494" s="37"/>
      <c r="L2494" s="74">
        <f t="shared" si="40"/>
        <v>4976</v>
      </c>
    </row>
    <row r="2495" spans="2:12" hidden="1" outlineLevel="1">
      <c r="B2495" s="73">
        <v>2489</v>
      </c>
      <c r="C2495" s="39"/>
      <c r="D2495" s="40"/>
      <c r="E2495" s="34" t="s">
        <v>323</v>
      </c>
      <c r="F2495" s="75" t="s">
        <v>2860</v>
      </c>
      <c r="G2495" s="35" t="s">
        <v>370</v>
      </c>
      <c r="H2495" s="41" t="s">
        <v>371</v>
      </c>
      <c r="I2495" s="44" t="str">
        <f>"0x"&amp;AE_w_WORK!M190</f>
        <v>0x0011</v>
      </c>
      <c r="J2495" s="36">
        <v>42705</v>
      </c>
      <c r="K2495" s="37"/>
      <c r="L2495" s="74">
        <f t="shared" si="40"/>
        <v>4978</v>
      </c>
    </row>
    <row r="2496" spans="2:12" hidden="1" outlineLevel="1">
      <c r="B2496" s="73">
        <v>2490</v>
      </c>
      <c r="C2496" s="39"/>
      <c r="D2496" s="40"/>
      <c r="E2496" s="34" t="s">
        <v>323</v>
      </c>
      <c r="F2496" s="75" t="s">
        <v>2861</v>
      </c>
      <c r="G2496" s="35" t="s">
        <v>370</v>
      </c>
      <c r="H2496" s="41" t="s">
        <v>371</v>
      </c>
      <c r="I2496" s="44" t="str">
        <f>"0x"&amp;AE_w_WORK!M191</f>
        <v>0x2233</v>
      </c>
      <c r="J2496" s="36">
        <v>42706</v>
      </c>
      <c r="K2496" s="37"/>
      <c r="L2496" s="74">
        <f t="shared" si="40"/>
        <v>4980</v>
      </c>
    </row>
    <row r="2497" spans="2:12" hidden="1" outlineLevel="1">
      <c r="B2497" s="73">
        <v>2491</v>
      </c>
      <c r="C2497" s="39"/>
      <c r="D2497" s="40"/>
      <c r="E2497" s="34" t="s">
        <v>323</v>
      </c>
      <c r="F2497" s="75" t="s">
        <v>2862</v>
      </c>
      <c r="G2497" s="35" t="s">
        <v>370</v>
      </c>
      <c r="H2497" s="41" t="s">
        <v>371</v>
      </c>
      <c r="I2497" s="44" t="str">
        <f>"0x"&amp;AE_w_WORK!M192</f>
        <v>0x3355</v>
      </c>
      <c r="J2497" s="36">
        <v>42707</v>
      </c>
      <c r="K2497" s="37"/>
      <c r="L2497" s="74">
        <f t="shared" si="40"/>
        <v>4982</v>
      </c>
    </row>
    <row r="2498" spans="2:12" hidden="1" outlineLevel="1">
      <c r="B2498" s="73">
        <v>2492</v>
      </c>
      <c r="C2498" s="39"/>
      <c r="D2498" s="40"/>
      <c r="E2498" s="34" t="s">
        <v>323</v>
      </c>
      <c r="F2498" s="75" t="s">
        <v>2863</v>
      </c>
      <c r="G2498" s="35" t="s">
        <v>370</v>
      </c>
      <c r="H2498" s="41" t="s">
        <v>371</v>
      </c>
      <c r="I2498" s="44" t="str">
        <f>"0x"&amp;AE_w_WORK!M193</f>
        <v>0x5566</v>
      </c>
      <c r="J2498" s="36">
        <v>42708</v>
      </c>
      <c r="K2498" s="37"/>
      <c r="L2498" s="74">
        <f t="shared" si="40"/>
        <v>4984</v>
      </c>
    </row>
    <row r="2499" spans="2:12" hidden="1" outlineLevel="1">
      <c r="B2499" s="73">
        <v>2493</v>
      </c>
      <c r="C2499" s="39"/>
      <c r="D2499" s="40"/>
      <c r="E2499" s="34" t="s">
        <v>323</v>
      </c>
      <c r="F2499" s="75" t="s">
        <v>2864</v>
      </c>
      <c r="G2499" s="35" t="s">
        <v>370</v>
      </c>
      <c r="H2499" s="41" t="s">
        <v>371</v>
      </c>
      <c r="I2499" s="44" t="str">
        <f>"0x"&amp;AE_w_WORK!M194</f>
        <v>0x6655</v>
      </c>
      <c r="J2499" s="36">
        <v>42709</v>
      </c>
      <c r="K2499" s="37"/>
      <c r="L2499" s="74">
        <f t="shared" si="40"/>
        <v>4986</v>
      </c>
    </row>
    <row r="2500" spans="2:12" hidden="1" outlineLevel="1">
      <c r="B2500" s="73">
        <v>2494</v>
      </c>
      <c r="C2500" s="39"/>
      <c r="D2500" s="40"/>
      <c r="E2500" s="34" t="s">
        <v>323</v>
      </c>
      <c r="F2500" s="75" t="s">
        <v>2865</v>
      </c>
      <c r="G2500" s="35" t="s">
        <v>370</v>
      </c>
      <c r="H2500" s="41" t="s">
        <v>371</v>
      </c>
      <c r="I2500" s="44" t="str">
        <f>"0x"&amp;AE_w_WORK!M195</f>
        <v>0x5533</v>
      </c>
      <c r="J2500" s="36">
        <v>42710</v>
      </c>
      <c r="K2500" s="37"/>
      <c r="L2500" s="74">
        <f t="shared" si="40"/>
        <v>4988</v>
      </c>
    </row>
    <row r="2501" spans="2:12" hidden="1" outlineLevel="1">
      <c r="B2501" s="73">
        <v>2495</v>
      </c>
      <c r="C2501" s="39"/>
      <c r="D2501" s="40"/>
      <c r="E2501" s="34" t="s">
        <v>323</v>
      </c>
      <c r="F2501" s="75" t="s">
        <v>2866</v>
      </c>
      <c r="G2501" s="35" t="s">
        <v>370</v>
      </c>
      <c r="H2501" s="41" t="s">
        <v>371</v>
      </c>
      <c r="I2501" s="44" t="str">
        <f>"0x"&amp;AE_w_WORK!M196</f>
        <v>0x3322</v>
      </c>
      <c r="J2501" s="36">
        <v>42711</v>
      </c>
      <c r="K2501" s="37"/>
      <c r="L2501" s="74">
        <f t="shared" si="40"/>
        <v>4990</v>
      </c>
    </row>
    <row r="2502" spans="2:12" hidden="1" outlineLevel="1">
      <c r="B2502" s="73">
        <v>2496</v>
      </c>
      <c r="C2502" s="39"/>
      <c r="D2502" s="40"/>
      <c r="E2502" s="34" t="s">
        <v>323</v>
      </c>
      <c r="F2502" s="75" t="s">
        <v>2867</v>
      </c>
      <c r="G2502" s="35" t="s">
        <v>370</v>
      </c>
      <c r="H2502" s="41" t="s">
        <v>371</v>
      </c>
      <c r="I2502" s="44" t="str">
        <f>"0x"&amp;AE_w_WORK!M197</f>
        <v>0x1100</v>
      </c>
      <c r="J2502" s="36">
        <v>42712</v>
      </c>
      <c r="K2502" s="37"/>
      <c r="L2502" s="74">
        <f t="shared" si="40"/>
        <v>4992</v>
      </c>
    </row>
    <row r="2503" spans="2:12" hidden="1" outlineLevel="1">
      <c r="B2503" s="73">
        <v>2497</v>
      </c>
      <c r="C2503" s="39"/>
      <c r="D2503" s="40"/>
      <c r="E2503" s="34" t="s">
        <v>323</v>
      </c>
      <c r="F2503" s="75" t="s">
        <v>2868</v>
      </c>
      <c r="G2503" s="35" t="s">
        <v>370</v>
      </c>
      <c r="H2503" s="41" t="s">
        <v>371</v>
      </c>
      <c r="I2503" s="44" t="str">
        <f>"0x"&amp;AE_w_WORK!M198</f>
        <v>0x0011</v>
      </c>
      <c r="J2503" s="36">
        <v>42713</v>
      </c>
      <c r="K2503" s="37"/>
      <c r="L2503" s="74">
        <f t="shared" si="40"/>
        <v>4994</v>
      </c>
    </row>
    <row r="2504" spans="2:12" hidden="1" outlineLevel="1">
      <c r="B2504" s="73">
        <v>2498</v>
      </c>
      <c r="C2504" s="39"/>
      <c r="D2504" s="40"/>
      <c r="E2504" s="34" t="s">
        <v>323</v>
      </c>
      <c r="F2504" s="75" t="s">
        <v>2869</v>
      </c>
      <c r="G2504" s="35" t="s">
        <v>370</v>
      </c>
      <c r="H2504" s="41" t="s">
        <v>371</v>
      </c>
      <c r="I2504" s="44" t="str">
        <f>"0x"&amp;AE_w_WORK!M199</f>
        <v>0x2233</v>
      </c>
      <c r="J2504" s="36">
        <v>42714</v>
      </c>
      <c r="K2504" s="37"/>
      <c r="L2504" s="74">
        <f t="shared" si="40"/>
        <v>4996</v>
      </c>
    </row>
    <row r="2505" spans="2:12" hidden="1" outlineLevel="1">
      <c r="B2505" s="73">
        <v>2499</v>
      </c>
      <c r="C2505" s="39"/>
      <c r="D2505" s="40"/>
      <c r="E2505" s="34" t="s">
        <v>323</v>
      </c>
      <c r="F2505" s="75" t="s">
        <v>2870</v>
      </c>
      <c r="G2505" s="35" t="s">
        <v>370</v>
      </c>
      <c r="H2505" s="41" t="s">
        <v>371</v>
      </c>
      <c r="I2505" s="44" t="str">
        <f>"0x"&amp;AE_w_WORK!M200</f>
        <v>0x3344</v>
      </c>
      <c r="J2505" s="36">
        <v>42715</v>
      </c>
      <c r="K2505" s="37"/>
      <c r="L2505" s="74">
        <f t="shared" ref="L2505:L2566" si="41">L2504+2</f>
        <v>4998</v>
      </c>
    </row>
    <row r="2506" spans="2:12" hidden="1" outlineLevel="1">
      <c r="B2506" s="73">
        <v>2500</v>
      </c>
      <c r="C2506" s="39"/>
      <c r="D2506" s="40"/>
      <c r="E2506" s="34" t="s">
        <v>323</v>
      </c>
      <c r="F2506" s="75" t="s">
        <v>2871</v>
      </c>
      <c r="G2506" s="35" t="s">
        <v>370</v>
      </c>
      <c r="H2506" s="41" t="s">
        <v>371</v>
      </c>
      <c r="I2506" s="44" t="str">
        <f>"0x"&amp;AE_w_WORK!M201</f>
        <v>0x5555</v>
      </c>
      <c r="J2506" s="36">
        <v>42716</v>
      </c>
      <c r="K2506" s="37"/>
      <c r="L2506" s="74">
        <f t="shared" si="41"/>
        <v>5000</v>
      </c>
    </row>
    <row r="2507" spans="2:12" hidden="1" outlineLevel="1">
      <c r="B2507" s="73">
        <v>2501</v>
      </c>
      <c r="C2507" s="39"/>
      <c r="D2507" s="40"/>
      <c r="E2507" s="34" t="s">
        <v>323</v>
      </c>
      <c r="F2507" s="75" t="s">
        <v>2872</v>
      </c>
      <c r="G2507" s="35" t="s">
        <v>370</v>
      </c>
      <c r="H2507" s="41" t="s">
        <v>371</v>
      </c>
      <c r="I2507" s="44" t="str">
        <f>"0x"&amp;AE_w_WORK!M202</f>
        <v>0x5555</v>
      </c>
      <c r="J2507" s="36">
        <v>42717</v>
      </c>
      <c r="K2507" s="37"/>
      <c r="L2507" s="74">
        <f t="shared" si="41"/>
        <v>5002</v>
      </c>
    </row>
    <row r="2508" spans="2:12" hidden="1" outlineLevel="1">
      <c r="B2508" s="73">
        <v>2502</v>
      </c>
      <c r="C2508" s="39"/>
      <c r="D2508" s="40"/>
      <c r="E2508" s="34" t="s">
        <v>323</v>
      </c>
      <c r="F2508" s="75" t="s">
        <v>2873</v>
      </c>
      <c r="G2508" s="35" t="s">
        <v>370</v>
      </c>
      <c r="H2508" s="41" t="s">
        <v>371</v>
      </c>
      <c r="I2508" s="44" t="str">
        <f>"0x"&amp;AE_w_WORK!M203</f>
        <v>0x4433</v>
      </c>
      <c r="J2508" s="36">
        <v>42718</v>
      </c>
      <c r="K2508" s="37"/>
      <c r="L2508" s="74">
        <f t="shared" si="41"/>
        <v>5004</v>
      </c>
    </row>
    <row r="2509" spans="2:12" hidden="1" outlineLevel="1">
      <c r="B2509" s="73">
        <v>2503</v>
      </c>
      <c r="C2509" s="39"/>
      <c r="D2509" s="40"/>
      <c r="E2509" s="34" t="s">
        <v>323</v>
      </c>
      <c r="F2509" s="75" t="s">
        <v>2874</v>
      </c>
      <c r="G2509" s="35" t="s">
        <v>370</v>
      </c>
      <c r="H2509" s="41" t="s">
        <v>371</v>
      </c>
      <c r="I2509" s="44" t="str">
        <f>"0x"&amp;AE_w_WORK!M204</f>
        <v>0x3322</v>
      </c>
      <c r="J2509" s="36">
        <v>42719</v>
      </c>
      <c r="K2509" s="37"/>
      <c r="L2509" s="74">
        <f t="shared" si="41"/>
        <v>5006</v>
      </c>
    </row>
    <row r="2510" spans="2:12" hidden="1" outlineLevel="1">
      <c r="B2510" s="73">
        <v>2504</v>
      </c>
      <c r="C2510" s="39"/>
      <c r="D2510" s="40"/>
      <c r="E2510" s="34" t="s">
        <v>323</v>
      </c>
      <c r="F2510" s="75" t="s">
        <v>2875</v>
      </c>
      <c r="G2510" s="35" t="s">
        <v>370</v>
      </c>
      <c r="H2510" s="41" t="s">
        <v>371</v>
      </c>
      <c r="I2510" s="44" t="str">
        <f>"0x"&amp;AE_w_WORK!M205</f>
        <v>0x1100</v>
      </c>
      <c r="J2510" s="36">
        <v>42720</v>
      </c>
      <c r="K2510" s="37"/>
      <c r="L2510" s="74">
        <f t="shared" si="41"/>
        <v>5008</v>
      </c>
    </row>
    <row r="2511" spans="2:12" hidden="1" outlineLevel="1">
      <c r="B2511" s="73">
        <v>2505</v>
      </c>
      <c r="C2511" s="39"/>
      <c r="D2511" s="40"/>
      <c r="E2511" s="34" t="s">
        <v>323</v>
      </c>
      <c r="F2511" s="75" t="s">
        <v>2876</v>
      </c>
      <c r="G2511" s="35" t="s">
        <v>370</v>
      </c>
      <c r="H2511" s="41" t="s">
        <v>371</v>
      </c>
      <c r="I2511" s="44" t="str">
        <f>"0x"&amp;AE_w_WORK!M206</f>
        <v>0x0011</v>
      </c>
      <c r="J2511" s="36">
        <v>42721</v>
      </c>
      <c r="K2511" s="37"/>
      <c r="L2511" s="74">
        <f t="shared" si="41"/>
        <v>5010</v>
      </c>
    </row>
    <row r="2512" spans="2:12" hidden="1" outlineLevel="1">
      <c r="B2512" s="73">
        <v>2506</v>
      </c>
      <c r="C2512" s="39"/>
      <c r="D2512" s="40"/>
      <c r="E2512" s="34" t="s">
        <v>323</v>
      </c>
      <c r="F2512" s="75" t="s">
        <v>2877</v>
      </c>
      <c r="G2512" s="35" t="s">
        <v>370</v>
      </c>
      <c r="H2512" s="41" t="s">
        <v>371</v>
      </c>
      <c r="I2512" s="44" t="str">
        <f>"0x"&amp;AE_w_WORK!M207</f>
        <v>0x1122</v>
      </c>
      <c r="J2512" s="36">
        <v>42722</v>
      </c>
      <c r="K2512" s="37"/>
      <c r="L2512" s="74">
        <f t="shared" si="41"/>
        <v>5012</v>
      </c>
    </row>
    <row r="2513" spans="2:12" hidden="1" outlineLevel="1">
      <c r="B2513" s="73">
        <v>2507</v>
      </c>
      <c r="C2513" s="39"/>
      <c r="D2513" s="40"/>
      <c r="E2513" s="34" t="s">
        <v>323</v>
      </c>
      <c r="F2513" s="75" t="s">
        <v>2878</v>
      </c>
      <c r="G2513" s="35" t="s">
        <v>370</v>
      </c>
      <c r="H2513" s="41" t="s">
        <v>371</v>
      </c>
      <c r="I2513" s="44" t="str">
        <f>"0x"&amp;AE_w_WORK!M208</f>
        <v>0x3344</v>
      </c>
      <c r="J2513" s="36">
        <v>42723</v>
      </c>
      <c r="K2513" s="37"/>
      <c r="L2513" s="74">
        <f t="shared" si="41"/>
        <v>5014</v>
      </c>
    </row>
    <row r="2514" spans="2:12" hidden="1" outlineLevel="1">
      <c r="B2514" s="73">
        <v>2508</v>
      </c>
      <c r="C2514" s="39"/>
      <c r="D2514" s="40"/>
      <c r="E2514" s="34" t="s">
        <v>323</v>
      </c>
      <c r="F2514" s="75" t="s">
        <v>2879</v>
      </c>
      <c r="G2514" s="35" t="s">
        <v>370</v>
      </c>
      <c r="H2514" s="41" t="s">
        <v>371</v>
      </c>
      <c r="I2514" s="44" t="str">
        <f>"0x"&amp;AE_w_WORK!M209</f>
        <v>0x5555</v>
      </c>
      <c r="J2514" s="36">
        <v>42724</v>
      </c>
      <c r="K2514" s="37"/>
      <c r="L2514" s="74">
        <f t="shared" si="41"/>
        <v>5016</v>
      </c>
    </row>
    <row r="2515" spans="2:12" hidden="1" outlineLevel="1">
      <c r="B2515" s="73">
        <v>2509</v>
      </c>
      <c r="C2515" s="39"/>
      <c r="D2515" s="40"/>
      <c r="E2515" s="34" t="s">
        <v>323</v>
      </c>
      <c r="F2515" s="75" t="s">
        <v>2880</v>
      </c>
      <c r="G2515" s="35" t="s">
        <v>370</v>
      </c>
      <c r="H2515" s="41" t="s">
        <v>371</v>
      </c>
      <c r="I2515" s="44" t="str">
        <f>"0x"&amp;AE_w_WORK!M210</f>
        <v>0x5555</v>
      </c>
      <c r="J2515" s="36">
        <v>42725</v>
      </c>
      <c r="K2515" s="37"/>
      <c r="L2515" s="74">
        <f t="shared" si="41"/>
        <v>5018</v>
      </c>
    </row>
    <row r="2516" spans="2:12" hidden="1" outlineLevel="1">
      <c r="B2516" s="73">
        <v>2510</v>
      </c>
      <c r="C2516" s="39"/>
      <c r="D2516" s="40"/>
      <c r="E2516" s="34" t="s">
        <v>323</v>
      </c>
      <c r="F2516" s="75" t="s">
        <v>2881</v>
      </c>
      <c r="G2516" s="35" t="s">
        <v>370</v>
      </c>
      <c r="H2516" s="41" t="s">
        <v>371</v>
      </c>
      <c r="I2516" s="44" t="str">
        <f>"0x"&amp;AE_w_WORK!M211</f>
        <v>0x4433</v>
      </c>
      <c r="J2516" s="36">
        <v>42726</v>
      </c>
      <c r="K2516" s="37"/>
      <c r="L2516" s="74">
        <f t="shared" si="41"/>
        <v>5020</v>
      </c>
    </row>
    <row r="2517" spans="2:12" hidden="1" outlineLevel="1">
      <c r="B2517" s="73">
        <v>2511</v>
      </c>
      <c r="C2517" s="39"/>
      <c r="D2517" s="40"/>
      <c r="E2517" s="34" t="s">
        <v>323</v>
      </c>
      <c r="F2517" s="75" t="s">
        <v>2882</v>
      </c>
      <c r="G2517" s="35" t="s">
        <v>370</v>
      </c>
      <c r="H2517" s="41" t="s">
        <v>371</v>
      </c>
      <c r="I2517" s="44" t="str">
        <f>"0x"&amp;AE_w_WORK!M212</f>
        <v>0x2211</v>
      </c>
      <c r="J2517" s="36">
        <v>42727</v>
      </c>
      <c r="K2517" s="37"/>
      <c r="L2517" s="74">
        <f t="shared" si="41"/>
        <v>5022</v>
      </c>
    </row>
    <row r="2518" spans="2:12" hidden="1" outlineLevel="1">
      <c r="B2518" s="73">
        <v>2512</v>
      </c>
      <c r="C2518" s="39"/>
      <c r="D2518" s="40"/>
      <c r="E2518" s="34" t="s">
        <v>323</v>
      </c>
      <c r="F2518" s="75" t="s">
        <v>2883</v>
      </c>
      <c r="G2518" s="35" t="s">
        <v>370</v>
      </c>
      <c r="H2518" s="41" t="s">
        <v>371</v>
      </c>
      <c r="I2518" s="44" t="str">
        <f>"0x"&amp;AE_w_WORK!M213</f>
        <v>0x1100</v>
      </c>
      <c r="J2518" s="36">
        <v>42728</v>
      </c>
      <c r="K2518" s="37"/>
      <c r="L2518" s="74">
        <f t="shared" si="41"/>
        <v>5024</v>
      </c>
    </row>
    <row r="2519" spans="2:12" hidden="1" outlineLevel="1">
      <c r="B2519" s="73">
        <v>2513</v>
      </c>
      <c r="C2519" s="39"/>
      <c r="D2519" s="40"/>
      <c r="E2519" s="34" t="s">
        <v>323</v>
      </c>
      <c r="F2519" s="75" t="s">
        <v>2884</v>
      </c>
      <c r="G2519" s="35" t="s">
        <v>370</v>
      </c>
      <c r="H2519" s="41" t="s">
        <v>371</v>
      </c>
      <c r="I2519" s="44" t="str">
        <f>"0x"&amp;AE_w_WORK!M214</f>
        <v>0x0011</v>
      </c>
      <c r="J2519" s="36">
        <v>42729</v>
      </c>
      <c r="K2519" s="37"/>
      <c r="L2519" s="74">
        <f t="shared" si="41"/>
        <v>5026</v>
      </c>
    </row>
    <row r="2520" spans="2:12" hidden="1" outlineLevel="1">
      <c r="B2520" s="73">
        <v>2514</v>
      </c>
      <c r="C2520" s="39"/>
      <c r="D2520" s="40"/>
      <c r="E2520" s="34" t="s">
        <v>323</v>
      </c>
      <c r="F2520" s="75" t="s">
        <v>2885</v>
      </c>
      <c r="G2520" s="35" t="s">
        <v>370</v>
      </c>
      <c r="H2520" s="41" t="s">
        <v>371</v>
      </c>
      <c r="I2520" s="44" t="str">
        <f>"0x"&amp;AE_w_WORK!M215</f>
        <v>0x1122</v>
      </c>
      <c r="J2520" s="36">
        <v>42730</v>
      </c>
      <c r="K2520" s="37"/>
      <c r="L2520" s="74">
        <f t="shared" si="41"/>
        <v>5028</v>
      </c>
    </row>
    <row r="2521" spans="2:12" hidden="1" outlineLevel="1">
      <c r="B2521" s="73">
        <v>2515</v>
      </c>
      <c r="C2521" s="39"/>
      <c r="D2521" s="40"/>
      <c r="E2521" s="34" t="s">
        <v>323</v>
      </c>
      <c r="F2521" s="75" t="s">
        <v>2886</v>
      </c>
      <c r="G2521" s="35" t="s">
        <v>370</v>
      </c>
      <c r="H2521" s="41" t="s">
        <v>371</v>
      </c>
      <c r="I2521" s="44" t="str">
        <f>"0x"&amp;AE_w_WORK!M216</f>
        <v>0x3344</v>
      </c>
      <c r="J2521" s="36">
        <v>42731</v>
      </c>
      <c r="K2521" s="37"/>
      <c r="L2521" s="74">
        <f t="shared" si="41"/>
        <v>5030</v>
      </c>
    </row>
    <row r="2522" spans="2:12" hidden="1" outlineLevel="1">
      <c r="B2522" s="73">
        <v>2516</v>
      </c>
      <c r="C2522" s="39"/>
      <c r="D2522" s="40"/>
      <c r="E2522" s="34" t="s">
        <v>323</v>
      </c>
      <c r="F2522" s="75" t="s">
        <v>2887</v>
      </c>
      <c r="G2522" s="35" t="s">
        <v>370</v>
      </c>
      <c r="H2522" s="41" t="s">
        <v>371</v>
      </c>
      <c r="I2522" s="44" t="str">
        <f>"0x"&amp;AE_w_WORK!M217</f>
        <v>0x5555</v>
      </c>
      <c r="J2522" s="36">
        <v>42732</v>
      </c>
      <c r="K2522" s="37"/>
      <c r="L2522" s="74">
        <f t="shared" si="41"/>
        <v>5032</v>
      </c>
    </row>
    <row r="2523" spans="2:12" hidden="1" outlineLevel="1">
      <c r="B2523" s="73">
        <v>2517</v>
      </c>
      <c r="C2523" s="39"/>
      <c r="D2523" s="40"/>
      <c r="E2523" s="34" t="s">
        <v>323</v>
      </c>
      <c r="F2523" s="75" t="s">
        <v>2888</v>
      </c>
      <c r="G2523" s="35" t="s">
        <v>370</v>
      </c>
      <c r="H2523" s="41" t="s">
        <v>371</v>
      </c>
      <c r="I2523" s="44" t="str">
        <f>"0x"&amp;AE_w_WORK!M218</f>
        <v>0x5555</v>
      </c>
      <c r="J2523" s="36">
        <v>42733</v>
      </c>
      <c r="K2523" s="37"/>
      <c r="L2523" s="74">
        <f t="shared" si="41"/>
        <v>5034</v>
      </c>
    </row>
    <row r="2524" spans="2:12" hidden="1" outlineLevel="1">
      <c r="B2524" s="73">
        <v>2518</v>
      </c>
      <c r="C2524" s="39"/>
      <c r="D2524" s="40"/>
      <c r="E2524" s="34" t="s">
        <v>323</v>
      </c>
      <c r="F2524" s="75" t="s">
        <v>2889</v>
      </c>
      <c r="G2524" s="35" t="s">
        <v>370</v>
      </c>
      <c r="H2524" s="41" t="s">
        <v>371</v>
      </c>
      <c r="I2524" s="44" t="str">
        <f>"0x"&amp;AE_w_WORK!M219</f>
        <v>0x4433</v>
      </c>
      <c r="J2524" s="36">
        <v>42734</v>
      </c>
      <c r="K2524" s="37"/>
      <c r="L2524" s="74">
        <f t="shared" si="41"/>
        <v>5036</v>
      </c>
    </row>
    <row r="2525" spans="2:12" hidden="1" outlineLevel="1">
      <c r="B2525" s="73">
        <v>2519</v>
      </c>
      <c r="C2525" s="39"/>
      <c r="D2525" s="40"/>
      <c r="E2525" s="34" t="s">
        <v>323</v>
      </c>
      <c r="F2525" s="75" t="s">
        <v>2890</v>
      </c>
      <c r="G2525" s="35" t="s">
        <v>370</v>
      </c>
      <c r="H2525" s="41" t="s">
        <v>371</v>
      </c>
      <c r="I2525" s="44" t="str">
        <f>"0x"&amp;AE_w_WORK!M220</f>
        <v>0x2211</v>
      </c>
      <c r="J2525" s="36">
        <v>42735</v>
      </c>
      <c r="K2525" s="37"/>
      <c r="L2525" s="74">
        <f t="shared" si="41"/>
        <v>5038</v>
      </c>
    </row>
    <row r="2526" spans="2:12" hidden="1" outlineLevel="1">
      <c r="B2526" s="73">
        <v>2520</v>
      </c>
      <c r="C2526" s="39"/>
      <c r="D2526" s="40"/>
      <c r="E2526" s="34" t="s">
        <v>323</v>
      </c>
      <c r="F2526" s="75" t="s">
        <v>2891</v>
      </c>
      <c r="G2526" s="35" t="s">
        <v>370</v>
      </c>
      <c r="H2526" s="41" t="s">
        <v>371</v>
      </c>
      <c r="I2526" s="44" t="str">
        <f>"0x"&amp;AE_w_WORK!M221</f>
        <v>0x1100</v>
      </c>
      <c r="J2526" s="36">
        <v>42736</v>
      </c>
      <c r="K2526" s="37"/>
      <c r="L2526" s="74">
        <f t="shared" si="41"/>
        <v>5040</v>
      </c>
    </row>
    <row r="2527" spans="2:12" hidden="1" outlineLevel="1">
      <c r="B2527" s="73">
        <v>2521</v>
      </c>
      <c r="C2527" s="39"/>
      <c r="D2527" s="40"/>
      <c r="E2527" s="34" t="s">
        <v>323</v>
      </c>
      <c r="F2527" s="75" t="s">
        <v>2892</v>
      </c>
      <c r="G2527" s="35" t="s">
        <v>370</v>
      </c>
      <c r="H2527" s="41" t="s">
        <v>371</v>
      </c>
      <c r="I2527" s="44" t="str">
        <f>"0x"&amp;AE_w_WORK!M222</f>
        <v>0x0011</v>
      </c>
      <c r="J2527" s="36">
        <v>42737</v>
      </c>
      <c r="K2527" s="37"/>
      <c r="L2527" s="74">
        <f t="shared" si="41"/>
        <v>5042</v>
      </c>
    </row>
    <row r="2528" spans="2:12" hidden="1" outlineLevel="1">
      <c r="B2528" s="73">
        <v>2522</v>
      </c>
      <c r="C2528" s="39"/>
      <c r="D2528" s="40"/>
      <c r="E2528" s="34" t="s">
        <v>323</v>
      </c>
      <c r="F2528" s="75" t="s">
        <v>2893</v>
      </c>
      <c r="G2528" s="35" t="s">
        <v>370</v>
      </c>
      <c r="H2528" s="41" t="s">
        <v>371</v>
      </c>
      <c r="I2528" s="44" t="str">
        <f>"0x"&amp;AE_w_WORK!M223</f>
        <v>0x1122</v>
      </c>
      <c r="J2528" s="36">
        <v>42738</v>
      </c>
      <c r="K2528" s="37"/>
      <c r="L2528" s="74">
        <f t="shared" si="41"/>
        <v>5044</v>
      </c>
    </row>
    <row r="2529" spans="2:12" hidden="1" outlineLevel="1">
      <c r="B2529" s="73">
        <v>2523</v>
      </c>
      <c r="C2529" s="39"/>
      <c r="D2529" s="40"/>
      <c r="E2529" s="34" t="s">
        <v>323</v>
      </c>
      <c r="F2529" s="75" t="s">
        <v>2894</v>
      </c>
      <c r="G2529" s="35" t="s">
        <v>370</v>
      </c>
      <c r="H2529" s="41" t="s">
        <v>371</v>
      </c>
      <c r="I2529" s="44" t="str">
        <f>"0x"&amp;AE_w_WORK!M224</f>
        <v>0x3344</v>
      </c>
      <c r="J2529" s="36">
        <v>42739</v>
      </c>
      <c r="K2529" s="37"/>
      <c r="L2529" s="74">
        <f t="shared" si="41"/>
        <v>5046</v>
      </c>
    </row>
    <row r="2530" spans="2:12" hidden="1" outlineLevel="1">
      <c r="B2530" s="73">
        <v>2524</v>
      </c>
      <c r="C2530" s="39"/>
      <c r="D2530" s="40"/>
      <c r="E2530" s="34" t="s">
        <v>323</v>
      </c>
      <c r="F2530" s="75" t="s">
        <v>2895</v>
      </c>
      <c r="G2530" s="35" t="s">
        <v>370</v>
      </c>
      <c r="H2530" s="41" t="s">
        <v>371</v>
      </c>
      <c r="I2530" s="44" t="str">
        <f>"0x"&amp;AE_w_WORK!M225</f>
        <v>0x4455</v>
      </c>
      <c r="J2530" s="36">
        <v>42740</v>
      </c>
      <c r="K2530" s="37"/>
      <c r="L2530" s="74">
        <f t="shared" si="41"/>
        <v>5048</v>
      </c>
    </row>
    <row r="2531" spans="2:12" hidden="1" outlineLevel="1">
      <c r="B2531" s="73">
        <v>2525</v>
      </c>
      <c r="C2531" s="39"/>
      <c r="D2531" s="40"/>
      <c r="E2531" s="34" t="s">
        <v>323</v>
      </c>
      <c r="F2531" s="75" t="s">
        <v>2896</v>
      </c>
      <c r="G2531" s="35" t="s">
        <v>370</v>
      </c>
      <c r="H2531" s="41" t="s">
        <v>371</v>
      </c>
      <c r="I2531" s="44" t="str">
        <f>"0x"&amp;AE_w_WORK!M226</f>
        <v>0x5544</v>
      </c>
      <c r="J2531" s="36">
        <v>42741</v>
      </c>
      <c r="K2531" s="37"/>
      <c r="L2531" s="74">
        <f t="shared" si="41"/>
        <v>5050</v>
      </c>
    </row>
    <row r="2532" spans="2:12" hidden="1" outlineLevel="1">
      <c r="B2532" s="73">
        <v>2526</v>
      </c>
      <c r="C2532" s="39"/>
      <c r="D2532" s="40"/>
      <c r="E2532" s="34" t="s">
        <v>323</v>
      </c>
      <c r="F2532" s="75" t="s">
        <v>2897</v>
      </c>
      <c r="G2532" s="35" t="s">
        <v>370</v>
      </c>
      <c r="H2532" s="41" t="s">
        <v>371</v>
      </c>
      <c r="I2532" s="44" t="str">
        <f>"0x"&amp;AE_w_WORK!M227</f>
        <v>0x4433</v>
      </c>
      <c r="J2532" s="36">
        <v>42742</v>
      </c>
      <c r="K2532" s="37"/>
      <c r="L2532" s="74">
        <f t="shared" si="41"/>
        <v>5052</v>
      </c>
    </row>
    <row r="2533" spans="2:12" hidden="1" outlineLevel="1">
      <c r="B2533" s="73">
        <v>2527</v>
      </c>
      <c r="C2533" s="39"/>
      <c r="D2533" s="40"/>
      <c r="E2533" s="34" t="s">
        <v>323</v>
      </c>
      <c r="F2533" s="75" t="s">
        <v>2898</v>
      </c>
      <c r="G2533" s="35" t="s">
        <v>370</v>
      </c>
      <c r="H2533" s="41" t="s">
        <v>371</v>
      </c>
      <c r="I2533" s="44" t="str">
        <f>"0x"&amp;AE_w_WORK!M228</f>
        <v>0x2211</v>
      </c>
      <c r="J2533" s="36">
        <v>42743</v>
      </c>
      <c r="K2533" s="37"/>
      <c r="L2533" s="74">
        <f t="shared" si="41"/>
        <v>5054</v>
      </c>
    </row>
    <row r="2534" spans="2:12" hidden="1" outlineLevel="1">
      <c r="B2534" s="73">
        <v>2528</v>
      </c>
      <c r="C2534" s="39"/>
      <c r="D2534" s="40"/>
      <c r="E2534" s="34" t="s">
        <v>323</v>
      </c>
      <c r="F2534" s="75" t="s">
        <v>2899</v>
      </c>
      <c r="G2534" s="35" t="s">
        <v>370</v>
      </c>
      <c r="H2534" s="41" t="s">
        <v>371</v>
      </c>
      <c r="I2534" s="44" t="str">
        <f>"0x"&amp;AE_w_WORK!M229</f>
        <v>0x1100</v>
      </c>
      <c r="J2534" s="36">
        <v>42744</v>
      </c>
      <c r="K2534" s="37"/>
      <c r="L2534" s="74">
        <f t="shared" si="41"/>
        <v>5056</v>
      </c>
    </row>
    <row r="2535" spans="2:12" hidden="1" outlineLevel="1">
      <c r="B2535" s="73">
        <v>2529</v>
      </c>
      <c r="C2535" s="39"/>
      <c r="D2535" s="40"/>
      <c r="E2535" s="34" t="s">
        <v>323</v>
      </c>
      <c r="F2535" s="75" t="s">
        <v>2900</v>
      </c>
      <c r="G2535" s="35" t="s">
        <v>370</v>
      </c>
      <c r="H2535" s="41" t="s">
        <v>371</v>
      </c>
      <c r="I2535" s="44" t="str">
        <f>"0x"&amp;AE_w_WORK!M230</f>
        <v>0x0011</v>
      </c>
      <c r="J2535" s="36">
        <v>42745</v>
      </c>
      <c r="K2535" s="37"/>
      <c r="L2535" s="74">
        <f t="shared" si="41"/>
        <v>5058</v>
      </c>
    </row>
    <row r="2536" spans="2:12" hidden="1" outlineLevel="1">
      <c r="B2536" s="73">
        <v>2530</v>
      </c>
      <c r="C2536" s="39"/>
      <c r="D2536" s="40"/>
      <c r="E2536" s="34" t="s">
        <v>323</v>
      </c>
      <c r="F2536" s="75" t="s">
        <v>2901</v>
      </c>
      <c r="G2536" s="35" t="s">
        <v>370</v>
      </c>
      <c r="H2536" s="41" t="s">
        <v>371</v>
      </c>
      <c r="I2536" s="44" t="str">
        <f>"0x"&amp;AE_w_WORK!M231</f>
        <v>0x1122</v>
      </c>
      <c r="J2536" s="36">
        <v>42746</v>
      </c>
      <c r="K2536" s="37"/>
      <c r="L2536" s="74">
        <f t="shared" si="41"/>
        <v>5060</v>
      </c>
    </row>
    <row r="2537" spans="2:12" hidden="1" outlineLevel="1">
      <c r="B2537" s="73">
        <v>2531</v>
      </c>
      <c r="C2537" s="39"/>
      <c r="D2537" s="40"/>
      <c r="E2537" s="34" t="s">
        <v>323</v>
      </c>
      <c r="F2537" s="75" t="s">
        <v>2902</v>
      </c>
      <c r="G2537" s="35" t="s">
        <v>370</v>
      </c>
      <c r="H2537" s="41" t="s">
        <v>371</v>
      </c>
      <c r="I2537" s="44" t="str">
        <f>"0x"&amp;AE_w_WORK!M232</f>
        <v>0x3344</v>
      </c>
      <c r="J2537" s="36">
        <v>42747</v>
      </c>
      <c r="K2537" s="37"/>
      <c r="L2537" s="74">
        <f t="shared" si="41"/>
        <v>5062</v>
      </c>
    </row>
    <row r="2538" spans="2:12" hidden="1" outlineLevel="1">
      <c r="B2538" s="73">
        <v>2532</v>
      </c>
      <c r="C2538" s="39"/>
      <c r="D2538" s="40"/>
      <c r="E2538" s="34" t="s">
        <v>323</v>
      </c>
      <c r="F2538" s="75" t="s">
        <v>2903</v>
      </c>
      <c r="G2538" s="35" t="s">
        <v>370</v>
      </c>
      <c r="H2538" s="41" t="s">
        <v>371</v>
      </c>
      <c r="I2538" s="44" t="str">
        <f>"0x"&amp;AE_w_WORK!M233</f>
        <v>0x4444</v>
      </c>
      <c r="J2538" s="36">
        <v>42748</v>
      </c>
      <c r="K2538" s="37"/>
      <c r="L2538" s="74">
        <f t="shared" si="41"/>
        <v>5064</v>
      </c>
    </row>
    <row r="2539" spans="2:12" hidden="1" outlineLevel="1">
      <c r="B2539" s="73">
        <v>2533</v>
      </c>
      <c r="C2539" s="39"/>
      <c r="D2539" s="40"/>
      <c r="E2539" s="34" t="s">
        <v>323</v>
      </c>
      <c r="F2539" s="75" t="s">
        <v>2904</v>
      </c>
      <c r="G2539" s="35" t="s">
        <v>370</v>
      </c>
      <c r="H2539" s="41" t="s">
        <v>371</v>
      </c>
      <c r="I2539" s="44" t="str">
        <f>"0x"&amp;AE_w_WORK!M234</f>
        <v>0x4444</v>
      </c>
      <c r="J2539" s="36">
        <v>42749</v>
      </c>
      <c r="K2539" s="37"/>
      <c r="L2539" s="74">
        <f t="shared" si="41"/>
        <v>5066</v>
      </c>
    </row>
    <row r="2540" spans="2:12" hidden="1" outlineLevel="1">
      <c r="B2540" s="73">
        <v>2534</v>
      </c>
      <c r="C2540" s="39"/>
      <c r="D2540" s="40"/>
      <c r="E2540" s="34" t="s">
        <v>323</v>
      </c>
      <c r="F2540" s="75" t="s">
        <v>2905</v>
      </c>
      <c r="G2540" s="35" t="s">
        <v>370</v>
      </c>
      <c r="H2540" s="41" t="s">
        <v>371</v>
      </c>
      <c r="I2540" s="44" t="str">
        <f>"0x"&amp;AE_w_WORK!M235</f>
        <v>0x4433</v>
      </c>
      <c r="J2540" s="36">
        <v>42750</v>
      </c>
      <c r="K2540" s="37"/>
      <c r="L2540" s="74">
        <f t="shared" si="41"/>
        <v>5068</v>
      </c>
    </row>
    <row r="2541" spans="2:12" hidden="1" outlineLevel="1">
      <c r="B2541" s="73">
        <v>2535</v>
      </c>
      <c r="C2541" s="39"/>
      <c r="D2541" s="40"/>
      <c r="E2541" s="34" t="s">
        <v>323</v>
      </c>
      <c r="F2541" s="75" t="s">
        <v>2906</v>
      </c>
      <c r="G2541" s="35" t="s">
        <v>370</v>
      </c>
      <c r="H2541" s="41" t="s">
        <v>371</v>
      </c>
      <c r="I2541" s="44" t="str">
        <f>"0x"&amp;AE_w_WORK!M236</f>
        <v>0x2211</v>
      </c>
      <c r="J2541" s="36">
        <v>42751</v>
      </c>
      <c r="K2541" s="37"/>
      <c r="L2541" s="74">
        <f t="shared" si="41"/>
        <v>5070</v>
      </c>
    </row>
    <row r="2542" spans="2:12" hidden="1" outlineLevel="1">
      <c r="B2542" s="73">
        <v>2536</v>
      </c>
      <c r="C2542" s="39"/>
      <c r="D2542" s="40"/>
      <c r="E2542" s="34" t="s">
        <v>323</v>
      </c>
      <c r="F2542" s="75" t="s">
        <v>2907</v>
      </c>
      <c r="G2542" s="35" t="s">
        <v>370</v>
      </c>
      <c r="H2542" s="41" t="s">
        <v>371</v>
      </c>
      <c r="I2542" s="44" t="str">
        <f>"0x"&amp;AE_w_WORK!M237</f>
        <v>0x1100</v>
      </c>
      <c r="J2542" s="36">
        <v>42752</v>
      </c>
      <c r="K2542" s="37"/>
      <c r="L2542" s="74">
        <f t="shared" si="41"/>
        <v>5072</v>
      </c>
    </row>
    <row r="2543" spans="2:12" hidden="1" outlineLevel="1">
      <c r="B2543" s="73">
        <v>2537</v>
      </c>
      <c r="C2543" s="39"/>
      <c r="D2543" s="40"/>
      <c r="E2543" s="34" t="s">
        <v>323</v>
      </c>
      <c r="F2543" s="75" t="s">
        <v>2908</v>
      </c>
      <c r="G2543" s="35" t="s">
        <v>370</v>
      </c>
      <c r="H2543" s="41" t="s">
        <v>371</v>
      </c>
      <c r="I2543" s="44" t="str">
        <f>"0x"&amp;AE_w_WORK!M238</f>
        <v>0x0011</v>
      </c>
      <c r="J2543" s="36">
        <v>42753</v>
      </c>
      <c r="K2543" s="37"/>
      <c r="L2543" s="74">
        <f t="shared" si="41"/>
        <v>5074</v>
      </c>
    </row>
    <row r="2544" spans="2:12" hidden="1" outlineLevel="1">
      <c r="B2544" s="73">
        <v>2538</v>
      </c>
      <c r="C2544" s="39"/>
      <c r="D2544" s="40"/>
      <c r="E2544" s="34" t="s">
        <v>323</v>
      </c>
      <c r="F2544" s="75" t="s">
        <v>2909</v>
      </c>
      <c r="G2544" s="35" t="s">
        <v>370</v>
      </c>
      <c r="H2544" s="41" t="s">
        <v>371</v>
      </c>
      <c r="I2544" s="44" t="str">
        <f>"0x"&amp;AE_w_WORK!M239</f>
        <v>0x1122</v>
      </c>
      <c r="J2544" s="36">
        <v>42754</v>
      </c>
      <c r="K2544" s="37"/>
      <c r="L2544" s="74">
        <f t="shared" si="41"/>
        <v>5076</v>
      </c>
    </row>
    <row r="2545" spans="2:12" hidden="1" outlineLevel="1">
      <c r="B2545" s="73">
        <v>2539</v>
      </c>
      <c r="C2545" s="39"/>
      <c r="D2545" s="40"/>
      <c r="E2545" s="34" t="s">
        <v>323</v>
      </c>
      <c r="F2545" s="75" t="s">
        <v>2910</v>
      </c>
      <c r="G2545" s="35" t="s">
        <v>370</v>
      </c>
      <c r="H2545" s="41" t="s">
        <v>371</v>
      </c>
      <c r="I2545" s="44" t="str">
        <f>"0x"&amp;AE_w_WORK!M240</f>
        <v>0x3333</v>
      </c>
      <c r="J2545" s="36">
        <v>42755</v>
      </c>
      <c r="K2545" s="37"/>
      <c r="L2545" s="74">
        <f t="shared" si="41"/>
        <v>5078</v>
      </c>
    </row>
    <row r="2546" spans="2:12" hidden="1" outlineLevel="1">
      <c r="B2546" s="73">
        <v>2540</v>
      </c>
      <c r="C2546" s="39"/>
      <c r="D2546" s="40"/>
      <c r="E2546" s="34" t="s">
        <v>323</v>
      </c>
      <c r="F2546" s="75" t="s">
        <v>2911</v>
      </c>
      <c r="G2546" s="35" t="s">
        <v>370</v>
      </c>
      <c r="H2546" s="41" t="s">
        <v>371</v>
      </c>
      <c r="I2546" s="44" t="str">
        <f>"0x"&amp;AE_w_WORK!M241</f>
        <v>0x4444</v>
      </c>
      <c r="J2546" s="36">
        <v>42756</v>
      </c>
      <c r="K2546" s="37"/>
      <c r="L2546" s="74">
        <f t="shared" si="41"/>
        <v>5080</v>
      </c>
    </row>
    <row r="2547" spans="2:12" hidden="1" outlineLevel="1">
      <c r="B2547" s="73">
        <v>2541</v>
      </c>
      <c r="C2547" s="39"/>
      <c r="D2547" s="40"/>
      <c r="E2547" s="34" t="s">
        <v>323</v>
      </c>
      <c r="F2547" s="75" t="s">
        <v>2912</v>
      </c>
      <c r="G2547" s="35" t="s">
        <v>370</v>
      </c>
      <c r="H2547" s="41" t="s">
        <v>371</v>
      </c>
      <c r="I2547" s="44" t="str">
        <f>"0x"&amp;AE_w_WORK!M242</f>
        <v>0x4444</v>
      </c>
      <c r="J2547" s="36">
        <v>42757</v>
      </c>
      <c r="K2547" s="37"/>
      <c r="L2547" s="74">
        <f t="shared" si="41"/>
        <v>5082</v>
      </c>
    </row>
    <row r="2548" spans="2:12" hidden="1" outlineLevel="1">
      <c r="B2548" s="73">
        <v>2542</v>
      </c>
      <c r="C2548" s="39"/>
      <c r="D2548" s="40"/>
      <c r="E2548" s="34" t="s">
        <v>323</v>
      </c>
      <c r="F2548" s="75" t="s">
        <v>2913</v>
      </c>
      <c r="G2548" s="35" t="s">
        <v>370</v>
      </c>
      <c r="H2548" s="41" t="s">
        <v>371</v>
      </c>
      <c r="I2548" s="44" t="str">
        <f>"0x"&amp;AE_w_WORK!M243</f>
        <v>0x3333</v>
      </c>
      <c r="J2548" s="36">
        <v>42758</v>
      </c>
      <c r="K2548" s="37"/>
      <c r="L2548" s="74">
        <f t="shared" si="41"/>
        <v>5084</v>
      </c>
    </row>
    <row r="2549" spans="2:12" hidden="1" outlineLevel="1">
      <c r="B2549" s="73">
        <v>2543</v>
      </c>
      <c r="C2549" s="39"/>
      <c r="D2549" s="40"/>
      <c r="E2549" s="34" t="s">
        <v>323</v>
      </c>
      <c r="F2549" s="75" t="s">
        <v>2914</v>
      </c>
      <c r="G2549" s="35" t="s">
        <v>370</v>
      </c>
      <c r="H2549" s="41" t="s">
        <v>371</v>
      </c>
      <c r="I2549" s="44" t="str">
        <f>"0x"&amp;AE_w_WORK!M244</f>
        <v>0x2211</v>
      </c>
      <c r="J2549" s="36">
        <v>42759</v>
      </c>
      <c r="K2549" s="37"/>
      <c r="L2549" s="74">
        <f t="shared" si="41"/>
        <v>5086</v>
      </c>
    </row>
    <row r="2550" spans="2:12" hidden="1" outlineLevel="1">
      <c r="B2550" s="73">
        <v>2544</v>
      </c>
      <c r="C2550" s="39"/>
      <c r="D2550" s="40"/>
      <c r="E2550" s="34" t="s">
        <v>323</v>
      </c>
      <c r="F2550" s="75" t="s">
        <v>2915</v>
      </c>
      <c r="G2550" s="35" t="s">
        <v>370</v>
      </c>
      <c r="H2550" s="41" t="s">
        <v>371</v>
      </c>
      <c r="I2550" s="44" t="str">
        <f>"0x"&amp;AE_w_WORK!M245</f>
        <v>0x1100</v>
      </c>
      <c r="J2550" s="36">
        <v>42760</v>
      </c>
      <c r="K2550" s="37"/>
      <c r="L2550" s="74">
        <f t="shared" si="41"/>
        <v>5088</v>
      </c>
    </row>
    <row r="2551" spans="2:12" hidden="1" outlineLevel="1">
      <c r="B2551" s="73">
        <v>2545</v>
      </c>
      <c r="C2551" s="39"/>
      <c r="D2551" s="40"/>
      <c r="E2551" s="34" t="s">
        <v>323</v>
      </c>
      <c r="F2551" s="75" t="s">
        <v>2916</v>
      </c>
      <c r="G2551" s="35" t="s">
        <v>370</v>
      </c>
      <c r="H2551" s="41" t="s">
        <v>371</v>
      </c>
      <c r="I2551" s="44" t="str">
        <f>"0x"&amp;AE_w_WORK!M246</f>
        <v>0x0011</v>
      </c>
      <c r="J2551" s="36">
        <v>42761</v>
      </c>
      <c r="K2551" s="37"/>
      <c r="L2551" s="74">
        <f t="shared" si="41"/>
        <v>5090</v>
      </c>
    </row>
    <row r="2552" spans="2:12" hidden="1" outlineLevel="1">
      <c r="B2552" s="73">
        <v>2546</v>
      </c>
      <c r="C2552" s="39"/>
      <c r="D2552" s="40"/>
      <c r="E2552" s="34" t="s">
        <v>323</v>
      </c>
      <c r="F2552" s="75" t="s">
        <v>2917</v>
      </c>
      <c r="G2552" s="35" t="s">
        <v>370</v>
      </c>
      <c r="H2552" s="41" t="s">
        <v>371</v>
      </c>
      <c r="I2552" s="44" t="str">
        <f>"0x"&amp;AE_w_WORK!M247</f>
        <v>0x1122</v>
      </c>
      <c r="J2552" s="36">
        <v>42762</v>
      </c>
      <c r="K2552" s="37"/>
      <c r="L2552" s="74">
        <f t="shared" si="41"/>
        <v>5092</v>
      </c>
    </row>
    <row r="2553" spans="2:12" hidden="1" outlineLevel="1">
      <c r="B2553" s="73">
        <v>2547</v>
      </c>
      <c r="C2553" s="39"/>
      <c r="D2553" s="40"/>
      <c r="E2553" s="34" t="s">
        <v>323</v>
      </c>
      <c r="F2553" s="75" t="s">
        <v>2918</v>
      </c>
      <c r="G2553" s="35" t="s">
        <v>370</v>
      </c>
      <c r="H2553" s="41" t="s">
        <v>371</v>
      </c>
      <c r="I2553" s="44" t="str">
        <f>"0x"&amp;AE_w_WORK!M248</f>
        <v>0x3333</v>
      </c>
      <c r="J2553" s="36">
        <v>42763</v>
      </c>
      <c r="K2553" s="37"/>
      <c r="L2553" s="74">
        <f t="shared" si="41"/>
        <v>5094</v>
      </c>
    </row>
    <row r="2554" spans="2:12" hidden="1" outlineLevel="1">
      <c r="B2554" s="73">
        <v>2548</v>
      </c>
      <c r="C2554" s="39"/>
      <c r="D2554" s="40"/>
      <c r="E2554" s="34" t="s">
        <v>323</v>
      </c>
      <c r="F2554" s="75" t="s">
        <v>2919</v>
      </c>
      <c r="G2554" s="35" t="s">
        <v>370</v>
      </c>
      <c r="H2554" s="41" t="s">
        <v>371</v>
      </c>
      <c r="I2554" s="44" t="str">
        <f>"0x"&amp;AE_w_WORK!M249</f>
        <v>0x4444</v>
      </c>
      <c r="J2554" s="36">
        <v>42764</v>
      </c>
      <c r="K2554" s="37"/>
      <c r="L2554" s="74">
        <f t="shared" si="41"/>
        <v>5096</v>
      </c>
    </row>
    <row r="2555" spans="2:12" hidden="1" outlineLevel="1">
      <c r="B2555" s="73">
        <v>2549</v>
      </c>
      <c r="C2555" s="39"/>
      <c r="D2555" s="40"/>
      <c r="E2555" s="34" t="s">
        <v>323</v>
      </c>
      <c r="F2555" s="75" t="s">
        <v>2920</v>
      </c>
      <c r="G2555" s="35" t="s">
        <v>370</v>
      </c>
      <c r="H2555" s="41" t="s">
        <v>371</v>
      </c>
      <c r="I2555" s="44" t="str">
        <f>"0x"&amp;AE_w_WORK!M250</f>
        <v>0x4444</v>
      </c>
      <c r="J2555" s="36">
        <v>42765</v>
      </c>
      <c r="K2555" s="37"/>
      <c r="L2555" s="74">
        <f t="shared" si="41"/>
        <v>5098</v>
      </c>
    </row>
    <row r="2556" spans="2:12" hidden="1" outlineLevel="1">
      <c r="B2556" s="73">
        <v>2550</v>
      </c>
      <c r="C2556" s="39"/>
      <c r="D2556" s="40"/>
      <c r="E2556" s="34" t="s">
        <v>323</v>
      </c>
      <c r="F2556" s="75" t="s">
        <v>2921</v>
      </c>
      <c r="G2556" s="35" t="s">
        <v>370</v>
      </c>
      <c r="H2556" s="41" t="s">
        <v>371</v>
      </c>
      <c r="I2556" s="44" t="str">
        <f>"0x"&amp;AE_w_WORK!M251</f>
        <v>0x3333</v>
      </c>
      <c r="J2556" s="36">
        <v>42766</v>
      </c>
      <c r="K2556" s="37"/>
      <c r="L2556" s="74">
        <f t="shared" si="41"/>
        <v>5100</v>
      </c>
    </row>
    <row r="2557" spans="2:12" hidden="1" outlineLevel="1">
      <c r="B2557" s="73">
        <v>2551</v>
      </c>
      <c r="C2557" s="39"/>
      <c r="D2557" s="40"/>
      <c r="E2557" s="34" t="s">
        <v>323</v>
      </c>
      <c r="F2557" s="75" t="s">
        <v>2922</v>
      </c>
      <c r="G2557" s="35" t="s">
        <v>370</v>
      </c>
      <c r="H2557" s="41" t="s">
        <v>371</v>
      </c>
      <c r="I2557" s="44" t="str">
        <f>"0x"&amp;AE_w_WORK!M252</f>
        <v>0x2211</v>
      </c>
      <c r="J2557" s="36">
        <v>42767</v>
      </c>
      <c r="K2557" s="37"/>
      <c r="L2557" s="74">
        <f t="shared" si="41"/>
        <v>5102</v>
      </c>
    </row>
    <row r="2558" spans="2:12" hidden="1" outlineLevel="1">
      <c r="B2558" s="73">
        <v>2552</v>
      </c>
      <c r="C2558" s="39"/>
      <c r="D2558" s="40"/>
      <c r="E2558" s="34" t="s">
        <v>323</v>
      </c>
      <c r="F2558" s="75" t="s">
        <v>2923</v>
      </c>
      <c r="G2558" s="35" t="s">
        <v>370</v>
      </c>
      <c r="H2558" s="41" t="s">
        <v>371</v>
      </c>
      <c r="I2558" s="44" t="str">
        <f>"0x"&amp;AE_w_WORK!M253</f>
        <v>0x1100</v>
      </c>
      <c r="J2558" s="36">
        <v>42768</v>
      </c>
      <c r="K2558" s="37"/>
      <c r="L2558" s="74">
        <f t="shared" si="41"/>
        <v>5104</v>
      </c>
    </row>
    <row r="2559" spans="2:12" hidden="1" outlineLevel="1">
      <c r="B2559" s="73">
        <v>2553</v>
      </c>
      <c r="C2559" s="39"/>
      <c r="D2559" s="40"/>
      <c r="E2559" s="34" t="s">
        <v>323</v>
      </c>
      <c r="F2559" s="75" t="s">
        <v>2924</v>
      </c>
      <c r="G2559" s="35" t="s">
        <v>370</v>
      </c>
      <c r="H2559" s="41" t="s">
        <v>371</v>
      </c>
      <c r="I2559" s="44" t="str">
        <f>"0x"&amp;AE_w_WORK!M254</f>
        <v>0x0011</v>
      </c>
      <c r="J2559" s="36">
        <v>42769</v>
      </c>
      <c r="K2559" s="37"/>
      <c r="L2559" s="74">
        <f t="shared" si="41"/>
        <v>5106</v>
      </c>
    </row>
    <row r="2560" spans="2:12" hidden="1" outlineLevel="1">
      <c r="B2560" s="73">
        <v>2554</v>
      </c>
      <c r="C2560" s="39"/>
      <c r="D2560" s="40"/>
      <c r="E2560" s="34" t="s">
        <v>323</v>
      </c>
      <c r="F2560" s="75" t="s">
        <v>2925</v>
      </c>
      <c r="G2560" s="35" t="s">
        <v>370</v>
      </c>
      <c r="H2560" s="41" t="s">
        <v>371</v>
      </c>
      <c r="I2560" s="44" t="str">
        <f>"0x"&amp;AE_w_WORK!M255</f>
        <v>0x1122</v>
      </c>
      <c r="J2560" s="36">
        <v>42770</v>
      </c>
      <c r="K2560" s="37"/>
      <c r="L2560" s="74">
        <f t="shared" si="41"/>
        <v>5108</v>
      </c>
    </row>
    <row r="2561" spans="2:12" hidden="1" outlineLevel="1">
      <c r="B2561" s="73">
        <v>2555</v>
      </c>
      <c r="C2561" s="39"/>
      <c r="D2561" s="40"/>
      <c r="E2561" s="34" t="s">
        <v>323</v>
      </c>
      <c r="F2561" s="75" t="s">
        <v>2926</v>
      </c>
      <c r="G2561" s="35" t="s">
        <v>370</v>
      </c>
      <c r="H2561" s="41" t="s">
        <v>371</v>
      </c>
      <c r="I2561" s="44" t="str">
        <f>"0x"&amp;AE_w_WORK!M256</f>
        <v>0x3333</v>
      </c>
      <c r="J2561" s="36">
        <v>42771</v>
      </c>
      <c r="K2561" s="37"/>
      <c r="L2561" s="74">
        <f t="shared" si="41"/>
        <v>5110</v>
      </c>
    </row>
    <row r="2562" spans="2:12" hidden="1" outlineLevel="1">
      <c r="B2562" s="73">
        <v>2556</v>
      </c>
      <c r="C2562" s="39"/>
      <c r="D2562" s="40"/>
      <c r="E2562" s="34" t="s">
        <v>323</v>
      </c>
      <c r="F2562" s="75" t="s">
        <v>2927</v>
      </c>
      <c r="G2562" s="35" t="s">
        <v>370</v>
      </c>
      <c r="H2562" s="41" t="s">
        <v>371</v>
      </c>
      <c r="I2562" s="44" t="str">
        <f>"0x"&amp;AE_w_WORK!M257</f>
        <v>0x3344</v>
      </c>
      <c r="J2562" s="36">
        <v>42772</v>
      </c>
      <c r="K2562" s="37"/>
      <c r="L2562" s="74">
        <f t="shared" si="41"/>
        <v>5112</v>
      </c>
    </row>
    <row r="2563" spans="2:12" hidden="1" outlineLevel="1">
      <c r="B2563" s="73">
        <v>2557</v>
      </c>
      <c r="C2563" s="39"/>
      <c r="D2563" s="40"/>
      <c r="E2563" s="34" t="s">
        <v>323</v>
      </c>
      <c r="F2563" s="75" t="s">
        <v>2928</v>
      </c>
      <c r="G2563" s="35" t="s">
        <v>370</v>
      </c>
      <c r="H2563" s="41" t="s">
        <v>371</v>
      </c>
      <c r="I2563" s="44" t="str">
        <f>"0x"&amp;AE_w_WORK!M258</f>
        <v>0x4433</v>
      </c>
      <c r="J2563" s="36">
        <v>42773</v>
      </c>
      <c r="K2563" s="37"/>
      <c r="L2563" s="74">
        <f t="shared" si="41"/>
        <v>5114</v>
      </c>
    </row>
    <row r="2564" spans="2:12" hidden="1" outlineLevel="1">
      <c r="B2564" s="73">
        <v>2558</v>
      </c>
      <c r="C2564" s="39"/>
      <c r="D2564" s="40"/>
      <c r="E2564" s="34" t="s">
        <v>323</v>
      </c>
      <c r="F2564" s="75" t="s">
        <v>2929</v>
      </c>
      <c r="G2564" s="35" t="s">
        <v>370</v>
      </c>
      <c r="H2564" s="41" t="s">
        <v>371</v>
      </c>
      <c r="I2564" s="44" t="str">
        <f>"0x"&amp;AE_w_WORK!M259</f>
        <v>0x3333</v>
      </c>
      <c r="J2564" s="36">
        <v>42774</v>
      </c>
      <c r="K2564" s="37"/>
      <c r="L2564" s="74">
        <f t="shared" si="41"/>
        <v>5116</v>
      </c>
    </row>
    <row r="2565" spans="2:12" hidden="1" outlineLevel="1">
      <c r="B2565" s="20">
        <v>2559</v>
      </c>
      <c r="C2565" s="39"/>
      <c r="D2565" s="40"/>
      <c r="E2565" s="138" t="s">
        <v>323</v>
      </c>
      <c r="F2565" s="24" t="s">
        <v>2930</v>
      </c>
      <c r="G2565" s="139" t="s">
        <v>370</v>
      </c>
      <c r="H2565" s="140" t="s">
        <v>371</v>
      </c>
      <c r="I2565" s="141" t="str">
        <f>"0x"&amp;AE_w_WORK!M260</f>
        <v>0x2211</v>
      </c>
      <c r="J2565" s="142">
        <v>42775</v>
      </c>
      <c r="K2565" s="143"/>
      <c r="L2565" s="74">
        <f t="shared" si="41"/>
        <v>5118</v>
      </c>
    </row>
    <row r="2566" spans="2:12" hidden="1" outlineLevel="1">
      <c r="B2566" s="73">
        <v>2560</v>
      </c>
      <c r="C2566" s="75"/>
      <c r="D2566" s="75"/>
      <c r="E2566" s="34" t="s">
        <v>323</v>
      </c>
      <c r="F2566" s="75" t="s">
        <v>2931</v>
      </c>
      <c r="G2566" s="41" t="s">
        <v>370</v>
      </c>
      <c r="H2566" s="41" t="s">
        <v>371</v>
      </c>
      <c r="I2566" s="44" t="str">
        <f>"0x"&amp;AE_w_WORK!M261</f>
        <v>0x1100</v>
      </c>
      <c r="J2566" s="36">
        <v>42776</v>
      </c>
      <c r="K2566" s="37"/>
      <c r="L2566" s="37">
        <f t="shared" si="41"/>
        <v>5120</v>
      </c>
    </row>
    <row r="2567" spans="2:12">
      <c r="B2567" s="133"/>
      <c r="C2567" s="144" t="s">
        <v>265</v>
      </c>
      <c r="D2567" s="145"/>
      <c r="E2567" s="146"/>
      <c r="F2567" s="147" t="s">
        <v>2932</v>
      </c>
      <c r="G2567" s="148" t="s">
        <v>328</v>
      </c>
      <c r="H2567" s="69"/>
      <c r="I2567" s="135"/>
      <c r="J2567" s="136"/>
      <c r="K2567" s="137"/>
      <c r="L2567" s="137"/>
    </row>
    <row r="2568" spans="2:12">
      <c r="B2568" s="133"/>
      <c r="C2568" s="14"/>
      <c r="D2568" s="14"/>
      <c r="E2568" s="134"/>
      <c r="F2568" s="14"/>
      <c r="G2568" s="69"/>
      <c r="H2568" s="69"/>
      <c r="I2568" s="135"/>
      <c r="J2568" s="136"/>
      <c r="K2568" s="137"/>
      <c r="L2568" s="137"/>
    </row>
    <row r="2569" spans="2:12">
      <c r="B2569" s="133"/>
      <c r="C2569" s="14"/>
      <c r="D2569" s="14"/>
      <c r="E2569" s="134"/>
      <c r="F2569" s="14"/>
      <c r="G2569" s="69"/>
      <c r="H2569" s="69"/>
      <c r="I2569" s="135"/>
      <c r="J2569" s="136"/>
      <c r="K2569" s="137"/>
      <c r="L2569" s="137"/>
    </row>
    <row r="2570" spans="2:12">
      <c r="B2570" s="133"/>
      <c r="C2570" s="14"/>
      <c r="D2570" s="14"/>
      <c r="E2570" s="134"/>
      <c r="F2570" s="14"/>
      <c r="G2570" s="69"/>
      <c r="H2570" s="69"/>
      <c r="I2570" s="135"/>
      <c r="J2570" s="136"/>
      <c r="K2570" s="137"/>
      <c r="L2570" s="137"/>
    </row>
    <row r="2571" spans="2:12">
      <c r="B2571" s="133"/>
      <c r="C2571" s="14"/>
      <c r="D2571" s="14"/>
      <c r="E2571" s="134"/>
      <c r="F2571" s="14"/>
      <c r="G2571" s="69"/>
      <c r="H2571" s="69"/>
      <c r="I2571" s="135"/>
      <c r="J2571" s="136"/>
      <c r="K2571" s="137"/>
      <c r="L2571" s="137"/>
    </row>
    <row r="2572" spans="2:12">
      <c r="B2572" s="133"/>
      <c r="C2572" s="14"/>
      <c r="D2572" s="14"/>
      <c r="E2572" s="134"/>
      <c r="F2572" s="14"/>
      <c r="G2572" s="69"/>
      <c r="H2572" s="69"/>
      <c r="I2572" s="135"/>
      <c r="J2572" s="136"/>
      <c r="K2572" s="137"/>
      <c r="L2572" s="137"/>
    </row>
    <row r="2573" spans="2:12">
      <c r="B2573" s="133"/>
      <c r="C2573" s="14"/>
      <c r="D2573" s="14"/>
      <c r="E2573" s="134"/>
      <c r="F2573" s="14"/>
      <c r="G2573" s="69"/>
      <c r="H2573" s="69"/>
      <c r="I2573" s="135"/>
      <c r="J2573" s="136"/>
      <c r="K2573" s="137"/>
      <c r="L2573" s="137"/>
    </row>
    <row r="2574" spans="2:12">
      <c r="B2574" s="133"/>
      <c r="C2574" s="14"/>
      <c r="D2574" s="14"/>
      <c r="E2574" s="134"/>
      <c r="F2574" s="14"/>
      <c r="G2574" s="69"/>
      <c r="H2574" s="69"/>
      <c r="I2574" s="135"/>
      <c r="J2574" s="136"/>
      <c r="K2574" s="137"/>
      <c r="L2574" s="137"/>
    </row>
    <row r="2575" spans="2:12">
      <c r="B2575" s="133"/>
      <c r="C2575" s="14"/>
      <c r="D2575" s="14"/>
      <c r="E2575" s="134"/>
      <c r="F2575" s="14"/>
      <c r="G2575" s="69"/>
      <c r="H2575" s="69"/>
      <c r="I2575" s="135"/>
      <c r="J2575" s="136"/>
      <c r="K2575" s="137"/>
      <c r="L2575" s="137"/>
    </row>
    <row r="2576" spans="2:12">
      <c r="B2576" s="133"/>
      <c r="C2576" s="14"/>
      <c r="D2576" s="14"/>
      <c r="E2576" s="134"/>
      <c r="F2576" s="14"/>
      <c r="G2576" s="69"/>
      <c r="H2576" s="69"/>
      <c r="I2576" s="135"/>
      <c r="J2576" s="136"/>
      <c r="K2576" s="137"/>
      <c r="L2576" s="137"/>
    </row>
    <row r="2577" spans="1:12">
      <c r="B2577" s="133"/>
      <c r="C2577" s="14"/>
      <c r="D2577" s="14"/>
      <c r="E2577" s="134"/>
      <c r="F2577" s="14"/>
      <c r="G2577" s="69"/>
      <c r="H2577" s="69"/>
      <c r="I2577" s="135"/>
      <c r="J2577" s="136"/>
      <c r="K2577" s="137"/>
      <c r="L2577" s="137"/>
    </row>
    <row r="2578" spans="1:12">
      <c r="B2578" s="133"/>
      <c r="C2578" s="14"/>
      <c r="D2578" s="14"/>
      <c r="E2578" s="134"/>
      <c r="F2578" s="14"/>
      <c r="G2578" s="69"/>
      <c r="H2578" s="69"/>
      <c r="I2578" s="135"/>
      <c r="J2578" s="136"/>
      <c r="K2578" s="137"/>
      <c r="L2578" s="137"/>
    </row>
    <row r="2579" spans="1:12">
      <c r="B2579" s="133"/>
      <c r="C2579" s="14"/>
      <c r="D2579" s="14"/>
      <c r="E2579" s="134"/>
      <c r="F2579" s="14"/>
      <c r="G2579" s="69"/>
      <c r="H2579" s="69"/>
      <c r="I2579" s="135"/>
      <c r="J2579" s="136"/>
      <c r="K2579" s="137"/>
      <c r="L2579" s="137"/>
    </row>
    <row r="2580" spans="1:12">
      <c r="A2580" s="74"/>
      <c r="B2580" s="133"/>
      <c r="C2580" s="14"/>
      <c r="D2580" s="14"/>
      <c r="E2580" s="134"/>
      <c r="F2580" s="14"/>
      <c r="G2580" s="69"/>
      <c r="H2580" s="69"/>
      <c r="I2580" s="135"/>
      <c r="J2580" s="136"/>
      <c r="K2580" s="137"/>
      <c r="L2580" s="137"/>
    </row>
    <row r="2581" spans="1:12">
      <c r="A2581" s="74"/>
      <c r="B2581" s="133"/>
      <c r="C2581" s="14"/>
      <c r="D2581" s="14"/>
      <c r="E2581" s="134"/>
      <c r="F2581" s="14"/>
      <c r="G2581" s="69"/>
      <c r="H2581" s="69"/>
      <c r="I2581" s="135"/>
      <c r="J2581" s="136"/>
      <c r="K2581" s="137"/>
      <c r="L2581" s="137"/>
    </row>
    <row r="2582" spans="1:12">
      <c r="A2582" s="74"/>
      <c r="B2582" s="133"/>
      <c r="C2582" s="14"/>
      <c r="D2582" s="14"/>
      <c r="E2582" s="134"/>
      <c r="F2582" s="14"/>
      <c r="G2582" s="69"/>
      <c r="H2582" s="69"/>
      <c r="I2582" s="135"/>
      <c r="J2582" s="136"/>
      <c r="K2582" s="137"/>
      <c r="L2582" s="137"/>
    </row>
    <row r="2583" spans="1:12">
      <c r="A2583" s="74"/>
      <c r="B2583" s="133"/>
      <c r="C2583" s="14"/>
      <c r="D2583" s="14"/>
      <c r="E2583" s="134"/>
      <c r="F2583" s="14"/>
      <c r="G2583" s="69"/>
      <c r="H2583" s="69"/>
      <c r="I2583" s="135"/>
      <c r="J2583" s="136"/>
      <c r="K2583" s="137"/>
      <c r="L2583" s="137"/>
    </row>
    <row r="2584" spans="1:12">
      <c r="A2584" s="74"/>
      <c r="B2584" s="133"/>
      <c r="C2584" s="14"/>
      <c r="D2584" s="14"/>
      <c r="E2584" s="134"/>
      <c r="F2584" s="14"/>
      <c r="G2584" s="69"/>
      <c r="H2584" s="69"/>
      <c r="I2584" s="135"/>
      <c r="J2584" s="136"/>
      <c r="K2584" s="137"/>
      <c r="L2584" s="137"/>
    </row>
    <row r="2585" spans="1:12">
      <c r="A2585" s="74"/>
      <c r="B2585" s="133"/>
      <c r="C2585" s="14"/>
      <c r="D2585" s="14"/>
      <c r="E2585" s="134"/>
      <c r="F2585" s="14"/>
      <c r="G2585" s="69"/>
      <c r="H2585" s="69"/>
      <c r="I2585" s="135"/>
      <c r="J2585" s="136"/>
      <c r="K2585" s="137"/>
      <c r="L2585" s="137"/>
    </row>
    <row r="2586" spans="1:12">
      <c r="A2586" s="74"/>
      <c r="B2586" s="133"/>
      <c r="C2586" s="14"/>
      <c r="D2586" s="14"/>
      <c r="E2586" s="134"/>
      <c r="F2586" s="14"/>
      <c r="G2586" s="69"/>
      <c r="H2586" s="69"/>
      <c r="I2586" s="135"/>
      <c r="J2586" s="136"/>
      <c r="K2586" s="137"/>
      <c r="L2586" s="137"/>
    </row>
    <row r="2587" spans="1:12">
      <c r="A2587" s="74"/>
      <c r="B2587" s="133"/>
      <c r="C2587" s="14"/>
      <c r="D2587" s="14"/>
      <c r="E2587" s="134"/>
      <c r="F2587" s="14"/>
      <c r="G2587" s="69"/>
      <c r="H2587" s="69"/>
      <c r="I2587" s="135"/>
      <c r="J2587" s="136"/>
      <c r="K2587" s="137"/>
      <c r="L2587" s="137"/>
    </row>
    <row r="2588" spans="1:12">
      <c r="A2588" s="74"/>
      <c r="B2588" s="133"/>
      <c r="C2588" s="14"/>
      <c r="D2588" s="14"/>
      <c r="E2588" s="134"/>
      <c r="F2588" s="14"/>
      <c r="G2588" s="69"/>
      <c r="H2588" s="69"/>
      <c r="I2588" s="135"/>
      <c r="J2588" s="136"/>
      <c r="K2588" s="137"/>
      <c r="L2588" s="137"/>
    </row>
    <row r="2589" spans="1:12">
      <c r="A2589" s="74"/>
      <c r="B2589" s="133"/>
      <c r="C2589" s="14"/>
      <c r="D2589" s="14"/>
      <c r="E2589" s="134"/>
      <c r="F2589" s="14"/>
      <c r="G2589" s="69"/>
      <c r="H2589" s="69"/>
      <c r="I2589" s="135"/>
      <c r="J2589" s="136"/>
      <c r="K2589" s="137"/>
      <c r="L2589" s="137"/>
    </row>
    <row r="2590" spans="1:12">
      <c r="A2590" s="74"/>
      <c r="B2590" s="133"/>
      <c r="C2590" s="14"/>
      <c r="D2590" s="14"/>
      <c r="E2590" s="134"/>
      <c r="F2590" s="14"/>
      <c r="G2590" s="69"/>
      <c r="H2590" s="69"/>
      <c r="I2590" s="135"/>
      <c r="J2590" s="136"/>
      <c r="K2590" s="137"/>
      <c r="L2590" s="137"/>
    </row>
    <row r="2591" spans="1:12">
      <c r="A2591" s="74"/>
      <c r="B2591" s="133"/>
      <c r="C2591" s="14"/>
      <c r="D2591" s="14"/>
      <c r="E2591" s="134"/>
      <c r="F2591" s="14"/>
      <c r="G2591" s="69"/>
      <c r="H2591" s="69"/>
      <c r="I2591" s="135"/>
      <c r="J2591" s="136"/>
      <c r="K2591" s="137"/>
      <c r="L2591" s="137"/>
    </row>
    <row r="2592" spans="1:12">
      <c r="A2592" s="74"/>
      <c r="B2592" s="133"/>
      <c r="C2592" s="14"/>
      <c r="D2592" s="14"/>
      <c r="E2592" s="134"/>
      <c r="F2592" s="14"/>
      <c r="G2592" s="69"/>
      <c r="H2592" s="69"/>
      <c r="I2592" s="135"/>
      <c r="J2592" s="136"/>
      <c r="K2592" s="137"/>
      <c r="L2592" s="137"/>
    </row>
    <row r="2593" spans="1:12">
      <c r="A2593" s="74"/>
      <c r="B2593" s="133"/>
      <c r="C2593" s="14"/>
      <c r="D2593" s="14"/>
      <c r="E2593" s="134"/>
      <c r="F2593" s="14"/>
      <c r="G2593" s="69"/>
      <c r="H2593" s="69"/>
      <c r="I2593" s="135"/>
      <c r="J2593" s="136"/>
      <c r="K2593" s="137"/>
      <c r="L2593" s="137"/>
    </row>
    <row r="2594" spans="1:12">
      <c r="A2594" s="74"/>
      <c r="B2594" s="133"/>
      <c r="C2594" s="14"/>
      <c r="D2594" s="14"/>
      <c r="E2594" s="134"/>
      <c r="F2594" s="14"/>
      <c r="G2594" s="69"/>
      <c r="H2594" s="69"/>
      <c r="I2594" s="135"/>
      <c r="J2594" s="136"/>
      <c r="K2594" s="137"/>
      <c r="L2594" s="137"/>
    </row>
    <row r="2595" spans="1:12">
      <c r="A2595" s="74"/>
      <c r="B2595" s="133"/>
      <c r="C2595" s="14"/>
      <c r="D2595" s="14"/>
      <c r="E2595" s="134"/>
      <c r="F2595" s="14"/>
      <c r="G2595" s="69"/>
      <c r="H2595" s="69"/>
      <c r="I2595" s="135"/>
      <c r="J2595" s="136"/>
      <c r="K2595" s="137"/>
      <c r="L2595" s="137"/>
    </row>
    <row r="2596" spans="1:12">
      <c r="A2596" s="74"/>
      <c r="B2596" s="133"/>
      <c r="C2596" s="14"/>
      <c r="D2596" s="14"/>
      <c r="E2596" s="134"/>
      <c r="F2596" s="14"/>
      <c r="G2596" s="69"/>
      <c r="H2596" s="69"/>
      <c r="I2596" s="135"/>
      <c r="J2596" s="136"/>
      <c r="K2596" s="137"/>
      <c r="L2596" s="137"/>
    </row>
    <row r="2597" spans="1:12">
      <c r="A2597" s="74"/>
      <c r="B2597" s="133"/>
      <c r="C2597" s="14"/>
      <c r="D2597" s="14"/>
      <c r="E2597" s="134"/>
      <c r="F2597" s="14"/>
      <c r="G2597" s="69"/>
      <c r="H2597" s="69"/>
      <c r="I2597" s="135"/>
      <c r="J2597" s="136"/>
      <c r="K2597" s="137"/>
      <c r="L2597" s="137"/>
    </row>
    <row r="2598" spans="1:12">
      <c r="A2598" s="74"/>
      <c r="B2598" s="133"/>
      <c r="C2598" s="14"/>
      <c r="D2598" s="14"/>
      <c r="E2598" s="134"/>
      <c r="F2598" s="14"/>
      <c r="G2598" s="69"/>
      <c r="H2598" s="69"/>
      <c r="I2598" s="135"/>
      <c r="J2598" s="136"/>
      <c r="K2598" s="137"/>
      <c r="L2598" s="137"/>
    </row>
    <row r="2599" spans="1:12">
      <c r="A2599" s="74"/>
      <c r="B2599" s="133"/>
      <c r="C2599" s="14"/>
      <c r="D2599" s="14"/>
      <c r="E2599" s="134"/>
      <c r="F2599" s="14"/>
      <c r="G2599" s="69"/>
      <c r="H2599" s="69"/>
      <c r="I2599" s="135"/>
      <c r="J2599" s="136"/>
      <c r="K2599" s="137"/>
      <c r="L2599" s="137"/>
    </row>
    <row r="2600" spans="1:12">
      <c r="A2600" s="74"/>
      <c r="B2600" s="133"/>
      <c r="C2600" s="14"/>
      <c r="D2600" s="14"/>
      <c r="E2600" s="134"/>
      <c r="F2600" s="14"/>
      <c r="G2600" s="69"/>
      <c r="H2600" s="69"/>
      <c r="I2600" s="135"/>
      <c r="J2600" s="136"/>
      <c r="K2600" s="137"/>
      <c r="L2600" s="137"/>
    </row>
    <row r="2601" spans="1:12">
      <c r="A2601" s="74"/>
      <c r="B2601" s="133"/>
      <c r="C2601" s="14"/>
      <c r="D2601" s="14"/>
      <c r="E2601" s="134"/>
      <c r="F2601" s="14"/>
      <c r="G2601" s="69"/>
      <c r="H2601" s="69"/>
      <c r="I2601" s="135"/>
      <c r="J2601" s="136"/>
      <c r="K2601" s="137"/>
      <c r="L2601" s="137"/>
    </row>
    <row r="2602" spans="1:12">
      <c r="A2602" s="74"/>
      <c r="B2602" s="133"/>
      <c r="C2602" s="14"/>
      <c r="D2602" s="14"/>
      <c r="E2602" s="134"/>
      <c r="F2602" s="14"/>
      <c r="G2602" s="69"/>
      <c r="H2602" s="69"/>
      <c r="I2602" s="135"/>
      <c r="J2602" s="136"/>
      <c r="K2602" s="137"/>
      <c r="L2602" s="137"/>
    </row>
    <row r="2603" spans="1:12">
      <c r="A2603" s="74"/>
      <c r="B2603" s="133"/>
      <c r="C2603" s="14"/>
      <c r="D2603" s="14"/>
      <c r="E2603" s="134"/>
      <c r="F2603" s="14"/>
      <c r="G2603" s="69"/>
      <c r="H2603" s="69"/>
      <c r="I2603" s="135"/>
      <c r="J2603" s="136"/>
      <c r="K2603" s="137"/>
      <c r="L2603" s="137"/>
    </row>
    <row r="2604" spans="1:12">
      <c r="A2604" s="74"/>
      <c r="B2604" s="133"/>
      <c r="C2604" s="14"/>
      <c r="D2604" s="14"/>
      <c r="E2604" s="134"/>
      <c r="F2604" s="14"/>
      <c r="G2604" s="69"/>
      <c r="H2604" s="69"/>
      <c r="I2604" s="135"/>
      <c r="J2604" s="136"/>
      <c r="K2604" s="137"/>
      <c r="L2604" s="137"/>
    </row>
    <row r="2605" spans="1:12">
      <c r="A2605" s="74"/>
      <c r="B2605" s="133"/>
      <c r="C2605" s="14"/>
      <c r="D2605" s="14"/>
      <c r="E2605" s="134"/>
      <c r="F2605" s="14"/>
      <c r="G2605" s="69"/>
      <c r="H2605" s="69"/>
      <c r="I2605" s="135"/>
      <c r="J2605" s="136"/>
      <c r="K2605" s="137"/>
      <c r="L2605" s="137"/>
    </row>
    <row r="2606" spans="1:12">
      <c r="A2606" s="74"/>
      <c r="B2606" s="133"/>
      <c r="C2606" s="14"/>
      <c r="D2606" s="14"/>
      <c r="E2606" s="134"/>
      <c r="F2606" s="14"/>
      <c r="G2606" s="69"/>
      <c r="H2606" s="69"/>
      <c r="I2606" s="135"/>
      <c r="J2606" s="136"/>
      <c r="K2606" s="137"/>
      <c r="L2606" s="137"/>
    </row>
    <row r="2607" spans="1:12">
      <c r="A2607" s="74"/>
      <c r="B2607" s="133"/>
      <c r="C2607" s="14"/>
      <c r="D2607" s="14"/>
      <c r="E2607" s="134"/>
      <c r="F2607" s="14"/>
      <c r="G2607" s="69"/>
      <c r="H2607" s="69"/>
      <c r="I2607" s="135"/>
      <c r="J2607" s="136"/>
      <c r="K2607" s="137"/>
      <c r="L2607" s="137"/>
    </row>
    <row r="2608" spans="1:12">
      <c r="A2608" s="74"/>
      <c r="B2608" s="133"/>
      <c r="C2608" s="14"/>
      <c r="D2608" s="14"/>
      <c r="E2608" s="134"/>
      <c r="F2608" s="14"/>
      <c r="G2608" s="69"/>
      <c r="H2608" s="69"/>
      <c r="I2608" s="135"/>
      <c r="J2608" s="136"/>
      <c r="K2608" s="137"/>
      <c r="L2608" s="137"/>
    </row>
    <row r="2609" spans="1:12">
      <c r="A2609" s="74"/>
      <c r="B2609" s="133"/>
      <c r="C2609" s="14"/>
      <c r="D2609" s="14"/>
      <c r="E2609" s="134"/>
      <c r="F2609" s="14"/>
      <c r="G2609" s="69"/>
      <c r="H2609" s="69"/>
      <c r="I2609" s="135"/>
      <c r="J2609" s="136"/>
      <c r="K2609" s="137"/>
      <c r="L2609" s="137"/>
    </row>
    <row r="2610" spans="1:12">
      <c r="A2610" s="74"/>
      <c r="B2610" s="133"/>
      <c r="C2610" s="14"/>
      <c r="D2610" s="14"/>
      <c r="E2610" s="134"/>
      <c r="F2610" s="14"/>
      <c r="G2610" s="69"/>
      <c r="H2610" s="69"/>
      <c r="I2610" s="135"/>
      <c r="J2610" s="136"/>
      <c r="K2610" s="137"/>
      <c r="L2610" s="137"/>
    </row>
    <row r="2611" spans="1:12">
      <c r="A2611" s="74"/>
      <c r="B2611" s="133"/>
      <c r="C2611" s="14"/>
      <c r="D2611" s="14"/>
      <c r="E2611" s="134"/>
      <c r="F2611" s="14"/>
      <c r="G2611" s="69"/>
      <c r="H2611" s="69"/>
      <c r="I2611" s="135"/>
      <c r="J2611" s="136"/>
      <c r="K2611" s="137"/>
      <c r="L2611" s="137"/>
    </row>
    <row r="2612" spans="1:12">
      <c r="A2612" s="74"/>
      <c r="B2612" s="133"/>
      <c r="C2612" s="14"/>
      <c r="D2612" s="14"/>
      <c r="E2612" s="134"/>
      <c r="F2612" s="14"/>
      <c r="G2612" s="69"/>
      <c r="H2612" s="69"/>
      <c r="I2612" s="135"/>
      <c r="J2612" s="136"/>
      <c r="K2612" s="137"/>
      <c r="L2612" s="137"/>
    </row>
    <row r="2613" spans="1:12">
      <c r="A2613" s="74"/>
      <c r="B2613" s="133"/>
      <c r="C2613" s="14"/>
      <c r="D2613" s="14"/>
      <c r="E2613" s="134"/>
      <c r="F2613" s="14"/>
      <c r="G2613" s="69"/>
      <c r="H2613" s="69"/>
      <c r="I2613" s="135"/>
      <c r="J2613" s="136"/>
      <c r="K2613" s="137"/>
      <c r="L2613" s="137"/>
    </row>
    <row r="2614" spans="1:12">
      <c r="A2614" s="74"/>
      <c r="B2614" s="133"/>
      <c r="C2614" s="14"/>
      <c r="D2614" s="14"/>
      <c r="E2614" s="134"/>
      <c r="F2614" s="14"/>
      <c r="G2614" s="69"/>
      <c r="H2614" s="69"/>
      <c r="I2614" s="135"/>
      <c r="J2614" s="136"/>
      <c r="K2614" s="137"/>
      <c r="L2614" s="137"/>
    </row>
    <row r="2615" spans="1:12">
      <c r="A2615" s="74"/>
      <c r="B2615" s="133"/>
      <c r="C2615" s="14"/>
      <c r="D2615" s="14"/>
      <c r="E2615" s="134"/>
      <c r="F2615" s="14"/>
      <c r="G2615" s="69"/>
      <c r="H2615" s="69"/>
      <c r="I2615" s="135"/>
      <c r="J2615" s="136"/>
      <c r="K2615" s="137"/>
      <c r="L2615" s="137"/>
    </row>
    <row r="2616" spans="1:12">
      <c r="A2616" s="74"/>
      <c r="B2616" s="133"/>
      <c r="C2616" s="14"/>
      <c r="D2616" s="14"/>
      <c r="E2616" s="134"/>
      <c r="F2616" s="14"/>
      <c r="G2616" s="69"/>
      <c r="H2616" s="69"/>
      <c r="I2616" s="135"/>
      <c r="J2616" s="136"/>
      <c r="K2616" s="137"/>
      <c r="L2616" s="137"/>
    </row>
    <row r="2617" spans="1:12">
      <c r="A2617" s="74"/>
      <c r="B2617" s="133"/>
      <c r="C2617" s="14"/>
      <c r="D2617" s="14"/>
      <c r="E2617" s="134"/>
      <c r="F2617" s="14"/>
      <c r="G2617" s="69"/>
      <c r="H2617" s="69"/>
      <c r="I2617" s="135"/>
      <c r="J2617" s="136"/>
      <c r="K2617" s="137"/>
      <c r="L2617" s="137"/>
    </row>
    <row r="2618" spans="1:12">
      <c r="A2618" s="74"/>
      <c r="B2618" s="133"/>
      <c r="C2618" s="14"/>
      <c r="D2618" s="14"/>
      <c r="E2618" s="134"/>
      <c r="F2618" s="14"/>
      <c r="G2618" s="69"/>
      <c r="H2618" s="69"/>
      <c r="I2618" s="135"/>
      <c r="J2618" s="136"/>
      <c r="K2618" s="137"/>
      <c r="L2618" s="137"/>
    </row>
    <row r="2619" spans="1:12">
      <c r="A2619" s="74"/>
      <c r="B2619" s="133"/>
      <c r="C2619" s="14"/>
      <c r="D2619" s="14"/>
      <c r="E2619" s="134"/>
      <c r="F2619" s="14"/>
      <c r="G2619" s="69"/>
      <c r="H2619" s="69"/>
      <c r="I2619" s="135"/>
      <c r="J2619" s="136"/>
      <c r="K2619" s="137"/>
      <c r="L2619" s="137"/>
    </row>
    <row r="2620" spans="1:12">
      <c r="A2620" s="74"/>
      <c r="B2620" s="133"/>
      <c r="C2620" s="14"/>
      <c r="D2620" s="14"/>
      <c r="E2620" s="134"/>
      <c r="F2620" s="14"/>
      <c r="G2620" s="69"/>
      <c r="H2620" s="69"/>
      <c r="I2620" s="135"/>
      <c r="J2620" s="136"/>
      <c r="K2620" s="137"/>
      <c r="L2620" s="137"/>
    </row>
    <row r="2621" spans="1:12">
      <c r="A2621" s="74"/>
      <c r="B2621" s="133"/>
      <c r="C2621" s="14"/>
      <c r="D2621" s="14"/>
      <c r="E2621" s="134"/>
      <c r="F2621" s="14"/>
      <c r="G2621" s="69"/>
      <c r="H2621" s="69"/>
      <c r="I2621" s="135"/>
      <c r="J2621" s="136"/>
      <c r="K2621" s="137"/>
      <c r="L2621" s="137"/>
    </row>
    <row r="2622" spans="1:12">
      <c r="A2622" s="74"/>
      <c r="B2622" s="133"/>
      <c r="C2622" s="14"/>
      <c r="D2622" s="14"/>
      <c r="E2622" s="134"/>
      <c r="F2622" s="14"/>
      <c r="G2622" s="69"/>
      <c r="H2622" s="69"/>
      <c r="I2622" s="135"/>
      <c r="J2622" s="136"/>
      <c r="K2622" s="137"/>
      <c r="L2622" s="137"/>
    </row>
    <row r="2623" spans="1:12">
      <c r="A2623" s="74"/>
      <c r="B2623" s="133"/>
      <c r="C2623" s="14"/>
      <c r="D2623" s="14"/>
      <c r="E2623" s="134"/>
      <c r="F2623" s="14"/>
      <c r="G2623" s="69"/>
      <c r="H2623" s="69"/>
      <c r="I2623" s="135"/>
      <c r="J2623" s="136"/>
      <c r="K2623" s="137"/>
      <c r="L2623" s="137"/>
    </row>
    <row r="2624" spans="1:12">
      <c r="A2624" s="74"/>
      <c r="B2624" s="133"/>
      <c r="C2624" s="14"/>
      <c r="D2624" s="14"/>
      <c r="E2624" s="134"/>
      <c r="F2624" s="14"/>
      <c r="G2624" s="69"/>
      <c r="H2624" s="69"/>
      <c r="I2624" s="135"/>
      <c r="J2624" s="136"/>
      <c r="K2624" s="137"/>
      <c r="L2624" s="137"/>
    </row>
    <row r="2625" spans="1:12">
      <c r="A2625" s="74"/>
      <c r="B2625" s="133"/>
      <c r="C2625" s="14"/>
      <c r="D2625" s="14"/>
      <c r="E2625" s="134"/>
      <c r="F2625" s="14"/>
      <c r="G2625" s="69"/>
      <c r="H2625" s="69"/>
      <c r="I2625" s="135"/>
      <c r="J2625" s="136"/>
      <c r="K2625" s="137"/>
      <c r="L2625" s="137"/>
    </row>
    <row r="2626" spans="1:12">
      <c r="A2626" s="74"/>
      <c r="B2626" s="133"/>
      <c r="C2626" s="14"/>
      <c r="D2626" s="14"/>
      <c r="E2626" s="134"/>
      <c r="F2626" s="14"/>
      <c r="G2626" s="69"/>
      <c r="H2626" s="69"/>
      <c r="I2626" s="135"/>
      <c r="J2626" s="136"/>
      <c r="K2626" s="137"/>
      <c r="L2626" s="137"/>
    </row>
    <row r="2627" spans="1:12">
      <c r="A2627" s="74"/>
      <c r="B2627" s="133"/>
      <c r="C2627" s="14"/>
      <c r="D2627" s="14"/>
      <c r="E2627" s="134"/>
      <c r="F2627" s="14"/>
      <c r="G2627" s="69"/>
      <c r="H2627" s="69"/>
      <c r="I2627" s="135"/>
      <c r="J2627" s="136"/>
      <c r="K2627" s="137"/>
      <c r="L2627" s="137"/>
    </row>
    <row r="2628" spans="1:12">
      <c r="A2628" s="74"/>
      <c r="B2628" s="133"/>
      <c r="C2628" s="14"/>
      <c r="D2628" s="14"/>
      <c r="E2628" s="134"/>
      <c r="F2628" s="14"/>
      <c r="G2628" s="69"/>
      <c r="H2628" s="69"/>
      <c r="I2628" s="135"/>
      <c r="J2628" s="136"/>
      <c r="K2628" s="137"/>
      <c r="L2628" s="137"/>
    </row>
    <row r="2629" spans="1:12">
      <c r="A2629" s="74"/>
      <c r="B2629" s="133"/>
      <c r="C2629" s="14"/>
      <c r="D2629" s="14"/>
      <c r="E2629" s="134"/>
      <c r="F2629" s="14"/>
      <c r="G2629" s="69"/>
      <c r="H2629" s="69"/>
      <c r="I2629" s="135"/>
      <c r="J2629" s="136"/>
      <c r="K2629" s="137"/>
      <c r="L2629" s="137"/>
    </row>
    <row r="2630" spans="1:12">
      <c r="A2630" s="74"/>
      <c r="B2630" s="133"/>
      <c r="C2630" s="14"/>
      <c r="D2630" s="14"/>
      <c r="E2630" s="134"/>
      <c r="F2630" s="14"/>
      <c r="G2630" s="69"/>
      <c r="H2630" s="69"/>
      <c r="I2630" s="135"/>
      <c r="J2630" s="136"/>
      <c r="K2630" s="137"/>
      <c r="L2630" s="137"/>
    </row>
    <row r="2631" spans="1:12">
      <c r="A2631" s="74"/>
      <c r="B2631" s="133"/>
      <c r="C2631" s="14"/>
      <c r="D2631" s="14"/>
      <c r="E2631" s="134"/>
      <c r="F2631" s="14"/>
      <c r="G2631" s="69"/>
      <c r="H2631" s="69"/>
      <c r="I2631" s="135"/>
      <c r="J2631" s="136"/>
      <c r="K2631" s="137"/>
      <c r="L2631" s="137"/>
    </row>
    <row r="2632" spans="1:12">
      <c r="A2632" s="74"/>
      <c r="B2632" s="133"/>
      <c r="C2632" s="14"/>
      <c r="D2632" s="14"/>
      <c r="E2632" s="134"/>
      <c r="F2632" s="14"/>
      <c r="G2632" s="69"/>
      <c r="H2632" s="69"/>
      <c r="I2632" s="135"/>
      <c r="J2632" s="136"/>
      <c r="K2632" s="137"/>
      <c r="L2632" s="137"/>
    </row>
    <row r="2633" spans="1:12">
      <c r="A2633" s="74"/>
      <c r="B2633" s="133"/>
      <c r="C2633" s="14"/>
      <c r="D2633" s="14"/>
      <c r="E2633" s="134"/>
      <c r="F2633" s="14"/>
      <c r="G2633" s="69"/>
      <c r="H2633" s="69"/>
      <c r="I2633" s="135"/>
      <c r="J2633" s="136"/>
      <c r="K2633" s="137"/>
      <c r="L2633" s="137"/>
    </row>
    <row r="2634" spans="1:12">
      <c r="A2634" s="74"/>
      <c r="B2634" s="133"/>
      <c r="C2634" s="14"/>
      <c r="D2634" s="14"/>
      <c r="E2634" s="134"/>
      <c r="F2634" s="14"/>
      <c r="G2634" s="69"/>
      <c r="H2634" s="69"/>
      <c r="I2634" s="135"/>
      <c r="J2634" s="136"/>
      <c r="K2634" s="137"/>
      <c r="L2634" s="137"/>
    </row>
    <row r="2635" spans="1:12">
      <c r="A2635" s="74"/>
      <c r="B2635" s="133"/>
      <c r="C2635" s="14"/>
      <c r="D2635" s="14"/>
      <c r="E2635" s="134"/>
      <c r="F2635" s="14"/>
      <c r="G2635" s="69"/>
      <c r="H2635" s="69"/>
      <c r="I2635" s="135"/>
      <c r="J2635" s="136"/>
      <c r="K2635" s="137"/>
      <c r="L2635" s="137"/>
    </row>
    <row r="2636" spans="1:12">
      <c r="A2636" s="74"/>
      <c r="B2636" s="133"/>
      <c r="C2636" s="14"/>
      <c r="D2636" s="14"/>
      <c r="E2636" s="134"/>
      <c r="F2636" s="14"/>
      <c r="G2636" s="69"/>
      <c r="H2636" s="69"/>
      <c r="I2636" s="135"/>
      <c r="J2636" s="136"/>
      <c r="K2636" s="137"/>
      <c r="L2636" s="137"/>
    </row>
    <row r="2637" spans="1:12">
      <c r="A2637" s="74"/>
      <c r="B2637" s="133"/>
      <c r="C2637" s="14"/>
      <c r="D2637" s="14"/>
      <c r="E2637" s="134"/>
      <c r="F2637" s="14"/>
      <c r="G2637" s="69"/>
      <c r="H2637" s="69"/>
      <c r="I2637" s="135"/>
      <c r="J2637" s="136"/>
      <c r="K2637" s="137"/>
      <c r="L2637" s="137"/>
    </row>
    <row r="2638" spans="1:12">
      <c r="A2638" s="74"/>
      <c r="B2638" s="133"/>
      <c r="C2638" s="14"/>
      <c r="D2638" s="14"/>
      <c r="E2638" s="134"/>
      <c r="F2638" s="14"/>
      <c r="G2638" s="69"/>
      <c r="H2638" s="69"/>
      <c r="I2638" s="135"/>
      <c r="J2638" s="136"/>
      <c r="K2638" s="137"/>
      <c r="L2638" s="137"/>
    </row>
    <row r="2639" spans="1:12">
      <c r="A2639" s="74"/>
      <c r="B2639" s="133"/>
      <c r="C2639" s="14"/>
      <c r="D2639" s="14"/>
      <c r="E2639" s="134"/>
      <c r="F2639" s="14"/>
      <c r="G2639" s="69"/>
      <c r="H2639" s="69"/>
      <c r="I2639" s="135"/>
      <c r="J2639" s="136"/>
      <c r="K2639" s="137"/>
      <c r="L2639" s="137"/>
    </row>
    <row r="2640" spans="1:12">
      <c r="A2640" s="74"/>
      <c r="B2640" s="133"/>
      <c r="C2640" s="14"/>
      <c r="D2640" s="14"/>
      <c r="E2640" s="134"/>
      <c r="F2640" s="14"/>
      <c r="G2640" s="69"/>
      <c r="H2640" s="69"/>
      <c r="I2640" s="135"/>
      <c r="J2640" s="136"/>
      <c r="K2640" s="137"/>
      <c r="L2640" s="137"/>
    </row>
    <row r="2641" spans="1:12">
      <c r="A2641" s="74"/>
      <c r="B2641" s="133"/>
      <c r="C2641" s="14"/>
      <c r="D2641" s="14"/>
      <c r="E2641" s="134"/>
      <c r="F2641" s="14"/>
      <c r="G2641" s="69"/>
      <c r="H2641" s="69"/>
      <c r="I2641" s="135"/>
      <c r="J2641" s="136"/>
      <c r="K2641" s="137"/>
      <c r="L2641" s="137"/>
    </row>
    <row r="2642" spans="1:12">
      <c r="A2642" s="74"/>
      <c r="B2642" s="133"/>
      <c r="C2642" s="14"/>
      <c r="D2642" s="14"/>
      <c r="E2642" s="134"/>
      <c r="F2642" s="14"/>
      <c r="G2642" s="69"/>
      <c r="H2642" s="69"/>
      <c r="I2642" s="135"/>
      <c r="J2642" s="136"/>
      <c r="K2642" s="137"/>
      <c r="L2642" s="137"/>
    </row>
    <row r="2643" spans="1:12">
      <c r="A2643" s="74"/>
      <c r="B2643" s="133"/>
      <c r="C2643" s="14"/>
      <c r="D2643" s="14"/>
      <c r="E2643" s="134"/>
      <c r="F2643" s="14"/>
      <c r="G2643" s="69"/>
      <c r="H2643" s="69"/>
      <c r="I2643" s="135"/>
      <c r="J2643" s="136"/>
      <c r="K2643" s="137"/>
      <c r="L2643" s="137"/>
    </row>
    <row r="2644" spans="1:12">
      <c r="A2644" s="74"/>
      <c r="B2644" s="133"/>
      <c r="C2644" s="14"/>
      <c r="D2644" s="14"/>
      <c r="E2644" s="134"/>
      <c r="F2644" s="14"/>
      <c r="G2644" s="69"/>
      <c r="H2644" s="69"/>
      <c r="I2644" s="135"/>
      <c r="J2644" s="136"/>
      <c r="K2644" s="137"/>
      <c r="L2644" s="137"/>
    </row>
    <row r="2645" spans="1:12">
      <c r="A2645" s="74"/>
      <c r="B2645" s="133"/>
      <c r="C2645" s="14"/>
      <c r="D2645" s="14"/>
      <c r="E2645" s="134"/>
      <c r="F2645" s="14"/>
      <c r="G2645" s="69"/>
      <c r="H2645" s="69"/>
      <c r="I2645" s="135"/>
      <c r="J2645" s="136"/>
      <c r="K2645" s="137"/>
      <c r="L2645" s="137"/>
    </row>
    <row r="2646" spans="1:12">
      <c r="A2646" s="74"/>
      <c r="B2646" s="133"/>
      <c r="C2646" s="14"/>
      <c r="D2646" s="14"/>
      <c r="E2646" s="134"/>
      <c r="F2646" s="14"/>
      <c r="G2646" s="69"/>
      <c r="H2646" s="69"/>
      <c r="I2646" s="135"/>
      <c r="J2646" s="136"/>
      <c r="K2646" s="137"/>
      <c r="L2646" s="137"/>
    </row>
    <row r="2647" spans="1:12">
      <c r="A2647" s="74"/>
      <c r="B2647" s="133"/>
      <c r="C2647" s="14"/>
      <c r="D2647" s="14"/>
      <c r="E2647" s="134"/>
      <c r="F2647" s="14"/>
      <c r="G2647" s="69"/>
      <c r="H2647" s="69"/>
      <c r="I2647" s="135"/>
      <c r="J2647" s="136"/>
      <c r="K2647" s="137"/>
      <c r="L2647" s="137"/>
    </row>
    <row r="2648" spans="1:12">
      <c r="A2648" s="74"/>
      <c r="B2648" s="133"/>
      <c r="C2648" s="14"/>
      <c r="D2648" s="14"/>
      <c r="E2648" s="134"/>
      <c r="F2648" s="14"/>
      <c r="G2648" s="69"/>
      <c r="H2648" s="69"/>
      <c r="I2648" s="135"/>
      <c r="J2648" s="136"/>
      <c r="K2648" s="137"/>
      <c r="L2648" s="137"/>
    </row>
    <row r="2649" spans="1:12">
      <c r="A2649" s="74"/>
      <c r="B2649" s="133"/>
      <c r="C2649" s="14"/>
      <c r="D2649" s="14"/>
      <c r="E2649" s="134"/>
      <c r="F2649" s="14"/>
      <c r="G2649" s="69"/>
      <c r="H2649" s="69"/>
      <c r="I2649" s="135"/>
      <c r="J2649" s="136"/>
      <c r="K2649" s="137"/>
      <c r="L2649" s="137"/>
    </row>
    <row r="2650" spans="1:12">
      <c r="A2650" s="74"/>
      <c r="B2650" s="133"/>
      <c r="C2650" s="14"/>
      <c r="D2650" s="14"/>
      <c r="E2650" s="134"/>
      <c r="F2650" s="14"/>
      <c r="G2650" s="69"/>
      <c r="H2650" s="69"/>
      <c r="I2650" s="135"/>
      <c r="J2650" s="136"/>
      <c r="K2650" s="137"/>
      <c r="L2650" s="137"/>
    </row>
    <row r="2651" spans="1:12">
      <c r="A2651" s="74"/>
      <c r="B2651" s="133"/>
      <c r="C2651" s="14"/>
      <c r="D2651" s="14"/>
      <c r="E2651" s="134"/>
      <c r="F2651" s="14"/>
      <c r="G2651" s="69"/>
      <c r="H2651" s="69"/>
      <c r="I2651" s="135"/>
      <c r="J2651" s="136"/>
      <c r="K2651" s="137"/>
      <c r="L2651" s="137"/>
    </row>
    <row r="2652" spans="1:12">
      <c r="A2652" s="74"/>
      <c r="B2652" s="133"/>
      <c r="C2652" s="14"/>
      <c r="D2652" s="14"/>
      <c r="E2652" s="134"/>
      <c r="F2652" s="14"/>
      <c r="G2652" s="69"/>
      <c r="H2652" s="69"/>
      <c r="I2652" s="135"/>
      <c r="J2652" s="136"/>
      <c r="K2652" s="137"/>
      <c r="L2652" s="137"/>
    </row>
    <row r="2653" spans="1:12">
      <c r="A2653" s="74"/>
      <c r="B2653" s="133"/>
      <c r="C2653" s="14"/>
      <c r="D2653" s="14"/>
      <c r="E2653" s="134"/>
      <c r="F2653" s="14"/>
      <c r="G2653" s="69"/>
      <c r="H2653" s="69"/>
      <c r="I2653" s="135"/>
      <c r="J2653" s="136"/>
      <c r="K2653" s="137"/>
      <c r="L2653" s="137"/>
    </row>
    <row r="2654" spans="1:12">
      <c r="A2654" s="74"/>
      <c r="B2654" s="133"/>
      <c r="C2654" s="14"/>
      <c r="D2654" s="14"/>
      <c r="E2654" s="134"/>
      <c r="F2654" s="14"/>
      <c r="G2654" s="69"/>
      <c r="H2654" s="69"/>
      <c r="I2654" s="135"/>
      <c r="J2654" s="136"/>
      <c r="K2654" s="137"/>
      <c r="L2654" s="137"/>
    </row>
    <row r="2655" spans="1:12">
      <c r="A2655" s="74"/>
      <c r="B2655" s="133"/>
      <c r="C2655" s="14"/>
      <c r="D2655" s="14"/>
      <c r="E2655" s="134"/>
      <c r="F2655" s="14"/>
      <c r="G2655" s="69"/>
      <c r="H2655" s="69"/>
      <c r="I2655" s="135"/>
      <c r="J2655" s="136"/>
      <c r="K2655" s="137"/>
      <c r="L2655" s="137"/>
    </row>
    <row r="2656" spans="1:12">
      <c r="A2656" s="74"/>
      <c r="B2656" s="133"/>
      <c r="C2656" s="14"/>
      <c r="D2656" s="14"/>
      <c r="E2656" s="134"/>
      <c r="F2656" s="14"/>
      <c r="G2656" s="69"/>
      <c r="H2656" s="69"/>
      <c r="I2656" s="135"/>
      <c r="J2656" s="136"/>
      <c r="K2656" s="137"/>
      <c r="L2656" s="137"/>
    </row>
    <row r="2657" spans="1:12">
      <c r="A2657" s="74"/>
      <c r="B2657" s="133"/>
      <c r="C2657" s="14"/>
      <c r="D2657" s="14"/>
      <c r="E2657" s="134"/>
      <c r="F2657" s="14"/>
      <c r="G2657" s="69"/>
      <c r="H2657" s="69"/>
      <c r="I2657" s="135"/>
      <c r="J2657" s="136"/>
      <c r="K2657" s="137"/>
      <c r="L2657" s="137"/>
    </row>
    <row r="2658" spans="1:12">
      <c r="A2658" s="74"/>
      <c r="B2658" s="133"/>
      <c r="C2658" s="14"/>
      <c r="D2658" s="14"/>
      <c r="E2658" s="134"/>
      <c r="F2658" s="14"/>
      <c r="G2658" s="69"/>
      <c r="H2658" s="69"/>
      <c r="I2658" s="135"/>
      <c r="J2658" s="136"/>
      <c r="K2658" s="137"/>
      <c r="L2658" s="137"/>
    </row>
    <row r="2659" spans="1:12">
      <c r="A2659" s="74"/>
      <c r="B2659" s="133"/>
      <c r="C2659" s="14"/>
      <c r="D2659" s="14"/>
      <c r="E2659" s="134"/>
      <c r="F2659" s="14"/>
      <c r="G2659" s="69"/>
      <c r="H2659" s="69"/>
      <c r="I2659" s="135"/>
      <c r="J2659" s="136"/>
      <c r="K2659" s="137"/>
      <c r="L2659" s="137"/>
    </row>
    <row r="2660" spans="1:12">
      <c r="A2660" s="74"/>
      <c r="B2660" s="133"/>
      <c r="C2660" s="14"/>
      <c r="D2660" s="14"/>
      <c r="E2660" s="134"/>
      <c r="F2660" s="14"/>
      <c r="G2660" s="69"/>
      <c r="H2660" s="69"/>
      <c r="I2660" s="135"/>
      <c r="J2660" s="136"/>
      <c r="K2660" s="137"/>
      <c r="L2660" s="137"/>
    </row>
    <row r="2661" spans="1:12">
      <c r="A2661" s="74"/>
      <c r="B2661" s="133"/>
      <c r="C2661" s="14"/>
      <c r="D2661" s="14"/>
      <c r="E2661" s="134"/>
      <c r="F2661" s="14"/>
      <c r="G2661" s="69"/>
      <c r="H2661" s="69"/>
      <c r="I2661" s="135"/>
      <c r="J2661" s="136"/>
      <c r="K2661" s="137"/>
      <c r="L2661" s="137"/>
    </row>
    <row r="2662" spans="1:12">
      <c r="A2662" s="74"/>
      <c r="B2662" s="133"/>
      <c r="C2662" s="14"/>
      <c r="D2662" s="14"/>
      <c r="E2662" s="134"/>
      <c r="F2662" s="14"/>
      <c r="G2662" s="69"/>
      <c r="H2662" s="69"/>
      <c r="I2662" s="135"/>
      <c r="J2662" s="136"/>
      <c r="K2662" s="137"/>
      <c r="L2662" s="137"/>
    </row>
    <row r="2663" spans="1:12">
      <c r="A2663" s="74"/>
      <c r="B2663" s="133"/>
      <c r="C2663" s="14"/>
      <c r="D2663" s="14"/>
      <c r="E2663" s="134"/>
      <c r="F2663" s="14"/>
      <c r="G2663" s="69"/>
      <c r="H2663" s="69"/>
      <c r="I2663" s="135"/>
      <c r="J2663" s="136"/>
      <c r="K2663" s="137"/>
      <c r="L2663" s="137"/>
    </row>
    <row r="2664" spans="1:12">
      <c r="A2664" s="74"/>
      <c r="B2664" s="133"/>
      <c r="C2664" s="14"/>
      <c r="D2664" s="14"/>
      <c r="E2664" s="134"/>
      <c r="F2664" s="14"/>
      <c r="G2664" s="69"/>
      <c r="H2664" s="69"/>
      <c r="I2664" s="135"/>
      <c r="J2664" s="136"/>
      <c r="K2664" s="137"/>
      <c r="L2664" s="137"/>
    </row>
    <row r="2665" spans="1:12">
      <c r="A2665" s="74"/>
      <c r="B2665" s="133"/>
      <c r="C2665" s="14"/>
      <c r="D2665" s="14"/>
      <c r="E2665" s="134"/>
      <c r="F2665" s="14"/>
      <c r="G2665" s="69"/>
      <c r="H2665" s="69"/>
      <c r="I2665" s="135"/>
      <c r="J2665" s="136"/>
      <c r="K2665" s="137"/>
      <c r="L2665" s="137"/>
    </row>
    <row r="2666" spans="1:12">
      <c r="A2666" s="74"/>
      <c r="B2666" s="133"/>
      <c r="C2666" s="14"/>
      <c r="D2666" s="14"/>
      <c r="E2666" s="134"/>
      <c r="F2666" s="14"/>
      <c r="G2666" s="69"/>
      <c r="H2666" s="69"/>
      <c r="I2666" s="135"/>
      <c r="J2666" s="136"/>
      <c r="K2666" s="137"/>
      <c r="L2666" s="137"/>
    </row>
    <row r="2667" spans="1:12">
      <c r="A2667" s="74"/>
      <c r="B2667" s="133"/>
      <c r="C2667" s="14"/>
      <c r="D2667" s="14"/>
      <c r="E2667" s="134"/>
      <c r="F2667" s="14"/>
      <c r="G2667" s="69"/>
      <c r="H2667" s="69"/>
      <c r="I2667" s="135"/>
      <c r="J2667" s="136"/>
      <c r="K2667" s="137"/>
      <c r="L2667" s="137"/>
    </row>
    <row r="2668" spans="1:12">
      <c r="A2668" s="74"/>
      <c r="B2668" s="133"/>
      <c r="C2668" s="14"/>
      <c r="D2668" s="14"/>
      <c r="E2668" s="134"/>
      <c r="F2668" s="14"/>
      <c r="G2668" s="69"/>
      <c r="H2668" s="69"/>
      <c r="I2668" s="135"/>
      <c r="J2668" s="136"/>
      <c r="K2668" s="137"/>
      <c r="L2668" s="137"/>
    </row>
    <row r="2669" spans="1:12">
      <c r="A2669" s="74"/>
      <c r="B2669" s="133"/>
      <c r="C2669" s="14"/>
      <c r="D2669" s="14"/>
      <c r="E2669" s="134"/>
      <c r="F2669" s="14"/>
      <c r="G2669" s="69"/>
      <c r="H2669" s="69"/>
      <c r="I2669" s="135"/>
      <c r="J2669" s="136"/>
      <c r="K2669" s="137"/>
      <c r="L2669" s="137"/>
    </row>
    <row r="2670" spans="1:12">
      <c r="A2670" s="74"/>
      <c r="B2670" s="133"/>
      <c r="C2670" s="14"/>
      <c r="D2670" s="14"/>
      <c r="E2670" s="134"/>
      <c r="F2670" s="14"/>
      <c r="G2670" s="69"/>
      <c r="H2670" s="69"/>
      <c r="I2670" s="135"/>
      <c r="J2670" s="136"/>
      <c r="K2670" s="137"/>
      <c r="L2670" s="137"/>
    </row>
    <row r="2671" spans="1:12">
      <c r="A2671" s="74"/>
      <c r="B2671" s="133"/>
      <c r="C2671" s="14"/>
      <c r="D2671" s="14"/>
      <c r="E2671" s="134"/>
      <c r="F2671" s="14"/>
      <c r="G2671" s="69"/>
      <c r="H2671" s="69"/>
      <c r="I2671" s="135"/>
      <c r="J2671" s="136"/>
      <c r="K2671" s="137"/>
      <c r="L2671" s="137"/>
    </row>
    <row r="2672" spans="1:12">
      <c r="A2672" s="74"/>
      <c r="B2672" s="133"/>
      <c r="C2672" s="14"/>
      <c r="D2672" s="14"/>
      <c r="E2672" s="134"/>
      <c r="F2672" s="14"/>
      <c r="G2672" s="69"/>
      <c r="H2672" s="69"/>
      <c r="I2672" s="135"/>
      <c r="J2672" s="136"/>
      <c r="K2672" s="137"/>
      <c r="L2672" s="137"/>
    </row>
    <row r="2673" spans="1:12">
      <c r="A2673" s="74"/>
      <c r="B2673" s="133"/>
      <c r="C2673" s="14"/>
      <c r="D2673" s="14"/>
      <c r="E2673" s="134"/>
      <c r="F2673" s="14"/>
      <c r="G2673" s="69"/>
      <c r="H2673" s="69"/>
      <c r="I2673" s="135"/>
      <c r="J2673" s="136"/>
      <c r="K2673" s="137"/>
      <c r="L2673" s="137"/>
    </row>
    <row r="2674" spans="1:12">
      <c r="A2674" s="74"/>
      <c r="B2674" s="133"/>
      <c r="C2674" s="14"/>
      <c r="D2674" s="14"/>
      <c r="E2674" s="134"/>
      <c r="F2674" s="14"/>
      <c r="G2674" s="69"/>
      <c r="H2674" s="69"/>
      <c r="I2674" s="135"/>
      <c r="J2674" s="136"/>
      <c r="K2674" s="137"/>
      <c r="L2674" s="137"/>
    </row>
    <row r="2675" spans="1:12">
      <c r="A2675" s="74"/>
      <c r="B2675" s="133"/>
      <c r="C2675" s="14"/>
      <c r="D2675" s="14"/>
      <c r="E2675" s="134"/>
      <c r="F2675" s="14"/>
      <c r="G2675" s="69"/>
      <c r="H2675" s="69"/>
      <c r="I2675" s="135"/>
      <c r="J2675" s="136"/>
      <c r="K2675" s="137"/>
      <c r="L2675" s="137"/>
    </row>
    <row r="2676" spans="1:12">
      <c r="A2676" s="74"/>
      <c r="B2676" s="133"/>
      <c r="C2676" s="14"/>
      <c r="D2676" s="14"/>
      <c r="E2676" s="134"/>
      <c r="F2676" s="14"/>
      <c r="G2676" s="69"/>
      <c r="H2676" s="69"/>
      <c r="I2676" s="135"/>
      <c r="J2676" s="136"/>
      <c r="K2676" s="137"/>
      <c r="L2676" s="137"/>
    </row>
    <row r="2677" spans="1:12">
      <c r="A2677" s="74"/>
      <c r="B2677" s="133"/>
      <c r="C2677" s="14"/>
      <c r="D2677" s="14"/>
      <c r="E2677" s="134"/>
      <c r="F2677" s="14"/>
      <c r="G2677" s="69"/>
      <c r="H2677" s="69"/>
      <c r="I2677" s="135"/>
      <c r="J2677" s="136"/>
      <c r="K2677" s="137"/>
      <c r="L2677" s="137"/>
    </row>
    <row r="2678" spans="1:12">
      <c r="A2678" s="74"/>
      <c r="B2678" s="133"/>
      <c r="C2678" s="14"/>
      <c r="D2678" s="14"/>
      <c r="E2678" s="134"/>
      <c r="F2678" s="14"/>
      <c r="G2678" s="69"/>
      <c r="H2678" s="69"/>
      <c r="I2678" s="135"/>
      <c r="J2678" s="136"/>
      <c r="K2678" s="137"/>
      <c r="L2678" s="137"/>
    </row>
    <row r="2679" spans="1:12">
      <c r="A2679" s="74"/>
      <c r="B2679" s="133"/>
      <c r="C2679" s="14"/>
      <c r="D2679" s="14"/>
      <c r="E2679" s="134"/>
      <c r="F2679" s="14"/>
      <c r="G2679" s="69"/>
      <c r="H2679" s="69"/>
      <c r="I2679" s="135"/>
      <c r="J2679" s="136"/>
      <c r="K2679" s="137"/>
      <c r="L2679" s="137"/>
    </row>
    <row r="2680" spans="1:12">
      <c r="A2680" s="74"/>
      <c r="B2680" s="133"/>
      <c r="C2680" s="14"/>
      <c r="D2680" s="14"/>
      <c r="E2680" s="134"/>
      <c r="F2680" s="14"/>
      <c r="G2680" s="69"/>
      <c r="H2680" s="69"/>
      <c r="I2680" s="135"/>
      <c r="J2680" s="136"/>
      <c r="K2680" s="137"/>
      <c r="L2680" s="137"/>
    </row>
    <row r="2681" spans="1:12">
      <c r="A2681" s="74"/>
      <c r="B2681" s="133"/>
      <c r="C2681" s="14"/>
      <c r="D2681" s="14"/>
      <c r="E2681" s="134"/>
      <c r="F2681" s="14"/>
      <c r="G2681" s="69"/>
      <c r="H2681" s="69"/>
      <c r="I2681" s="135"/>
      <c r="J2681" s="136"/>
      <c r="K2681" s="137"/>
      <c r="L2681" s="137"/>
    </row>
    <row r="2682" spans="1:12">
      <c r="A2682" s="74"/>
      <c r="B2682" s="133"/>
      <c r="C2682" s="14"/>
      <c r="D2682" s="14"/>
      <c r="E2682" s="134"/>
      <c r="F2682" s="14"/>
      <c r="G2682" s="69"/>
      <c r="H2682" s="69"/>
      <c r="I2682" s="135"/>
      <c r="J2682" s="136"/>
      <c r="K2682" s="137"/>
      <c r="L2682" s="137"/>
    </row>
    <row r="2683" spans="1:12">
      <c r="A2683" s="74"/>
      <c r="B2683" s="133"/>
      <c r="C2683" s="14"/>
      <c r="D2683" s="14"/>
      <c r="E2683" s="134"/>
      <c r="F2683" s="14"/>
      <c r="G2683" s="69"/>
      <c r="H2683" s="69"/>
      <c r="I2683" s="135"/>
      <c r="J2683" s="136"/>
      <c r="K2683" s="137"/>
      <c r="L2683" s="137"/>
    </row>
    <row r="2684" spans="1:12">
      <c r="A2684" s="74"/>
      <c r="B2684" s="133"/>
      <c r="C2684" s="14"/>
      <c r="D2684" s="14"/>
      <c r="E2684" s="134"/>
      <c r="F2684" s="14"/>
      <c r="G2684" s="69"/>
      <c r="H2684" s="69"/>
      <c r="I2684" s="135"/>
      <c r="J2684" s="136"/>
      <c r="K2684" s="137"/>
      <c r="L2684" s="137"/>
    </row>
    <row r="2685" spans="1:12">
      <c r="A2685" s="74"/>
      <c r="B2685" s="133"/>
      <c r="C2685" s="14"/>
      <c r="D2685" s="14"/>
      <c r="E2685" s="134"/>
      <c r="F2685" s="14"/>
      <c r="G2685" s="69"/>
      <c r="H2685" s="69"/>
      <c r="I2685" s="135"/>
      <c r="J2685" s="136"/>
      <c r="K2685" s="137"/>
      <c r="L2685" s="137"/>
    </row>
    <row r="2686" spans="1:12">
      <c r="A2686" s="74"/>
      <c r="B2686" s="133"/>
      <c r="C2686" s="14"/>
      <c r="D2686" s="14"/>
      <c r="E2686" s="134"/>
      <c r="F2686" s="14"/>
      <c r="G2686" s="69"/>
      <c r="H2686" s="69"/>
      <c r="I2686" s="135"/>
      <c r="J2686" s="136"/>
      <c r="K2686" s="137"/>
      <c r="L2686" s="137"/>
    </row>
    <row r="2687" spans="1:12">
      <c r="A2687" s="74"/>
      <c r="B2687" s="133"/>
      <c r="C2687" s="14"/>
      <c r="D2687" s="14"/>
      <c r="E2687" s="134"/>
      <c r="F2687" s="14"/>
      <c r="G2687" s="69"/>
      <c r="H2687" s="69"/>
      <c r="I2687" s="135"/>
      <c r="J2687" s="136"/>
      <c r="K2687" s="137"/>
      <c r="L2687" s="137"/>
    </row>
    <row r="2688" spans="1:12">
      <c r="A2688" s="74"/>
      <c r="B2688" s="133"/>
      <c r="C2688" s="14"/>
      <c r="D2688" s="14"/>
      <c r="E2688" s="134"/>
      <c r="F2688" s="14"/>
      <c r="G2688" s="69"/>
      <c r="H2688" s="69"/>
      <c r="I2688" s="135"/>
      <c r="J2688" s="136"/>
      <c r="K2688" s="137"/>
      <c r="L2688" s="137"/>
    </row>
    <row r="2689" spans="1:12">
      <c r="A2689" s="74"/>
      <c r="B2689" s="133"/>
      <c r="C2689" s="14"/>
      <c r="D2689" s="14"/>
      <c r="E2689" s="134"/>
      <c r="F2689" s="14"/>
      <c r="G2689" s="69"/>
      <c r="H2689" s="69"/>
      <c r="I2689" s="135"/>
      <c r="J2689" s="136"/>
      <c r="K2689" s="137"/>
      <c r="L2689" s="137"/>
    </row>
    <row r="2690" spans="1:12">
      <c r="A2690" s="74"/>
      <c r="B2690" s="133"/>
      <c r="C2690" s="14"/>
      <c r="D2690" s="14"/>
      <c r="E2690" s="134"/>
      <c r="F2690" s="14"/>
      <c r="G2690" s="69"/>
      <c r="H2690" s="69"/>
      <c r="I2690" s="135"/>
      <c r="J2690" s="136"/>
      <c r="K2690" s="137"/>
      <c r="L2690" s="137"/>
    </row>
    <row r="2691" spans="1:12">
      <c r="A2691" s="74"/>
      <c r="B2691" s="133"/>
      <c r="C2691" s="14"/>
      <c r="D2691" s="14"/>
      <c r="E2691" s="134"/>
      <c r="F2691" s="14"/>
      <c r="G2691" s="69"/>
      <c r="H2691" s="69"/>
      <c r="I2691" s="135"/>
      <c r="J2691" s="136"/>
      <c r="K2691" s="137"/>
      <c r="L2691" s="137"/>
    </row>
    <row r="2692" spans="1:12">
      <c r="A2692" s="74"/>
      <c r="B2692" s="133"/>
      <c r="C2692" s="14"/>
      <c r="D2692" s="14"/>
      <c r="E2692" s="134"/>
      <c r="F2692" s="14"/>
      <c r="G2692" s="69"/>
      <c r="H2692" s="69"/>
      <c r="I2692" s="135"/>
      <c r="J2692" s="136"/>
      <c r="K2692" s="137"/>
      <c r="L2692" s="137"/>
    </row>
    <row r="2693" spans="1:12">
      <c r="A2693" s="74"/>
      <c r="B2693" s="133"/>
      <c r="C2693" s="14"/>
      <c r="D2693" s="14"/>
      <c r="E2693" s="134"/>
      <c r="F2693" s="14"/>
      <c r="G2693" s="69"/>
      <c r="H2693" s="69"/>
      <c r="I2693" s="135"/>
      <c r="J2693" s="136"/>
      <c r="K2693" s="137"/>
      <c r="L2693" s="137"/>
    </row>
    <row r="2694" spans="1:12">
      <c r="A2694" s="74"/>
      <c r="B2694" s="133"/>
      <c r="C2694" s="14"/>
      <c r="D2694" s="14"/>
      <c r="E2694" s="134"/>
      <c r="F2694" s="14"/>
      <c r="G2694" s="69"/>
      <c r="H2694" s="69"/>
      <c r="I2694" s="135"/>
      <c r="J2694" s="136"/>
      <c r="K2694" s="137"/>
      <c r="L2694" s="137"/>
    </row>
    <row r="2695" spans="1:12">
      <c r="A2695" s="74"/>
      <c r="B2695" s="133"/>
      <c r="C2695" s="14"/>
      <c r="D2695" s="14"/>
      <c r="E2695" s="134"/>
      <c r="F2695" s="14"/>
      <c r="G2695" s="69"/>
      <c r="H2695" s="69"/>
      <c r="I2695" s="135"/>
      <c r="J2695" s="136"/>
      <c r="K2695" s="137"/>
      <c r="L2695" s="137"/>
    </row>
    <row r="2696" spans="1:12">
      <c r="A2696" s="74"/>
      <c r="B2696" s="133"/>
      <c r="C2696" s="14"/>
      <c r="D2696" s="14"/>
      <c r="E2696" s="134"/>
      <c r="F2696" s="14"/>
      <c r="G2696" s="69"/>
      <c r="H2696" s="69"/>
      <c r="I2696" s="135"/>
      <c r="J2696" s="136"/>
      <c r="K2696" s="137"/>
      <c r="L2696" s="137"/>
    </row>
    <row r="2697" spans="1:12">
      <c r="A2697" s="74"/>
      <c r="B2697" s="133"/>
      <c r="C2697" s="14"/>
      <c r="D2697" s="14"/>
      <c r="E2697" s="134"/>
      <c r="F2697" s="14"/>
      <c r="G2697" s="69"/>
      <c r="H2697" s="69"/>
      <c r="I2697" s="135"/>
      <c r="J2697" s="136"/>
      <c r="K2697" s="137"/>
      <c r="L2697" s="137"/>
    </row>
    <row r="2698" spans="1:12">
      <c r="A2698" s="74"/>
      <c r="B2698" s="133"/>
      <c r="C2698" s="14"/>
      <c r="D2698" s="14"/>
      <c r="E2698" s="134"/>
      <c r="F2698" s="14"/>
      <c r="G2698" s="69"/>
      <c r="H2698" s="69"/>
      <c r="I2698" s="135"/>
      <c r="J2698" s="136"/>
      <c r="K2698" s="137"/>
      <c r="L2698" s="137"/>
    </row>
    <row r="2699" spans="1:12">
      <c r="A2699" s="74"/>
      <c r="B2699" s="133"/>
      <c r="C2699" s="14"/>
      <c r="D2699" s="14"/>
      <c r="E2699" s="134"/>
      <c r="F2699" s="14"/>
      <c r="G2699" s="69"/>
      <c r="H2699" s="69"/>
      <c r="I2699" s="135"/>
      <c r="J2699" s="136"/>
      <c r="K2699" s="137"/>
      <c r="L2699" s="137"/>
    </row>
    <row r="2700" spans="1:12">
      <c r="A2700" s="74"/>
      <c r="B2700" s="133"/>
      <c r="C2700" s="14"/>
      <c r="D2700" s="14"/>
      <c r="E2700" s="134"/>
      <c r="F2700" s="14"/>
      <c r="G2700" s="69"/>
      <c r="H2700" s="69"/>
      <c r="I2700" s="135"/>
      <c r="J2700" s="136"/>
      <c r="K2700" s="137"/>
      <c r="L2700" s="137"/>
    </row>
    <row r="2701" spans="1:12">
      <c r="A2701" s="74"/>
      <c r="B2701" s="133"/>
      <c r="C2701" s="14"/>
      <c r="D2701" s="14"/>
      <c r="E2701" s="134"/>
      <c r="F2701" s="14"/>
      <c r="G2701" s="69"/>
      <c r="H2701" s="69"/>
      <c r="I2701" s="135"/>
      <c r="J2701" s="136"/>
      <c r="K2701" s="137"/>
      <c r="L2701" s="137"/>
    </row>
    <row r="2702" spans="1:12">
      <c r="A2702" s="74"/>
      <c r="B2702" s="133"/>
      <c r="C2702" s="14"/>
      <c r="D2702" s="14"/>
      <c r="E2702" s="134"/>
      <c r="F2702" s="14"/>
      <c r="G2702" s="69"/>
      <c r="H2702" s="69"/>
      <c r="I2702" s="135"/>
      <c r="J2702" s="136"/>
      <c r="K2702" s="137"/>
      <c r="L2702" s="137"/>
    </row>
    <row r="2703" spans="1:12">
      <c r="A2703" s="74"/>
      <c r="B2703" s="133"/>
      <c r="C2703" s="14"/>
      <c r="D2703" s="14"/>
      <c r="E2703" s="134"/>
      <c r="F2703" s="14"/>
      <c r="G2703" s="69"/>
      <c r="H2703" s="69"/>
      <c r="I2703" s="135"/>
      <c r="J2703" s="136"/>
      <c r="K2703" s="137"/>
      <c r="L2703" s="137"/>
    </row>
    <row r="2704" spans="1:12">
      <c r="A2704" s="74"/>
      <c r="B2704" s="133"/>
      <c r="C2704" s="14"/>
      <c r="D2704" s="14"/>
      <c r="E2704" s="134"/>
      <c r="F2704" s="14"/>
      <c r="G2704" s="69"/>
      <c r="H2704" s="69"/>
      <c r="I2704" s="135"/>
      <c r="J2704" s="136"/>
      <c r="K2704" s="137"/>
      <c r="L2704" s="137"/>
    </row>
    <row r="2705" spans="1:12">
      <c r="A2705" s="74"/>
      <c r="B2705" s="133"/>
      <c r="C2705" s="14"/>
      <c r="D2705" s="14"/>
      <c r="E2705" s="134"/>
      <c r="F2705" s="14"/>
      <c r="G2705" s="69"/>
      <c r="H2705" s="69"/>
      <c r="I2705" s="135"/>
      <c r="J2705" s="136"/>
      <c r="K2705" s="137"/>
      <c r="L2705" s="137"/>
    </row>
    <row r="2706" spans="1:12">
      <c r="A2706" s="74"/>
      <c r="B2706" s="133"/>
      <c r="C2706" s="14"/>
      <c r="D2706" s="14"/>
      <c r="E2706" s="134"/>
      <c r="F2706" s="14"/>
      <c r="G2706" s="69"/>
      <c r="H2706" s="69"/>
      <c r="I2706" s="135"/>
      <c r="J2706" s="136"/>
      <c r="K2706" s="137"/>
      <c r="L2706" s="137"/>
    </row>
    <row r="2707" spans="1:12">
      <c r="A2707" s="74"/>
      <c r="B2707" s="133"/>
      <c r="C2707" s="14"/>
      <c r="D2707" s="14"/>
      <c r="E2707" s="134"/>
      <c r="F2707" s="14"/>
      <c r="G2707" s="69"/>
      <c r="H2707" s="69"/>
      <c r="I2707" s="135"/>
      <c r="J2707" s="136"/>
      <c r="K2707" s="137"/>
      <c r="L2707" s="137"/>
    </row>
    <row r="2708" spans="1:12">
      <c r="A2708" s="74"/>
      <c r="B2708" s="133"/>
      <c r="C2708" s="14"/>
      <c r="D2708" s="14"/>
      <c r="E2708" s="134"/>
      <c r="F2708" s="14"/>
      <c r="G2708" s="69"/>
      <c r="H2708" s="69"/>
      <c r="I2708" s="135"/>
      <c r="J2708" s="136"/>
      <c r="K2708" s="137"/>
      <c r="L2708" s="137"/>
    </row>
    <row r="2709" spans="1:12">
      <c r="B2709" s="133"/>
      <c r="C2709" s="14"/>
      <c r="D2709" s="14"/>
      <c r="E2709" s="134"/>
      <c r="F2709" s="14"/>
      <c r="G2709" s="69"/>
      <c r="H2709" s="69"/>
      <c r="I2709" s="135"/>
      <c r="J2709" s="136"/>
      <c r="K2709" s="137"/>
      <c r="L2709" s="137"/>
    </row>
    <row r="2710" spans="1:12">
      <c r="B2710" s="133"/>
      <c r="C2710" s="14"/>
      <c r="D2710" s="14"/>
      <c r="E2710" s="134"/>
      <c r="F2710" s="14"/>
      <c r="G2710" s="69"/>
      <c r="H2710" s="69"/>
      <c r="I2710" s="135"/>
      <c r="J2710" s="136"/>
      <c r="K2710" s="137"/>
      <c r="L2710" s="137"/>
    </row>
    <row r="2711" spans="1:12">
      <c r="B2711" s="133"/>
      <c r="C2711" s="14"/>
      <c r="D2711" s="14"/>
      <c r="E2711" s="134"/>
      <c r="F2711" s="14"/>
      <c r="G2711" s="69"/>
      <c r="H2711" s="69"/>
      <c r="I2711" s="135"/>
      <c r="J2711" s="136"/>
      <c r="K2711" s="137"/>
      <c r="L2711" s="137"/>
    </row>
    <row r="2712" spans="1:12">
      <c r="B2712" s="133"/>
      <c r="C2712" s="14"/>
      <c r="D2712" s="14"/>
      <c r="E2712" s="134"/>
      <c r="F2712" s="14"/>
      <c r="G2712" s="69"/>
      <c r="H2712" s="69"/>
      <c r="I2712" s="135"/>
      <c r="J2712" s="136"/>
      <c r="K2712" s="137"/>
      <c r="L2712" s="137"/>
    </row>
    <row r="2713" spans="1:12">
      <c r="B2713" s="133"/>
      <c r="C2713" s="14"/>
      <c r="D2713" s="14"/>
      <c r="E2713" s="134"/>
      <c r="F2713" s="14"/>
      <c r="G2713" s="69"/>
      <c r="H2713" s="69"/>
      <c r="I2713" s="135"/>
      <c r="J2713" s="136"/>
      <c r="K2713" s="137"/>
      <c r="L2713" s="137"/>
    </row>
    <row r="2714" spans="1:12">
      <c r="B2714" s="133"/>
      <c r="C2714" s="14"/>
      <c r="D2714" s="14"/>
      <c r="E2714" s="134"/>
      <c r="F2714" s="14"/>
      <c r="G2714" s="69"/>
      <c r="H2714" s="69"/>
      <c r="I2714" s="135"/>
      <c r="J2714" s="136"/>
      <c r="K2714" s="137"/>
      <c r="L2714" s="137"/>
    </row>
    <row r="2715" spans="1:12">
      <c r="B2715" s="133"/>
      <c r="C2715" s="14"/>
      <c r="D2715" s="14"/>
      <c r="E2715" s="134"/>
      <c r="F2715" s="14"/>
      <c r="G2715" s="69"/>
      <c r="H2715" s="69"/>
      <c r="I2715" s="135"/>
      <c r="J2715" s="136"/>
      <c r="K2715" s="137"/>
      <c r="L2715" s="137"/>
    </row>
    <row r="2716" spans="1:12">
      <c r="B2716" s="133"/>
      <c r="C2716" s="14"/>
      <c r="D2716" s="14"/>
      <c r="E2716" s="134"/>
      <c r="F2716" s="14"/>
      <c r="G2716" s="69"/>
      <c r="H2716" s="69"/>
      <c r="I2716" s="135"/>
      <c r="J2716" s="136"/>
      <c r="K2716" s="137"/>
      <c r="L2716" s="137"/>
    </row>
    <row r="2717" spans="1:12">
      <c r="B2717" s="133"/>
      <c r="C2717" s="14"/>
      <c r="D2717" s="14"/>
      <c r="E2717" s="134"/>
      <c r="F2717" s="14"/>
      <c r="G2717" s="69"/>
      <c r="H2717" s="69"/>
      <c r="I2717" s="135"/>
      <c r="J2717" s="136"/>
      <c r="K2717" s="137"/>
      <c r="L2717" s="137"/>
    </row>
    <row r="2718" spans="1:12">
      <c r="B2718" s="133"/>
      <c r="C2718" s="14"/>
      <c r="D2718" s="14"/>
      <c r="E2718" s="134"/>
      <c r="F2718" s="14"/>
      <c r="G2718" s="69"/>
      <c r="H2718" s="69"/>
      <c r="I2718" s="135"/>
      <c r="J2718" s="136"/>
      <c r="K2718" s="137"/>
      <c r="L2718" s="137"/>
    </row>
    <row r="2719" spans="1:12">
      <c r="B2719" s="133"/>
      <c r="C2719" s="14"/>
      <c r="D2719" s="14"/>
      <c r="E2719" s="134"/>
      <c r="F2719" s="14"/>
      <c r="G2719" s="69"/>
      <c r="H2719" s="69"/>
      <c r="I2719" s="135"/>
      <c r="J2719" s="136"/>
      <c r="K2719" s="137"/>
      <c r="L2719" s="137"/>
    </row>
    <row r="2720" spans="1:12">
      <c r="B2720" s="133"/>
      <c r="C2720" s="14"/>
      <c r="D2720" s="14"/>
      <c r="E2720" s="134"/>
      <c r="F2720" s="14"/>
      <c r="G2720" s="69"/>
      <c r="H2720" s="69"/>
      <c r="I2720" s="135"/>
      <c r="J2720" s="136"/>
      <c r="K2720" s="137"/>
      <c r="L2720" s="137"/>
    </row>
    <row r="2721" spans="2:12">
      <c r="B2721" s="133"/>
      <c r="C2721" s="14"/>
      <c r="D2721" s="14"/>
      <c r="E2721" s="134"/>
      <c r="F2721" s="14"/>
      <c r="G2721" s="69"/>
      <c r="H2721" s="69"/>
      <c r="I2721" s="135"/>
      <c r="J2721" s="136"/>
      <c r="K2721" s="137"/>
      <c r="L2721" s="137"/>
    </row>
    <row r="2722" spans="2:12">
      <c r="B2722" s="133"/>
      <c r="C2722" s="14"/>
      <c r="D2722" s="14"/>
      <c r="E2722" s="134"/>
      <c r="F2722" s="14"/>
      <c r="G2722" s="69"/>
      <c r="H2722" s="69"/>
      <c r="I2722" s="135"/>
      <c r="J2722" s="136"/>
      <c r="K2722" s="137"/>
      <c r="L2722" s="137"/>
    </row>
    <row r="2723" spans="2:12">
      <c r="B2723" s="133"/>
      <c r="C2723" s="14"/>
      <c r="D2723" s="14"/>
      <c r="E2723" s="134"/>
      <c r="F2723" s="14"/>
      <c r="G2723" s="69"/>
      <c r="H2723" s="69"/>
      <c r="I2723" s="135"/>
      <c r="J2723" s="136"/>
      <c r="K2723" s="137"/>
      <c r="L2723" s="137"/>
    </row>
    <row r="2724" spans="2:12">
      <c r="B2724" s="133"/>
      <c r="C2724" s="14"/>
      <c r="D2724" s="14"/>
      <c r="E2724" s="134"/>
      <c r="F2724" s="14"/>
      <c r="G2724" s="69"/>
      <c r="H2724" s="69"/>
      <c r="I2724" s="135"/>
      <c r="J2724" s="136"/>
      <c r="K2724" s="137"/>
      <c r="L2724" s="137"/>
    </row>
    <row r="2725" spans="2:12">
      <c r="B2725" s="133"/>
      <c r="C2725" s="14"/>
      <c r="D2725" s="14"/>
      <c r="E2725" s="134"/>
      <c r="F2725" s="14"/>
      <c r="G2725" s="69"/>
      <c r="H2725" s="69"/>
      <c r="I2725" s="135"/>
      <c r="J2725" s="136"/>
      <c r="K2725" s="137"/>
      <c r="L2725" s="137"/>
    </row>
    <row r="2726" spans="2:12">
      <c r="B2726" s="133"/>
      <c r="C2726" s="14"/>
      <c r="D2726" s="14"/>
      <c r="E2726" s="134"/>
      <c r="F2726" s="14"/>
      <c r="G2726" s="69"/>
      <c r="H2726" s="69"/>
      <c r="I2726" s="135"/>
      <c r="J2726" s="136"/>
      <c r="K2726" s="137"/>
      <c r="L2726" s="137"/>
    </row>
    <row r="2727" spans="2:12">
      <c r="B2727" s="133"/>
      <c r="C2727" s="14"/>
      <c r="D2727" s="14"/>
      <c r="E2727" s="134"/>
      <c r="F2727" s="14"/>
      <c r="G2727" s="69"/>
      <c r="H2727" s="69"/>
      <c r="I2727" s="135"/>
      <c r="J2727" s="136"/>
      <c r="K2727" s="137"/>
      <c r="L2727" s="137"/>
    </row>
    <row r="2728" spans="2:12">
      <c r="B2728" s="133"/>
      <c r="C2728" s="14"/>
      <c r="D2728" s="14"/>
      <c r="E2728" s="134"/>
      <c r="F2728" s="14"/>
      <c r="G2728" s="69"/>
      <c r="H2728" s="69"/>
      <c r="I2728" s="135"/>
      <c r="J2728" s="136"/>
      <c r="K2728" s="137"/>
      <c r="L2728" s="137"/>
    </row>
    <row r="2729" spans="2:12">
      <c r="B2729" s="133"/>
      <c r="C2729" s="14"/>
      <c r="D2729" s="14"/>
      <c r="E2729" s="134"/>
      <c r="F2729" s="14"/>
      <c r="G2729" s="69"/>
      <c r="H2729" s="69"/>
      <c r="I2729" s="135"/>
      <c r="J2729" s="136"/>
      <c r="K2729" s="137"/>
      <c r="L2729" s="137"/>
    </row>
    <row r="2730" spans="2:12">
      <c r="B2730" s="133"/>
      <c r="C2730" s="14"/>
      <c r="D2730" s="14"/>
      <c r="E2730" s="134"/>
      <c r="F2730" s="14"/>
      <c r="G2730" s="69"/>
      <c r="H2730" s="69"/>
      <c r="I2730" s="135"/>
      <c r="J2730" s="136"/>
      <c r="K2730" s="137"/>
      <c r="L2730" s="137"/>
    </row>
    <row r="2731" spans="2:12">
      <c r="B2731" s="133"/>
      <c r="C2731" s="14"/>
      <c r="D2731" s="14"/>
      <c r="E2731" s="134"/>
      <c r="F2731" s="14"/>
      <c r="G2731" s="69"/>
      <c r="H2731" s="69"/>
      <c r="I2731" s="135"/>
      <c r="J2731" s="136"/>
      <c r="K2731" s="137"/>
      <c r="L2731" s="137"/>
    </row>
    <row r="2732" spans="2:12">
      <c r="B2732" s="133"/>
      <c r="C2732" s="14"/>
      <c r="D2732" s="14"/>
      <c r="E2732" s="134"/>
      <c r="F2732" s="14"/>
      <c r="G2732" s="69"/>
      <c r="H2732" s="69"/>
      <c r="I2732" s="135"/>
      <c r="J2732" s="136"/>
      <c r="K2732" s="137"/>
      <c r="L2732" s="137"/>
    </row>
    <row r="2733" spans="2:12">
      <c r="B2733" s="133"/>
      <c r="C2733" s="14"/>
      <c r="D2733" s="14"/>
      <c r="E2733" s="134"/>
      <c r="F2733" s="14"/>
      <c r="G2733" s="69"/>
      <c r="H2733" s="69"/>
      <c r="I2733" s="135"/>
      <c r="J2733" s="136"/>
      <c r="K2733" s="137"/>
      <c r="L2733" s="137"/>
    </row>
    <row r="2734" spans="2:12">
      <c r="B2734" s="133"/>
      <c r="C2734" s="14"/>
      <c r="D2734" s="14"/>
      <c r="E2734" s="134"/>
      <c r="F2734" s="14"/>
      <c r="G2734" s="69"/>
      <c r="H2734" s="69"/>
      <c r="I2734" s="135"/>
      <c r="J2734" s="136"/>
      <c r="K2734" s="137"/>
      <c r="L2734" s="137"/>
    </row>
    <row r="2735" spans="2:12">
      <c r="B2735" s="133"/>
      <c r="C2735" s="14"/>
      <c r="D2735" s="14"/>
      <c r="E2735" s="134"/>
      <c r="F2735" s="14"/>
      <c r="G2735" s="69"/>
      <c r="H2735" s="69"/>
      <c r="I2735" s="135"/>
      <c r="J2735" s="136"/>
      <c r="K2735" s="137"/>
      <c r="L2735" s="137"/>
    </row>
    <row r="2736" spans="2:12">
      <c r="B2736" s="133"/>
      <c r="C2736" s="14"/>
      <c r="D2736" s="14"/>
      <c r="E2736" s="134"/>
      <c r="F2736" s="14"/>
      <c r="G2736" s="69"/>
      <c r="H2736" s="69"/>
      <c r="I2736" s="135"/>
      <c r="J2736" s="136"/>
      <c r="K2736" s="137"/>
      <c r="L2736" s="137"/>
    </row>
    <row r="2737" spans="2:12">
      <c r="B2737" s="133"/>
      <c r="C2737" s="14"/>
      <c r="D2737" s="14"/>
      <c r="E2737" s="134"/>
      <c r="F2737" s="14"/>
      <c r="G2737" s="69"/>
      <c r="H2737" s="69"/>
      <c r="I2737" s="135"/>
      <c r="J2737" s="136"/>
      <c r="K2737" s="137"/>
      <c r="L2737" s="137"/>
    </row>
    <row r="2738" spans="2:12">
      <c r="B2738" s="133"/>
      <c r="C2738" s="14"/>
      <c r="D2738" s="14"/>
      <c r="E2738" s="134"/>
      <c r="F2738" s="14"/>
      <c r="G2738" s="69"/>
      <c r="H2738" s="69"/>
      <c r="I2738" s="135"/>
      <c r="J2738" s="136"/>
      <c r="K2738" s="137"/>
      <c r="L2738" s="137"/>
    </row>
    <row r="2739" spans="2:12">
      <c r="B2739" s="133"/>
      <c r="C2739" s="14"/>
      <c r="D2739" s="14"/>
      <c r="E2739" s="134"/>
      <c r="F2739" s="14"/>
      <c r="G2739" s="69"/>
      <c r="H2739" s="69"/>
      <c r="I2739" s="135"/>
      <c r="J2739" s="136"/>
      <c r="K2739" s="137"/>
      <c r="L2739" s="137"/>
    </row>
    <row r="2740" spans="2:12">
      <c r="B2740" s="133"/>
      <c r="C2740" s="14"/>
      <c r="D2740" s="14"/>
      <c r="E2740" s="134"/>
      <c r="F2740" s="14"/>
      <c r="G2740" s="69"/>
      <c r="H2740" s="69"/>
      <c r="I2740" s="135"/>
      <c r="J2740" s="136"/>
      <c r="K2740" s="137"/>
      <c r="L2740" s="137"/>
    </row>
    <row r="2741" spans="2:12">
      <c r="B2741" s="133"/>
      <c r="C2741" s="14"/>
      <c r="D2741" s="14"/>
      <c r="E2741" s="134"/>
      <c r="F2741" s="14"/>
      <c r="G2741" s="69"/>
      <c r="H2741" s="69"/>
      <c r="I2741" s="135"/>
      <c r="J2741" s="136"/>
      <c r="K2741" s="137"/>
      <c r="L2741" s="137"/>
    </row>
    <row r="2742" spans="2:12">
      <c r="B2742" s="133"/>
      <c r="C2742" s="14"/>
      <c r="D2742" s="14"/>
      <c r="E2742" s="134"/>
      <c r="F2742" s="14"/>
      <c r="G2742" s="69"/>
      <c r="H2742" s="69"/>
      <c r="I2742" s="135"/>
      <c r="J2742" s="136"/>
      <c r="K2742" s="137"/>
      <c r="L2742" s="137"/>
    </row>
    <row r="2743" spans="2:12">
      <c r="B2743" s="133"/>
      <c r="C2743" s="14"/>
      <c r="D2743" s="14"/>
      <c r="E2743" s="134"/>
      <c r="F2743" s="14"/>
      <c r="G2743" s="69"/>
      <c r="H2743" s="69"/>
      <c r="I2743" s="135"/>
      <c r="J2743" s="136"/>
      <c r="K2743" s="137"/>
      <c r="L2743" s="137"/>
    </row>
    <row r="2744" spans="2:12">
      <c r="B2744" s="133"/>
      <c r="C2744" s="14"/>
      <c r="D2744" s="14"/>
      <c r="E2744" s="134"/>
      <c r="F2744" s="14"/>
      <c r="G2744" s="69"/>
      <c r="H2744" s="69"/>
      <c r="I2744" s="135"/>
      <c r="J2744" s="136"/>
      <c r="K2744" s="137"/>
      <c r="L2744" s="137"/>
    </row>
    <row r="2745" spans="2:12">
      <c r="B2745" s="133"/>
      <c r="C2745" s="14"/>
      <c r="D2745" s="14"/>
      <c r="E2745" s="134"/>
      <c r="F2745" s="14"/>
      <c r="G2745" s="69"/>
      <c r="H2745" s="69"/>
      <c r="I2745" s="135"/>
      <c r="J2745" s="136"/>
      <c r="K2745" s="137"/>
      <c r="L2745" s="137"/>
    </row>
    <row r="2746" spans="2:12">
      <c r="B2746" s="133"/>
      <c r="C2746" s="14"/>
      <c r="D2746" s="14"/>
      <c r="E2746" s="134"/>
      <c r="F2746" s="14"/>
      <c r="G2746" s="69"/>
      <c r="H2746" s="69"/>
      <c r="I2746" s="135"/>
      <c r="J2746" s="136"/>
      <c r="K2746" s="137"/>
      <c r="L2746" s="137"/>
    </row>
    <row r="2747" spans="2:12">
      <c r="B2747" s="133"/>
      <c r="C2747" s="14"/>
      <c r="D2747" s="14"/>
      <c r="E2747" s="134"/>
      <c r="F2747" s="14"/>
      <c r="G2747" s="69"/>
      <c r="H2747" s="69"/>
      <c r="I2747" s="135"/>
      <c r="J2747" s="136"/>
      <c r="K2747" s="137"/>
      <c r="L2747" s="137"/>
    </row>
    <row r="2748" spans="2:12">
      <c r="B2748" s="133"/>
      <c r="C2748" s="14"/>
      <c r="D2748" s="14"/>
      <c r="E2748" s="134"/>
      <c r="F2748" s="14"/>
      <c r="G2748" s="69"/>
      <c r="H2748" s="69"/>
      <c r="I2748" s="135"/>
      <c r="J2748" s="136"/>
      <c r="K2748" s="137"/>
      <c r="L2748" s="137"/>
    </row>
    <row r="2749" spans="2:12">
      <c r="B2749" s="133"/>
      <c r="C2749" s="14"/>
      <c r="D2749" s="14"/>
      <c r="E2749" s="134"/>
      <c r="F2749" s="14"/>
      <c r="G2749" s="69"/>
      <c r="H2749" s="69"/>
      <c r="I2749" s="135"/>
      <c r="J2749" s="136"/>
      <c r="K2749" s="137"/>
      <c r="L2749" s="137"/>
    </row>
    <row r="2750" spans="2:12">
      <c r="B2750" s="133"/>
      <c r="C2750" s="14"/>
      <c r="D2750" s="14"/>
      <c r="E2750" s="134"/>
      <c r="F2750" s="14"/>
      <c r="G2750" s="69"/>
      <c r="H2750" s="69"/>
      <c r="I2750" s="135"/>
      <c r="J2750" s="136"/>
      <c r="K2750" s="137"/>
      <c r="L2750" s="137"/>
    </row>
    <row r="2751" spans="2:12">
      <c r="B2751" s="133"/>
      <c r="C2751" s="14"/>
      <c r="D2751" s="14"/>
      <c r="E2751" s="134"/>
      <c r="F2751" s="14"/>
      <c r="G2751" s="69"/>
      <c r="H2751" s="69"/>
      <c r="I2751" s="135"/>
      <c r="J2751" s="136"/>
      <c r="K2751" s="137"/>
      <c r="L2751" s="137"/>
    </row>
    <row r="2752" spans="2:12">
      <c r="B2752" s="133"/>
      <c r="C2752" s="14"/>
      <c r="D2752" s="14"/>
      <c r="E2752" s="134"/>
      <c r="F2752" s="14"/>
      <c r="G2752" s="69"/>
      <c r="H2752" s="69"/>
      <c r="I2752" s="135"/>
      <c r="J2752" s="136"/>
      <c r="K2752" s="137"/>
      <c r="L2752" s="137"/>
    </row>
    <row r="2753" spans="2:12">
      <c r="B2753" s="133"/>
      <c r="C2753" s="14"/>
      <c r="D2753" s="14"/>
      <c r="E2753" s="134"/>
      <c r="F2753" s="14"/>
      <c r="G2753" s="69"/>
      <c r="H2753" s="69"/>
      <c r="I2753" s="135"/>
      <c r="J2753" s="136"/>
      <c r="K2753" s="137"/>
      <c r="L2753" s="137"/>
    </row>
    <row r="2754" spans="2:12">
      <c r="B2754" s="133"/>
      <c r="C2754" s="14"/>
      <c r="D2754" s="14"/>
      <c r="E2754" s="134"/>
      <c r="F2754" s="14"/>
      <c r="G2754" s="69"/>
      <c r="H2754" s="69"/>
      <c r="I2754" s="135"/>
      <c r="J2754" s="136"/>
      <c r="K2754" s="137"/>
      <c r="L2754" s="137"/>
    </row>
    <row r="2755" spans="2:12">
      <c r="B2755" s="133"/>
      <c r="C2755" s="14"/>
      <c r="D2755" s="14"/>
      <c r="E2755" s="134"/>
      <c r="F2755" s="14"/>
      <c r="G2755" s="69"/>
      <c r="H2755" s="69"/>
      <c r="I2755" s="135"/>
      <c r="J2755" s="136"/>
      <c r="K2755" s="137"/>
      <c r="L2755" s="137"/>
    </row>
    <row r="2756" spans="2:12">
      <c r="B2756" s="133"/>
      <c r="C2756" s="14"/>
      <c r="D2756" s="14"/>
      <c r="E2756" s="134"/>
      <c r="F2756" s="14"/>
      <c r="G2756" s="69"/>
      <c r="H2756" s="69"/>
      <c r="I2756" s="135"/>
      <c r="J2756" s="136"/>
      <c r="K2756" s="137"/>
      <c r="L2756" s="137"/>
    </row>
    <row r="2757" spans="2:12">
      <c r="B2757" s="133"/>
      <c r="C2757" s="14"/>
      <c r="D2757" s="14"/>
      <c r="E2757" s="134"/>
      <c r="F2757" s="14"/>
      <c r="G2757" s="69"/>
      <c r="H2757" s="69"/>
      <c r="I2757" s="135"/>
      <c r="J2757" s="136"/>
      <c r="K2757" s="137"/>
      <c r="L2757" s="137"/>
    </row>
    <row r="2758" spans="2:12">
      <c r="B2758" s="133"/>
      <c r="C2758" s="14"/>
      <c r="D2758" s="14"/>
      <c r="E2758" s="134"/>
      <c r="F2758" s="14"/>
      <c r="G2758" s="69"/>
      <c r="H2758" s="69"/>
      <c r="I2758" s="135"/>
      <c r="J2758" s="136"/>
      <c r="K2758" s="137"/>
      <c r="L2758" s="137"/>
    </row>
    <row r="2759" spans="2:12">
      <c r="B2759" s="133"/>
      <c r="C2759" s="14"/>
      <c r="D2759" s="14"/>
      <c r="E2759" s="134"/>
      <c r="F2759" s="14"/>
      <c r="G2759" s="69"/>
      <c r="H2759" s="69"/>
      <c r="I2759" s="135"/>
      <c r="J2759" s="136"/>
      <c r="K2759" s="137"/>
      <c r="L2759" s="137"/>
    </row>
    <row r="2760" spans="2:12">
      <c r="B2760" s="133"/>
      <c r="C2760" s="14"/>
      <c r="D2760" s="14"/>
      <c r="E2760" s="134"/>
      <c r="F2760" s="14"/>
      <c r="G2760" s="69"/>
      <c r="H2760" s="69"/>
      <c r="I2760" s="135"/>
      <c r="J2760" s="136"/>
      <c r="K2760" s="137"/>
      <c r="L2760" s="137"/>
    </row>
    <row r="2761" spans="2:12">
      <c r="B2761" s="133"/>
      <c r="C2761" s="14"/>
      <c r="D2761" s="14"/>
      <c r="E2761" s="134"/>
      <c r="F2761" s="14"/>
      <c r="G2761" s="69"/>
      <c r="H2761" s="69"/>
      <c r="I2761" s="135"/>
      <c r="J2761" s="136"/>
      <c r="K2761" s="137"/>
      <c r="L2761" s="137"/>
    </row>
    <row r="2762" spans="2:12">
      <c r="B2762" s="133"/>
      <c r="C2762" s="14"/>
      <c r="D2762" s="14"/>
      <c r="E2762" s="134"/>
      <c r="F2762" s="14"/>
      <c r="G2762" s="69"/>
      <c r="H2762" s="69"/>
      <c r="I2762" s="135"/>
      <c r="J2762" s="136"/>
      <c r="K2762" s="137"/>
      <c r="L2762" s="137"/>
    </row>
    <row r="2763" spans="2:12">
      <c r="B2763" s="133"/>
      <c r="C2763" s="14"/>
      <c r="D2763" s="14"/>
      <c r="E2763" s="134"/>
      <c r="F2763" s="14"/>
      <c r="G2763" s="69"/>
      <c r="H2763" s="69"/>
      <c r="I2763" s="135"/>
      <c r="J2763" s="136"/>
      <c r="K2763" s="137"/>
      <c r="L2763" s="137"/>
    </row>
    <row r="2764" spans="2:12">
      <c r="B2764" s="133"/>
      <c r="C2764" s="14"/>
      <c r="D2764" s="14"/>
      <c r="E2764" s="134"/>
      <c r="F2764" s="14"/>
      <c r="G2764" s="69"/>
      <c r="H2764" s="69"/>
      <c r="I2764" s="135"/>
      <c r="J2764" s="136"/>
      <c r="K2764" s="137"/>
      <c r="L2764" s="137"/>
    </row>
    <row r="2765" spans="2:12">
      <c r="B2765" s="133"/>
      <c r="C2765" s="14"/>
      <c r="D2765" s="14"/>
      <c r="E2765" s="134"/>
      <c r="F2765" s="14"/>
      <c r="G2765" s="69"/>
      <c r="H2765" s="69"/>
      <c r="I2765" s="135"/>
      <c r="J2765" s="136"/>
      <c r="K2765" s="137"/>
      <c r="L2765" s="137"/>
    </row>
    <row r="2766" spans="2:12">
      <c r="B2766" s="133"/>
      <c r="C2766" s="14"/>
      <c r="D2766" s="14"/>
      <c r="E2766" s="134"/>
      <c r="F2766" s="14"/>
      <c r="G2766" s="69"/>
      <c r="H2766" s="69"/>
      <c r="I2766" s="135"/>
      <c r="J2766" s="136"/>
      <c r="K2766" s="137"/>
      <c r="L2766" s="137"/>
    </row>
    <row r="2767" spans="2:12">
      <c r="B2767" s="133"/>
      <c r="C2767" s="14"/>
      <c r="D2767" s="14"/>
      <c r="E2767" s="134"/>
      <c r="F2767" s="14"/>
      <c r="G2767" s="69"/>
      <c r="H2767" s="69"/>
      <c r="I2767" s="135"/>
      <c r="J2767" s="136"/>
      <c r="K2767" s="137"/>
      <c r="L2767" s="137"/>
    </row>
    <row r="2768" spans="2:12">
      <c r="B2768" s="133"/>
      <c r="C2768" s="14"/>
      <c r="D2768" s="14"/>
      <c r="E2768" s="134"/>
      <c r="F2768" s="14"/>
      <c r="G2768" s="69"/>
      <c r="H2768" s="69"/>
      <c r="I2768" s="135"/>
      <c r="J2768" s="136"/>
      <c r="K2768" s="137"/>
      <c r="L2768" s="137"/>
    </row>
    <row r="2769" spans="2:12">
      <c r="B2769" s="133"/>
      <c r="C2769" s="14"/>
      <c r="D2769" s="14"/>
      <c r="E2769" s="134"/>
      <c r="F2769" s="14"/>
      <c r="G2769" s="69"/>
      <c r="H2769" s="69"/>
      <c r="I2769" s="135"/>
      <c r="J2769" s="136"/>
      <c r="K2769" s="137"/>
      <c r="L2769" s="137"/>
    </row>
    <row r="2770" spans="2:12">
      <c r="B2770" s="133"/>
      <c r="C2770" s="14"/>
      <c r="D2770" s="14"/>
      <c r="E2770" s="134"/>
      <c r="F2770" s="14"/>
      <c r="G2770" s="69"/>
      <c r="H2770" s="69"/>
      <c r="I2770" s="135"/>
      <c r="J2770" s="136"/>
      <c r="K2770" s="137"/>
      <c r="L2770" s="137"/>
    </row>
    <row r="2771" spans="2:12">
      <c r="B2771" s="133"/>
      <c r="C2771" s="14"/>
      <c r="D2771" s="14"/>
      <c r="E2771" s="134"/>
      <c r="F2771" s="14"/>
      <c r="G2771" s="69"/>
      <c r="H2771" s="69"/>
      <c r="I2771" s="135"/>
      <c r="J2771" s="136"/>
      <c r="K2771" s="137"/>
      <c r="L2771" s="137"/>
    </row>
    <row r="2772" spans="2:12">
      <c r="B2772" s="133"/>
      <c r="C2772" s="14"/>
      <c r="D2772" s="14"/>
      <c r="E2772" s="134"/>
      <c r="F2772" s="14"/>
      <c r="G2772" s="69"/>
      <c r="H2772" s="69"/>
      <c r="I2772" s="135"/>
      <c r="J2772" s="136"/>
      <c r="K2772" s="137"/>
      <c r="L2772" s="137"/>
    </row>
    <row r="2773" spans="2:12">
      <c r="B2773" s="133"/>
      <c r="C2773" s="14"/>
      <c r="D2773" s="14"/>
      <c r="E2773" s="134"/>
      <c r="F2773" s="14"/>
      <c r="G2773" s="69"/>
      <c r="H2773" s="69"/>
      <c r="I2773" s="135"/>
      <c r="J2773" s="136"/>
      <c r="K2773" s="137"/>
      <c r="L2773" s="137"/>
    </row>
    <row r="2774" spans="2:12">
      <c r="B2774" s="133"/>
      <c r="C2774" s="14"/>
      <c r="D2774" s="14"/>
      <c r="E2774" s="134"/>
      <c r="F2774" s="14"/>
      <c r="G2774" s="69"/>
      <c r="H2774" s="69"/>
      <c r="I2774" s="135"/>
      <c r="J2774" s="136"/>
      <c r="K2774" s="137"/>
      <c r="L2774" s="137"/>
    </row>
    <row r="2775" spans="2:12">
      <c r="B2775" s="133"/>
      <c r="C2775" s="14"/>
      <c r="D2775" s="14"/>
      <c r="E2775" s="134"/>
      <c r="F2775" s="14"/>
      <c r="G2775" s="69"/>
      <c r="H2775" s="69"/>
      <c r="I2775" s="135"/>
      <c r="J2775" s="136"/>
      <c r="K2775" s="137"/>
      <c r="L2775" s="137"/>
    </row>
    <row r="2776" spans="2:12">
      <c r="B2776" s="133"/>
      <c r="C2776" s="14"/>
      <c r="D2776" s="14"/>
      <c r="E2776" s="134"/>
      <c r="F2776" s="14"/>
      <c r="G2776" s="69"/>
      <c r="H2776" s="69"/>
      <c r="I2776" s="135"/>
      <c r="J2776" s="136"/>
      <c r="K2776" s="137"/>
      <c r="L2776" s="137"/>
    </row>
    <row r="2777" spans="2:12">
      <c r="B2777" s="133"/>
      <c r="C2777" s="14"/>
      <c r="D2777" s="14"/>
      <c r="E2777" s="134"/>
      <c r="F2777" s="14"/>
      <c r="G2777" s="69"/>
      <c r="H2777" s="69"/>
      <c r="I2777" s="135"/>
      <c r="J2777" s="136"/>
      <c r="K2777" s="137"/>
      <c r="L2777" s="137"/>
    </row>
    <row r="2778" spans="2:12">
      <c r="B2778" s="133"/>
      <c r="C2778" s="14"/>
      <c r="D2778" s="14"/>
      <c r="E2778" s="134"/>
      <c r="F2778" s="14"/>
      <c r="G2778" s="69"/>
      <c r="H2778" s="69"/>
      <c r="I2778" s="135"/>
      <c r="J2778" s="136"/>
      <c r="K2778" s="137"/>
      <c r="L2778" s="137"/>
    </row>
    <row r="2779" spans="2:12">
      <c r="B2779" s="133"/>
      <c r="C2779" s="14"/>
      <c r="D2779" s="14"/>
      <c r="E2779" s="134"/>
      <c r="F2779" s="14"/>
      <c r="G2779" s="69"/>
      <c r="H2779" s="69"/>
      <c r="I2779" s="135"/>
      <c r="J2779" s="136"/>
      <c r="K2779" s="137"/>
      <c r="L2779" s="137"/>
    </row>
    <row r="2780" spans="2:12">
      <c r="B2780" s="133"/>
      <c r="C2780" s="14"/>
      <c r="D2780" s="14"/>
      <c r="E2780" s="134"/>
      <c r="F2780" s="14"/>
      <c r="G2780" s="69"/>
      <c r="H2780" s="69"/>
      <c r="I2780" s="135"/>
      <c r="J2780" s="136"/>
      <c r="K2780" s="137"/>
      <c r="L2780" s="137"/>
    </row>
    <row r="2781" spans="2:12">
      <c r="B2781" s="133"/>
      <c r="C2781" s="14"/>
      <c r="D2781" s="14"/>
      <c r="E2781" s="134"/>
      <c r="F2781" s="14"/>
      <c r="G2781" s="69"/>
      <c r="H2781" s="69"/>
      <c r="I2781" s="135"/>
      <c r="J2781" s="136"/>
      <c r="K2781" s="137"/>
      <c r="L2781" s="137"/>
    </row>
    <row r="2782" spans="2:12">
      <c r="B2782" s="133"/>
      <c r="C2782" s="14"/>
      <c r="D2782" s="14"/>
      <c r="E2782" s="134"/>
      <c r="F2782" s="14"/>
      <c r="G2782" s="69"/>
      <c r="H2782" s="69"/>
      <c r="I2782" s="135"/>
      <c r="J2782" s="136"/>
      <c r="K2782" s="137"/>
      <c r="L2782" s="137"/>
    </row>
    <row r="2783" spans="2:12">
      <c r="B2783" s="133"/>
      <c r="C2783" s="14"/>
      <c r="D2783" s="14"/>
      <c r="E2783" s="134"/>
      <c r="F2783" s="14"/>
      <c r="G2783" s="69"/>
      <c r="H2783" s="69"/>
      <c r="I2783" s="135"/>
      <c r="J2783" s="136"/>
      <c r="K2783" s="137"/>
      <c r="L2783" s="137"/>
    </row>
    <row r="2784" spans="2:12">
      <c r="B2784" s="133"/>
      <c r="C2784" s="14"/>
      <c r="D2784" s="14"/>
      <c r="E2784" s="134"/>
      <c r="F2784" s="14"/>
      <c r="G2784" s="69"/>
      <c r="H2784" s="69"/>
      <c r="I2784" s="135"/>
      <c r="J2784" s="136"/>
      <c r="K2784" s="137"/>
      <c r="L2784" s="137"/>
    </row>
    <row r="2785" spans="2:12">
      <c r="B2785" s="133"/>
      <c r="C2785" s="14"/>
      <c r="D2785" s="14"/>
      <c r="E2785" s="134"/>
      <c r="F2785" s="14"/>
      <c r="G2785" s="69"/>
      <c r="H2785" s="69"/>
      <c r="I2785" s="135"/>
      <c r="J2785" s="136"/>
      <c r="K2785" s="137"/>
      <c r="L2785" s="137"/>
    </row>
    <row r="2786" spans="2:12">
      <c r="B2786" s="133"/>
      <c r="C2786" s="14"/>
      <c r="D2786" s="14"/>
      <c r="E2786" s="134"/>
      <c r="F2786" s="14"/>
      <c r="G2786" s="69"/>
      <c r="H2786" s="69"/>
      <c r="I2786" s="135"/>
      <c r="J2786" s="136"/>
      <c r="K2786" s="137"/>
      <c r="L2786" s="137"/>
    </row>
    <row r="2787" spans="2:12">
      <c r="B2787" s="133"/>
      <c r="C2787" s="14"/>
      <c r="D2787" s="14"/>
      <c r="E2787" s="134"/>
      <c r="F2787" s="14"/>
      <c r="G2787" s="69"/>
      <c r="H2787" s="69"/>
      <c r="I2787" s="135"/>
      <c r="J2787" s="136"/>
      <c r="K2787" s="137"/>
      <c r="L2787" s="137"/>
    </row>
    <row r="2788" spans="2:12">
      <c r="B2788" s="133"/>
      <c r="C2788" s="14"/>
      <c r="D2788" s="14"/>
      <c r="E2788" s="134"/>
      <c r="F2788" s="14"/>
      <c r="G2788" s="69"/>
      <c r="H2788" s="69"/>
      <c r="I2788" s="135"/>
      <c r="J2788" s="136"/>
      <c r="K2788" s="137"/>
      <c r="L2788" s="137"/>
    </row>
    <row r="2789" spans="2:12">
      <c r="B2789" s="133"/>
      <c r="C2789" s="14"/>
      <c r="D2789" s="14"/>
      <c r="E2789" s="134"/>
      <c r="F2789" s="14"/>
      <c r="G2789" s="69"/>
      <c r="H2789" s="69"/>
      <c r="I2789" s="135"/>
      <c r="J2789" s="136"/>
      <c r="K2789" s="137"/>
      <c r="L2789" s="137"/>
    </row>
    <row r="2790" spans="2:12">
      <c r="B2790" s="133"/>
      <c r="C2790" s="14"/>
      <c r="D2790" s="14"/>
      <c r="E2790" s="134"/>
      <c r="F2790" s="14"/>
      <c r="G2790" s="69"/>
      <c r="H2790" s="69"/>
      <c r="I2790" s="135"/>
      <c r="J2790" s="136"/>
      <c r="K2790" s="137"/>
      <c r="L2790" s="137"/>
    </row>
    <row r="2791" spans="2:12">
      <c r="B2791" s="133"/>
      <c r="C2791" s="14"/>
      <c r="D2791" s="14"/>
      <c r="E2791" s="134"/>
      <c r="F2791" s="14"/>
      <c r="G2791" s="69"/>
      <c r="H2791" s="69"/>
      <c r="I2791" s="135"/>
      <c r="J2791" s="136"/>
      <c r="K2791" s="137"/>
      <c r="L2791" s="137"/>
    </row>
    <row r="2792" spans="2:12">
      <c r="B2792" s="133"/>
      <c r="C2792" s="14"/>
      <c r="D2792" s="14"/>
      <c r="E2792" s="134"/>
      <c r="F2792" s="14"/>
      <c r="G2792" s="69"/>
      <c r="H2792" s="69"/>
      <c r="I2792" s="135"/>
      <c r="J2792" s="136"/>
      <c r="K2792" s="137"/>
      <c r="L2792" s="137"/>
    </row>
    <row r="2793" spans="2:12">
      <c r="B2793" s="133"/>
      <c r="C2793" s="14"/>
      <c r="D2793" s="14"/>
      <c r="E2793" s="134"/>
      <c r="F2793" s="14"/>
      <c r="G2793" s="69"/>
      <c r="H2793" s="69"/>
      <c r="I2793" s="135"/>
      <c r="J2793" s="136"/>
      <c r="K2793" s="137"/>
      <c r="L2793" s="137"/>
    </row>
    <row r="2794" spans="2:12">
      <c r="B2794" s="133"/>
      <c r="C2794" s="14"/>
      <c r="D2794" s="14"/>
      <c r="E2794" s="134"/>
      <c r="F2794" s="14"/>
      <c r="G2794" s="69"/>
      <c r="H2794" s="69"/>
      <c r="I2794" s="135"/>
      <c r="J2794" s="136"/>
      <c r="K2794" s="137"/>
      <c r="L2794" s="137"/>
    </row>
    <row r="2795" spans="2:12">
      <c r="B2795" s="133"/>
      <c r="C2795" s="14"/>
      <c r="D2795" s="14"/>
      <c r="E2795" s="134"/>
      <c r="F2795" s="14"/>
      <c r="G2795" s="69"/>
      <c r="H2795" s="69"/>
      <c r="I2795" s="135"/>
      <c r="J2795" s="136"/>
      <c r="K2795" s="137"/>
      <c r="L2795" s="137"/>
    </row>
    <row r="2796" spans="2:12">
      <c r="B2796" s="133"/>
      <c r="C2796" s="14"/>
      <c r="D2796" s="14"/>
      <c r="E2796" s="134"/>
      <c r="F2796" s="14"/>
      <c r="G2796" s="69"/>
      <c r="H2796" s="69"/>
      <c r="I2796" s="135"/>
      <c r="J2796" s="136"/>
      <c r="K2796" s="137"/>
      <c r="L2796" s="137"/>
    </row>
    <row r="2797" spans="2:12">
      <c r="B2797" s="133"/>
      <c r="C2797" s="14"/>
      <c r="D2797" s="14"/>
      <c r="E2797" s="134"/>
      <c r="F2797" s="14"/>
      <c r="G2797" s="69"/>
      <c r="H2797" s="69"/>
      <c r="I2797" s="135"/>
      <c r="J2797" s="136"/>
      <c r="K2797" s="137"/>
      <c r="L2797" s="137"/>
    </row>
    <row r="2798" spans="2:12">
      <c r="B2798" s="133"/>
      <c r="C2798" s="14"/>
      <c r="D2798" s="14"/>
      <c r="E2798" s="134"/>
      <c r="F2798" s="14"/>
      <c r="G2798" s="69"/>
      <c r="H2798" s="69"/>
      <c r="I2798" s="135"/>
      <c r="J2798" s="136"/>
      <c r="K2798" s="137"/>
      <c r="L2798" s="137"/>
    </row>
    <row r="2799" spans="2:12">
      <c r="B2799" s="133"/>
      <c r="C2799" s="14"/>
      <c r="D2799" s="14"/>
      <c r="E2799" s="134"/>
      <c r="F2799" s="14"/>
      <c r="G2799" s="69"/>
      <c r="H2799" s="69"/>
      <c r="I2799" s="135"/>
      <c r="J2799" s="136"/>
      <c r="K2799" s="137"/>
      <c r="L2799" s="137"/>
    </row>
    <row r="2800" spans="2:12">
      <c r="B2800" s="133"/>
      <c r="C2800" s="14"/>
      <c r="D2800" s="14"/>
      <c r="E2800" s="134"/>
      <c r="F2800" s="14"/>
      <c r="G2800" s="69"/>
      <c r="H2800" s="69"/>
      <c r="I2800" s="135"/>
      <c r="J2800" s="136"/>
      <c r="K2800" s="137"/>
      <c r="L2800" s="137"/>
    </row>
    <row r="2801" spans="2:12">
      <c r="B2801" s="133"/>
      <c r="C2801" s="14"/>
      <c r="D2801" s="14"/>
      <c r="E2801" s="134"/>
      <c r="F2801" s="14"/>
      <c r="G2801" s="69"/>
      <c r="H2801" s="69"/>
      <c r="I2801" s="135"/>
      <c r="J2801" s="136"/>
      <c r="K2801" s="137"/>
      <c r="L2801" s="137"/>
    </row>
    <row r="2802" spans="2:12">
      <c r="B2802" s="133"/>
      <c r="C2802" s="14"/>
      <c r="D2802" s="14"/>
      <c r="E2802" s="134"/>
      <c r="F2802" s="14"/>
      <c r="G2802" s="69"/>
      <c r="H2802" s="69"/>
      <c r="I2802" s="135"/>
      <c r="J2802" s="136"/>
      <c r="K2802" s="137"/>
      <c r="L2802" s="137"/>
    </row>
    <row r="2803" spans="2:12">
      <c r="B2803" s="133"/>
      <c r="C2803" s="14"/>
      <c r="D2803" s="14"/>
      <c r="E2803" s="134"/>
      <c r="F2803" s="14"/>
      <c r="G2803" s="69"/>
      <c r="H2803" s="69"/>
      <c r="I2803" s="135"/>
      <c r="J2803" s="136"/>
      <c r="K2803" s="137"/>
      <c r="L2803" s="137"/>
    </row>
    <row r="2804" spans="2:12">
      <c r="B2804" s="133"/>
      <c r="C2804" s="14"/>
      <c r="D2804" s="14"/>
      <c r="E2804" s="134"/>
      <c r="F2804" s="14"/>
      <c r="G2804" s="69"/>
      <c r="H2804" s="69"/>
      <c r="I2804" s="135"/>
      <c r="J2804" s="136"/>
      <c r="K2804" s="137"/>
      <c r="L2804" s="137"/>
    </row>
    <row r="2805" spans="2:12">
      <c r="B2805" s="133"/>
      <c r="C2805" s="14"/>
      <c r="D2805" s="14"/>
      <c r="E2805" s="134"/>
      <c r="F2805" s="14"/>
      <c r="G2805" s="69"/>
      <c r="H2805" s="69"/>
      <c r="I2805" s="135"/>
      <c r="J2805" s="136"/>
      <c r="K2805" s="137"/>
      <c r="L2805" s="137"/>
    </row>
    <row r="2806" spans="2:12">
      <c r="B2806" s="133"/>
      <c r="C2806" s="14"/>
      <c r="D2806" s="14"/>
      <c r="E2806" s="134"/>
      <c r="F2806" s="14"/>
      <c r="G2806" s="69"/>
      <c r="H2806" s="69"/>
      <c r="I2806" s="135"/>
      <c r="J2806" s="136"/>
      <c r="K2806" s="137"/>
      <c r="L2806" s="137"/>
    </row>
    <row r="2807" spans="2:12">
      <c r="B2807" s="133"/>
      <c r="C2807" s="14"/>
      <c r="D2807" s="14"/>
      <c r="E2807" s="134"/>
      <c r="F2807" s="14"/>
      <c r="G2807" s="69"/>
      <c r="H2807" s="69"/>
      <c r="I2807" s="135"/>
      <c r="J2807" s="136"/>
      <c r="K2807" s="137"/>
      <c r="L2807" s="137"/>
    </row>
    <row r="2808" spans="2:12">
      <c r="B2808" s="133"/>
      <c r="C2808" s="14"/>
      <c r="D2808" s="14"/>
      <c r="E2808" s="134"/>
      <c r="F2808" s="14"/>
      <c r="G2808" s="69"/>
      <c r="H2808" s="69"/>
      <c r="I2808" s="135"/>
      <c r="J2808" s="136"/>
      <c r="K2808" s="137"/>
      <c r="L2808" s="137"/>
    </row>
    <row r="2809" spans="2:12">
      <c r="B2809" s="133"/>
      <c r="C2809" s="14"/>
      <c r="D2809" s="14"/>
      <c r="E2809" s="134"/>
      <c r="F2809" s="14"/>
      <c r="G2809" s="69"/>
      <c r="H2809" s="69"/>
      <c r="I2809" s="135"/>
      <c r="J2809" s="136"/>
      <c r="K2809" s="137"/>
      <c r="L2809" s="137"/>
    </row>
    <row r="2810" spans="2:12">
      <c r="B2810" s="133"/>
      <c r="C2810" s="14"/>
      <c r="D2810" s="14"/>
      <c r="E2810" s="134"/>
      <c r="F2810" s="14"/>
      <c r="G2810" s="69"/>
      <c r="H2810" s="69"/>
      <c r="I2810" s="135"/>
      <c r="J2810" s="136"/>
      <c r="K2810" s="137"/>
      <c r="L2810" s="137"/>
    </row>
    <row r="2811" spans="2:12">
      <c r="B2811" s="133"/>
      <c r="C2811" s="14"/>
      <c r="D2811" s="14"/>
      <c r="E2811" s="134"/>
      <c r="F2811" s="14"/>
      <c r="G2811" s="69"/>
      <c r="H2811" s="69"/>
      <c r="I2811" s="135"/>
      <c r="J2811" s="136"/>
      <c r="K2811" s="137"/>
      <c r="L2811" s="137"/>
    </row>
    <row r="2812" spans="2:12">
      <c r="B2812" s="133"/>
      <c r="C2812" s="14"/>
      <c r="D2812" s="14"/>
      <c r="E2812" s="134"/>
      <c r="F2812" s="14"/>
      <c r="G2812" s="69"/>
      <c r="H2812" s="69"/>
      <c r="I2812" s="135"/>
      <c r="J2812" s="136"/>
      <c r="K2812" s="137"/>
      <c r="L2812" s="137"/>
    </row>
    <row r="2813" spans="2:12">
      <c r="B2813" s="133"/>
      <c r="C2813" s="14"/>
      <c r="D2813" s="14"/>
      <c r="E2813" s="134"/>
      <c r="F2813" s="14"/>
      <c r="G2813" s="69"/>
      <c r="H2813" s="69"/>
      <c r="I2813" s="135"/>
      <c r="J2813" s="136"/>
      <c r="K2813" s="137"/>
      <c r="L2813" s="137"/>
    </row>
    <row r="2814" spans="2:12">
      <c r="B2814" s="133"/>
      <c r="C2814" s="14"/>
      <c r="D2814" s="14"/>
      <c r="E2814" s="134"/>
      <c r="F2814" s="14"/>
      <c r="G2814" s="69"/>
      <c r="H2814" s="69"/>
      <c r="I2814" s="135"/>
      <c r="J2814" s="136"/>
      <c r="K2814" s="137"/>
      <c r="L2814" s="137"/>
    </row>
    <row r="2815" spans="2:12">
      <c r="B2815" s="133"/>
      <c r="C2815" s="14"/>
      <c r="D2815" s="14"/>
      <c r="E2815" s="134"/>
      <c r="F2815" s="14"/>
      <c r="G2815" s="69"/>
      <c r="H2815" s="69"/>
      <c r="I2815" s="135"/>
      <c r="J2815" s="136"/>
      <c r="K2815" s="137"/>
      <c r="L2815" s="137"/>
    </row>
    <row r="2816" spans="2:12">
      <c r="B2816" s="133"/>
      <c r="C2816" s="14"/>
      <c r="D2816" s="14"/>
      <c r="E2816" s="134"/>
      <c r="F2816" s="14"/>
      <c r="G2816" s="69"/>
      <c r="H2816" s="69"/>
      <c r="I2816" s="135"/>
      <c r="J2816" s="136"/>
      <c r="K2816" s="137"/>
      <c r="L2816" s="137"/>
    </row>
    <row r="2817" spans="2:12">
      <c r="B2817" s="133"/>
      <c r="C2817" s="14"/>
      <c r="D2817" s="14"/>
      <c r="E2817" s="134"/>
      <c r="F2817" s="14"/>
      <c r="G2817" s="69"/>
      <c r="H2817" s="69"/>
      <c r="I2817" s="135"/>
      <c r="J2817" s="136"/>
      <c r="K2817" s="137"/>
      <c r="L2817" s="137"/>
    </row>
    <row r="2818" spans="2:12">
      <c r="B2818" s="133"/>
      <c r="C2818" s="14"/>
      <c r="D2818" s="14"/>
      <c r="E2818" s="134"/>
      <c r="F2818" s="14"/>
      <c r="G2818" s="69"/>
      <c r="H2818" s="69"/>
      <c r="I2818" s="135"/>
      <c r="J2818" s="136"/>
      <c r="K2818" s="137"/>
      <c r="L2818" s="137"/>
    </row>
    <row r="2819" spans="2:12">
      <c r="B2819" s="133"/>
      <c r="C2819" s="14"/>
      <c r="D2819" s="14"/>
      <c r="E2819" s="134"/>
      <c r="F2819" s="14"/>
      <c r="G2819" s="69"/>
      <c r="H2819" s="69"/>
      <c r="I2819" s="135"/>
      <c r="J2819" s="136"/>
      <c r="K2819" s="137"/>
      <c r="L2819" s="137"/>
    </row>
    <row r="2820" spans="2:12">
      <c r="B2820" s="133"/>
      <c r="C2820" s="14"/>
      <c r="D2820" s="14"/>
      <c r="E2820" s="134"/>
      <c r="F2820" s="14"/>
      <c r="G2820" s="69"/>
      <c r="H2820" s="69"/>
      <c r="I2820" s="135"/>
      <c r="J2820" s="136"/>
      <c r="K2820" s="137"/>
      <c r="L2820" s="137"/>
    </row>
    <row r="2821" spans="2:12">
      <c r="B2821" s="133"/>
      <c r="C2821" s="14"/>
      <c r="D2821" s="14"/>
      <c r="E2821" s="134"/>
      <c r="F2821" s="14"/>
      <c r="G2821" s="69"/>
      <c r="H2821" s="69"/>
      <c r="I2821" s="135"/>
      <c r="J2821" s="136"/>
      <c r="K2821" s="137"/>
      <c r="L2821" s="137"/>
    </row>
    <row r="2822" spans="2:12">
      <c r="B2822" s="133"/>
      <c r="C2822" s="14"/>
      <c r="D2822" s="14"/>
      <c r="E2822" s="134"/>
      <c r="F2822" s="14"/>
      <c r="G2822" s="69"/>
      <c r="H2822" s="69"/>
      <c r="I2822" s="135"/>
      <c r="J2822" s="136"/>
      <c r="K2822" s="137"/>
      <c r="L2822" s="137"/>
    </row>
    <row r="2823" spans="2:12">
      <c r="B2823" s="133"/>
      <c r="C2823" s="14"/>
      <c r="D2823" s="14"/>
      <c r="E2823" s="134"/>
      <c r="F2823" s="14"/>
      <c r="G2823" s="69"/>
      <c r="H2823" s="69"/>
      <c r="I2823" s="135"/>
      <c r="J2823" s="136"/>
      <c r="K2823" s="137"/>
      <c r="L2823" s="137"/>
    </row>
    <row r="2824" spans="2:12">
      <c r="B2824" s="133"/>
      <c r="C2824" s="14"/>
      <c r="D2824" s="14"/>
      <c r="E2824" s="134"/>
      <c r="F2824" s="14"/>
      <c r="G2824" s="69"/>
      <c r="H2824" s="69"/>
      <c r="I2824" s="135"/>
      <c r="J2824" s="136"/>
      <c r="K2824" s="137"/>
      <c r="L2824" s="137"/>
    </row>
    <row r="2825" spans="2:12">
      <c r="B2825" s="133"/>
      <c r="C2825" s="14"/>
      <c r="D2825" s="14"/>
      <c r="E2825" s="134"/>
      <c r="F2825" s="14"/>
      <c r="G2825" s="69"/>
      <c r="H2825" s="69"/>
      <c r="I2825" s="135"/>
      <c r="J2825" s="136"/>
      <c r="K2825" s="137"/>
      <c r="L2825" s="137"/>
    </row>
    <row r="2826" spans="2:12">
      <c r="B2826" s="133"/>
      <c r="C2826" s="14"/>
      <c r="D2826" s="14"/>
      <c r="E2826" s="134"/>
      <c r="F2826" s="14"/>
      <c r="G2826" s="69"/>
      <c r="H2826" s="69"/>
      <c r="I2826" s="135"/>
      <c r="J2826" s="136"/>
      <c r="K2826" s="137"/>
      <c r="L2826" s="137"/>
    </row>
    <row r="2827" spans="2:12">
      <c r="B2827" s="133"/>
      <c r="C2827" s="14"/>
      <c r="D2827" s="14"/>
      <c r="E2827" s="134"/>
      <c r="F2827" s="14"/>
      <c r="G2827" s="69"/>
      <c r="H2827" s="69"/>
      <c r="I2827" s="135"/>
      <c r="J2827" s="136"/>
      <c r="K2827" s="137"/>
      <c r="L2827" s="137"/>
    </row>
    <row r="2828" spans="2:12">
      <c r="B2828" s="133"/>
      <c r="C2828" s="14"/>
      <c r="D2828" s="14"/>
      <c r="E2828" s="134"/>
      <c r="F2828" s="14"/>
      <c r="G2828" s="69"/>
      <c r="H2828" s="69"/>
      <c r="I2828" s="135"/>
      <c r="J2828" s="136"/>
      <c r="K2828" s="137"/>
      <c r="L2828" s="137"/>
    </row>
    <row r="2829" spans="2:12">
      <c r="B2829" s="133"/>
      <c r="C2829" s="14"/>
      <c r="D2829" s="14"/>
      <c r="E2829" s="134"/>
      <c r="F2829" s="14"/>
      <c r="G2829" s="69"/>
      <c r="H2829" s="69"/>
      <c r="I2829" s="135"/>
      <c r="J2829" s="136"/>
      <c r="K2829" s="137"/>
      <c r="L2829" s="137"/>
    </row>
    <row r="2830" spans="2:12">
      <c r="B2830" s="133"/>
      <c r="C2830" s="14"/>
      <c r="D2830" s="14"/>
      <c r="E2830" s="134"/>
      <c r="F2830" s="14"/>
      <c r="G2830" s="69"/>
      <c r="H2830" s="69"/>
      <c r="I2830" s="135"/>
      <c r="J2830" s="136"/>
      <c r="K2830" s="137"/>
      <c r="L2830" s="137"/>
    </row>
    <row r="2831" spans="2:12">
      <c r="B2831" s="133"/>
      <c r="C2831" s="14"/>
      <c r="D2831" s="14"/>
      <c r="E2831" s="134"/>
      <c r="F2831" s="14"/>
      <c r="G2831" s="69"/>
      <c r="H2831" s="69"/>
      <c r="I2831" s="135"/>
      <c r="J2831" s="136"/>
      <c r="K2831" s="137"/>
      <c r="L2831" s="137"/>
    </row>
    <row r="2832" spans="2:12">
      <c r="B2832" s="133"/>
      <c r="C2832" s="14"/>
      <c r="D2832" s="14"/>
      <c r="E2832" s="134"/>
      <c r="F2832" s="14"/>
      <c r="G2832" s="69"/>
      <c r="H2832" s="69"/>
      <c r="I2832" s="135"/>
      <c r="J2832" s="136"/>
      <c r="K2832" s="137"/>
      <c r="L2832" s="137"/>
    </row>
    <row r="2833" spans="2:12">
      <c r="B2833" s="133"/>
      <c r="C2833" s="14"/>
      <c r="D2833" s="14"/>
      <c r="E2833" s="134"/>
      <c r="F2833" s="14"/>
      <c r="G2833" s="69"/>
      <c r="H2833" s="69"/>
      <c r="I2833" s="135"/>
      <c r="J2833" s="136"/>
      <c r="K2833" s="137"/>
      <c r="L2833" s="137"/>
    </row>
    <row r="2834" spans="2:12">
      <c r="B2834" s="133"/>
      <c r="C2834" s="14"/>
      <c r="D2834" s="14"/>
      <c r="E2834" s="134"/>
      <c r="F2834" s="14"/>
      <c r="G2834" s="69"/>
      <c r="H2834" s="69"/>
      <c r="I2834" s="135"/>
      <c r="J2834" s="136"/>
      <c r="K2834" s="137"/>
      <c r="L2834" s="137"/>
    </row>
    <row r="2835" spans="2:12">
      <c r="B2835" s="133"/>
      <c r="C2835" s="14"/>
      <c r="D2835" s="14"/>
      <c r="E2835" s="134"/>
      <c r="F2835" s="14"/>
      <c r="G2835" s="69"/>
      <c r="H2835" s="69"/>
      <c r="I2835" s="135"/>
      <c r="J2835" s="136"/>
      <c r="K2835" s="137"/>
      <c r="L2835" s="137"/>
    </row>
    <row r="2836" spans="2:12">
      <c r="B2836" s="133"/>
      <c r="C2836" s="14"/>
      <c r="D2836" s="14"/>
      <c r="E2836" s="134"/>
      <c r="F2836" s="14"/>
      <c r="G2836" s="69"/>
      <c r="H2836" s="69"/>
      <c r="I2836" s="135"/>
      <c r="J2836" s="136"/>
      <c r="K2836" s="137"/>
      <c r="L2836" s="137"/>
    </row>
    <row r="2837" spans="2:12">
      <c r="B2837" s="133"/>
      <c r="C2837" s="14"/>
      <c r="D2837" s="14"/>
      <c r="E2837" s="134"/>
      <c r="F2837" s="14"/>
      <c r="G2837" s="69"/>
      <c r="H2837" s="69"/>
      <c r="I2837" s="135"/>
      <c r="J2837" s="136"/>
      <c r="K2837" s="137"/>
      <c r="L2837" s="137"/>
    </row>
    <row r="2838" spans="2:12">
      <c r="B2838" s="133"/>
      <c r="C2838" s="14"/>
      <c r="D2838" s="14"/>
      <c r="E2838" s="134"/>
      <c r="F2838" s="14"/>
      <c r="G2838" s="69"/>
      <c r="H2838" s="69"/>
      <c r="I2838" s="135"/>
      <c r="J2838" s="136"/>
      <c r="K2838" s="137"/>
      <c r="L2838" s="137"/>
    </row>
    <row r="2839" spans="2:12">
      <c r="B2839" s="133"/>
      <c r="C2839" s="14"/>
      <c r="D2839" s="14"/>
      <c r="E2839" s="134"/>
      <c r="F2839" s="14"/>
      <c r="G2839" s="69"/>
      <c r="H2839" s="69"/>
      <c r="I2839" s="135"/>
      <c r="J2839" s="136"/>
      <c r="K2839" s="137"/>
      <c r="L2839" s="137"/>
    </row>
    <row r="2840" spans="2:12">
      <c r="B2840" s="133"/>
      <c r="C2840" s="14"/>
      <c r="D2840" s="14"/>
      <c r="E2840" s="134"/>
      <c r="F2840" s="14"/>
      <c r="G2840" s="69"/>
      <c r="H2840" s="69"/>
      <c r="I2840" s="135"/>
      <c r="J2840" s="136"/>
      <c r="K2840" s="137"/>
      <c r="L2840" s="137"/>
    </row>
    <row r="2841" spans="2:12">
      <c r="B2841" s="133"/>
      <c r="C2841" s="14"/>
      <c r="D2841" s="14"/>
      <c r="E2841" s="134"/>
      <c r="F2841" s="14"/>
      <c r="G2841" s="69"/>
      <c r="H2841" s="69"/>
      <c r="I2841" s="135"/>
      <c r="J2841" s="136"/>
      <c r="K2841" s="137"/>
      <c r="L2841" s="137"/>
    </row>
    <row r="2842" spans="2:12">
      <c r="B2842" s="133"/>
      <c r="C2842" s="14"/>
      <c r="D2842" s="14"/>
      <c r="E2842" s="134"/>
      <c r="F2842" s="14"/>
      <c r="G2842" s="69"/>
      <c r="H2842" s="69"/>
      <c r="I2842" s="135"/>
      <c r="J2842" s="136"/>
      <c r="K2842" s="137"/>
      <c r="L2842" s="137"/>
    </row>
    <row r="2843" spans="2:12">
      <c r="B2843" s="133"/>
      <c r="C2843" s="14"/>
      <c r="D2843" s="14"/>
      <c r="E2843" s="134"/>
      <c r="F2843" s="14"/>
      <c r="G2843" s="69"/>
      <c r="H2843" s="69"/>
      <c r="I2843" s="135"/>
      <c r="J2843" s="136"/>
      <c r="K2843" s="137"/>
      <c r="L2843" s="137"/>
    </row>
    <row r="2844" spans="2:12">
      <c r="B2844" s="133"/>
      <c r="C2844" s="14"/>
      <c r="D2844" s="14"/>
      <c r="E2844" s="134"/>
      <c r="F2844" s="14"/>
      <c r="G2844" s="69"/>
      <c r="H2844" s="69"/>
      <c r="I2844" s="135"/>
      <c r="J2844" s="136"/>
      <c r="K2844" s="137"/>
      <c r="L2844" s="137"/>
    </row>
    <row r="2845" spans="2:12">
      <c r="B2845" s="133"/>
      <c r="C2845" s="14"/>
      <c r="D2845" s="14"/>
      <c r="E2845" s="134"/>
      <c r="F2845" s="14"/>
      <c r="G2845" s="69"/>
      <c r="H2845" s="69"/>
      <c r="I2845" s="135"/>
      <c r="J2845" s="136"/>
      <c r="K2845" s="137"/>
      <c r="L2845" s="137"/>
    </row>
    <row r="2846" spans="2:12">
      <c r="B2846" s="133"/>
      <c r="C2846" s="14"/>
      <c r="D2846" s="14"/>
      <c r="E2846" s="134"/>
      <c r="F2846" s="14"/>
      <c r="G2846" s="69"/>
      <c r="H2846" s="69"/>
      <c r="I2846" s="135"/>
      <c r="J2846" s="136"/>
      <c r="K2846" s="137"/>
      <c r="L2846" s="137"/>
    </row>
    <row r="2847" spans="2:12">
      <c r="B2847" s="133"/>
      <c r="C2847" s="14"/>
      <c r="D2847" s="14"/>
      <c r="E2847" s="134"/>
      <c r="F2847" s="14"/>
      <c r="G2847" s="69"/>
      <c r="H2847" s="69"/>
      <c r="I2847" s="135"/>
      <c r="J2847" s="136"/>
      <c r="K2847" s="137"/>
      <c r="L2847" s="137"/>
    </row>
    <row r="2848" spans="2:12">
      <c r="B2848" s="133"/>
      <c r="C2848" s="14"/>
      <c r="D2848" s="14"/>
      <c r="E2848" s="134"/>
      <c r="F2848" s="14"/>
      <c r="G2848" s="69"/>
      <c r="H2848" s="69"/>
      <c r="I2848" s="135"/>
      <c r="J2848" s="136"/>
      <c r="K2848" s="137"/>
      <c r="L2848" s="137"/>
    </row>
    <row r="2849" spans="2:12">
      <c r="B2849" s="133"/>
      <c r="C2849" s="14"/>
      <c r="D2849" s="14"/>
      <c r="E2849" s="134"/>
      <c r="F2849" s="14"/>
      <c r="G2849" s="69"/>
      <c r="H2849" s="69"/>
      <c r="I2849" s="135"/>
      <c r="J2849" s="136"/>
      <c r="K2849" s="137"/>
      <c r="L2849" s="137"/>
    </row>
    <row r="2850" spans="2:12">
      <c r="B2850" s="133"/>
      <c r="C2850" s="14"/>
      <c r="D2850" s="14"/>
      <c r="E2850" s="134"/>
      <c r="F2850" s="14"/>
      <c r="G2850" s="69"/>
      <c r="H2850" s="69"/>
      <c r="I2850" s="135"/>
      <c r="J2850" s="136"/>
      <c r="K2850" s="137"/>
      <c r="L2850" s="137"/>
    </row>
    <row r="2851" spans="2:12">
      <c r="B2851" s="133"/>
      <c r="C2851" s="14"/>
      <c r="D2851" s="14"/>
      <c r="E2851" s="134"/>
      <c r="F2851" s="14"/>
      <c r="G2851" s="69"/>
      <c r="H2851" s="69"/>
      <c r="I2851" s="135"/>
      <c r="J2851" s="136"/>
      <c r="K2851" s="137"/>
      <c r="L2851" s="137"/>
    </row>
    <row r="2852" spans="2:12">
      <c r="B2852" s="133"/>
      <c r="C2852" s="14"/>
      <c r="D2852" s="14"/>
      <c r="E2852" s="134"/>
      <c r="F2852" s="14"/>
      <c r="G2852" s="69"/>
      <c r="H2852" s="69"/>
      <c r="I2852" s="135"/>
      <c r="J2852" s="136"/>
      <c r="K2852" s="137"/>
      <c r="L2852" s="137"/>
    </row>
    <row r="2853" spans="2:12">
      <c r="B2853" s="133"/>
      <c r="C2853" s="14"/>
      <c r="D2853" s="14"/>
      <c r="E2853" s="134"/>
      <c r="F2853" s="14"/>
      <c r="G2853" s="69"/>
      <c r="H2853" s="69"/>
      <c r="I2853" s="135"/>
      <c r="J2853" s="136"/>
      <c r="K2853" s="137"/>
      <c r="L2853" s="137"/>
    </row>
    <row r="2854" spans="2:12">
      <c r="B2854" s="133"/>
      <c r="C2854" s="14"/>
      <c r="D2854" s="14"/>
      <c r="E2854" s="134"/>
      <c r="F2854" s="14"/>
      <c r="G2854" s="69"/>
      <c r="H2854" s="69"/>
      <c r="I2854" s="135"/>
      <c r="J2854" s="136"/>
      <c r="K2854" s="137"/>
      <c r="L2854" s="137"/>
    </row>
    <row r="2855" spans="2:12">
      <c r="B2855" s="133"/>
      <c r="C2855" s="14"/>
      <c r="D2855" s="14"/>
      <c r="E2855" s="134"/>
      <c r="F2855" s="14"/>
      <c r="G2855" s="69"/>
      <c r="H2855" s="69"/>
      <c r="I2855" s="135"/>
      <c r="J2855" s="136"/>
      <c r="K2855" s="137"/>
      <c r="L2855" s="137"/>
    </row>
    <row r="2856" spans="2:12">
      <c r="B2856" s="133"/>
      <c r="C2856" s="14"/>
      <c r="D2856" s="14"/>
      <c r="E2856" s="134"/>
      <c r="F2856" s="14"/>
      <c r="G2856" s="69"/>
      <c r="H2856" s="69"/>
      <c r="I2856" s="135"/>
      <c r="J2856" s="136"/>
      <c r="K2856" s="137"/>
      <c r="L2856" s="137"/>
    </row>
    <row r="2857" spans="2:12">
      <c r="B2857" s="133"/>
      <c r="C2857" s="14"/>
      <c r="D2857" s="14"/>
      <c r="E2857" s="134"/>
      <c r="F2857" s="14"/>
      <c r="G2857" s="69"/>
      <c r="H2857" s="69"/>
      <c r="I2857" s="135"/>
      <c r="J2857" s="136"/>
      <c r="K2857" s="137"/>
      <c r="L2857" s="137"/>
    </row>
    <row r="2858" spans="2:12">
      <c r="B2858" s="133"/>
      <c r="C2858" s="14"/>
      <c r="D2858" s="14"/>
      <c r="E2858" s="134"/>
      <c r="F2858" s="14"/>
      <c r="G2858" s="69"/>
      <c r="H2858" s="69"/>
      <c r="I2858" s="135"/>
      <c r="J2858" s="136"/>
      <c r="K2858" s="137"/>
      <c r="L2858" s="137"/>
    </row>
    <row r="2859" spans="2:12">
      <c r="B2859" s="133"/>
      <c r="C2859" s="14"/>
      <c r="D2859" s="14"/>
      <c r="E2859" s="134"/>
      <c r="F2859" s="14"/>
      <c r="G2859" s="69"/>
      <c r="H2859" s="69"/>
      <c r="I2859" s="135"/>
      <c r="J2859" s="136"/>
      <c r="K2859" s="137"/>
      <c r="L2859" s="137"/>
    </row>
    <row r="2860" spans="2:12">
      <c r="B2860" s="133"/>
      <c r="C2860" s="14"/>
      <c r="D2860" s="14"/>
      <c r="E2860" s="134"/>
      <c r="F2860" s="14"/>
      <c r="G2860" s="69"/>
      <c r="H2860" s="69"/>
      <c r="I2860" s="135"/>
      <c r="J2860" s="136"/>
      <c r="K2860" s="137"/>
      <c r="L2860" s="137"/>
    </row>
    <row r="2861" spans="2:12">
      <c r="B2861" s="133"/>
      <c r="C2861" s="14"/>
      <c r="D2861" s="14"/>
      <c r="E2861" s="134"/>
      <c r="F2861" s="14"/>
      <c r="G2861" s="69"/>
      <c r="H2861" s="69"/>
      <c r="I2861" s="135"/>
      <c r="J2861" s="136"/>
      <c r="K2861" s="137"/>
      <c r="L2861" s="137"/>
    </row>
    <row r="2862" spans="2:12">
      <c r="B2862" s="133"/>
      <c r="C2862" s="14"/>
      <c r="D2862" s="14"/>
      <c r="E2862" s="134"/>
      <c r="F2862" s="14"/>
      <c r="G2862" s="69"/>
      <c r="H2862" s="69"/>
      <c r="I2862" s="135"/>
      <c r="J2862" s="136"/>
      <c r="K2862" s="137"/>
      <c r="L2862" s="137"/>
    </row>
    <row r="2863" spans="2:12">
      <c r="B2863" s="133"/>
      <c r="C2863" s="14"/>
      <c r="D2863" s="14"/>
      <c r="E2863" s="134"/>
      <c r="F2863" s="14"/>
      <c r="G2863" s="69"/>
      <c r="H2863" s="69"/>
      <c r="I2863" s="135"/>
      <c r="J2863" s="136"/>
      <c r="K2863" s="137"/>
      <c r="L2863" s="137"/>
    </row>
    <row r="2864" spans="2:12">
      <c r="B2864" s="133"/>
      <c r="C2864" s="14"/>
      <c r="D2864" s="14"/>
      <c r="E2864" s="134"/>
      <c r="F2864" s="14"/>
      <c r="G2864" s="69"/>
      <c r="H2864" s="69"/>
      <c r="I2864" s="135"/>
      <c r="J2864" s="136"/>
      <c r="K2864" s="137"/>
      <c r="L2864" s="137"/>
    </row>
    <row r="2865" spans="2:12">
      <c r="B2865" s="133"/>
      <c r="C2865" s="14"/>
      <c r="D2865" s="14"/>
      <c r="E2865" s="134"/>
      <c r="F2865" s="14"/>
      <c r="G2865" s="69"/>
      <c r="H2865" s="69"/>
      <c r="I2865" s="135"/>
      <c r="J2865" s="136"/>
      <c r="K2865" s="137"/>
      <c r="L2865" s="137"/>
    </row>
    <row r="2866" spans="2:12">
      <c r="B2866" s="133"/>
      <c r="C2866" s="14"/>
      <c r="D2866" s="14"/>
      <c r="E2866" s="134"/>
      <c r="F2866" s="14"/>
      <c r="G2866" s="69"/>
      <c r="H2866" s="69"/>
      <c r="I2866" s="135"/>
      <c r="J2866" s="136"/>
      <c r="K2866" s="137"/>
      <c r="L2866" s="137"/>
    </row>
    <row r="2867" spans="2:12">
      <c r="B2867" s="133"/>
      <c r="C2867" s="14"/>
      <c r="D2867" s="14"/>
      <c r="E2867" s="134"/>
      <c r="F2867" s="14"/>
      <c r="G2867" s="69"/>
      <c r="H2867" s="69"/>
      <c r="I2867" s="135"/>
      <c r="J2867" s="136"/>
      <c r="K2867" s="137"/>
      <c r="L2867" s="137"/>
    </row>
    <row r="2868" spans="2:12">
      <c r="B2868" s="133"/>
      <c r="C2868" s="14"/>
      <c r="D2868" s="14"/>
      <c r="E2868" s="134"/>
      <c r="F2868" s="14"/>
      <c r="G2868" s="69"/>
      <c r="H2868" s="69"/>
      <c r="I2868" s="135"/>
      <c r="J2868" s="136"/>
      <c r="K2868" s="137"/>
      <c r="L2868" s="137"/>
    </row>
    <row r="2869" spans="2:12">
      <c r="B2869" s="133"/>
      <c r="C2869" s="14"/>
      <c r="D2869" s="14"/>
      <c r="E2869" s="134"/>
      <c r="F2869" s="14"/>
      <c r="G2869" s="69"/>
      <c r="H2869" s="69"/>
      <c r="I2869" s="135"/>
      <c r="J2869" s="136"/>
      <c r="K2869" s="137"/>
      <c r="L2869" s="137"/>
    </row>
    <row r="2870" spans="2:12">
      <c r="B2870" s="133"/>
      <c r="C2870" s="14"/>
      <c r="D2870" s="14"/>
      <c r="E2870" s="134"/>
      <c r="F2870" s="14"/>
      <c r="G2870" s="69"/>
      <c r="H2870" s="69"/>
      <c r="I2870" s="135"/>
      <c r="J2870" s="136"/>
      <c r="K2870" s="137"/>
      <c r="L2870" s="137"/>
    </row>
    <row r="2871" spans="2:12">
      <c r="B2871" s="133"/>
      <c r="C2871" s="14"/>
      <c r="D2871" s="14"/>
      <c r="E2871" s="134"/>
      <c r="F2871" s="14"/>
      <c r="G2871" s="69"/>
      <c r="H2871" s="69"/>
      <c r="I2871" s="135"/>
      <c r="J2871" s="136"/>
      <c r="K2871" s="137"/>
      <c r="L2871" s="137"/>
    </row>
    <row r="2872" spans="2:12">
      <c r="B2872" s="133"/>
      <c r="C2872" s="14"/>
      <c r="D2872" s="14"/>
      <c r="E2872" s="134"/>
      <c r="F2872" s="14"/>
      <c r="G2872" s="69"/>
      <c r="H2872" s="69"/>
      <c r="I2872" s="135"/>
      <c r="J2872" s="136"/>
      <c r="K2872" s="137"/>
      <c r="L2872" s="137"/>
    </row>
    <row r="2873" spans="2:12">
      <c r="B2873" s="133"/>
      <c r="C2873" s="14"/>
      <c r="D2873" s="14"/>
      <c r="E2873" s="134"/>
      <c r="F2873" s="14"/>
      <c r="G2873" s="69"/>
      <c r="H2873" s="69"/>
      <c r="I2873" s="135"/>
      <c r="J2873" s="136"/>
      <c r="K2873" s="137"/>
      <c r="L2873" s="137"/>
    </row>
    <row r="2874" spans="2:12">
      <c r="B2874" s="133"/>
      <c r="C2874" s="14"/>
      <c r="D2874" s="14"/>
      <c r="E2874" s="134"/>
      <c r="F2874" s="14"/>
      <c r="G2874" s="69"/>
      <c r="H2874" s="69"/>
      <c r="I2874" s="135"/>
      <c r="J2874" s="136"/>
      <c r="K2874" s="137"/>
      <c r="L2874" s="137"/>
    </row>
    <row r="2875" spans="2:12">
      <c r="B2875" s="133"/>
      <c r="C2875" s="14"/>
      <c r="D2875" s="14"/>
      <c r="E2875" s="134"/>
      <c r="F2875" s="14"/>
      <c r="G2875" s="69"/>
      <c r="H2875" s="69"/>
      <c r="I2875" s="135"/>
      <c r="J2875" s="136"/>
      <c r="K2875" s="137"/>
      <c r="L2875" s="137"/>
    </row>
    <row r="2876" spans="2:12">
      <c r="B2876" s="133"/>
      <c r="C2876" s="14"/>
      <c r="D2876" s="14"/>
      <c r="E2876" s="134"/>
      <c r="F2876" s="14"/>
      <c r="G2876" s="69"/>
      <c r="H2876" s="69"/>
      <c r="I2876" s="135"/>
      <c r="J2876" s="136"/>
      <c r="K2876" s="137"/>
      <c r="L2876" s="137"/>
    </row>
    <row r="2877" spans="2:12">
      <c r="B2877" s="133"/>
      <c r="C2877" s="14"/>
      <c r="D2877" s="14"/>
      <c r="E2877" s="134"/>
      <c r="F2877" s="14"/>
      <c r="G2877" s="69"/>
      <c r="H2877" s="69"/>
      <c r="I2877" s="135"/>
      <c r="J2877" s="136"/>
      <c r="K2877" s="137"/>
      <c r="L2877" s="137"/>
    </row>
    <row r="2878" spans="2:12">
      <c r="B2878" s="133"/>
      <c r="C2878" s="14"/>
      <c r="D2878" s="14"/>
      <c r="E2878" s="134"/>
      <c r="F2878" s="14"/>
      <c r="G2878" s="69"/>
      <c r="H2878" s="69"/>
      <c r="I2878" s="135"/>
      <c r="J2878" s="136"/>
      <c r="K2878" s="137"/>
      <c r="L2878" s="137"/>
    </row>
    <row r="2879" spans="2:12">
      <c r="B2879" s="133"/>
      <c r="C2879" s="14"/>
      <c r="D2879" s="14"/>
      <c r="E2879" s="134"/>
      <c r="F2879" s="14"/>
      <c r="G2879" s="69"/>
      <c r="H2879" s="69"/>
      <c r="I2879" s="135"/>
      <c r="J2879" s="136"/>
      <c r="K2879" s="137"/>
      <c r="L2879" s="137"/>
    </row>
    <row r="2880" spans="2:12">
      <c r="B2880" s="133"/>
      <c r="C2880" s="14"/>
      <c r="D2880" s="14"/>
      <c r="E2880" s="134"/>
      <c r="F2880" s="14"/>
      <c r="G2880" s="69"/>
      <c r="H2880" s="69"/>
      <c r="I2880" s="135"/>
      <c r="J2880" s="136"/>
      <c r="K2880" s="137"/>
      <c r="L2880" s="137"/>
    </row>
    <row r="2881" spans="2:12">
      <c r="B2881" s="133"/>
      <c r="C2881" s="14"/>
      <c r="D2881" s="14"/>
      <c r="E2881" s="134"/>
      <c r="F2881" s="14"/>
      <c r="G2881" s="69"/>
      <c r="H2881" s="69"/>
      <c r="I2881" s="135"/>
      <c r="J2881" s="136"/>
      <c r="K2881" s="137"/>
      <c r="L2881" s="137"/>
    </row>
    <row r="2882" spans="2:12">
      <c r="B2882" s="133"/>
      <c r="C2882" s="14"/>
      <c r="D2882" s="14"/>
      <c r="E2882" s="134"/>
      <c r="F2882" s="14"/>
      <c r="G2882" s="69"/>
      <c r="H2882" s="69"/>
      <c r="I2882" s="135"/>
      <c r="J2882" s="136"/>
      <c r="K2882" s="137"/>
      <c r="L2882" s="137"/>
    </row>
    <row r="2883" spans="2:12">
      <c r="B2883" s="133"/>
      <c r="C2883" s="14"/>
      <c r="D2883" s="14"/>
      <c r="E2883" s="134"/>
      <c r="F2883" s="14"/>
      <c r="G2883" s="69"/>
      <c r="H2883" s="69"/>
      <c r="I2883" s="135"/>
      <c r="J2883" s="136"/>
      <c r="K2883" s="137"/>
      <c r="L2883" s="137"/>
    </row>
    <row r="2884" spans="2:12">
      <c r="B2884" s="133"/>
      <c r="C2884" s="14"/>
      <c r="D2884" s="14"/>
      <c r="E2884" s="134"/>
      <c r="F2884" s="14"/>
      <c r="G2884" s="69"/>
      <c r="H2884" s="69"/>
      <c r="I2884" s="135"/>
      <c r="J2884" s="136"/>
      <c r="K2884" s="137"/>
      <c r="L2884" s="137"/>
    </row>
    <row r="2885" spans="2:12">
      <c r="B2885" s="133"/>
      <c r="C2885" s="14"/>
      <c r="D2885" s="14"/>
      <c r="E2885" s="134"/>
      <c r="F2885" s="14"/>
      <c r="G2885" s="69"/>
      <c r="H2885" s="69"/>
      <c r="I2885" s="135"/>
      <c r="J2885" s="136"/>
      <c r="K2885" s="137"/>
      <c r="L2885" s="137"/>
    </row>
    <row r="2886" spans="2:12">
      <c r="B2886" s="133"/>
      <c r="C2886" s="14"/>
      <c r="D2886" s="14"/>
      <c r="E2886" s="134"/>
      <c r="F2886" s="14"/>
      <c r="G2886" s="69"/>
      <c r="H2886" s="69"/>
      <c r="I2886" s="135"/>
      <c r="J2886" s="136"/>
      <c r="K2886" s="137"/>
      <c r="L2886" s="137"/>
    </row>
    <row r="2887" spans="2:12">
      <c r="B2887" s="133"/>
      <c r="C2887" s="14"/>
      <c r="D2887" s="14"/>
      <c r="E2887" s="134"/>
      <c r="F2887" s="14"/>
      <c r="G2887" s="69"/>
      <c r="H2887" s="69"/>
      <c r="I2887" s="135"/>
      <c r="J2887" s="136"/>
      <c r="K2887" s="137"/>
      <c r="L2887" s="137"/>
    </row>
    <row r="2888" spans="2:12">
      <c r="B2888" s="133"/>
      <c r="C2888" s="14"/>
      <c r="D2888" s="14"/>
      <c r="E2888" s="134"/>
      <c r="F2888" s="14"/>
      <c r="G2888" s="69"/>
      <c r="H2888" s="69"/>
      <c r="I2888" s="135"/>
      <c r="J2888" s="136"/>
      <c r="K2888" s="137"/>
      <c r="L2888" s="137"/>
    </row>
    <row r="2889" spans="2:12">
      <c r="B2889" s="133"/>
      <c r="C2889" s="14"/>
      <c r="D2889" s="14"/>
      <c r="E2889" s="134"/>
      <c r="F2889" s="14"/>
      <c r="G2889" s="69"/>
      <c r="H2889" s="69"/>
      <c r="I2889" s="135"/>
      <c r="J2889" s="136"/>
      <c r="K2889" s="137"/>
      <c r="L2889" s="137"/>
    </row>
    <row r="2890" spans="2:12">
      <c r="B2890" s="133"/>
      <c r="C2890" s="14"/>
      <c r="D2890" s="14"/>
      <c r="E2890" s="134"/>
      <c r="F2890" s="14"/>
      <c r="G2890" s="69"/>
      <c r="H2890" s="69"/>
      <c r="I2890" s="135"/>
      <c r="J2890" s="136"/>
      <c r="K2890" s="137"/>
      <c r="L2890" s="137"/>
    </row>
    <row r="2891" spans="2:12">
      <c r="B2891" s="133"/>
      <c r="C2891" s="14"/>
      <c r="D2891" s="14"/>
      <c r="E2891" s="134"/>
      <c r="F2891" s="14"/>
      <c r="G2891" s="69"/>
      <c r="H2891" s="69"/>
      <c r="I2891" s="135"/>
      <c r="J2891" s="136"/>
      <c r="K2891" s="137"/>
      <c r="L2891" s="137"/>
    </row>
    <row r="2892" spans="2:12">
      <c r="B2892" s="133"/>
      <c r="C2892" s="14"/>
      <c r="D2892" s="14"/>
      <c r="E2892" s="134"/>
      <c r="F2892" s="14"/>
      <c r="G2892" s="69"/>
      <c r="H2892" s="69"/>
      <c r="I2892" s="135"/>
      <c r="J2892" s="136"/>
      <c r="K2892" s="137"/>
      <c r="L2892" s="137"/>
    </row>
    <row r="2893" spans="2:12">
      <c r="B2893" s="133"/>
      <c r="C2893" s="14"/>
      <c r="D2893" s="14"/>
      <c r="E2893" s="134"/>
      <c r="F2893" s="14"/>
      <c r="G2893" s="69"/>
      <c r="H2893" s="69"/>
      <c r="I2893" s="135"/>
      <c r="J2893" s="136"/>
      <c r="K2893" s="137"/>
      <c r="L2893" s="137"/>
    </row>
    <row r="2894" spans="2:12">
      <c r="B2894" s="133"/>
      <c r="C2894" s="14"/>
      <c r="D2894" s="14"/>
      <c r="E2894" s="134"/>
      <c r="F2894" s="14"/>
      <c r="G2894" s="69"/>
      <c r="H2894" s="69"/>
      <c r="I2894" s="135"/>
      <c r="J2894" s="136"/>
      <c r="K2894" s="137"/>
      <c r="L2894" s="137"/>
    </row>
    <row r="2895" spans="2:12">
      <c r="B2895" s="133"/>
      <c r="C2895" s="14"/>
      <c r="D2895" s="14"/>
      <c r="E2895" s="134"/>
      <c r="F2895" s="14"/>
      <c r="G2895" s="69"/>
      <c r="H2895" s="69"/>
      <c r="I2895" s="135"/>
      <c r="J2895" s="136"/>
      <c r="K2895" s="137"/>
      <c r="L2895" s="137"/>
    </row>
    <row r="2896" spans="2:12">
      <c r="B2896" s="133"/>
      <c r="C2896" s="14"/>
      <c r="D2896" s="14"/>
      <c r="E2896" s="134"/>
      <c r="F2896" s="14"/>
      <c r="G2896" s="69"/>
      <c r="H2896" s="69"/>
      <c r="I2896" s="135"/>
      <c r="J2896" s="136"/>
      <c r="K2896" s="137"/>
      <c r="L2896" s="137"/>
    </row>
    <row r="2897" spans="2:12">
      <c r="B2897" s="133"/>
      <c r="C2897" s="14"/>
      <c r="D2897" s="14"/>
      <c r="E2897" s="134"/>
      <c r="F2897" s="14"/>
      <c r="G2897" s="69"/>
      <c r="H2897" s="69"/>
      <c r="I2897" s="135"/>
      <c r="J2897" s="136"/>
      <c r="K2897" s="137"/>
      <c r="L2897" s="137"/>
    </row>
    <row r="2898" spans="2:12">
      <c r="B2898" s="133"/>
      <c r="C2898" s="14"/>
      <c r="D2898" s="14"/>
      <c r="E2898" s="134"/>
      <c r="F2898" s="14"/>
      <c r="G2898" s="69"/>
      <c r="H2898" s="69"/>
      <c r="I2898" s="135"/>
      <c r="J2898" s="136"/>
      <c r="K2898" s="137"/>
      <c r="L2898" s="137"/>
    </row>
    <row r="2899" spans="2:12">
      <c r="B2899" s="133"/>
      <c r="C2899" s="14"/>
      <c r="D2899" s="14"/>
      <c r="E2899" s="134"/>
      <c r="F2899" s="14"/>
      <c r="G2899" s="69"/>
      <c r="H2899" s="69"/>
      <c r="I2899" s="135"/>
      <c r="J2899" s="136"/>
      <c r="K2899" s="137"/>
      <c r="L2899" s="137"/>
    </row>
    <row r="2900" spans="2:12">
      <c r="B2900" s="133"/>
      <c r="C2900" s="14"/>
      <c r="D2900" s="14"/>
      <c r="E2900" s="134"/>
      <c r="F2900" s="14"/>
      <c r="G2900" s="69"/>
      <c r="H2900" s="69"/>
      <c r="I2900" s="135"/>
      <c r="J2900" s="136"/>
      <c r="K2900" s="137"/>
      <c r="L2900" s="137"/>
    </row>
    <row r="2901" spans="2:12">
      <c r="B2901" s="133"/>
      <c r="C2901" s="14"/>
      <c r="D2901" s="14"/>
      <c r="E2901" s="134"/>
      <c r="F2901" s="14"/>
      <c r="G2901" s="69"/>
      <c r="H2901" s="69"/>
      <c r="I2901" s="135"/>
      <c r="J2901" s="136"/>
      <c r="K2901" s="137"/>
      <c r="L2901" s="137"/>
    </row>
    <row r="2902" spans="2:12">
      <c r="B2902" s="133"/>
      <c r="C2902" s="14"/>
      <c r="D2902" s="14"/>
      <c r="E2902" s="134"/>
      <c r="F2902" s="14"/>
      <c r="G2902" s="69"/>
      <c r="H2902" s="69"/>
      <c r="I2902" s="135"/>
      <c r="J2902" s="136"/>
      <c r="K2902" s="137"/>
      <c r="L2902" s="137"/>
    </row>
    <row r="2903" spans="2:12">
      <c r="B2903" s="133"/>
      <c r="C2903" s="14"/>
      <c r="D2903" s="14"/>
      <c r="E2903" s="134"/>
      <c r="F2903" s="14"/>
      <c r="G2903" s="69"/>
      <c r="H2903" s="69"/>
      <c r="I2903" s="135"/>
      <c r="J2903" s="136"/>
      <c r="K2903" s="137"/>
      <c r="L2903" s="137"/>
    </row>
    <row r="2904" spans="2:12">
      <c r="B2904" s="133"/>
      <c r="C2904" s="14"/>
      <c r="D2904" s="14"/>
      <c r="E2904" s="134"/>
      <c r="F2904" s="14"/>
      <c r="G2904" s="69"/>
      <c r="H2904" s="69"/>
      <c r="I2904" s="135"/>
      <c r="J2904" s="136"/>
      <c r="K2904" s="137"/>
      <c r="L2904" s="137"/>
    </row>
    <row r="2905" spans="2:12">
      <c r="B2905" s="133"/>
      <c r="C2905" s="14"/>
      <c r="D2905" s="14"/>
      <c r="E2905" s="134"/>
      <c r="F2905" s="14"/>
      <c r="G2905" s="69"/>
      <c r="H2905" s="69"/>
      <c r="I2905" s="135"/>
      <c r="J2905" s="136"/>
      <c r="K2905" s="137"/>
      <c r="L2905" s="137"/>
    </row>
    <row r="2906" spans="2:12">
      <c r="B2906" s="133"/>
      <c r="C2906" s="14"/>
      <c r="D2906" s="14"/>
      <c r="E2906" s="134"/>
      <c r="F2906" s="14"/>
      <c r="G2906" s="69"/>
      <c r="H2906" s="69"/>
      <c r="I2906" s="135"/>
      <c r="J2906" s="136"/>
      <c r="K2906" s="137"/>
      <c r="L2906" s="137"/>
    </row>
    <row r="2907" spans="2:12">
      <c r="B2907" s="133"/>
      <c r="C2907" s="14"/>
      <c r="D2907" s="14"/>
      <c r="E2907" s="134"/>
      <c r="F2907" s="14"/>
      <c r="G2907" s="69"/>
      <c r="H2907" s="69"/>
      <c r="I2907" s="135"/>
      <c r="J2907" s="136"/>
      <c r="K2907" s="137"/>
      <c r="L2907" s="137"/>
    </row>
    <row r="2908" spans="2:12">
      <c r="B2908" s="133"/>
      <c r="C2908" s="14"/>
      <c r="D2908" s="14"/>
      <c r="E2908" s="134"/>
      <c r="F2908" s="14"/>
      <c r="G2908" s="69"/>
      <c r="H2908" s="69"/>
      <c r="I2908" s="135"/>
      <c r="J2908" s="136"/>
      <c r="K2908" s="137"/>
      <c r="L2908" s="137"/>
    </row>
    <row r="2909" spans="2:12">
      <c r="B2909" s="133"/>
      <c r="C2909" s="14"/>
      <c r="D2909" s="14"/>
      <c r="E2909" s="134"/>
      <c r="F2909" s="14"/>
      <c r="G2909" s="69"/>
      <c r="H2909" s="69"/>
      <c r="I2909" s="135"/>
      <c r="J2909" s="136"/>
      <c r="K2909" s="137"/>
      <c r="L2909" s="137"/>
    </row>
    <row r="2910" spans="2:12">
      <c r="B2910" s="133"/>
      <c r="C2910" s="14"/>
      <c r="D2910" s="14"/>
      <c r="E2910" s="134"/>
      <c r="F2910" s="14"/>
      <c r="G2910" s="69"/>
      <c r="H2910" s="69"/>
      <c r="I2910" s="135"/>
      <c r="J2910" s="136"/>
      <c r="K2910" s="137"/>
      <c r="L2910" s="137"/>
    </row>
    <row r="2911" spans="2:12">
      <c r="B2911" s="133"/>
      <c r="C2911" s="14"/>
      <c r="D2911" s="14"/>
      <c r="E2911" s="134"/>
      <c r="F2911" s="14"/>
      <c r="G2911" s="69"/>
      <c r="H2911" s="69"/>
      <c r="I2911" s="135"/>
      <c r="J2911" s="136"/>
      <c r="K2911" s="137"/>
      <c r="L2911" s="137"/>
    </row>
    <row r="2912" spans="2:12">
      <c r="B2912" s="133"/>
      <c r="C2912" s="14"/>
      <c r="D2912" s="14"/>
      <c r="E2912" s="134"/>
      <c r="F2912" s="14"/>
      <c r="G2912" s="69"/>
      <c r="H2912" s="69"/>
      <c r="I2912" s="135"/>
      <c r="J2912" s="136"/>
      <c r="K2912" s="137"/>
      <c r="L2912" s="137"/>
    </row>
    <row r="2913" spans="2:12">
      <c r="B2913" s="133"/>
      <c r="C2913" s="14"/>
      <c r="D2913" s="14"/>
      <c r="E2913" s="134"/>
      <c r="F2913" s="14"/>
      <c r="G2913" s="69"/>
      <c r="H2913" s="69"/>
      <c r="I2913" s="135"/>
      <c r="J2913" s="136"/>
      <c r="K2913" s="137"/>
      <c r="L2913" s="137"/>
    </row>
    <row r="2914" spans="2:12">
      <c r="B2914" s="133"/>
      <c r="C2914" s="14"/>
      <c r="D2914" s="14"/>
      <c r="E2914" s="134"/>
      <c r="F2914" s="14"/>
      <c r="G2914" s="69"/>
      <c r="H2914" s="69"/>
      <c r="I2914" s="135"/>
      <c r="J2914" s="136"/>
      <c r="K2914" s="137"/>
      <c r="L2914" s="137"/>
    </row>
    <row r="2915" spans="2:12">
      <c r="B2915" s="133"/>
      <c r="C2915" s="14"/>
      <c r="D2915" s="14"/>
      <c r="E2915" s="134"/>
      <c r="F2915" s="14"/>
      <c r="G2915" s="69"/>
      <c r="H2915" s="69"/>
      <c r="I2915" s="135"/>
      <c r="J2915" s="136"/>
      <c r="K2915" s="137"/>
      <c r="L2915" s="137"/>
    </row>
    <row r="2916" spans="2:12">
      <c r="B2916" s="133"/>
      <c r="C2916" s="14"/>
      <c r="D2916" s="14"/>
      <c r="E2916" s="134"/>
      <c r="F2916" s="14"/>
      <c r="G2916" s="69"/>
      <c r="H2916" s="69"/>
      <c r="I2916" s="135"/>
      <c r="J2916" s="136"/>
      <c r="K2916" s="137"/>
      <c r="L2916" s="137"/>
    </row>
    <row r="2917" spans="2:12">
      <c r="B2917" s="133"/>
      <c r="C2917" s="14"/>
      <c r="D2917" s="14"/>
      <c r="E2917" s="134"/>
      <c r="F2917" s="14"/>
      <c r="G2917" s="69"/>
      <c r="H2917" s="69"/>
      <c r="I2917" s="135"/>
      <c r="J2917" s="136"/>
      <c r="K2917" s="137"/>
      <c r="L2917" s="137"/>
    </row>
    <row r="2918" spans="2:12">
      <c r="B2918" s="133"/>
      <c r="C2918" s="14"/>
      <c r="D2918" s="14"/>
      <c r="E2918" s="134"/>
      <c r="F2918" s="14"/>
      <c r="G2918" s="69"/>
      <c r="H2918" s="69"/>
      <c r="I2918" s="135"/>
      <c r="J2918" s="136"/>
      <c r="K2918" s="137"/>
      <c r="L2918" s="137"/>
    </row>
    <row r="2919" spans="2:12">
      <c r="B2919" s="133"/>
      <c r="C2919" s="14"/>
      <c r="D2919" s="14"/>
      <c r="E2919" s="134"/>
      <c r="F2919" s="14"/>
      <c r="G2919" s="69"/>
      <c r="H2919" s="69"/>
      <c r="I2919" s="135"/>
      <c r="J2919" s="136"/>
      <c r="K2919" s="137"/>
      <c r="L2919" s="137"/>
    </row>
    <row r="2920" spans="2:12">
      <c r="B2920" s="133"/>
      <c r="C2920" s="14"/>
      <c r="D2920" s="14"/>
      <c r="E2920" s="134"/>
      <c r="F2920" s="14"/>
      <c r="G2920" s="69"/>
      <c r="H2920" s="69"/>
      <c r="I2920" s="135"/>
      <c r="J2920" s="136"/>
      <c r="K2920" s="137"/>
      <c r="L2920" s="137"/>
    </row>
    <row r="2921" spans="2:12">
      <c r="B2921" s="133"/>
      <c r="C2921" s="14"/>
      <c r="D2921" s="14"/>
      <c r="E2921" s="134"/>
      <c r="F2921" s="14"/>
      <c r="G2921" s="69"/>
      <c r="H2921" s="69"/>
      <c r="I2921" s="135"/>
      <c r="J2921" s="136"/>
      <c r="K2921" s="137"/>
      <c r="L2921" s="137"/>
    </row>
    <row r="2922" spans="2:12">
      <c r="B2922" s="133"/>
      <c r="C2922" s="14"/>
      <c r="D2922" s="14"/>
      <c r="E2922" s="134"/>
      <c r="F2922" s="14"/>
      <c r="G2922" s="69"/>
      <c r="H2922" s="69"/>
      <c r="I2922" s="135"/>
      <c r="J2922" s="136"/>
      <c r="K2922" s="137"/>
      <c r="L2922" s="137"/>
    </row>
    <row r="2923" spans="2:12">
      <c r="B2923" s="133"/>
      <c r="C2923" s="14"/>
      <c r="D2923" s="14"/>
      <c r="E2923" s="134"/>
      <c r="F2923" s="14"/>
      <c r="G2923" s="69"/>
      <c r="H2923" s="69"/>
      <c r="I2923" s="135"/>
      <c r="J2923" s="136"/>
      <c r="K2923" s="137"/>
      <c r="L2923" s="137"/>
    </row>
    <row r="2924" spans="2:12">
      <c r="B2924" s="133"/>
      <c r="C2924" s="14"/>
      <c r="D2924" s="14"/>
      <c r="E2924" s="134"/>
      <c r="F2924" s="14"/>
      <c r="G2924" s="69"/>
      <c r="H2924" s="69"/>
      <c r="I2924" s="135"/>
      <c r="J2924" s="136"/>
      <c r="K2924" s="137"/>
      <c r="L2924" s="137"/>
    </row>
    <row r="2925" spans="2:12">
      <c r="B2925" s="133"/>
      <c r="C2925" s="14"/>
      <c r="D2925" s="14"/>
      <c r="E2925" s="134"/>
      <c r="F2925" s="14"/>
      <c r="G2925" s="69"/>
      <c r="H2925" s="69"/>
      <c r="I2925" s="135"/>
      <c r="J2925" s="136"/>
      <c r="K2925" s="137"/>
      <c r="L2925" s="137"/>
    </row>
    <row r="2926" spans="2:12">
      <c r="B2926" s="133"/>
      <c r="C2926" s="14"/>
      <c r="D2926" s="14"/>
      <c r="E2926" s="134"/>
      <c r="F2926" s="14"/>
      <c r="G2926" s="69"/>
      <c r="H2926" s="69"/>
      <c r="I2926" s="135"/>
      <c r="J2926" s="136"/>
      <c r="K2926" s="137"/>
      <c r="L2926" s="137"/>
    </row>
    <row r="2927" spans="2:12">
      <c r="B2927" s="133"/>
      <c r="C2927" s="14"/>
      <c r="D2927" s="14"/>
      <c r="E2927" s="134"/>
      <c r="F2927" s="14"/>
      <c r="G2927" s="69"/>
      <c r="H2927" s="69"/>
      <c r="I2927" s="135"/>
      <c r="J2927" s="136"/>
      <c r="K2927" s="137"/>
      <c r="L2927" s="137"/>
    </row>
    <row r="2928" spans="2:12">
      <c r="B2928" s="133"/>
      <c r="C2928" s="14"/>
      <c r="D2928" s="14"/>
      <c r="E2928" s="134"/>
      <c r="F2928" s="14"/>
      <c r="G2928" s="69"/>
      <c r="H2928" s="69"/>
      <c r="I2928" s="135"/>
      <c r="J2928" s="136"/>
      <c r="K2928" s="137"/>
      <c r="L2928" s="137"/>
    </row>
    <row r="2929" spans="2:12">
      <c r="B2929" s="133"/>
      <c r="C2929" s="14"/>
      <c r="D2929" s="14"/>
      <c r="E2929" s="134"/>
      <c r="F2929" s="14"/>
      <c r="G2929" s="69"/>
      <c r="H2929" s="69"/>
      <c r="I2929" s="135"/>
      <c r="J2929" s="136"/>
      <c r="K2929" s="137"/>
      <c r="L2929" s="137"/>
    </row>
    <row r="2930" spans="2:12">
      <c r="B2930" s="133"/>
      <c r="C2930" s="14"/>
      <c r="D2930" s="14"/>
      <c r="E2930" s="134"/>
      <c r="F2930" s="14"/>
      <c r="G2930" s="69"/>
      <c r="H2930" s="69"/>
      <c r="I2930" s="135"/>
      <c r="J2930" s="136"/>
      <c r="K2930" s="137"/>
      <c r="L2930" s="137"/>
    </row>
    <row r="2931" spans="2:12">
      <c r="B2931" s="133"/>
      <c r="C2931" s="14"/>
      <c r="D2931" s="14"/>
      <c r="E2931" s="134"/>
      <c r="F2931" s="14"/>
      <c r="G2931" s="69"/>
      <c r="H2931" s="69"/>
      <c r="I2931" s="135"/>
      <c r="J2931" s="136"/>
      <c r="K2931" s="137"/>
      <c r="L2931" s="137"/>
    </row>
    <row r="2932" spans="2:12">
      <c r="B2932" s="133"/>
      <c r="C2932" s="14"/>
      <c r="D2932" s="14"/>
      <c r="E2932" s="134"/>
      <c r="F2932" s="14"/>
      <c r="G2932" s="69"/>
      <c r="H2932" s="69"/>
      <c r="I2932" s="135"/>
      <c r="J2932" s="136"/>
      <c r="K2932" s="137"/>
      <c r="L2932" s="137"/>
    </row>
    <row r="2933" spans="2:12">
      <c r="B2933" s="133"/>
      <c r="C2933" s="14"/>
      <c r="D2933" s="14"/>
      <c r="E2933" s="134"/>
      <c r="F2933" s="14"/>
      <c r="G2933" s="69"/>
      <c r="H2933" s="69"/>
      <c r="I2933" s="135"/>
      <c r="J2933" s="136"/>
      <c r="K2933" s="137"/>
      <c r="L2933" s="137"/>
    </row>
    <row r="2934" spans="2:12">
      <c r="B2934" s="133"/>
      <c r="C2934" s="14"/>
      <c r="D2934" s="14"/>
      <c r="E2934" s="134"/>
      <c r="F2934" s="14"/>
      <c r="G2934" s="69"/>
      <c r="H2934" s="69"/>
      <c r="I2934" s="135"/>
      <c r="J2934" s="136"/>
      <c r="K2934" s="137"/>
      <c r="L2934" s="137"/>
    </row>
    <row r="2935" spans="2:12">
      <c r="B2935" s="133"/>
      <c r="C2935" s="14"/>
      <c r="D2935" s="14"/>
      <c r="E2935" s="134"/>
      <c r="F2935" s="14"/>
      <c r="G2935" s="69"/>
      <c r="H2935" s="69"/>
      <c r="I2935" s="135"/>
      <c r="J2935" s="136"/>
      <c r="K2935" s="137"/>
      <c r="L2935" s="137"/>
    </row>
    <row r="2936" spans="2:12">
      <c r="B2936" s="133"/>
      <c r="C2936" s="14"/>
      <c r="D2936" s="14"/>
      <c r="E2936" s="134"/>
      <c r="F2936" s="14"/>
      <c r="G2936" s="69"/>
      <c r="H2936" s="69"/>
      <c r="I2936" s="135"/>
      <c r="J2936" s="136"/>
      <c r="K2936" s="137"/>
      <c r="L2936" s="137"/>
    </row>
    <row r="2937" spans="2:12">
      <c r="B2937" s="133"/>
      <c r="C2937" s="14"/>
      <c r="D2937" s="14"/>
      <c r="E2937" s="134"/>
      <c r="F2937" s="14"/>
      <c r="G2937" s="69"/>
      <c r="H2937" s="69"/>
      <c r="I2937" s="135"/>
      <c r="J2937" s="136"/>
      <c r="K2937" s="137"/>
      <c r="L2937" s="137"/>
    </row>
    <row r="2938" spans="2:12">
      <c r="B2938" s="133"/>
      <c r="C2938" s="14"/>
      <c r="D2938" s="14"/>
      <c r="E2938" s="134"/>
      <c r="F2938" s="14"/>
      <c r="G2938" s="69"/>
      <c r="H2938" s="69"/>
      <c r="I2938" s="135"/>
      <c r="J2938" s="136"/>
      <c r="K2938" s="137"/>
      <c r="L2938" s="137"/>
    </row>
    <row r="2939" spans="2:12">
      <c r="B2939" s="133"/>
      <c r="C2939" s="14"/>
      <c r="D2939" s="14"/>
      <c r="E2939" s="134"/>
      <c r="F2939" s="14"/>
      <c r="G2939" s="69"/>
      <c r="H2939" s="69"/>
      <c r="I2939" s="135"/>
      <c r="J2939" s="136"/>
      <c r="K2939" s="137"/>
      <c r="L2939" s="137"/>
    </row>
    <row r="2940" spans="2:12">
      <c r="B2940" s="133"/>
      <c r="C2940" s="14"/>
      <c r="D2940" s="14"/>
      <c r="E2940" s="134"/>
      <c r="F2940" s="14"/>
      <c r="G2940" s="69"/>
      <c r="H2940" s="69"/>
      <c r="I2940" s="135"/>
      <c r="J2940" s="136"/>
      <c r="K2940" s="137"/>
      <c r="L2940" s="137"/>
    </row>
    <row r="2941" spans="2:12">
      <c r="B2941" s="133"/>
      <c r="C2941" s="14"/>
      <c r="D2941" s="14"/>
      <c r="E2941" s="134"/>
      <c r="F2941" s="14"/>
      <c r="G2941" s="69"/>
      <c r="H2941" s="69"/>
      <c r="I2941" s="135"/>
      <c r="J2941" s="136"/>
      <c r="K2941" s="137"/>
      <c r="L2941" s="137"/>
    </row>
    <row r="2942" spans="2:12">
      <c r="B2942" s="133"/>
      <c r="C2942" s="14"/>
      <c r="D2942" s="14"/>
      <c r="E2942" s="134"/>
      <c r="F2942" s="14"/>
      <c r="G2942" s="69"/>
      <c r="H2942" s="69"/>
      <c r="I2942" s="135"/>
      <c r="J2942" s="136"/>
      <c r="K2942" s="137"/>
      <c r="L2942" s="137"/>
    </row>
    <row r="2943" spans="2:12">
      <c r="B2943" s="133"/>
      <c r="C2943" s="14"/>
      <c r="D2943" s="14"/>
      <c r="E2943" s="134"/>
      <c r="F2943" s="14"/>
      <c r="G2943" s="69"/>
      <c r="H2943" s="69"/>
      <c r="I2943" s="135"/>
      <c r="J2943" s="136"/>
      <c r="K2943" s="137"/>
      <c r="L2943" s="137"/>
    </row>
    <row r="2944" spans="2:12">
      <c r="B2944" s="133"/>
      <c r="C2944" s="14"/>
      <c r="D2944" s="14"/>
      <c r="E2944" s="134"/>
      <c r="F2944" s="14"/>
      <c r="G2944" s="69"/>
      <c r="H2944" s="69"/>
      <c r="I2944" s="135"/>
      <c r="J2944" s="136"/>
      <c r="K2944" s="137"/>
      <c r="L2944" s="137"/>
    </row>
    <row r="2945" spans="2:12">
      <c r="B2945" s="133"/>
      <c r="C2945" s="14"/>
      <c r="D2945" s="14"/>
      <c r="E2945" s="134"/>
      <c r="F2945" s="14"/>
      <c r="G2945" s="69"/>
      <c r="H2945" s="69"/>
      <c r="I2945" s="135"/>
      <c r="J2945" s="136"/>
      <c r="K2945" s="137"/>
      <c r="L2945" s="137"/>
    </row>
    <row r="2946" spans="2:12">
      <c r="B2946" s="133"/>
      <c r="C2946" s="14"/>
      <c r="D2946" s="14"/>
      <c r="E2946" s="134"/>
      <c r="F2946" s="14"/>
      <c r="G2946" s="69"/>
      <c r="H2946" s="69"/>
      <c r="I2946" s="135"/>
      <c r="J2946" s="136"/>
      <c r="K2946" s="137"/>
      <c r="L2946" s="137"/>
    </row>
    <row r="2947" spans="2:12">
      <c r="B2947" s="133"/>
      <c r="C2947" s="14"/>
      <c r="D2947" s="14"/>
      <c r="E2947" s="134"/>
      <c r="F2947" s="14"/>
      <c r="G2947" s="69"/>
      <c r="H2947" s="69"/>
      <c r="I2947" s="135"/>
      <c r="J2947" s="136"/>
      <c r="K2947" s="137"/>
      <c r="L2947" s="137"/>
    </row>
    <row r="2948" spans="2:12">
      <c r="B2948" s="133"/>
      <c r="C2948" s="14"/>
      <c r="D2948" s="14"/>
      <c r="E2948" s="134"/>
      <c r="F2948" s="14"/>
      <c r="G2948" s="69"/>
      <c r="H2948" s="69"/>
      <c r="I2948" s="135"/>
      <c r="J2948" s="136"/>
      <c r="K2948" s="137"/>
      <c r="L2948" s="137"/>
    </row>
    <row r="2949" spans="2:12">
      <c r="B2949" s="133"/>
      <c r="C2949" s="14"/>
      <c r="D2949" s="14"/>
      <c r="E2949" s="134"/>
      <c r="F2949" s="14"/>
      <c r="G2949" s="69"/>
      <c r="H2949" s="69"/>
      <c r="I2949" s="135"/>
      <c r="J2949" s="136"/>
      <c r="K2949" s="137"/>
      <c r="L2949" s="137"/>
    </row>
    <row r="2950" spans="2:12">
      <c r="B2950" s="133"/>
      <c r="C2950" s="14"/>
      <c r="D2950" s="14"/>
      <c r="E2950" s="134"/>
      <c r="F2950" s="14"/>
      <c r="G2950" s="69"/>
      <c r="H2950" s="69"/>
      <c r="I2950" s="135"/>
      <c r="J2950" s="136"/>
      <c r="K2950" s="137"/>
      <c r="L2950" s="137"/>
    </row>
    <row r="2951" spans="2:12">
      <c r="B2951" s="133"/>
      <c r="C2951" s="14"/>
      <c r="D2951" s="14"/>
      <c r="E2951" s="134"/>
      <c r="F2951" s="14"/>
      <c r="G2951" s="69"/>
      <c r="H2951" s="69"/>
      <c r="I2951" s="135"/>
      <c r="J2951" s="136"/>
      <c r="K2951" s="137"/>
      <c r="L2951" s="137"/>
    </row>
    <row r="2952" spans="2:12">
      <c r="B2952" s="133"/>
      <c r="C2952" s="14"/>
      <c r="D2952" s="14"/>
      <c r="E2952" s="134"/>
      <c r="F2952" s="14"/>
      <c r="G2952" s="69"/>
      <c r="H2952" s="69"/>
      <c r="I2952" s="135"/>
      <c r="J2952" s="136"/>
      <c r="K2952" s="137"/>
      <c r="L2952" s="137"/>
    </row>
    <row r="2953" spans="2:12">
      <c r="B2953" s="133"/>
      <c r="C2953" s="14"/>
      <c r="D2953" s="14"/>
      <c r="E2953" s="134"/>
      <c r="F2953" s="14"/>
      <c r="G2953" s="69"/>
      <c r="H2953" s="69"/>
      <c r="I2953" s="135"/>
      <c r="J2953" s="136"/>
      <c r="K2953" s="137"/>
      <c r="L2953" s="137"/>
    </row>
    <row r="2954" spans="2:12">
      <c r="B2954" s="133"/>
      <c r="C2954" s="14"/>
      <c r="D2954" s="14"/>
      <c r="E2954" s="134"/>
      <c r="F2954" s="14"/>
      <c r="G2954" s="69"/>
      <c r="H2954" s="69"/>
      <c r="I2954" s="135"/>
      <c r="J2954" s="136"/>
      <c r="K2954" s="137"/>
      <c r="L2954" s="137"/>
    </row>
    <row r="2955" spans="2:12">
      <c r="B2955" s="133"/>
      <c r="C2955" s="14"/>
      <c r="D2955" s="14"/>
      <c r="E2955" s="134"/>
      <c r="F2955" s="14"/>
      <c r="G2955" s="69"/>
      <c r="H2955" s="69"/>
      <c r="I2955" s="135"/>
      <c r="J2955" s="136"/>
      <c r="K2955" s="137"/>
      <c r="L2955" s="137"/>
    </row>
    <row r="2956" spans="2:12">
      <c r="B2956" s="133"/>
      <c r="C2956" s="14"/>
      <c r="D2956" s="14"/>
      <c r="E2956" s="134"/>
      <c r="F2956" s="14"/>
      <c r="G2956" s="69"/>
      <c r="H2956" s="69"/>
      <c r="I2956" s="135"/>
      <c r="J2956" s="136"/>
      <c r="K2956" s="137"/>
      <c r="L2956" s="137"/>
    </row>
    <row r="2957" spans="2:12">
      <c r="B2957" s="133"/>
      <c r="C2957" s="14"/>
      <c r="D2957" s="14"/>
      <c r="E2957" s="134"/>
      <c r="F2957" s="14"/>
      <c r="G2957" s="69"/>
      <c r="H2957" s="69"/>
      <c r="I2957" s="135"/>
      <c r="J2957" s="136"/>
      <c r="K2957" s="137"/>
      <c r="L2957" s="137"/>
    </row>
    <row r="2958" spans="2:12">
      <c r="B2958" s="133"/>
      <c r="C2958" s="14"/>
      <c r="D2958" s="14"/>
      <c r="E2958" s="134"/>
      <c r="F2958" s="14"/>
      <c r="G2958" s="69"/>
      <c r="H2958" s="69"/>
      <c r="I2958" s="135"/>
      <c r="J2958" s="136"/>
      <c r="K2958" s="137"/>
      <c r="L2958" s="137"/>
    </row>
    <row r="2959" spans="2:12">
      <c r="B2959" s="133"/>
      <c r="C2959" s="14"/>
      <c r="D2959" s="14"/>
      <c r="E2959" s="134"/>
      <c r="F2959" s="14"/>
      <c r="G2959" s="69"/>
      <c r="H2959" s="69"/>
      <c r="I2959" s="135"/>
      <c r="J2959" s="136"/>
      <c r="K2959" s="137"/>
      <c r="L2959" s="137"/>
    </row>
    <row r="2960" spans="2:12">
      <c r="B2960" s="133"/>
      <c r="C2960" s="14"/>
      <c r="D2960" s="14"/>
      <c r="E2960" s="134"/>
      <c r="F2960" s="14"/>
      <c r="G2960" s="69"/>
      <c r="H2960" s="69"/>
      <c r="I2960" s="135"/>
      <c r="J2960" s="136"/>
      <c r="K2960" s="137"/>
      <c r="L2960" s="137"/>
    </row>
    <row r="2961" spans="2:12">
      <c r="B2961" s="133"/>
      <c r="C2961" s="14"/>
      <c r="D2961" s="14"/>
      <c r="E2961" s="134"/>
      <c r="F2961" s="14"/>
      <c r="G2961" s="69"/>
      <c r="H2961" s="69"/>
      <c r="I2961" s="135"/>
      <c r="J2961" s="136"/>
      <c r="K2961" s="137"/>
      <c r="L2961" s="137"/>
    </row>
    <row r="2962" spans="2:12">
      <c r="B2962" s="133"/>
      <c r="C2962" s="14"/>
      <c r="D2962" s="14"/>
      <c r="E2962" s="134"/>
      <c r="F2962" s="14"/>
      <c r="G2962" s="69"/>
      <c r="H2962" s="69"/>
      <c r="I2962" s="135"/>
      <c r="J2962" s="136"/>
      <c r="K2962" s="137"/>
      <c r="L2962" s="137"/>
    </row>
    <row r="2963" spans="2:12">
      <c r="B2963" s="133"/>
      <c r="C2963" s="14"/>
      <c r="D2963" s="14"/>
      <c r="E2963" s="134"/>
      <c r="F2963" s="14"/>
      <c r="G2963" s="69"/>
      <c r="H2963" s="69"/>
      <c r="I2963" s="135"/>
      <c r="J2963" s="136"/>
      <c r="K2963" s="137"/>
      <c r="L2963" s="137"/>
    </row>
    <row r="2964" spans="2:12">
      <c r="B2964" s="133"/>
      <c r="C2964" s="14"/>
      <c r="D2964" s="14"/>
      <c r="E2964" s="134"/>
      <c r="F2964" s="14"/>
      <c r="G2964" s="69"/>
      <c r="H2964" s="69"/>
      <c r="I2964" s="135"/>
      <c r="J2964" s="136"/>
      <c r="K2964" s="137"/>
      <c r="L2964" s="137"/>
    </row>
    <row r="2965" spans="2:12">
      <c r="B2965" s="133"/>
      <c r="C2965" s="14"/>
      <c r="D2965" s="14"/>
      <c r="E2965" s="134"/>
      <c r="F2965" s="14"/>
      <c r="G2965" s="69"/>
      <c r="H2965" s="69"/>
      <c r="I2965" s="135"/>
      <c r="J2965" s="136"/>
      <c r="K2965" s="137"/>
      <c r="L2965" s="137"/>
    </row>
    <row r="2966" spans="2:12">
      <c r="B2966" s="133"/>
      <c r="C2966" s="14"/>
      <c r="D2966" s="14"/>
      <c r="E2966" s="134"/>
      <c r="F2966" s="14"/>
      <c r="G2966" s="69"/>
      <c r="H2966" s="69"/>
      <c r="I2966" s="135"/>
      <c r="J2966" s="136"/>
      <c r="K2966" s="137"/>
      <c r="L2966" s="137"/>
    </row>
    <row r="2967" spans="2:12">
      <c r="B2967" s="133"/>
      <c r="C2967" s="14"/>
      <c r="D2967" s="14"/>
      <c r="E2967" s="134"/>
      <c r="F2967" s="14"/>
      <c r="G2967" s="69"/>
      <c r="H2967" s="69"/>
      <c r="I2967" s="135"/>
      <c r="J2967" s="136"/>
      <c r="K2967" s="137"/>
      <c r="L2967" s="137"/>
    </row>
    <row r="2968" spans="2:12">
      <c r="B2968" s="133"/>
      <c r="C2968" s="14"/>
      <c r="D2968" s="14"/>
      <c r="E2968" s="134"/>
      <c r="F2968" s="14"/>
      <c r="G2968" s="69"/>
      <c r="H2968" s="69"/>
      <c r="I2968" s="135"/>
      <c r="J2968" s="136"/>
      <c r="K2968" s="137"/>
      <c r="L2968" s="137"/>
    </row>
    <row r="2969" spans="2:12">
      <c r="B2969" s="133"/>
      <c r="C2969" s="14"/>
      <c r="D2969" s="14"/>
      <c r="E2969" s="134"/>
      <c r="F2969" s="14"/>
      <c r="G2969" s="69"/>
      <c r="H2969" s="69"/>
      <c r="I2969" s="135"/>
      <c r="J2969" s="136"/>
      <c r="K2969" s="137"/>
      <c r="L2969" s="137"/>
    </row>
    <row r="2970" spans="2:12">
      <c r="B2970" s="133"/>
      <c r="C2970" s="14"/>
      <c r="D2970" s="14"/>
      <c r="E2970" s="134"/>
      <c r="F2970" s="14"/>
      <c r="G2970" s="69"/>
      <c r="H2970" s="69"/>
      <c r="I2970" s="135"/>
      <c r="J2970" s="136"/>
      <c r="K2970" s="137"/>
      <c r="L2970" s="137"/>
    </row>
    <row r="2971" spans="2:12">
      <c r="B2971" s="133"/>
      <c r="C2971" s="14"/>
      <c r="D2971" s="14"/>
      <c r="E2971" s="134"/>
      <c r="F2971" s="14"/>
      <c r="G2971" s="69"/>
      <c r="H2971" s="69"/>
      <c r="I2971" s="135"/>
      <c r="J2971" s="136"/>
      <c r="K2971" s="137"/>
      <c r="L2971" s="137"/>
    </row>
    <row r="2972" spans="2:12">
      <c r="B2972" s="133"/>
      <c r="C2972" s="14"/>
      <c r="D2972" s="14"/>
      <c r="E2972" s="134"/>
      <c r="F2972" s="14"/>
      <c r="G2972" s="69"/>
      <c r="H2972" s="69"/>
      <c r="I2972" s="135"/>
      <c r="J2972" s="136"/>
      <c r="K2972" s="137"/>
      <c r="L2972" s="137"/>
    </row>
    <row r="2973" spans="2:12">
      <c r="B2973" s="133"/>
      <c r="C2973" s="14"/>
      <c r="D2973" s="14"/>
      <c r="E2973" s="134"/>
      <c r="F2973" s="14"/>
      <c r="G2973" s="69"/>
      <c r="H2973" s="69"/>
      <c r="I2973" s="135"/>
      <c r="J2973" s="136"/>
      <c r="K2973" s="137"/>
      <c r="L2973" s="137"/>
    </row>
    <row r="2974" spans="2:12">
      <c r="B2974" s="133"/>
      <c r="C2974" s="14"/>
      <c r="D2974" s="14"/>
      <c r="E2974" s="134"/>
      <c r="F2974" s="14"/>
      <c r="G2974" s="69"/>
      <c r="H2974" s="69"/>
      <c r="I2974" s="135"/>
      <c r="J2974" s="136"/>
      <c r="K2974" s="137"/>
      <c r="L2974" s="137"/>
    </row>
    <row r="2975" spans="2:12">
      <c r="B2975" s="133"/>
      <c r="C2975" s="14"/>
      <c r="D2975" s="14"/>
      <c r="E2975" s="134"/>
      <c r="F2975" s="14"/>
      <c r="G2975" s="69"/>
      <c r="H2975" s="69"/>
      <c r="I2975" s="135"/>
      <c r="J2975" s="136"/>
      <c r="K2975" s="137"/>
      <c r="L2975" s="137"/>
    </row>
    <row r="2976" spans="2:12">
      <c r="B2976" s="133"/>
      <c r="C2976" s="14"/>
      <c r="D2976" s="14"/>
      <c r="E2976" s="134"/>
      <c r="F2976" s="14"/>
      <c r="G2976" s="69"/>
      <c r="H2976" s="69"/>
      <c r="I2976" s="135"/>
      <c r="J2976" s="136"/>
      <c r="K2976" s="137"/>
      <c r="L2976" s="137"/>
    </row>
    <row r="2977" spans="2:12">
      <c r="B2977" s="133"/>
      <c r="C2977" s="14"/>
      <c r="D2977" s="14"/>
      <c r="E2977" s="134"/>
      <c r="F2977" s="14"/>
      <c r="G2977" s="69"/>
      <c r="H2977" s="69"/>
      <c r="I2977" s="135"/>
      <c r="J2977" s="136"/>
      <c r="K2977" s="137"/>
      <c r="L2977" s="137"/>
    </row>
    <row r="2978" spans="2:12">
      <c r="B2978" s="133"/>
      <c r="C2978" s="14"/>
      <c r="D2978" s="14"/>
      <c r="E2978" s="134"/>
      <c r="F2978" s="14"/>
      <c r="G2978" s="69"/>
      <c r="H2978" s="69"/>
      <c r="I2978" s="135"/>
      <c r="J2978" s="136"/>
      <c r="K2978" s="137"/>
      <c r="L2978" s="137"/>
    </row>
    <row r="2979" spans="2:12">
      <c r="B2979" s="133"/>
      <c r="C2979" s="14"/>
      <c r="D2979" s="14"/>
      <c r="E2979" s="134"/>
      <c r="F2979" s="14"/>
      <c r="G2979" s="69"/>
      <c r="H2979" s="69"/>
      <c r="I2979" s="135"/>
      <c r="J2979" s="136"/>
      <c r="K2979" s="137"/>
      <c r="L2979" s="137"/>
    </row>
    <row r="2980" spans="2:12">
      <c r="B2980" s="133"/>
      <c r="C2980" s="14"/>
      <c r="D2980" s="14"/>
      <c r="E2980" s="134"/>
      <c r="F2980" s="14"/>
      <c r="G2980" s="69"/>
      <c r="H2980" s="69"/>
      <c r="I2980" s="135"/>
      <c r="J2980" s="136"/>
      <c r="K2980" s="137"/>
      <c r="L2980" s="137"/>
    </row>
    <row r="2981" spans="2:12">
      <c r="B2981" s="133"/>
      <c r="C2981" s="14"/>
      <c r="D2981" s="14"/>
      <c r="E2981" s="134"/>
      <c r="F2981" s="14"/>
      <c r="G2981" s="69"/>
      <c r="H2981" s="69"/>
      <c r="I2981" s="135"/>
      <c r="J2981" s="136"/>
      <c r="K2981" s="137"/>
      <c r="L2981" s="137"/>
    </row>
    <row r="2982" spans="2:12">
      <c r="B2982" s="133"/>
      <c r="C2982" s="14"/>
      <c r="D2982" s="14"/>
      <c r="E2982" s="134"/>
      <c r="F2982" s="14"/>
      <c r="G2982" s="69"/>
      <c r="H2982" s="69"/>
      <c r="I2982" s="135"/>
      <c r="J2982" s="136"/>
      <c r="K2982" s="137"/>
      <c r="L2982" s="137"/>
    </row>
    <row r="2983" spans="2:12">
      <c r="B2983" s="133"/>
      <c r="C2983" s="14"/>
      <c r="D2983" s="14"/>
      <c r="E2983" s="134"/>
      <c r="F2983" s="14"/>
      <c r="G2983" s="69"/>
      <c r="H2983" s="69"/>
      <c r="I2983" s="135"/>
      <c r="J2983" s="136"/>
      <c r="K2983" s="137"/>
      <c r="L2983" s="137"/>
    </row>
    <row r="2984" spans="2:12">
      <c r="B2984" s="133"/>
      <c r="C2984" s="14"/>
      <c r="D2984" s="14"/>
      <c r="E2984" s="134"/>
      <c r="F2984" s="14"/>
      <c r="G2984" s="69"/>
      <c r="H2984" s="69"/>
      <c r="I2984" s="135"/>
      <c r="J2984" s="136"/>
      <c r="K2984" s="137"/>
      <c r="L2984" s="137"/>
    </row>
    <row r="2985" spans="2:12">
      <c r="B2985" s="133"/>
      <c r="C2985" s="14"/>
      <c r="D2985" s="14"/>
      <c r="E2985" s="134"/>
      <c r="F2985" s="14"/>
      <c r="G2985" s="69"/>
      <c r="H2985" s="69"/>
      <c r="I2985" s="135"/>
      <c r="J2985" s="136"/>
      <c r="K2985" s="137"/>
      <c r="L2985" s="137"/>
    </row>
    <row r="2986" spans="2:12">
      <c r="B2986" s="133"/>
      <c r="C2986" s="14"/>
      <c r="D2986" s="14"/>
      <c r="E2986" s="134"/>
      <c r="F2986" s="14"/>
      <c r="G2986" s="69"/>
      <c r="H2986" s="69"/>
      <c r="I2986" s="135"/>
      <c r="J2986" s="136"/>
      <c r="K2986" s="137"/>
      <c r="L2986" s="137"/>
    </row>
    <row r="2987" spans="2:12">
      <c r="B2987" s="133"/>
      <c r="C2987" s="14"/>
      <c r="D2987" s="14"/>
      <c r="E2987" s="134"/>
      <c r="F2987" s="14"/>
      <c r="G2987" s="69"/>
      <c r="H2987" s="69"/>
      <c r="I2987" s="135"/>
      <c r="J2987" s="136"/>
      <c r="K2987" s="137"/>
      <c r="L2987" s="137"/>
    </row>
    <row r="2988" spans="2:12">
      <c r="B2988" s="133"/>
      <c r="C2988" s="14"/>
      <c r="D2988" s="14"/>
      <c r="E2988" s="134"/>
      <c r="F2988" s="14"/>
      <c r="G2988" s="69"/>
      <c r="H2988" s="69"/>
      <c r="I2988" s="135"/>
      <c r="J2988" s="136"/>
      <c r="K2988" s="137"/>
      <c r="L2988" s="137"/>
    </row>
    <row r="2989" spans="2:12">
      <c r="B2989" s="133"/>
      <c r="C2989" s="14"/>
      <c r="D2989" s="14"/>
      <c r="E2989" s="134"/>
      <c r="F2989" s="14"/>
      <c r="G2989" s="69"/>
      <c r="H2989" s="69"/>
      <c r="I2989" s="135"/>
      <c r="J2989" s="136"/>
      <c r="K2989" s="137"/>
      <c r="L2989" s="137"/>
    </row>
    <row r="2990" spans="2:12">
      <c r="B2990" s="133"/>
      <c r="C2990" s="14"/>
      <c r="D2990" s="14"/>
      <c r="E2990" s="134"/>
      <c r="F2990" s="14"/>
      <c r="G2990" s="69"/>
      <c r="H2990" s="69"/>
      <c r="I2990" s="135"/>
      <c r="J2990" s="136"/>
      <c r="K2990" s="137"/>
      <c r="L2990" s="137"/>
    </row>
    <row r="2991" spans="2:12">
      <c r="B2991" s="133"/>
      <c r="C2991" s="14"/>
      <c r="D2991" s="14"/>
      <c r="E2991" s="134"/>
      <c r="F2991" s="14"/>
      <c r="G2991" s="69"/>
      <c r="H2991" s="69"/>
      <c r="I2991" s="135"/>
      <c r="J2991" s="136"/>
      <c r="K2991" s="137"/>
      <c r="L2991" s="137"/>
    </row>
    <row r="2992" spans="2:12">
      <c r="B2992" s="133"/>
      <c r="C2992" s="14"/>
      <c r="D2992" s="14"/>
      <c r="E2992" s="134"/>
      <c r="F2992" s="14"/>
      <c r="G2992" s="69"/>
      <c r="H2992" s="69"/>
      <c r="I2992" s="135"/>
      <c r="J2992" s="136"/>
      <c r="K2992" s="137"/>
      <c r="L2992" s="137"/>
    </row>
    <row r="2993" spans="2:12">
      <c r="B2993" s="133"/>
      <c r="C2993" s="14"/>
      <c r="D2993" s="14"/>
      <c r="E2993" s="134"/>
      <c r="F2993" s="14"/>
      <c r="G2993" s="69"/>
      <c r="H2993" s="69"/>
      <c r="I2993" s="135"/>
      <c r="J2993" s="136"/>
      <c r="K2993" s="137"/>
      <c r="L2993" s="137"/>
    </row>
    <row r="2994" spans="2:12">
      <c r="B2994" s="133"/>
      <c r="C2994" s="14"/>
      <c r="D2994" s="14"/>
      <c r="E2994" s="134"/>
      <c r="F2994" s="14"/>
      <c r="G2994" s="69"/>
      <c r="H2994" s="69"/>
      <c r="I2994" s="135"/>
      <c r="J2994" s="136"/>
      <c r="K2994" s="137"/>
      <c r="L2994" s="137"/>
    </row>
    <row r="2995" spans="2:12">
      <c r="B2995" s="133"/>
      <c r="C2995" s="14"/>
      <c r="D2995" s="14"/>
      <c r="E2995" s="134"/>
      <c r="F2995" s="14"/>
      <c r="G2995" s="69"/>
      <c r="H2995" s="69"/>
      <c r="I2995" s="135"/>
      <c r="J2995" s="136"/>
      <c r="K2995" s="137"/>
      <c r="L2995" s="137"/>
    </row>
    <row r="2996" spans="2:12">
      <c r="B2996" s="133"/>
      <c r="C2996" s="14"/>
      <c r="D2996" s="14"/>
      <c r="E2996" s="134"/>
      <c r="F2996" s="14"/>
      <c r="G2996" s="69"/>
      <c r="H2996" s="69"/>
      <c r="I2996" s="135"/>
      <c r="J2996" s="136"/>
      <c r="K2996" s="137"/>
      <c r="L2996" s="137"/>
    </row>
    <row r="2997" spans="2:12">
      <c r="B2997" s="133"/>
      <c r="C2997" s="14"/>
      <c r="D2997" s="14"/>
      <c r="E2997" s="134"/>
      <c r="F2997" s="14"/>
      <c r="G2997" s="69"/>
      <c r="H2997" s="69"/>
      <c r="I2997" s="135"/>
      <c r="J2997" s="136"/>
      <c r="K2997" s="137"/>
      <c r="L2997" s="137"/>
    </row>
    <row r="2998" spans="2:12">
      <c r="B2998" s="133"/>
      <c r="C2998" s="14"/>
      <c r="D2998" s="14"/>
      <c r="E2998" s="134"/>
      <c r="F2998" s="14"/>
      <c r="G2998" s="69"/>
      <c r="H2998" s="69"/>
      <c r="I2998" s="135"/>
      <c r="J2998" s="136"/>
      <c r="K2998" s="137"/>
      <c r="L2998" s="137"/>
    </row>
    <row r="2999" spans="2:12">
      <c r="B2999" s="133"/>
      <c r="C2999" s="14"/>
      <c r="D2999" s="14"/>
      <c r="E2999" s="134"/>
      <c r="F2999" s="14"/>
      <c r="G2999" s="69"/>
      <c r="H2999" s="69"/>
      <c r="I2999" s="135"/>
      <c r="J2999" s="136"/>
      <c r="K2999" s="137"/>
      <c r="L2999" s="137"/>
    </row>
    <row r="3000" spans="2:12">
      <c r="B3000" s="133"/>
      <c r="C3000" s="14"/>
      <c r="D3000" s="14"/>
      <c r="E3000" s="134"/>
      <c r="F3000" s="14"/>
      <c r="G3000" s="69"/>
      <c r="H3000" s="69"/>
      <c r="I3000" s="135"/>
      <c r="J3000" s="136"/>
      <c r="K3000" s="137"/>
      <c r="L3000" s="137"/>
    </row>
    <row r="3001" spans="2:12">
      <c r="B3001" s="133"/>
      <c r="C3001" s="14"/>
      <c r="D3001" s="14"/>
      <c r="E3001" s="134"/>
      <c r="F3001" s="14"/>
      <c r="G3001" s="69"/>
      <c r="H3001" s="69"/>
      <c r="I3001" s="135"/>
      <c r="J3001" s="136"/>
      <c r="K3001" s="137"/>
      <c r="L3001" s="137"/>
    </row>
    <row r="3002" spans="2:12">
      <c r="B3002" s="133"/>
      <c r="C3002" s="14"/>
      <c r="D3002" s="14"/>
      <c r="E3002" s="134"/>
      <c r="F3002" s="14"/>
      <c r="G3002" s="69"/>
      <c r="H3002" s="69"/>
      <c r="I3002" s="135"/>
      <c r="J3002" s="136"/>
      <c r="K3002" s="137"/>
      <c r="L3002" s="137"/>
    </row>
    <row r="3003" spans="2:12">
      <c r="B3003" s="133"/>
      <c r="C3003" s="14"/>
      <c r="D3003" s="14"/>
      <c r="E3003" s="134"/>
      <c r="F3003" s="14"/>
      <c r="G3003" s="69"/>
      <c r="H3003" s="69"/>
      <c r="I3003" s="135"/>
      <c r="J3003" s="136"/>
      <c r="K3003" s="137"/>
      <c r="L3003" s="137"/>
    </row>
    <row r="3004" spans="2:12">
      <c r="B3004" s="133"/>
      <c r="C3004" s="14"/>
      <c r="D3004" s="14"/>
      <c r="E3004" s="134"/>
      <c r="F3004" s="14"/>
      <c r="G3004" s="69"/>
      <c r="H3004" s="69"/>
      <c r="I3004" s="135"/>
      <c r="J3004" s="136"/>
      <c r="K3004" s="137"/>
      <c r="L3004" s="137"/>
    </row>
    <row r="3005" spans="2:12">
      <c r="B3005" s="133"/>
      <c r="C3005" s="14"/>
      <c r="D3005" s="14"/>
      <c r="E3005" s="134"/>
      <c r="F3005" s="14"/>
      <c r="G3005" s="69"/>
      <c r="H3005" s="69"/>
      <c r="I3005" s="135"/>
      <c r="J3005" s="136"/>
      <c r="K3005" s="137"/>
      <c r="L3005" s="137"/>
    </row>
    <row r="3006" spans="2:12">
      <c r="B3006" s="133"/>
      <c r="C3006" s="14"/>
      <c r="D3006" s="14"/>
      <c r="E3006" s="134"/>
      <c r="F3006" s="14"/>
      <c r="G3006" s="69"/>
      <c r="H3006" s="69"/>
      <c r="I3006" s="135"/>
      <c r="J3006" s="136"/>
      <c r="K3006" s="137"/>
      <c r="L3006" s="137"/>
    </row>
    <row r="3007" spans="2:12">
      <c r="B3007" s="133"/>
      <c r="C3007" s="14"/>
      <c r="D3007" s="14"/>
      <c r="E3007" s="134"/>
      <c r="F3007" s="14"/>
      <c r="G3007" s="69"/>
      <c r="H3007" s="69"/>
      <c r="I3007" s="135"/>
      <c r="J3007" s="136"/>
      <c r="K3007" s="137"/>
      <c r="L3007" s="137"/>
    </row>
    <row r="3008" spans="2:12">
      <c r="B3008" s="133"/>
      <c r="C3008" s="14"/>
      <c r="D3008" s="14"/>
      <c r="E3008" s="134"/>
      <c r="F3008" s="14"/>
      <c r="G3008" s="69"/>
      <c r="H3008" s="69"/>
      <c r="I3008" s="135"/>
      <c r="J3008" s="136"/>
      <c r="K3008" s="137"/>
      <c r="L3008" s="137"/>
    </row>
    <row r="3009" spans="2:12">
      <c r="B3009" s="133"/>
      <c r="C3009" s="14"/>
      <c r="D3009" s="14"/>
      <c r="E3009" s="134"/>
      <c r="F3009" s="14"/>
      <c r="G3009" s="69"/>
      <c r="H3009" s="69"/>
      <c r="I3009" s="135"/>
      <c r="J3009" s="136"/>
      <c r="K3009" s="137"/>
      <c r="L3009" s="137"/>
    </row>
    <row r="3010" spans="2:12">
      <c r="B3010" s="133"/>
      <c r="C3010" s="14"/>
      <c r="D3010" s="14"/>
      <c r="E3010" s="134"/>
      <c r="F3010" s="14"/>
      <c r="G3010" s="69"/>
      <c r="H3010" s="69"/>
      <c r="I3010" s="135"/>
      <c r="J3010" s="136"/>
      <c r="K3010" s="137"/>
      <c r="L3010" s="137"/>
    </row>
    <row r="3011" spans="2:12">
      <c r="B3011" s="133"/>
      <c r="C3011" s="14"/>
      <c r="D3011" s="14"/>
      <c r="E3011" s="134"/>
      <c r="F3011" s="14"/>
      <c r="G3011" s="69"/>
      <c r="H3011" s="69"/>
      <c r="I3011" s="135"/>
      <c r="J3011" s="136"/>
      <c r="K3011" s="137"/>
      <c r="L3011" s="137"/>
    </row>
    <row r="3012" spans="2:12">
      <c r="B3012" s="133"/>
      <c r="C3012" s="14"/>
      <c r="D3012" s="14"/>
      <c r="E3012" s="134"/>
      <c r="F3012" s="14"/>
      <c r="G3012" s="69"/>
      <c r="H3012" s="69"/>
      <c r="I3012" s="135"/>
      <c r="J3012" s="136"/>
      <c r="K3012" s="137"/>
      <c r="L3012" s="137"/>
    </row>
    <row r="3013" spans="2:12">
      <c r="B3013" s="133"/>
      <c r="C3013" s="14"/>
      <c r="D3013" s="14"/>
      <c r="E3013" s="134"/>
      <c r="F3013" s="14"/>
      <c r="G3013" s="69"/>
      <c r="H3013" s="69"/>
      <c r="I3013" s="135"/>
      <c r="J3013" s="136"/>
      <c r="K3013" s="137"/>
      <c r="L3013" s="137"/>
    </row>
    <row r="3014" spans="2:12">
      <c r="B3014" s="133"/>
      <c r="C3014" s="14"/>
      <c r="D3014" s="14"/>
      <c r="E3014" s="134"/>
      <c r="F3014" s="14"/>
      <c r="G3014" s="69"/>
      <c r="H3014" s="69"/>
      <c r="I3014" s="135"/>
      <c r="J3014" s="136"/>
      <c r="K3014" s="137"/>
      <c r="L3014" s="137"/>
    </row>
    <row r="3015" spans="2:12">
      <c r="B3015" s="133"/>
      <c r="C3015" s="14"/>
      <c r="D3015" s="14"/>
      <c r="E3015" s="134"/>
      <c r="F3015" s="14"/>
      <c r="G3015" s="69"/>
      <c r="H3015" s="69"/>
      <c r="I3015" s="135"/>
      <c r="J3015" s="136"/>
      <c r="K3015" s="137"/>
      <c r="L3015" s="137"/>
    </row>
    <row r="3016" spans="2:12">
      <c r="B3016" s="133"/>
      <c r="C3016" s="14"/>
      <c r="D3016" s="14"/>
      <c r="E3016" s="134"/>
      <c r="F3016" s="14"/>
      <c r="G3016" s="69"/>
      <c r="H3016" s="69"/>
      <c r="I3016" s="135"/>
      <c r="J3016" s="136"/>
      <c r="K3016" s="137"/>
      <c r="L3016" s="137"/>
    </row>
    <row r="3017" spans="2:12">
      <c r="B3017" s="133"/>
      <c r="C3017" s="14"/>
      <c r="D3017" s="14"/>
      <c r="E3017" s="134"/>
      <c r="F3017" s="14"/>
      <c r="G3017" s="69"/>
      <c r="H3017" s="69"/>
      <c r="I3017" s="135"/>
      <c r="J3017" s="136"/>
      <c r="K3017" s="137"/>
      <c r="L3017" s="137"/>
    </row>
    <row r="3018" spans="2:12">
      <c r="B3018" s="133"/>
      <c r="C3018" s="14"/>
      <c r="D3018" s="14"/>
      <c r="E3018" s="134"/>
      <c r="F3018" s="14"/>
      <c r="G3018" s="69"/>
      <c r="H3018" s="69"/>
      <c r="I3018" s="135"/>
      <c r="J3018" s="136"/>
      <c r="K3018" s="137"/>
      <c r="L3018" s="137"/>
    </row>
    <row r="3019" spans="2:12">
      <c r="B3019" s="133"/>
      <c r="C3019" s="14"/>
      <c r="D3019" s="14"/>
      <c r="E3019" s="134"/>
      <c r="F3019" s="14"/>
      <c r="G3019" s="69"/>
      <c r="H3019" s="69"/>
      <c r="I3019" s="135"/>
      <c r="J3019" s="136"/>
      <c r="K3019" s="137"/>
      <c r="L3019" s="137"/>
    </row>
    <row r="3020" spans="2:12">
      <c r="B3020" s="133"/>
      <c r="C3020" s="14"/>
      <c r="D3020" s="14"/>
      <c r="E3020" s="134"/>
      <c r="F3020" s="14"/>
      <c r="G3020" s="69"/>
      <c r="H3020" s="69"/>
      <c r="I3020" s="135"/>
      <c r="J3020" s="136"/>
      <c r="K3020" s="137"/>
      <c r="L3020" s="137"/>
    </row>
    <row r="3021" spans="2:12">
      <c r="B3021" s="133"/>
      <c r="C3021" s="14"/>
      <c r="D3021" s="14"/>
      <c r="E3021" s="134"/>
      <c r="F3021" s="14"/>
      <c r="G3021" s="69"/>
      <c r="H3021" s="69"/>
      <c r="I3021" s="135"/>
      <c r="J3021" s="136"/>
      <c r="K3021" s="137"/>
      <c r="L3021" s="137"/>
    </row>
    <row r="3022" spans="2:12">
      <c r="B3022" s="133"/>
      <c r="C3022" s="14"/>
      <c r="D3022" s="14"/>
      <c r="E3022" s="134"/>
      <c r="F3022" s="14"/>
      <c r="G3022" s="69"/>
      <c r="H3022" s="69"/>
      <c r="I3022" s="135"/>
      <c r="J3022" s="136"/>
      <c r="K3022" s="137"/>
      <c r="L3022" s="137"/>
    </row>
    <row r="3023" spans="2:12">
      <c r="B3023" s="133"/>
      <c r="C3023" s="14"/>
      <c r="D3023" s="14"/>
      <c r="E3023" s="134"/>
      <c r="F3023" s="14"/>
      <c r="G3023" s="69"/>
      <c r="H3023" s="69"/>
      <c r="I3023" s="135"/>
      <c r="J3023" s="136"/>
      <c r="K3023" s="137"/>
      <c r="L3023" s="137"/>
    </row>
    <row r="3024" spans="2:12">
      <c r="B3024" s="133"/>
      <c r="C3024" s="14"/>
      <c r="D3024" s="14"/>
      <c r="E3024" s="134"/>
      <c r="F3024" s="14"/>
      <c r="G3024" s="69"/>
      <c r="H3024" s="69"/>
      <c r="I3024" s="135"/>
      <c r="J3024" s="136"/>
      <c r="K3024" s="137"/>
      <c r="L3024" s="137"/>
    </row>
    <row r="3025" spans="2:12">
      <c r="B3025" s="133"/>
      <c r="C3025" s="14"/>
      <c r="D3025" s="14"/>
      <c r="E3025" s="134"/>
      <c r="F3025" s="14"/>
      <c r="G3025" s="69"/>
      <c r="H3025" s="69"/>
      <c r="I3025" s="135"/>
      <c r="J3025" s="136"/>
      <c r="K3025" s="137"/>
      <c r="L3025" s="137"/>
    </row>
    <row r="3026" spans="2:12">
      <c r="B3026" s="133"/>
      <c r="C3026" s="14"/>
      <c r="D3026" s="14"/>
      <c r="E3026" s="134"/>
      <c r="F3026" s="14"/>
      <c r="G3026" s="69"/>
      <c r="H3026" s="69"/>
      <c r="I3026" s="135"/>
      <c r="J3026" s="136"/>
      <c r="K3026" s="137"/>
      <c r="L3026" s="137"/>
    </row>
    <row r="3027" spans="2:12">
      <c r="B3027" s="133"/>
      <c r="C3027" s="14"/>
      <c r="D3027" s="14"/>
      <c r="E3027" s="134"/>
      <c r="F3027" s="14"/>
      <c r="G3027" s="69"/>
      <c r="H3027" s="69"/>
      <c r="I3027" s="135"/>
      <c r="J3027" s="136"/>
      <c r="K3027" s="137"/>
      <c r="L3027" s="137"/>
    </row>
    <row r="3028" spans="2:12">
      <c r="B3028" s="133"/>
      <c r="C3028" s="14"/>
      <c r="D3028" s="14"/>
      <c r="E3028" s="134"/>
      <c r="F3028" s="14"/>
      <c r="G3028" s="69"/>
      <c r="H3028" s="69"/>
      <c r="I3028" s="135"/>
      <c r="J3028" s="136"/>
      <c r="K3028" s="137"/>
      <c r="L3028" s="137"/>
    </row>
    <row r="3029" spans="2:12">
      <c r="B3029" s="133"/>
      <c r="C3029" s="14"/>
      <c r="D3029" s="14"/>
      <c r="E3029" s="134"/>
      <c r="F3029" s="14"/>
      <c r="G3029" s="69"/>
      <c r="H3029" s="69"/>
      <c r="I3029" s="135"/>
      <c r="J3029" s="136"/>
      <c r="K3029" s="137"/>
      <c r="L3029" s="137"/>
    </row>
    <row r="3030" spans="2:12">
      <c r="B3030" s="133"/>
      <c r="C3030" s="14"/>
      <c r="D3030" s="14"/>
      <c r="E3030" s="134"/>
      <c r="F3030" s="14"/>
      <c r="G3030" s="69"/>
      <c r="H3030" s="69"/>
      <c r="I3030" s="135"/>
      <c r="J3030" s="136"/>
      <c r="K3030" s="137"/>
      <c r="L3030" s="137"/>
    </row>
    <row r="3031" spans="2:12">
      <c r="B3031" s="133"/>
      <c r="C3031" s="14"/>
      <c r="D3031" s="14"/>
      <c r="E3031" s="134"/>
      <c r="F3031" s="14"/>
      <c r="G3031" s="69"/>
      <c r="H3031" s="69"/>
      <c r="I3031" s="135"/>
      <c r="J3031" s="136"/>
      <c r="K3031" s="137"/>
      <c r="L3031" s="137"/>
    </row>
    <row r="3032" spans="2:12">
      <c r="B3032" s="133"/>
      <c r="C3032" s="14"/>
      <c r="D3032" s="14"/>
      <c r="E3032" s="134"/>
      <c r="F3032" s="14"/>
      <c r="G3032" s="69"/>
      <c r="H3032" s="69"/>
      <c r="I3032" s="135"/>
      <c r="J3032" s="136"/>
      <c r="K3032" s="137"/>
      <c r="L3032" s="137"/>
    </row>
    <row r="3033" spans="2:12">
      <c r="B3033" s="133"/>
      <c r="C3033" s="14"/>
      <c r="D3033" s="14"/>
      <c r="E3033" s="134"/>
      <c r="F3033" s="14"/>
      <c r="G3033" s="69"/>
      <c r="H3033" s="69"/>
      <c r="I3033" s="135"/>
      <c r="J3033" s="136"/>
      <c r="K3033" s="137"/>
      <c r="L3033" s="137"/>
    </row>
    <row r="3034" spans="2:12">
      <c r="B3034" s="133"/>
      <c r="C3034" s="14"/>
      <c r="D3034" s="14"/>
      <c r="E3034" s="134"/>
      <c r="F3034" s="14"/>
      <c r="G3034" s="69"/>
      <c r="H3034" s="69"/>
      <c r="I3034" s="135"/>
      <c r="J3034" s="136"/>
      <c r="K3034" s="137"/>
      <c r="L3034" s="137"/>
    </row>
    <row r="3035" spans="2:12">
      <c r="B3035" s="133"/>
      <c r="C3035" s="14"/>
      <c r="D3035" s="14"/>
      <c r="E3035" s="134"/>
      <c r="F3035" s="14"/>
      <c r="G3035" s="69"/>
      <c r="H3035" s="69"/>
      <c r="I3035" s="135"/>
      <c r="J3035" s="136"/>
      <c r="K3035" s="137"/>
      <c r="L3035" s="137"/>
    </row>
    <row r="3036" spans="2:12">
      <c r="B3036" s="133"/>
      <c r="C3036" s="14"/>
      <c r="D3036" s="14"/>
      <c r="E3036" s="134"/>
      <c r="F3036" s="14"/>
      <c r="G3036" s="69"/>
      <c r="H3036" s="69"/>
      <c r="I3036" s="135"/>
      <c r="J3036" s="136"/>
      <c r="K3036" s="137"/>
      <c r="L3036" s="137"/>
    </row>
    <row r="3037" spans="2:12">
      <c r="B3037" s="133"/>
      <c r="C3037" s="14"/>
      <c r="D3037" s="14"/>
      <c r="E3037" s="134"/>
      <c r="F3037" s="14"/>
      <c r="G3037" s="69"/>
      <c r="H3037" s="69"/>
      <c r="I3037" s="135"/>
      <c r="J3037" s="136"/>
      <c r="K3037" s="137"/>
      <c r="L3037" s="137"/>
    </row>
    <row r="3038" spans="2:12">
      <c r="B3038" s="133"/>
      <c r="C3038" s="14"/>
      <c r="D3038" s="14"/>
      <c r="E3038" s="134"/>
      <c r="F3038" s="14"/>
      <c r="G3038" s="69"/>
      <c r="H3038" s="69"/>
      <c r="I3038" s="135"/>
      <c r="J3038" s="136"/>
      <c r="K3038" s="137"/>
      <c r="L3038" s="137"/>
    </row>
    <row r="3039" spans="2:12">
      <c r="B3039" s="133"/>
      <c r="C3039" s="14"/>
      <c r="D3039" s="14"/>
      <c r="E3039" s="134"/>
      <c r="F3039" s="14"/>
      <c r="G3039" s="69"/>
      <c r="H3039" s="69"/>
      <c r="I3039" s="135"/>
      <c r="J3039" s="136"/>
      <c r="K3039" s="137"/>
      <c r="L3039" s="137"/>
    </row>
    <row r="3040" spans="2:12">
      <c r="B3040" s="133"/>
      <c r="C3040" s="14"/>
      <c r="D3040" s="14"/>
      <c r="E3040" s="134"/>
      <c r="F3040" s="14"/>
      <c r="G3040" s="69"/>
      <c r="H3040" s="69"/>
      <c r="I3040" s="135"/>
      <c r="J3040" s="136"/>
      <c r="K3040" s="137"/>
      <c r="L3040" s="137"/>
    </row>
    <row r="3041" spans="2:12">
      <c r="B3041" s="133"/>
      <c r="C3041" s="14"/>
      <c r="D3041" s="14"/>
      <c r="E3041" s="134"/>
      <c r="F3041" s="14"/>
      <c r="G3041" s="69"/>
      <c r="H3041" s="69"/>
      <c r="I3041" s="135"/>
      <c r="J3041" s="136"/>
      <c r="K3041" s="137"/>
      <c r="L3041" s="137"/>
    </row>
    <row r="3042" spans="2:12">
      <c r="B3042" s="133"/>
      <c r="C3042" s="14"/>
      <c r="D3042" s="14"/>
      <c r="E3042" s="134"/>
      <c r="F3042" s="14"/>
      <c r="G3042" s="69"/>
      <c r="H3042" s="69"/>
      <c r="I3042" s="135"/>
      <c r="J3042" s="136"/>
      <c r="K3042" s="137"/>
      <c r="L3042" s="137"/>
    </row>
    <row r="3043" spans="2:12">
      <c r="B3043" s="133"/>
      <c r="C3043" s="14"/>
      <c r="D3043" s="14"/>
      <c r="E3043" s="134"/>
      <c r="F3043" s="14"/>
      <c r="G3043" s="69"/>
      <c r="H3043" s="69"/>
      <c r="I3043" s="135"/>
      <c r="J3043" s="136"/>
      <c r="K3043" s="137"/>
      <c r="L3043" s="137"/>
    </row>
    <row r="3044" spans="2:12">
      <c r="B3044" s="133"/>
      <c r="C3044" s="14"/>
      <c r="D3044" s="14"/>
      <c r="E3044" s="134"/>
      <c r="F3044" s="14"/>
      <c r="G3044" s="69"/>
      <c r="H3044" s="69"/>
      <c r="I3044" s="135"/>
      <c r="J3044" s="136"/>
      <c r="K3044" s="137"/>
      <c r="L3044" s="137"/>
    </row>
    <row r="3045" spans="2:12">
      <c r="B3045" s="133"/>
      <c r="C3045" s="14"/>
      <c r="D3045" s="14"/>
      <c r="E3045" s="134"/>
      <c r="F3045" s="14"/>
      <c r="G3045" s="69"/>
      <c r="H3045" s="69"/>
      <c r="I3045" s="135"/>
      <c r="J3045" s="136"/>
      <c r="K3045" s="137"/>
      <c r="L3045" s="137"/>
    </row>
    <row r="3046" spans="2:12">
      <c r="B3046" s="133"/>
      <c r="C3046" s="14"/>
      <c r="D3046" s="14"/>
      <c r="E3046" s="134"/>
      <c r="F3046" s="14"/>
      <c r="G3046" s="69"/>
      <c r="H3046" s="69"/>
      <c r="I3046" s="135"/>
      <c r="J3046" s="136"/>
      <c r="K3046" s="137"/>
      <c r="L3046" s="137"/>
    </row>
    <row r="3047" spans="2:12">
      <c r="B3047" s="133"/>
      <c r="C3047" s="14"/>
      <c r="D3047" s="14"/>
      <c r="E3047" s="134"/>
      <c r="F3047" s="14"/>
      <c r="G3047" s="69"/>
      <c r="H3047" s="69"/>
      <c r="I3047" s="135"/>
      <c r="J3047" s="136"/>
      <c r="K3047" s="137"/>
      <c r="L3047" s="137"/>
    </row>
    <row r="3048" spans="2:12">
      <c r="B3048" s="133"/>
      <c r="C3048" s="14"/>
      <c r="D3048" s="14"/>
      <c r="E3048" s="134"/>
      <c r="F3048" s="14"/>
      <c r="G3048" s="69"/>
      <c r="H3048" s="69"/>
      <c r="I3048" s="135"/>
      <c r="J3048" s="136"/>
      <c r="K3048" s="137"/>
      <c r="L3048" s="137"/>
    </row>
    <row r="3049" spans="2:12">
      <c r="B3049" s="133"/>
      <c r="C3049" s="14"/>
      <c r="D3049" s="14"/>
      <c r="E3049" s="134"/>
      <c r="F3049" s="14"/>
      <c r="G3049" s="69"/>
      <c r="H3049" s="69"/>
      <c r="I3049" s="135"/>
      <c r="J3049" s="136"/>
      <c r="K3049" s="137"/>
      <c r="L3049" s="137"/>
    </row>
    <row r="3050" spans="2:12">
      <c r="B3050" s="133"/>
      <c r="C3050" s="14"/>
      <c r="D3050" s="14"/>
      <c r="E3050" s="134"/>
      <c r="F3050" s="14"/>
      <c r="G3050" s="69"/>
      <c r="H3050" s="69"/>
      <c r="I3050" s="135"/>
      <c r="J3050" s="136"/>
      <c r="K3050" s="137"/>
      <c r="L3050" s="137"/>
    </row>
    <row r="3051" spans="2:12">
      <c r="B3051" s="133"/>
      <c r="C3051" s="14"/>
      <c r="D3051" s="14"/>
      <c r="E3051" s="134"/>
      <c r="F3051" s="14"/>
      <c r="G3051" s="69"/>
      <c r="H3051" s="69"/>
      <c r="I3051" s="135"/>
      <c r="J3051" s="136"/>
      <c r="K3051" s="137"/>
      <c r="L3051" s="137"/>
    </row>
    <row r="3052" spans="2:12">
      <c r="B3052" s="133"/>
      <c r="C3052" s="14"/>
      <c r="D3052" s="14"/>
      <c r="E3052" s="134"/>
      <c r="F3052" s="14"/>
      <c r="G3052" s="69"/>
      <c r="H3052" s="69"/>
      <c r="I3052" s="135"/>
      <c r="J3052" s="136"/>
      <c r="K3052" s="137"/>
      <c r="L3052" s="137"/>
    </row>
    <row r="3053" spans="2:12">
      <c r="B3053" s="133"/>
      <c r="C3053" s="14"/>
      <c r="D3053" s="14"/>
      <c r="E3053" s="134"/>
      <c r="F3053" s="14"/>
      <c r="G3053" s="69"/>
      <c r="H3053" s="69"/>
      <c r="I3053" s="135"/>
      <c r="J3053" s="136"/>
      <c r="K3053" s="137"/>
      <c r="L3053" s="137"/>
    </row>
    <row r="3054" spans="2:12">
      <c r="B3054" s="133"/>
      <c r="C3054" s="14"/>
      <c r="D3054" s="14"/>
      <c r="E3054" s="134"/>
      <c r="F3054" s="14"/>
      <c r="G3054" s="69"/>
      <c r="H3054" s="69"/>
      <c r="I3054" s="135"/>
      <c r="J3054" s="136"/>
      <c r="K3054" s="137"/>
      <c r="L3054" s="137"/>
    </row>
    <row r="3055" spans="2:12">
      <c r="B3055" s="133"/>
      <c r="C3055" s="14"/>
      <c r="D3055" s="14"/>
      <c r="E3055" s="134"/>
      <c r="F3055" s="14"/>
      <c r="G3055" s="69"/>
      <c r="H3055" s="69"/>
      <c r="I3055" s="135"/>
      <c r="J3055" s="136"/>
      <c r="K3055" s="137"/>
      <c r="L3055" s="137"/>
    </row>
    <row r="3056" spans="2:12">
      <c r="B3056" s="133"/>
      <c r="C3056" s="14"/>
      <c r="D3056" s="14"/>
      <c r="E3056" s="134"/>
      <c r="F3056" s="14"/>
      <c r="G3056" s="69"/>
      <c r="H3056" s="69"/>
      <c r="I3056" s="135"/>
      <c r="J3056" s="136"/>
      <c r="K3056" s="137"/>
      <c r="L3056" s="137"/>
    </row>
    <row r="3057" spans="2:12">
      <c r="B3057" s="133"/>
      <c r="C3057" s="14"/>
      <c r="D3057" s="14"/>
      <c r="E3057" s="134"/>
      <c r="F3057" s="14"/>
      <c r="G3057" s="69"/>
      <c r="H3057" s="69"/>
      <c r="I3057" s="135"/>
      <c r="J3057" s="136"/>
      <c r="K3057" s="137"/>
      <c r="L3057" s="137"/>
    </row>
    <row r="3058" spans="2:12">
      <c r="B3058" s="133"/>
      <c r="C3058" s="14"/>
      <c r="D3058" s="14"/>
      <c r="E3058" s="134"/>
      <c r="F3058" s="14"/>
      <c r="G3058" s="69"/>
      <c r="H3058" s="69"/>
      <c r="I3058" s="135"/>
      <c r="J3058" s="136"/>
      <c r="K3058" s="137"/>
      <c r="L3058" s="137"/>
    </row>
    <row r="3059" spans="2:12">
      <c r="B3059" s="133"/>
      <c r="C3059" s="14"/>
      <c r="D3059" s="14"/>
      <c r="E3059" s="134"/>
      <c r="F3059" s="14"/>
      <c r="G3059" s="69"/>
      <c r="H3059" s="69"/>
      <c r="I3059" s="135"/>
      <c r="J3059" s="136"/>
      <c r="K3059" s="137"/>
      <c r="L3059" s="137"/>
    </row>
    <row r="3060" spans="2:12">
      <c r="B3060" s="133"/>
      <c r="C3060" s="14"/>
      <c r="D3060" s="14"/>
      <c r="E3060" s="134"/>
      <c r="F3060" s="14"/>
      <c r="G3060" s="69"/>
      <c r="H3060" s="69"/>
      <c r="I3060" s="135"/>
      <c r="J3060" s="136"/>
      <c r="K3060" s="137"/>
      <c r="L3060" s="137"/>
    </row>
    <row r="3061" spans="2:12">
      <c r="B3061" s="133"/>
      <c r="C3061" s="14"/>
      <c r="D3061" s="14"/>
      <c r="E3061" s="134"/>
      <c r="F3061" s="14"/>
      <c r="G3061" s="69"/>
      <c r="H3061" s="69"/>
      <c r="I3061" s="135"/>
      <c r="J3061" s="136"/>
      <c r="K3061" s="137"/>
      <c r="L3061" s="137"/>
    </row>
    <row r="3062" spans="2:12">
      <c r="B3062" s="133"/>
      <c r="C3062" s="14"/>
      <c r="D3062" s="14"/>
      <c r="E3062" s="134"/>
      <c r="F3062" s="14"/>
      <c r="G3062" s="69"/>
      <c r="H3062" s="69"/>
      <c r="I3062" s="135"/>
      <c r="J3062" s="136"/>
      <c r="K3062" s="137"/>
      <c r="L3062" s="137"/>
    </row>
    <row r="3063" spans="2:12">
      <c r="B3063" s="133"/>
      <c r="C3063" s="14"/>
      <c r="D3063" s="14"/>
      <c r="E3063" s="134"/>
      <c r="F3063" s="14"/>
      <c r="G3063" s="69"/>
      <c r="H3063" s="69"/>
      <c r="I3063" s="135"/>
      <c r="J3063" s="136"/>
      <c r="K3063" s="137"/>
      <c r="L3063" s="137"/>
    </row>
    <row r="3064" spans="2:12">
      <c r="B3064" s="133"/>
      <c r="C3064" s="14"/>
      <c r="D3064" s="14"/>
      <c r="E3064" s="134"/>
      <c r="F3064" s="14"/>
      <c r="G3064" s="69"/>
      <c r="H3064" s="69"/>
      <c r="I3064" s="135"/>
      <c r="J3064" s="136"/>
      <c r="K3064" s="137"/>
      <c r="L3064" s="137"/>
    </row>
    <row r="3065" spans="2:12">
      <c r="B3065" s="133"/>
      <c r="C3065" s="14"/>
      <c r="D3065" s="14"/>
      <c r="E3065" s="134"/>
      <c r="F3065" s="14"/>
      <c r="G3065" s="69"/>
      <c r="H3065" s="69"/>
      <c r="I3065" s="135"/>
      <c r="J3065" s="136"/>
      <c r="K3065" s="137"/>
      <c r="L3065" s="137"/>
    </row>
    <row r="3066" spans="2:12">
      <c r="B3066" s="133"/>
      <c r="C3066" s="14"/>
      <c r="D3066" s="14"/>
      <c r="E3066" s="134"/>
      <c r="F3066" s="14"/>
      <c r="G3066" s="69"/>
      <c r="H3066" s="69"/>
      <c r="I3066" s="135"/>
      <c r="J3066" s="136"/>
      <c r="K3066" s="137"/>
      <c r="L3066" s="137"/>
    </row>
    <row r="3067" spans="2:12">
      <c r="B3067" s="133"/>
      <c r="C3067" s="14"/>
      <c r="D3067" s="14"/>
      <c r="E3067" s="134"/>
      <c r="F3067" s="14"/>
      <c r="G3067" s="69"/>
      <c r="H3067" s="69"/>
      <c r="I3067" s="135"/>
      <c r="J3067" s="136"/>
      <c r="K3067" s="137"/>
      <c r="L3067" s="137"/>
    </row>
    <row r="3068" spans="2:12">
      <c r="B3068" s="133"/>
      <c r="C3068" s="14"/>
      <c r="D3068" s="14"/>
      <c r="E3068" s="134"/>
      <c r="F3068" s="14"/>
      <c r="G3068" s="69"/>
      <c r="H3068" s="69"/>
      <c r="I3068" s="135"/>
      <c r="J3068" s="136"/>
      <c r="K3068" s="137"/>
      <c r="L3068" s="137"/>
    </row>
    <row r="3069" spans="2:12">
      <c r="B3069" s="133"/>
      <c r="C3069" s="14"/>
      <c r="D3069" s="14"/>
      <c r="E3069" s="134"/>
      <c r="F3069" s="14"/>
      <c r="G3069" s="69"/>
      <c r="H3069" s="69"/>
      <c r="I3069" s="135"/>
      <c r="J3069" s="136"/>
      <c r="K3069" s="137"/>
      <c r="L3069" s="137"/>
    </row>
    <row r="3070" spans="2:12">
      <c r="B3070" s="133"/>
      <c r="C3070" s="14"/>
      <c r="D3070" s="14"/>
      <c r="E3070" s="134"/>
      <c r="F3070" s="14"/>
      <c r="G3070" s="69"/>
      <c r="H3070" s="69"/>
      <c r="I3070" s="135"/>
      <c r="J3070" s="136"/>
      <c r="K3070" s="137"/>
      <c r="L3070" s="137"/>
    </row>
    <row r="3071" spans="2:12">
      <c r="B3071" s="133"/>
      <c r="C3071" s="14"/>
      <c r="D3071" s="14"/>
      <c r="E3071" s="134"/>
      <c r="F3071" s="14"/>
      <c r="G3071" s="69"/>
      <c r="H3071" s="69"/>
      <c r="I3071" s="135"/>
      <c r="J3071" s="136"/>
      <c r="K3071" s="137"/>
      <c r="L3071" s="137"/>
    </row>
    <row r="3072" spans="2:12">
      <c r="B3072" s="133"/>
      <c r="C3072" s="14"/>
      <c r="D3072" s="14"/>
      <c r="E3072" s="134"/>
      <c r="F3072" s="14"/>
      <c r="G3072" s="69"/>
      <c r="H3072" s="69"/>
      <c r="I3072" s="135"/>
      <c r="J3072" s="136"/>
      <c r="K3072" s="137"/>
      <c r="L3072" s="137"/>
    </row>
    <row r="3073" spans="2:12">
      <c r="B3073" s="133"/>
      <c r="C3073" s="14"/>
      <c r="D3073" s="14"/>
      <c r="E3073" s="134"/>
      <c r="F3073" s="14"/>
      <c r="G3073" s="69"/>
      <c r="H3073" s="69"/>
      <c r="I3073" s="135"/>
      <c r="J3073" s="136"/>
      <c r="K3073" s="137"/>
      <c r="L3073" s="137"/>
    </row>
    <row r="3074" spans="2:12">
      <c r="B3074" s="133"/>
      <c r="C3074" s="14"/>
      <c r="D3074" s="14"/>
      <c r="E3074" s="134"/>
      <c r="F3074" s="14"/>
      <c r="G3074" s="69"/>
      <c r="H3074" s="69"/>
      <c r="I3074" s="135"/>
      <c r="J3074" s="136"/>
      <c r="K3074" s="137"/>
      <c r="L3074" s="137"/>
    </row>
    <row r="3075" spans="2:12">
      <c r="B3075" s="133"/>
      <c r="C3075" s="14"/>
      <c r="D3075" s="14"/>
      <c r="E3075" s="134"/>
      <c r="F3075" s="14"/>
      <c r="G3075" s="69"/>
      <c r="H3075" s="69"/>
      <c r="I3075" s="135"/>
      <c r="J3075" s="136"/>
      <c r="K3075" s="137"/>
      <c r="L3075" s="137"/>
    </row>
    <row r="3076" spans="2:12">
      <c r="B3076" s="133"/>
      <c r="C3076" s="14"/>
      <c r="D3076" s="14"/>
      <c r="E3076" s="134"/>
      <c r="F3076" s="14"/>
      <c r="G3076" s="69"/>
      <c r="H3076" s="69"/>
      <c r="I3076" s="135"/>
      <c r="J3076" s="136"/>
      <c r="K3076" s="137"/>
      <c r="L3076" s="137"/>
    </row>
    <row r="3077" spans="2:12">
      <c r="B3077" s="133"/>
      <c r="C3077" s="14"/>
      <c r="D3077" s="14"/>
      <c r="E3077" s="134"/>
      <c r="F3077" s="14"/>
      <c r="G3077" s="69"/>
      <c r="H3077" s="69"/>
      <c r="I3077" s="135"/>
      <c r="J3077" s="136"/>
      <c r="K3077" s="137"/>
      <c r="L3077" s="137"/>
    </row>
    <row r="3078" spans="2:12">
      <c r="B3078" s="133"/>
      <c r="C3078" s="14"/>
      <c r="D3078" s="14"/>
      <c r="E3078" s="134"/>
      <c r="F3078" s="14"/>
      <c r="G3078" s="69"/>
      <c r="H3078" s="69"/>
      <c r="I3078" s="135"/>
      <c r="J3078" s="136"/>
      <c r="K3078" s="137"/>
      <c r="L3078" s="137"/>
    </row>
    <row r="3079" spans="2:12">
      <c r="B3079" s="133"/>
      <c r="C3079" s="14"/>
      <c r="D3079" s="14"/>
      <c r="E3079" s="134"/>
      <c r="F3079" s="14"/>
      <c r="G3079" s="69"/>
      <c r="H3079" s="69"/>
      <c r="I3079" s="135"/>
      <c r="J3079" s="136"/>
      <c r="K3079" s="137"/>
      <c r="L3079" s="137"/>
    </row>
    <row r="3080" spans="2:12">
      <c r="B3080" s="133"/>
      <c r="C3080" s="14"/>
      <c r="D3080" s="14"/>
      <c r="E3080" s="134"/>
      <c r="F3080" s="14"/>
      <c r="G3080" s="69"/>
      <c r="H3080" s="69"/>
      <c r="I3080" s="135"/>
      <c r="J3080" s="136"/>
      <c r="K3080" s="137"/>
      <c r="L3080" s="137"/>
    </row>
    <row r="3081" spans="2:12">
      <c r="B3081" s="133"/>
      <c r="C3081" s="14"/>
      <c r="D3081" s="14"/>
      <c r="E3081" s="134"/>
      <c r="F3081" s="14"/>
      <c r="G3081" s="69"/>
      <c r="H3081" s="69"/>
      <c r="I3081" s="135"/>
      <c r="J3081" s="136"/>
      <c r="K3081" s="137"/>
      <c r="L3081" s="137"/>
    </row>
    <row r="3082" spans="2:12">
      <c r="B3082" s="133"/>
      <c r="C3082" s="14"/>
      <c r="D3082" s="14"/>
      <c r="E3082" s="134"/>
      <c r="F3082" s="14"/>
      <c r="G3082" s="69"/>
      <c r="H3082" s="69"/>
      <c r="I3082" s="135"/>
      <c r="J3082" s="136"/>
      <c r="K3082" s="137"/>
      <c r="L3082" s="137"/>
    </row>
    <row r="3083" spans="2:12">
      <c r="B3083" s="133"/>
      <c r="C3083" s="14"/>
      <c r="D3083" s="14"/>
      <c r="E3083" s="134"/>
      <c r="F3083" s="14"/>
      <c r="G3083" s="69"/>
      <c r="H3083" s="69"/>
      <c r="I3083" s="135"/>
      <c r="J3083" s="136"/>
      <c r="K3083" s="137"/>
      <c r="L3083" s="137"/>
    </row>
    <row r="3084" spans="2:12">
      <c r="B3084" s="133"/>
      <c r="C3084" s="14"/>
      <c r="D3084" s="14"/>
      <c r="E3084" s="134"/>
      <c r="F3084" s="14"/>
      <c r="G3084" s="69"/>
      <c r="H3084" s="69"/>
      <c r="I3084" s="135"/>
      <c r="J3084" s="136"/>
      <c r="K3084" s="137"/>
      <c r="L3084" s="137"/>
    </row>
    <row r="3085" spans="2:12">
      <c r="B3085" s="133"/>
      <c r="C3085" s="14"/>
      <c r="D3085" s="14"/>
      <c r="E3085" s="134"/>
      <c r="F3085" s="14"/>
      <c r="G3085" s="69"/>
      <c r="H3085" s="69"/>
      <c r="I3085" s="135"/>
      <c r="J3085" s="136"/>
      <c r="K3085" s="137"/>
      <c r="L3085" s="137"/>
    </row>
    <row r="3086" spans="2:12">
      <c r="B3086" s="133"/>
      <c r="C3086" s="14"/>
      <c r="D3086" s="14"/>
      <c r="E3086" s="134"/>
      <c r="F3086" s="14"/>
      <c r="G3086" s="69"/>
      <c r="H3086" s="69"/>
      <c r="I3086" s="135"/>
      <c r="J3086" s="136"/>
      <c r="K3086" s="137"/>
      <c r="L3086" s="137"/>
    </row>
    <row r="3087" spans="2:12">
      <c r="B3087" s="133"/>
      <c r="C3087" s="14"/>
      <c r="D3087" s="14"/>
      <c r="E3087" s="134"/>
      <c r="F3087" s="14"/>
      <c r="G3087" s="69"/>
      <c r="H3087" s="69"/>
      <c r="I3087" s="135"/>
      <c r="J3087" s="136"/>
      <c r="K3087" s="137"/>
      <c r="L3087" s="137"/>
    </row>
    <row r="3088" spans="2:12">
      <c r="B3088" s="133"/>
      <c r="C3088" s="14"/>
      <c r="D3088" s="14"/>
      <c r="E3088" s="134"/>
      <c r="F3088" s="14"/>
      <c r="G3088" s="69"/>
      <c r="H3088" s="69"/>
      <c r="I3088" s="135"/>
      <c r="J3088" s="136"/>
      <c r="K3088" s="137"/>
      <c r="L3088" s="137"/>
    </row>
    <row r="3089" spans="2:12">
      <c r="B3089" s="133"/>
      <c r="C3089" s="14"/>
      <c r="D3089" s="14"/>
      <c r="E3089" s="134"/>
      <c r="F3089" s="14"/>
      <c r="G3089" s="69"/>
      <c r="H3089" s="69"/>
      <c r="I3089" s="135"/>
      <c r="J3089" s="136"/>
      <c r="K3089" s="137"/>
      <c r="L3089" s="137"/>
    </row>
    <row r="3090" spans="2:12">
      <c r="B3090" s="133"/>
      <c r="C3090" s="14"/>
      <c r="D3090" s="14"/>
      <c r="E3090" s="134"/>
      <c r="F3090" s="14"/>
      <c r="G3090" s="69"/>
      <c r="H3090" s="69"/>
      <c r="I3090" s="135"/>
      <c r="J3090" s="136"/>
      <c r="K3090" s="137"/>
      <c r="L3090" s="137"/>
    </row>
    <row r="3091" spans="2:12">
      <c r="B3091" s="133"/>
      <c r="C3091" s="14"/>
      <c r="D3091" s="14"/>
      <c r="E3091" s="134"/>
      <c r="F3091" s="14"/>
      <c r="G3091" s="69"/>
      <c r="H3091" s="69"/>
      <c r="I3091" s="135"/>
      <c r="J3091" s="136"/>
      <c r="K3091" s="137"/>
      <c r="L3091" s="137"/>
    </row>
    <row r="3092" spans="2:12">
      <c r="B3092" s="133"/>
      <c r="C3092" s="14"/>
      <c r="D3092" s="14"/>
      <c r="E3092" s="134"/>
      <c r="F3092" s="14"/>
      <c r="G3092" s="69"/>
      <c r="H3092" s="69"/>
      <c r="I3092" s="135"/>
      <c r="J3092" s="136"/>
      <c r="K3092" s="137"/>
      <c r="L3092" s="137"/>
    </row>
    <row r="3093" spans="2:12">
      <c r="B3093" s="133"/>
      <c r="C3093" s="14"/>
      <c r="D3093" s="14"/>
      <c r="E3093" s="134"/>
      <c r="F3093" s="14"/>
      <c r="G3093" s="69"/>
      <c r="H3093" s="69"/>
      <c r="I3093" s="135"/>
      <c r="J3093" s="136"/>
      <c r="K3093" s="137"/>
      <c r="L3093" s="137"/>
    </row>
    <row r="3094" spans="2:12">
      <c r="B3094" s="133"/>
      <c r="C3094" s="14"/>
      <c r="D3094" s="14"/>
      <c r="E3094" s="134"/>
      <c r="F3094" s="14"/>
      <c r="G3094" s="69"/>
      <c r="H3094" s="69"/>
      <c r="I3094" s="135"/>
      <c r="J3094" s="136"/>
      <c r="K3094" s="137"/>
      <c r="L3094" s="137"/>
    </row>
    <row r="3095" spans="2:12">
      <c r="B3095" s="133"/>
      <c r="C3095" s="14"/>
      <c r="D3095" s="14"/>
      <c r="E3095" s="134"/>
      <c r="F3095" s="14"/>
      <c r="G3095" s="69"/>
      <c r="H3095" s="69"/>
      <c r="I3095" s="135"/>
      <c r="J3095" s="136"/>
      <c r="K3095" s="137"/>
      <c r="L3095" s="137"/>
    </row>
    <row r="3096" spans="2:12">
      <c r="B3096" s="133"/>
      <c r="C3096" s="14"/>
      <c r="D3096" s="14"/>
      <c r="E3096" s="134"/>
      <c r="F3096" s="14"/>
      <c r="G3096" s="69"/>
      <c r="H3096" s="69"/>
      <c r="I3096" s="135"/>
      <c r="J3096" s="136"/>
      <c r="K3096" s="137"/>
      <c r="L3096" s="137"/>
    </row>
    <row r="3097" spans="2:12">
      <c r="B3097" s="133"/>
      <c r="C3097" s="14"/>
      <c r="D3097" s="14"/>
      <c r="E3097" s="134"/>
      <c r="F3097" s="14"/>
      <c r="G3097" s="69"/>
      <c r="H3097" s="69"/>
      <c r="I3097" s="135"/>
      <c r="J3097" s="136"/>
      <c r="K3097" s="137"/>
      <c r="L3097" s="137"/>
    </row>
    <row r="3098" spans="2:12">
      <c r="B3098" s="133"/>
      <c r="C3098" s="14"/>
      <c r="D3098" s="14"/>
      <c r="E3098" s="134"/>
      <c r="F3098" s="14"/>
      <c r="G3098" s="69"/>
      <c r="H3098" s="69"/>
      <c r="I3098" s="135"/>
      <c r="J3098" s="136"/>
      <c r="K3098" s="137"/>
      <c r="L3098" s="137"/>
    </row>
    <row r="3099" spans="2:12">
      <c r="B3099" s="133"/>
      <c r="C3099" s="14"/>
      <c r="D3099" s="14"/>
      <c r="E3099" s="134"/>
      <c r="F3099" s="14"/>
      <c r="G3099" s="69"/>
      <c r="H3099" s="69"/>
      <c r="I3099" s="135"/>
      <c r="J3099" s="136"/>
      <c r="K3099" s="137"/>
      <c r="L3099" s="137"/>
    </row>
    <row r="3100" spans="2:12">
      <c r="B3100" s="133"/>
      <c r="C3100" s="14"/>
      <c r="D3100" s="14"/>
      <c r="E3100" s="134"/>
      <c r="F3100" s="14"/>
      <c r="G3100" s="69"/>
      <c r="H3100" s="69"/>
      <c r="I3100" s="135"/>
      <c r="J3100" s="136"/>
      <c r="K3100" s="137"/>
      <c r="L3100" s="137"/>
    </row>
    <row r="3101" spans="2:12">
      <c r="B3101" s="133"/>
      <c r="C3101" s="14"/>
      <c r="D3101" s="14"/>
      <c r="E3101" s="134"/>
      <c r="F3101" s="14"/>
      <c r="G3101" s="69"/>
      <c r="H3101" s="69"/>
      <c r="I3101" s="135"/>
      <c r="J3101" s="136"/>
      <c r="K3101" s="137"/>
      <c r="L3101" s="137"/>
    </row>
    <row r="3102" spans="2:12">
      <c r="B3102" s="133"/>
      <c r="C3102" s="14"/>
      <c r="D3102" s="14"/>
      <c r="E3102" s="134"/>
      <c r="F3102" s="14"/>
      <c r="G3102" s="69"/>
      <c r="H3102" s="69"/>
      <c r="I3102" s="135"/>
      <c r="J3102" s="136"/>
      <c r="K3102" s="137"/>
      <c r="L3102" s="137"/>
    </row>
    <row r="3103" spans="2:12">
      <c r="B3103" s="133"/>
      <c r="C3103" s="14"/>
      <c r="D3103" s="14"/>
      <c r="E3103" s="134"/>
      <c r="F3103" s="14"/>
      <c r="G3103" s="69"/>
      <c r="H3103" s="69"/>
      <c r="I3103" s="135"/>
      <c r="J3103" s="136"/>
      <c r="K3103" s="137"/>
      <c r="L3103" s="137"/>
    </row>
    <row r="3104" spans="2:12">
      <c r="B3104" s="133"/>
      <c r="C3104" s="14"/>
      <c r="D3104" s="14"/>
      <c r="E3104" s="134"/>
      <c r="F3104" s="14"/>
      <c r="G3104" s="69"/>
      <c r="H3104" s="69"/>
      <c r="I3104" s="135"/>
      <c r="J3104" s="136"/>
      <c r="K3104" s="137"/>
      <c r="L3104" s="137"/>
    </row>
    <row r="3105" spans="2:12">
      <c r="B3105" s="133"/>
      <c r="C3105" s="14"/>
      <c r="D3105" s="14"/>
      <c r="E3105" s="134"/>
      <c r="F3105" s="14"/>
      <c r="G3105" s="69"/>
      <c r="H3105" s="69"/>
      <c r="I3105" s="135"/>
      <c r="J3105" s="136"/>
      <c r="K3105" s="137"/>
      <c r="L3105" s="137"/>
    </row>
    <row r="3106" spans="2:12">
      <c r="B3106" s="133"/>
      <c r="C3106" s="14"/>
      <c r="D3106" s="14"/>
      <c r="E3106" s="134"/>
      <c r="F3106" s="14"/>
      <c r="G3106" s="69"/>
      <c r="H3106" s="69"/>
      <c r="I3106" s="135"/>
      <c r="J3106" s="136"/>
      <c r="K3106" s="137"/>
      <c r="L3106" s="137"/>
    </row>
    <row r="3107" spans="2:12">
      <c r="B3107" s="133"/>
      <c r="C3107" s="14"/>
      <c r="D3107" s="14"/>
      <c r="E3107" s="134"/>
      <c r="F3107" s="14"/>
      <c r="G3107" s="69"/>
      <c r="H3107" s="69"/>
      <c r="I3107" s="135"/>
      <c r="J3107" s="136"/>
      <c r="K3107" s="137"/>
      <c r="L3107" s="137"/>
    </row>
    <row r="3108" spans="2:12">
      <c r="B3108" s="133"/>
      <c r="C3108" s="14"/>
      <c r="D3108" s="14"/>
      <c r="E3108" s="134"/>
      <c r="F3108" s="14"/>
      <c r="G3108" s="69"/>
      <c r="H3108" s="69"/>
      <c r="I3108" s="135"/>
      <c r="J3108" s="136"/>
      <c r="K3108" s="137"/>
      <c r="L3108" s="137"/>
    </row>
    <row r="3109" spans="2:12">
      <c r="B3109" s="133"/>
      <c r="C3109" s="14"/>
      <c r="D3109" s="14"/>
      <c r="E3109" s="134"/>
      <c r="F3109" s="14"/>
      <c r="G3109" s="69"/>
      <c r="H3109" s="69"/>
      <c r="I3109" s="135"/>
      <c r="J3109" s="136"/>
      <c r="K3109" s="137"/>
      <c r="L3109" s="137"/>
    </row>
    <row r="3110" spans="2:12">
      <c r="B3110" s="133"/>
      <c r="C3110" s="14"/>
      <c r="D3110" s="14"/>
      <c r="E3110" s="134"/>
      <c r="F3110" s="14"/>
      <c r="G3110" s="69"/>
      <c r="H3110" s="69"/>
      <c r="I3110" s="135"/>
      <c r="J3110" s="136"/>
      <c r="K3110" s="137"/>
      <c r="L3110" s="137"/>
    </row>
    <row r="3111" spans="2:12">
      <c r="B3111" s="133"/>
      <c r="C3111" s="14"/>
      <c r="D3111" s="14"/>
      <c r="E3111" s="134"/>
      <c r="F3111" s="14"/>
      <c r="G3111" s="69"/>
      <c r="H3111" s="69"/>
      <c r="I3111" s="135"/>
      <c r="J3111" s="136"/>
      <c r="K3111" s="137"/>
      <c r="L3111" s="137"/>
    </row>
    <row r="3112" spans="2:12">
      <c r="B3112" s="133"/>
      <c r="C3112" s="14"/>
      <c r="D3112" s="14"/>
      <c r="E3112" s="134"/>
      <c r="F3112" s="14"/>
      <c r="G3112" s="69"/>
      <c r="H3112" s="69"/>
      <c r="I3112" s="135"/>
      <c r="J3112" s="136"/>
      <c r="K3112" s="137"/>
      <c r="L3112" s="137"/>
    </row>
    <row r="3113" spans="2:12">
      <c r="B3113" s="133"/>
      <c r="C3113" s="14"/>
      <c r="D3113" s="14"/>
      <c r="E3113" s="134"/>
      <c r="F3113" s="14"/>
      <c r="G3113" s="69"/>
      <c r="H3113" s="69"/>
      <c r="I3113" s="135"/>
      <c r="J3113" s="136"/>
      <c r="K3113" s="137"/>
      <c r="L3113" s="137"/>
    </row>
    <row r="3114" spans="2:12">
      <c r="B3114" s="133"/>
      <c r="C3114" s="14"/>
      <c r="D3114" s="14"/>
      <c r="E3114" s="134"/>
      <c r="F3114" s="14"/>
      <c r="G3114" s="69"/>
      <c r="H3114" s="69"/>
      <c r="I3114" s="135"/>
      <c r="J3114" s="136"/>
      <c r="K3114" s="137"/>
      <c r="L3114" s="137"/>
    </row>
    <row r="3115" spans="2:12">
      <c r="B3115" s="133"/>
      <c r="C3115" s="14"/>
      <c r="D3115" s="14"/>
      <c r="E3115" s="134"/>
      <c r="F3115" s="14"/>
      <c r="G3115" s="69"/>
      <c r="H3115" s="69"/>
      <c r="I3115" s="135"/>
      <c r="J3115" s="136"/>
      <c r="K3115" s="137"/>
      <c r="L3115" s="137"/>
    </row>
    <row r="3116" spans="2:12">
      <c r="B3116" s="133"/>
      <c r="C3116" s="14"/>
      <c r="D3116" s="14"/>
      <c r="E3116" s="134"/>
      <c r="F3116" s="14"/>
      <c r="G3116" s="69"/>
      <c r="H3116" s="69"/>
      <c r="I3116" s="135"/>
      <c r="J3116" s="136"/>
      <c r="K3116" s="137"/>
      <c r="L3116" s="137"/>
    </row>
    <row r="3117" spans="2:12">
      <c r="B3117" s="133"/>
      <c r="C3117" s="14"/>
      <c r="D3117" s="14"/>
      <c r="E3117" s="134"/>
      <c r="F3117" s="14"/>
      <c r="G3117" s="69"/>
      <c r="H3117" s="69"/>
      <c r="I3117" s="135"/>
      <c r="J3117" s="136"/>
      <c r="K3117" s="137"/>
      <c r="L3117" s="137"/>
    </row>
    <row r="3118" spans="2:12">
      <c r="B3118" s="133"/>
      <c r="C3118" s="14"/>
      <c r="D3118" s="14"/>
      <c r="E3118" s="134"/>
      <c r="F3118" s="14"/>
      <c r="G3118" s="69"/>
      <c r="H3118" s="69"/>
      <c r="I3118" s="135"/>
      <c r="J3118" s="136"/>
      <c r="K3118" s="137"/>
      <c r="L3118" s="137"/>
    </row>
    <row r="3119" spans="2:12">
      <c r="B3119" s="133"/>
      <c r="C3119" s="14"/>
      <c r="D3119" s="14"/>
      <c r="E3119" s="134"/>
      <c r="F3119" s="14"/>
      <c r="G3119" s="69"/>
      <c r="H3119" s="69"/>
      <c r="I3119" s="135"/>
      <c r="J3119" s="136"/>
      <c r="K3119" s="137"/>
      <c r="L3119" s="137"/>
    </row>
    <row r="3120" spans="2:12">
      <c r="B3120" s="133"/>
      <c r="C3120" s="14"/>
      <c r="D3120" s="14"/>
      <c r="E3120" s="134"/>
      <c r="F3120" s="14"/>
      <c r="G3120" s="69"/>
      <c r="H3120" s="69"/>
      <c r="I3120" s="135"/>
      <c r="J3120" s="136"/>
      <c r="K3120" s="137"/>
      <c r="L3120" s="137"/>
    </row>
    <row r="3121" spans="2:12">
      <c r="B3121" s="133"/>
      <c r="C3121" s="14"/>
      <c r="D3121" s="14"/>
      <c r="E3121" s="134"/>
      <c r="F3121" s="14"/>
      <c r="G3121" s="69"/>
      <c r="H3121" s="69"/>
      <c r="I3121" s="135"/>
      <c r="J3121" s="136"/>
      <c r="K3121" s="137"/>
      <c r="L3121" s="137"/>
    </row>
    <row r="3122" spans="2:12">
      <c r="B3122" s="133"/>
      <c r="C3122" s="14"/>
      <c r="D3122" s="14"/>
      <c r="E3122" s="134"/>
      <c r="F3122" s="14"/>
      <c r="G3122" s="69"/>
      <c r="H3122" s="69"/>
      <c r="I3122" s="135"/>
      <c r="J3122" s="136"/>
      <c r="K3122" s="137"/>
      <c r="L3122" s="137"/>
    </row>
    <row r="3123" spans="2:12">
      <c r="B3123" s="133"/>
      <c r="C3123" s="14"/>
      <c r="D3123" s="14"/>
      <c r="E3123" s="134"/>
      <c r="F3123" s="14"/>
      <c r="G3123" s="69"/>
      <c r="H3123" s="69"/>
      <c r="I3123" s="135"/>
      <c r="J3123" s="136"/>
      <c r="K3123" s="137"/>
      <c r="L3123" s="137"/>
    </row>
    <row r="3124" spans="2:12">
      <c r="B3124" s="133"/>
      <c r="C3124" s="14"/>
      <c r="D3124" s="14"/>
      <c r="E3124" s="134"/>
      <c r="F3124" s="14"/>
      <c r="G3124" s="69"/>
      <c r="H3124" s="69"/>
      <c r="I3124" s="135"/>
      <c r="J3124" s="136"/>
      <c r="K3124" s="137"/>
      <c r="L3124" s="137"/>
    </row>
    <row r="3125" spans="2:12">
      <c r="B3125" s="133"/>
      <c r="C3125" s="14"/>
      <c r="D3125" s="14"/>
      <c r="E3125" s="134"/>
      <c r="F3125" s="14"/>
      <c r="G3125" s="69"/>
      <c r="H3125" s="69"/>
      <c r="I3125" s="135"/>
      <c r="J3125" s="136"/>
      <c r="K3125" s="137"/>
      <c r="L3125" s="137"/>
    </row>
    <row r="3126" spans="2:12">
      <c r="B3126" s="133"/>
      <c r="C3126" s="14"/>
      <c r="D3126" s="14"/>
      <c r="E3126" s="134"/>
      <c r="F3126" s="14"/>
      <c r="G3126" s="69"/>
      <c r="H3126" s="69"/>
      <c r="I3126" s="135"/>
      <c r="J3126" s="136"/>
      <c r="K3126" s="137"/>
      <c r="L3126" s="137"/>
    </row>
    <row r="3127" spans="2:12">
      <c r="B3127" s="133"/>
      <c r="C3127" s="14"/>
      <c r="D3127" s="14"/>
      <c r="E3127" s="134"/>
      <c r="F3127" s="14"/>
      <c r="G3127" s="69"/>
      <c r="H3127" s="69"/>
      <c r="I3127" s="135"/>
      <c r="J3127" s="136"/>
      <c r="K3127" s="137"/>
      <c r="L3127" s="137"/>
    </row>
    <row r="3128" spans="2:12">
      <c r="B3128" s="133"/>
      <c r="C3128" s="14"/>
      <c r="D3128" s="14"/>
      <c r="E3128" s="134"/>
      <c r="F3128" s="14"/>
      <c r="G3128" s="69"/>
      <c r="H3128" s="69"/>
      <c r="I3128" s="135"/>
      <c r="J3128" s="136"/>
      <c r="K3128" s="137"/>
      <c r="L3128" s="137"/>
    </row>
    <row r="3129" spans="2:12">
      <c r="B3129" s="133"/>
      <c r="C3129" s="14"/>
      <c r="D3129" s="14"/>
      <c r="E3129" s="134"/>
      <c r="F3129" s="14"/>
      <c r="G3129" s="69"/>
      <c r="H3129" s="69"/>
      <c r="I3129" s="135"/>
      <c r="J3129" s="136"/>
      <c r="K3129" s="137"/>
      <c r="L3129" s="137"/>
    </row>
    <row r="3130" spans="2:12">
      <c r="B3130" s="133"/>
      <c r="C3130" s="14"/>
      <c r="D3130" s="14"/>
      <c r="E3130" s="134"/>
      <c r="F3130" s="14"/>
      <c r="G3130" s="69"/>
      <c r="H3130" s="69"/>
      <c r="I3130" s="135"/>
      <c r="J3130" s="136"/>
      <c r="K3130" s="137"/>
      <c r="L3130" s="137"/>
    </row>
    <row r="3131" spans="2:12">
      <c r="B3131" s="133"/>
      <c r="C3131" s="14"/>
      <c r="D3131" s="14"/>
      <c r="E3131" s="134"/>
      <c r="F3131" s="14"/>
      <c r="G3131" s="69"/>
      <c r="H3131" s="69"/>
      <c r="I3131" s="135"/>
      <c r="J3131" s="136"/>
      <c r="K3131" s="137"/>
      <c r="L3131" s="137"/>
    </row>
    <row r="3132" spans="2:12">
      <c r="B3132" s="133"/>
      <c r="C3132" s="14"/>
      <c r="D3132" s="14"/>
      <c r="E3132" s="134"/>
      <c r="F3132" s="14"/>
      <c r="G3132" s="69"/>
      <c r="H3132" s="69"/>
      <c r="I3132" s="135"/>
      <c r="J3132" s="136"/>
      <c r="K3132" s="137"/>
      <c r="L3132" s="137"/>
    </row>
    <row r="3133" spans="2:12">
      <c r="B3133" s="133"/>
      <c r="C3133" s="14"/>
      <c r="D3133" s="14"/>
      <c r="E3133" s="134"/>
      <c r="F3133" s="14"/>
      <c r="G3133" s="69"/>
      <c r="H3133" s="69"/>
      <c r="I3133" s="135"/>
      <c r="J3133" s="136"/>
      <c r="K3133" s="137"/>
      <c r="L3133" s="137"/>
    </row>
    <row r="3134" spans="2:12">
      <c r="B3134" s="133"/>
      <c r="C3134" s="14"/>
      <c r="D3134" s="14"/>
      <c r="E3134" s="134"/>
      <c r="F3134" s="14"/>
      <c r="G3134" s="69"/>
      <c r="H3134" s="69"/>
      <c r="I3134" s="135"/>
      <c r="J3134" s="136"/>
      <c r="K3134" s="137"/>
      <c r="L3134" s="137"/>
    </row>
    <row r="3135" spans="2:12">
      <c r="B3135" s="133"/>
      <c r="C3135" s="14"/>
      <c r="D3135" s="14"/>
      <c r="E3135" s="134"/>
      <c r="F3135" s="14"/>
      <c r="G3135" s="69"/>
      <c r="H3135" s="69"/>
      <c r="I3135" s="135"/>
      <c r="J3135" s="136"/>
      <c r="K3135" s="137"/>
      <c r="L3135" s="137"/>
    </row>
    <row r="3136" spans="2:12">
      <c r="B3136" s="133"/>
      <c r="C3136" s="14"/>
      <c r="D3136" s="14"/>
      <c r="E3136" s="134"/>
      <c r="F3136" s="14"/>
      <c r="G3136" s="69"/>
      <c r="H3136" s="69"/>
      <c r="I3136" s="135"/>
      <c r="J3136" s="136"/>
      <c r="K3136" s="137"/>
      <c r="L3136" s="137"/>
    </row>
    <row r="3137" spans="2:12">
      <c r="B3137" s="133"/>
      <c r="C3137" s="14"/>
      <c r="D3137" s="14"/>
      <c r="E3137" s="134"/>
      <c r="F3137" s="14"/>
      <c r="G3137" s="69"/>
      <c r="H3137" s="69"/>
      <c r="I3137" s="135"/>
      <c r="J3137" s="136"/>
      <c r="K3137" s="137"/>
      <c r="L3137" s="137"/>
    </row>
    <row r="3138" spans="2:12">
      <c r="B3138" s="133"/>
      <c r="C3138" s="14"/>
      <c r="D3138" s="14"/>
      <c r="E3138" s="134"/>
      <c r="F3138" s="14"/>
      <c r="G3138" s="69"/>
      <c r="H3138" s="69"/>
      <c r="I3138" s="135"/>
      <c r="J3138" s="136"/>
      <c r="K3138" s="137"/>
      <c r="L3138" s="137"/>
    </row>
    <row r="3139" spans="2:12">
      <c r="B3139" s="133"/>
      <c r="C3139" s="14"/>
      <c r="D3139" s="14"/>
      <c r="E3139" s="134"/>
      <c r="F3139" s="14"/>
      <c r="G3139" s="69"/>
      <c r="H3139" s="69"/>
      <c r="I3139" s="135"/>
      <c r="J3139" s="136"/>
      <c r="K3139" s="137"/>
      <c r="L3139" s="137"/>
    </row>
    <row r="3140" spans="2:12">
      <c r="B3140" s="133"/>
      <c r="C3140" s="14"/>
      <c r="D3140" s="14"/>
      <c r="E3140" s="134"/>
      <c r="F3140" s="14"/>
      <c r="G3140" s="69"/>
      <c r="H3140" s="69"/>
      <c r="I3140" s="135"/>
      <c r="J3140" s="136"/>
      <c r="K3140" s="137"/>
      <c r="L3140" s="137"/>
    </row>
    <row r="3141" spans="2:12">
      <c r="B3141" s="133"/>
      <c r="C3141" s="14"/>
      <c r="D3141" s="14"/>
      <c r="E3141" s="134"/>
      <c r="F3141" s="14"/>
      <c r="G3141" s="69"/>
      <c r="H3141" s="69"/>
      <c r="I3141" s="135"/>
      <c r="J3141" s="136"/>
      <c r="K3141" s="137"/>
      <c r="L3141" s="137"/>
    </row>
    <row r="3142" spans="2:12">
      <c r="B3142" s="133"/>
      <c r="C3142" s="14"/>
      <c r="D3142" s="14"/>
      <c r="E3142" s="134"/>
      <c r="F3142" s="14"/>
      <c r="G3142" s="69"/>
      <c r="H3142" s="69"/>
      <c r="I3142" s="135"/>
      <c r="J3142" s="136"/>
      <c r="K3142" s="137"/>
      <c r="L3142" s="137"/>
    </row>
    <row r="3143" spans="2:12">
      <c r="B3143" s="133"/>
      <c r="C3143" s="14"/>
      <c r="D3143" s="14"/>
      <c r="E3143" s="134"/>
      <c r="F3143" s="14"/>
      <c r="G3143" s="69"/>
      <c r="H3143" s="69"/>
      <c r="I3143" s="135"/>
      <c r="J3143" s="136"/>
      <c r="K3143" s="137"/>
      <c r="L3143" s="137"/>
    </row>
    <row r="3144" spans="2:12">
      <c r="B3144" s="133"/>
      <c r="C3144" s="14"/>
      <c r="D3144" s="14"/>
      <c r="E3144" s="134"/>
      <c r="F3144" s="14"/>
      <c r="G3144" s="69"/>
      <c r="H3144" s="69"/>
      <c r="I3144" s="135"/>
      <c r="J3144" s="136"/>
      <c r="K3144" s="137"/>
      <c r="L3144" s="137"/>
    </row>
    <row r="3145" spans="2:12">
      <c r="B3145" s="133"/>
      <c r="C3145" s="14"/>
      <c r="D3145" s="14"/>
      <c r="E3145" s="134"/>
      <c r="F3145" s="14"/>
      <c r="G3145" s="69"/>
      <c r="H3145" s="69"/>
      <c r="I3145" s="135"/>
      <c r="J3145" s="136"/>
      <c r="K3145" s="137"/>
      <c r="L3145" s="137"/>
    </row>
    <row r="3146" spans="2:12">
      <c r="B3146" s="133"/>
      <c r="C3146" s="14"/>
      <c r="D3146" s="14"/>
      <c r="E3146" s="134"/>
      <c r="F3146" s="14"/>
      <c r="G3146" s="69"/>
      <c r="H3146" s="69"/>
      <c r="I3146" s="135"/>
      <c r="J3146" s="136"/>
      <c r="K3146" s="137"/>
      <c r="L3146" s="137"/>
    </row>
    <row r="3147" spans="2:12">
      <c r="B3147" s="133"/>
      <c r="C3147" s="14"/>
      <c r="D3147" s="14"/>
      <c r="E3147" s="134"/>
      <c r="F3147" s="14"/>
      <c r="G3147" s="69"/>
      <c r="H3147" s="69"/>
      <c r="I3147" s="135"/>
      <c r="J3147" s="136"/>
      <c r="K3147" s="137"/>
      <c r="L3147" s="137"/>
    </row>
    <row r="3148" spans="2:12">
      <c r="B3148" s="133"/>
      <c r="C3148" s="14"/>
      <c r="D3148" s="14"/>
      <c r="E3148" s="134"/>
      <c r="F3148" s="14"/>
      <c r="G3148" s="69"/>
      <c r="H3148" s="69"/>
      <c r="I3148" s="135"/>
      <c r="J3148" s="136"/>
      <c r="K3148" s="137"/>
      <c r="L3148" s="137"/>
    </row>
    <row r="3149" spans="2:12">
      <c r="B3149" s="133"/>
      <c r="C3149" s="14"/>
      <c r="D3149" s="14"/>
      <c r="E3149" s="134"/>
      <c r="F3149" s="14"/>
      <c r="G3149" s="69"/>
      <c r="H3149" s="69"/>
      <c r="I3149" s="135"/>
      <c r="J3149" s="136"/>
      <c r="K3149" s="137"/>
      <c r="L3149" s="137"/>
    </row>
    <row r="3150" spans="2:12">
      <c r="B3150" s="133"/>
      <c r="C3150" s="14"/>
      <c r="D3150" s="14"/>
      <c r="E3150" s="134"/>
      <c r="F3150" s="14"/>
      <c r="G3150" s="69"/>
      <c r="H3150" s="69"/>
      <c r="I3150" s="135"/>
      <c r="J3150" s="136"/>
      <c r="K3150" s="137"/>
      <c r="L3150" s="137"/>
    </row>
    <row r="3151" spans="2:12">
      <c r="B3151" s="133"/>
      <c r="C3151" s="14"/>
      <c r="D3151" s="14"/>
      <c r="E3151" s="134"/>
      <c r="F3151" s="14"/>
      <c r="G3151" s="69"/>
      <c r="H3151" s="69"/>
      <c r="I3151" s="135"/>
      <c r="J3151" s="136"/>
      <c r="K3151" s="137"/>
      <c r="L3151" s="137"/>
    </row>
    <row r="3152" spans="2:12">
      <c r="B3152" s="133"/>
      <c r="C3152" s="14"/>
      <c r="D3152" s="14"/>
      <c r="E3152" s="134"/>
      <c r="F3152" s="14"/>
      <c r="G3152" s="69"/>
      <c r="H3152" s="69"/>
      <c r="I3152" s="135"/>
      <c r="J3152" s="136"/>
      <c r="K3152" s="137"/>
      <c r="L3152" s="137"/>
    </row>
    <row r="3153" spans="2:12">
      <c r="B3153" s="133"/>
      <c r="C3153" s="14"/>
      <c r="D3153" s="14"/>
      <c r="E3153" s="134"/>
      <c r="F3153" s="14"/>
      <c r="G3153" s="69"/>
      <c r="H3153" s="69"/>
      <c r="I3153" s="135"/>
      <c r="J3153" s="136"/>
      <c r="K3153" s="137"/>
      <c r="L3153" s="137"/>
    </row>
    <row r="3154" spans="2:12">
      <c r="B3154" s="133"/>
      <c r="C3154" s="14"/>
      <c r="D3154" s="14"/>
      <c r="E3154" s="134"/>
      <c r="F3154" s="14"/>
      <c r="G3154" s="69"/>
      <c r="H3154" s="69"/>
      <c r="I3154" s="135"/>
      <c r="J3154" s="136"/>
      <c r="K3154" s="137"/>
      <c r="L3154" s="137"/>
    </row>
    <row r="3155" spans="2:12">
      <c r="B3155" s="133"/>
      <c r="C3155" s="14"/>
      <c r="D3155" s="14"/>
      <c r="E3155" s="134"/>
      <c r="F3155" s="14"/>
      <c r="G3155" s="69"/>
      <c r="H3155" s="69"/>
      <c r="I3155" s="135"/>
      <c r="J3155" s="136"/>
      <c r="K3155" s="137"/>
      <c r="L3155" s="137"/>
    </row>
    <row r="3156" spans="2:12">
      <c r="B3156" s="133"/>
      <c r="C3156" s="14"/>
      <c r="D3156" s="14"/>
      <c r="E3156" s="134"/>
      <c r="F3156" s="14"/>
      <c r="G3156" s="69"/>
      <c r="H3156" s="69"/>
      <c r="I3156" s="135"/>
      <c r="J3156" s="136"/>
      <c r="K3156" s="137"/>
      <c r="L3156" s="137"/>
    </row>
    <row r="3157" spans="2:12">
      <c r="B3157" s="133"/>
      <c r="C3157" s="14"/>
      <c r="D3157" s="14"/>
      <c r="E3157" s="134"/>
      <c r="F3157" s="14"/>
      <c r="G3157" s="69"/>
      <c r="H3157" s="69"/>
      <c r="I3157" s="135"/>
      <c r="J3157" s="136"/>
      <c r="K3157" s="137"/>
      <c r="L3157" s="137"/>
    </row>
    <row r="3158" spans="2:12">
      <c r="B3158" s="133"/>
      <c r="C3158" s="14"/>
      <c r="D3158" s="14"/>
      <c r="E3158" s="134"/>
      <c r="F3158" s="14"/>
      <c r="G3158" s="69"/>
      <c r="H3158" s="69"/>
      <c r="I3158" s="135"/>
      <c r="J3158" s="136"/>
      <c r="K3158" s="137"/>
      <c r="L3158" s="137"/>
    </row>
    <row r="3159" spans="2:12">
      <c r="B3159" s="133"/>
      <c r="C3159" s="14"/>
      <c r="D3159" s="14"/>
      <c r="E3159" s="134"/>
      <c r="F3159" s="14"/>
      <c r="G3159" s="69"/>
      <c r="H3159" s="69"/>
      <c r="I3159" s="135"/>
      <c r="J3159" s="136"/>
      <c r="K3159" s="137"/>
      <c r="L3159" s="137"/>
    </row>
    <row r="3160" spans="2:12">
      <c r="B3160" s="133"/>
      <c r="C3160" s="14"/>
      <c r="D3160" s="14"/>
      <c r="E3160" s="134"/>
      <c r="F3160" s="14"/>
      <c r="G3160" s="69"/>
      <c r="H3160" s="69"/>
      <c r="I3160" s="135"/>
      <c r="J3160" s="136"/>
      <c r="K3160" s="137"/>
      <c r="L3160" s="137"/>
    </row>
    <row r="3161" spans="2:12">
      <c r="B3161" s="133"/>
      <c r="C3161" s="14"/>
      <c r="D3161" s="14"/>
      <c r="E3161" s="134"/>
      <c r="F3161" s="14"/>
      <c r="G3161" s="69"/>
      <c r="H3161" s="69"/>
      <c r="I3161" s="135"/>
      <c r="J3161" s="136"/>
      <c r="K3161" s="137"/>
      <c r="L3161" s="137"/>
    </row>
    <row r="3162" spans="2:12">
      <c r="B3162" s="133"/>
      <c r="C3162" s="14"/>
      <c r="D3162" s="14"/>
      <c r="E3162" s="134"/>
      <c r="F3162" s="14"/>
      <c r="G3162" s="69"/>
      <c r="H3162" s="69"/>
      <c r="I3162" s="135"/>
      <c r="J3162" s="136"/>
      <c r="K3162" s="137"/>
      <c r="L3162" s="137"/>
    </row>
    <row r="3163" spans="2:12">
      <c r="B3163" s="133"/>
      <c r="C3163" s="14"/>
      <c r="D3163" s="14"/>
      <c r="E3163" s="134"/>
      <c r="F3163" s="14"/>
      <c r="G3163" s="69"/>
      <c r="H3163" s="69"/>
      <c r="I3163" s="135"/>
      <c r="J3163" s="136"/>
      <c r="K3163" s="137"/>
      <c r="L3163" s="137"/>
    </row>
    <row r="3164" spans="2:12">
      <c r="B3164" s="133"/>
      <c r="C3164" s="14"/>
      <c r="D3164" s="14"/>
      <c r="E3164" s="134"/>
      <c r="F3164" s="14"/>
      <c r="G3164" s="69"/>
      <c r="H3164" s="69"/>
      <c r="I3164" s="135"/>
      <c r="J3164" s="136"/>
      <c r="K3164" s="137"/>
      <c r="L3164" s="137"/>
    </row>
    <row r="3165" spans="2:12">
      <c r="B3165" s="133"/>
      <c r="C3165" s="14"/>
      <c r="D3165" s="14"/>
      <c r="E3165" s="134"/>
      <c r="F3165" s="14"/>
      <c r="G3165" s="69"/>
      <c r="H3165" s="69"/>
      <c r="I3165" s="135"/>
      <c r="J3165" s="136"/>
      <c r="K3165" s="137"/>
      <c r="L3165" s="137"/>
    </row>
    <row r="3166" spans="2:12">
      <c r="B3166" s="133"/>
      <c r="C3166" s="14"/>
      <c r="D3166" s="14"/>
      <c r="E3166" s="134"/>
      <c r="F3166" s="14"/>
      <c r="G3166" s="69"/>
      <c r="H3166" s="69"/>
      <c r="I3166" s="135"/>
      <c r="J3166" s="136"/>
      <c r="K3166" s="137"/>
      <c r="L3166" s="137"/>
    </row>
    <row r="3167" spans="2:12">
      <c r="B3167" s="133"/>
      <c r="C3167" s="14"/>
      <c r="D3167" s="14"/>
      <c r="E3167" s="134"/>
      <c r="F3167" s="14"/>
      <c r="G3167" s="69"/>
      <c r="H3167" s="69"/>
      <c r="I3167" s="135"/>
      <c r="J3167" s="136"/>
      <c r="K3167" s="137"/>
      <c r="L3167" s="137"/>
    </row>
    <row r="3168" spans="2:12">
      <c r="B3168" s="133"/>
      <c r="C3168" s="14"/>
      <c r="D3168" s="14"/>
      <c r="E3168" s="134"/>
      <c r="F3168" s="14"/>
      <c r="G3168" s="69"/>
      <c r="H3168" s="69"/>
      <c r="I3168" s="135"/>
      <c r="J3168" s="136"/>
      <c r="K3168" s="137"/>
      <c r="L3168" s="137"/>
    </row>
    <row r="3169" spans="2:12">
      <c r="B3169" s="133"/>
      <c r="C3169" s="14"/>
      <c r="D3169" s="14"/>
      <c r="E3169" s="134"/>
      <c r="F3169" s="14"/>
      <c r="G3169" s="69"/>
      <c r="H3169" s="69"/>
      <c r="I3169" s="135"/>
      <c r="J3169" s="136"/>
      <c r="K3169" s="137"/>
      <c r="L3169" s="137"/>
    </row>
    <row r="3170" spans="2:12">
      <c r="B3170" s="133"/>
      <c r="C3170" s="14"/>
      <c r="D3170" s="14"/>
      <c r="E3170" s="134"/>
      <c r="F3170" s="14"/>
      <c r="G3170" s="69"/>
      <c r="H3170" s="69"/>
      <c r="I3170" s="135"/>
      <c r="J3170" s="136"/>
      <c r="K3170" s="137"/>
      <c r="L3170" s="137"/>
    </row>
    <row r="3171" spans="2:12">
      <c r="B3171" s="133"/>
      <c r="C3171" s="14"/>
      <c r="D3171" s="14"/>
      <c r="E3171" s="134"/>
      <c r="F3171" s="14"/>
      <c r="G3171" s="69"/>
      <c r="H3171" s="69"/>
      <c r="I3171" s="135"/>
      <c r="J3171" s="136"/>
      <c r="K3171" s="137"/>
      <c r="L3171" s="137"/>
    </row>
    <row r="3172" spans="2:12">
      <c r="B3172" s="133"/>
      <c r="C3172" s="14"/>
      <c r="D3172" s="14"/>
      <c r="E3172" s="134"/>
      <c r="F3172" s="14"/>
      <c r="G3172" s="69"/>
      <c r="H3172" s="69"/>
      <c r="I3172" s="135"/>
      <c r="J3172" s="136"/>
      <c r="K3172" s="137"/>
      <c r="L3172" s="137"/>
    </row>
    <row r="3173" spans="2:12">
      <c r="B3173" s="133"/>
      <c r="C3173" s="14"/>
      <c r="D3173" s="14"/>
      <c r="E3173" s="134"/>
      <c r="F3173" s="14"/>
      <c r="G3173" s="69"/>
      <c r="H3173" s="69"/>
      <c r="I3173" s="135"/>
      <c r="J3173" s="136"/>
      <c r="K3173" s="137"/>
      <c r="L3173" s="137"/>
    </row>
    <row r="3174" spans="2:12">
      <c r="B3174" s="133"/>
      <c r="C3174" s="14"/>
      <c r="D3174" s="14"/>
      <c r="E3174" s="134"/>
      <c r="F3174" s="14"/>
      <c r="G3174" s="69"/>
      <c r="H3174" s="69"/>
      <c r="I3174" s="135"/>
      <c r="J3174" s="136"/>
      <c r="K3174" s="137"/>
      <c r="L3174" s="137"/>
    </row>
    <row r="3175" spans="2:12">
      <c r="B3175" s="133"/>
      <c r="C3175" s="14"/>
      <c r="D3175" s="14"/>
      <c r="E3175" s="134"/>
      <c r="F3175" s="14"/>
      <c r="G3175" s="69"/>
      <c r="H3175" s="69"/>
      <c r="I3175" s="135"/>
      <c r="J3175" s="136"/>
      <c r="K3175" s="137"/>
      <c r="L3175" s="137"/>
    </row>
    <row r="3176" spans="2:12">
      <c r="B3176" s="133"/>
      <c r="C3176" s="14"/>
      <c r="D3176" s="14"/>
      <c r="E3176" s="134"/>
      <c r="F3176" s="14"/>
      <c r="G3176" s="69"/>
      <c r="H3176" s="69"/>
      <c r="I3176" s="135"/>
      <c r="J3176" s="136"/>
      <c r="K3176" s="137"/>
      <c r="L3176" s="137"/>
    </row>
    <row r="3177" spans="2:12">
      <c r="B3177" s="133"/>
      <c r="C3177" s="14"/>
      <c r="D3177" s="14"/>
      <c r="E3177" s="134"/>
      <c r="F3177" s="14"/>
      <c r="G3177" s="69"/>
      <c r="H3177" s="69"/>
      <c r="I3177" s="135"/>
      <c r="J3177" s="136"/>
      <c r="K3177" s="137"/>
      <c r="L3177" s="137"/>
    </row>
    <row r="3178" spans="2:12">
      <c r="B3178" s="133"/>
      <c r="C3178" s="14"/>
      <c r="D3178" s="14"/>
      <c r="E3178" s="134"/>
      <c r="F3178" s="14"/>
      <c r="G3178" s="69"/>
      <c r="H3178" s="69"/>
      <c r="I3178" s="135"/>
      <c r="J3178" s="136"/>
      <c r="K3178" s="137"/>
      <c r="L3178" s="137"/>
    </row>
    <row r="3179" spans="2:12">
      <c r="B3179" s="133"/>
      <c r="C3179" s="14"/>
      <c r="D3179" s="14"/>
      <c r="E3179" s="134"/>
      <c r="F3179" s="14"/>
      <c r="G3179" s="69"/>
      <c r="H3179" s="69"/>
      <c r="I3179" s="135"/>
      <c r="J3179" s="136"/>
      <c r="K3179" s="137"/>
      <c r="L3179" s="137"/>
    </row>
    <row r="3180" spans="2:12">
      <c r="B3180" s="133"/>
      <c r="C3180" s="14"/>
      <c r="D3180" s="14"/>
      <c r="E3180" s="134"/>
      <c r="F3180" s="14"/>
      <c r="G3180" s="69"/>
      <c r="H3180" s="69"/>
      <c r="I3180" s="135"/>
      <c r="J3180" s="136"/>
      <c r="K3180" s="137"/>
      <c r="L3180" s="137"/>
    </row>
    <row r="3181" spans="2:12">
      <c r="B3181" s="133"/>
      <c r="C3181" s="14"/>
      <c r="D3181" s="14"/>
      <c r="E3181" s="134"/>
      <c r="F3181" s="14"/>
      <c r="G3181" s="69"/>
      <c r="H3181" s="69"/>
      <c r="I3181" s="135"/>
      <c r="J3181" s="136"/>
      <c r="K3181" s="137"/>
      <c r="L3181" s="137"/>
    </row>
    <row r="3182" spans="2:12">
      <c r="B3182" s="133"/>
      <c r="C3182" s="14"/>
      <c r="D3182" s="14"/>
      <c r="E3182" s="134"/>
      <c r="F3182" s="14"/>
      <c r="G3182" s="69"/>
      <c r="H3182" s="69"/>
      <c r="I3182" s="135"/>
      <c r="J3182" s="136"/>
      <c r="K3182" s="137"/>
      <c r="L3182" s="137"/>
    </row>
    <row r="3183" spans="2:12">
      <c r="B3183" s="133"/>
      <c r="C3183" s="14"/>
      <c r="D3183" s="14"/>
      <c r="E3183" s="134"/>
      <c r="F3183" s="14"/>
      <c r="G3183" s="69"/>
      <c r="H3183" s="69"/>
      <c r="I3183" s="135"/>
      <c r="J3183" s="136"/>
      <c r="K3183" s="137"/>
      <c r="L3183" s="137"/>
    </row>
    <row r="3184" spans="2:12">
      <c r="B3184" s="133"/>
      <c r="C3184" s="14"/>
      <c r="D3184" s="14"/>
      <c r="E3184" s="134"/>
      <c r="F3184" s="14"/>
      <c r="G3184" s="69"/>
      <c r="H3184" s="69"/>
      <c r="I3184" s="135"/>
      <c r="J3184" s="136"/>
      <c r="K3184" s="137"/>
      <c r="L3184" s="137"/>
    </row>
    <row r="3185" spans="2:12">
      <c r="B3185" s="133"/>
      <c r="C3185" s="14"/>
      <c r="D3185" s="14"/>
      <c r="E3185" s="134"/>
      <c r="F3185" s="14"/>
      <c r="G3185" s="69"/>
      <c r="H3185" s="69"/>
      <c r="I3185" s="135"/>
      <c r="J3185" s="136"/>
      <c r="K3185" s="137"/>
      <c r="L3185" s="137"/>
    </row>
    <row r="3186" spans="2:12">
      <c r="B3186" s="133"/>
      <c r="C3186" s="14"/>
      <c r="D3186" s="14"/>
      <c r="E3186" s="134"/>
      <c r="F3186" s="14"/>
      <c r="G3186" s="69"/>
      <c r="H3186" s="69"/>
      <c r="I3186" s="135"/>
      <c r="J3186" s="136"/>
      <c r="K3186" s="137"/>
      <c r="L3186" s="137"/>
    </row>
    <row r="3187" spans="2:12">
      <c r="B3187" s="133"/>
      <c r="C3187" s="14"/>
      <c r="D3187" s="14"/>
      <c r="E3187" s="134"/>
      <c r="F3187" s="14"/>
      <c r="G3187" s="69"/>
      <c r="H3187" s="69"/>
      <c r="I3187" s="135"/>
      <c r="J3187" s="136"/>
      <c r="K3187" s="137"/>
      <c r="L3187" s="137"/>
    </row>
    <row r="3188" spans="2:12">
      <c r="B3188" s="133"/>
      <c r="C3188" s="14"/>
      <c r="D3188" s="14"/>
      <c r="E3188" s="134"/>
      <c r="F3188" s="14"/>
      <c r="G3188" s="69"/>
      <c r="H3188" s="69"/>
      <c r="I3188" s="135"/>
      <c r="J3188" s="136"/>
      <c r="K3188" s="137"/>
      <c r="L3188" s="137"/>
    </row>
    <row r="3189" spans="2:12">
      <c r="B3189" s="133"/>
      <c r="C3189" s="14"/>
      <c r="D3189" s="14"/>
      <c r="E3189" s="134"/>
      <c r="F3189" s="14"/>
      <c r="G3189" s="69"/>
      <c r="H3189" s="69"/>
      <c r="I3189" s="135"/>
      <c r="J3189" s="136"/>
      <c r="K3189" s="137"/>
      <c r="L3189" s="137"/>
    </row>
    <row r="3190" spans="2:12">
      <c r="B3190" s="133"/>
      <c r="C3190" s="14"/>
      <c r="D3190" s="14"/>
      <c r="E3190" s="134"/>
      <c r="F3190" s="14"/>
      <c r="G3190" s="69"/>
      <c r="H3190" s="69"/>
      <c r="I3190" s="135"/>
      <c r="J3190" s="136"/>
      <c r="K3190" s="137"/>
      <c r="L3190" s="137"/>
    </row>
    <row r="3191" spans="2:12">
      <c r="B3191" s="133"/>
      <c r="C3191" s="14"/>
      <c r="D3191" s="14"/>
      <c r="E3191" s="134"/>
      <c r="F3191" s="14"/>
      <c r="G3191" s="69"/>
      <c r="H3191" s="69"/>
      <c r="I3191" s="135"/>
      <c r="J3191" s="136"/>
      <c r="K3191" s="137"/>
      <c r="L3191" s="137"/>
    </row>
    <row r="3192" spans="2:12">
      <c r="B3192" s="133"/>
      <c r="C3192" s="14"/>
      <c r="D3192" s="14"/>
      <c r="E3192" s="134"/>
      <c r="F3192" s="14"/>
      <c r="G3192" s="69"/>
      <c r="H3192" s="69"/>
      <c r="I3192" s="135"/>
      <c r="J3192" s="136"/>
      <c r="K3192" s="137"/>
      <c r="L3192" s="137"/>
    </row>
    <row r="3193" spans="2:12">
      <c r="B3193" s="133"/>
      <c r="C3193" s="14"/>
      <c r="D3193" s="14"/>
      <c r="E3193" s="134"/>
      <c r="F3193" s="14"/>
      <c r="G3193" s="69"/>
      <c r="H3193" s="69"/>
      <c r="I3193" s="135"/>
      <c r="J3193" s="136"/>
      <c r="K3193" s="137"/>
      <c r="L3193" s="137"/>
    </row>
    <row r="3194" spans="2:12">
      <c r="B3194" s="133"/>
      <c r="C3194" s="14"/>
      <c r="D3194" s="14"/>
      <c r="E3194" s="134"/>
      <c r="F3194" s="14"/>
      <c r="G3194" s="69"/>
      <c r="H3194" s="69"/>
      <c r="I3194" s="135"/>
      <c r="J3194" s="136"/>
      <c r="K3194" s="137"/>
      <c r="L3194" s="137"/>
    </row>
    <row r="3195" spans="2:12">
      <c r="B3195" s="133"/>
      <c r="C3195" s="14"/>
      <c r="D3195" s="14"/>
      <c r="E3195" s="134"/>
      <c r="F3195" s="14"/>
      <c r="G3195" s="69"/>
      <c r="H3195" s="69"/>
      <c r="I3195" s="135"/>
      <c r="J3195" s="136"/>
      <c r="K3195" s="137"/>
      <c r="L3195" s="137"/>
    </row>
    <row r="3196" spans="2:12">
      <c r="B3196" s="133"/>
      <c r="C3196" s="14"/>
      <c r="D3196" s="14"/>
      <c r="E3196" s="134"/>
      <c r="F3196" s="14"/>
      <c r="G3196" s="69"/>
      <c r="H3196" s="69"/>
      <c r="I3196" s="135"/>
      <c r="J3196" s="136"/>
      <c r="K3196" s="137"/>
      <c r="L3196" s="137"/>
    </row>
    <row r="3197" spans="2:12">
      <c r="B3197" s="133"/>
      <c r="C3197" s="14"/>
      <c r="D3197" s="14"/>
      <c r="E3197" s="134"/>
      <c r="F3197" s="14"/>
      <c r="G3197" s="69"/>
      <c r="H3197" s="69"/>
      <c r="I3197" s="135"/>
      <c r="J3197" s="136"/>
      <c r="K3197" s="137"/>
      <c r="L3197" s="137"/>
    </row>
    <row r="3198" spans="2:12">
      <c r="B3198" s="133"/>
      <c r="C3198" s="14"/>
      <c r="D3198" s="14"/>
      <c r="E3198" s="134"/>
      <c r="F3198" s="14"/>
      <c r="G3198" s="69"/>
      <c r="H3198" s="69"/>
      <c r="I3198" s="135"/>
      <c r="J3198" s="136"/>
      <c r="K3198" s="137"/>
      <c r="L3198" s="137"/>
    </row>
    <row r="3199" spans="2:12">
      <c r="B3199" s="133"/>
      <c r="C3199" s="14"/>
      <c r="D3199" s="14"/>
      <c r="E3199" s="134"/>
      <c r="F3199" s="14"/>
      <c r="G3199" s="69"/>
      <c r="H3199" s="69"/>
      <c r="I3199" s="135"/>
      <c r="J3199" s="136"/>
      <c r="K3199" s="137"/>
      <c r="L3199" s="137"/>
    </row>
    <row r="3200" spans="2:12">
      <c r="B3200" s="133"/>
      <c r="C3200" s="14"/>
      <c r="D3200" s="14"/>
      <c r="E3200" s="134"/>
      <c r="F3200" s="14"/>
      <c r="G3200" s="69"/>
      <c r="H3200" s="69"/>
      <c r="I3200" s="135"/>
      <c r="J3200" s="136"/>
      <c r="K3200" s="137"/>
      <c r="L3200" s="137"/>
    </row>
    <row r="3201" spans="2:12">
      <c r="B3201" s="133"/>
      <c r="C3201" s="14"/>
      <c r="D3201" s="14"/>
      <c r="E3201" s="134"/>
      <c r="F3201" s="14"/>
      <c r="G3201" s="69"/>
      <c r="H3201" s="69"/>
      <c r="I3201" s="135"/>
      <c r="J3201" s="136"/>
      <c r="K3201" s="137"/>
      <c r="L3201" s="137"/>
    </row>
    <row r="3202" spans="2:12">
      <c r="B3202" s="133"/>
      <c r="C3202" s="14"/>
      <c r="D3202" s="14"/>
      <c r="E3202" s="134"/>
      <c r="F3202" s="14"/>
      <c r="G3202" s="69"/>
      <c r="H3202" s="69"/>
      <c r="I3202" s="135"/>
      <c r="J3202" s="136"/>
      <c r="K3202" s="137"/>
      <c r="L3202" s="137"/>
    </row>
    <row r="3203" spans="2:12">
      <c r="B3203" s="133"/>
      <c r="C3203" s="14"/>
      <c r="D3203" s="14"/>
      <c r="E3203" s="134"/>
      <c r="F3203" s="14"/>
      <c r="G3203" s="69"/>
      <c r="H3203" s="69"/>
      <c r="I3203" s="135"/>
      <c r="J3203" s="136"/>
      <c r="K3203" s="137"/>
      <c r="L3203" s="137"/>
    </row>
    <row r="3204" spans="2:12">
      <c r="B3204" s="133"/>
      <c r="C3204" s="14"/>
      <c r="D3204" s="14"/>
      <c r="E3204" s="134"/>
      <c r="F3204" s="14"/>
      <c r="G3204" s="69"/>
      <c r="H3204" s="69"/>
      <c r="I3204" s="135"/>
      <c r="J3204" s="136"/>
      <c r="K3204" s="137"/>
      <c r="L3204" s="137"/>
    </row>
    <row r="3205" spans="2:12">
      <c r="B3205" s="133"/>
      <c r="C3205" s="14"/>
      <c r="D3205" s="14"/>
      <c r="E3205" s="134"/>
      <c r="F3205" s="14"/>
      <c r="G3205" s="69"/>
      <c r="H3205" s="69"/>
      <c r="I3205" s="135"/>
      <c r="J3205" s="136"/>
      <c r="K3205" s="137"/>
      <c r="L3205" s="137"/>
    </row>
    <row r="3206" spans="2:12">
      <c r="B3206" s="133"/>
      <c r="C3206" s="14"/>
      <c r="D3206" s="14"/>
      <c r="E3206" s="134"/>
      <c r="F3206" s="14"/>
      <c r="G3206" s="69"/>
      <c r="H3206" s="69"/>
      <c r="I3206" s="135"/>
      <c r="J3206" s="136"/>
      <c r="K3206" s="137"/>
      <c r="L3206" s="137"/>
    </row>
    <row r="3207" spans="2:12">
      <c r="B3207" s="133"/>
      <c r="C3207" s="14"/>
      <c r="D3207" s="14"/>
      <c r="E3207" s="134"/>
      <c r="F3207" s="14"/>
      <c r="G3207" s="69"/>
      <c r="H3207" s="69"/>
      <c r="I3207" s="135"/>
      <c r="J3207" s="136"/>
      <c r="K3207" s="137"/>
      <c r="L3207" s="137"/>
    </row>
    <row r="3208" spans="2:12">
      <c r="B3208" s="133"/>
      <c r="C3208" s="14"/>
      <c r="D3208" s="14"/>
      <c r="E3208" s="134"/>
      <c r="F3208" s="14"/>
      <c r="G3208" s="69"/>
      <c r="H3208" s="69"/>
      <c r="I3208" s="135"/>
      <c r="J3208" s="136"/>
      <c r="K3208" s="137"/>
      <c r="L3208" s="137"/>
    </row>
    <row r="3209" spans="2:12">
      <c r="B3209" s="133"/>
      <c r="C3209" s="14"/>
      <c r="D3209" s="14"/>
      <c r="E3209" s="134"/>
      <c r="F3209" s="14"/>
      <c r="G3209" s="69"/>
      <c r="H3209" s="69"/>
      <c r="I3209" s="135"/>
      <c r="J3209" s="136"/>
      <c r="K3209" s="137"/>
      <c r="L3209" s="137"/>
    </row>
    <row r="3210" spans="2:12">
      <c r="B3210" s="133"/>
      <c r="C3210" s="14"/>
      <c r="D3210" s="14"/>
      <c r="E3210" s="134"/>
      <c r="F3210" s="14"/>
      <c r="G3210" s="69"/>
      <c r="H3210" s="69"/>
      <c r="I3210" s="135"/>
      <c r="J3210" s="136"/>
      <c r="K3210" s="137"/>
      <c r="L3210" s="137"/>
    </row>
    <row r="3211" spans="2:12">
      <c r="B3211" s="133"/>
      <c r="C3211" s="14"/>
      <c r="D3211" s="14"/>
      <c r="E3211" s="134"/>
      <c r="F3211" s="14"/>
      <c r="G3211" s="69"/>
      <c r="H3211" s="69"/>
      <c r="I3211" s="135"/>
      <c r="J3211" s="136"/>
      <c r="K3211" s="137"/>
      <c r="L3211" s="137"/>
    </row>
    <row r="3212" spans="2:12">
      <c r="B3212" s="133"/>
      <c r="C3212" s="14"/>
      <c r="D3212" s="14"/>
      <c r="E3212" s="134"/>
      <c r="F3212" s="14"/>
      <c r="G3212" s="69"/>
      <c r="H3212" s="69"/>
      <c r="I3212" s="135"/>
      <c r="J3212" s="136"/>
      <c r="K3212" s="137"/>
      <c r="L3212" s="137"/>
    </row>
    <row r="3213" spans="2:12">
      <c r="B3213" s="133"/>
      <c r="C3213" s="14"/>
      <c r="D3213" s="14"/>
      <c r="E3213" s="134"/>
      <c r="F3213" s="14"/>
      <c r="G3213" s="69"/>
      <c r="H3213" s="69"/>
      <c r="I3213" s="135"/>
      <c r="J3213" s="136"/>
      <c r="K3213" s="137"/>
      <c r="L3213" s="137"/>
    </row>
    <row r="3214" spans="2:12">
      <c r="B3214" s="133"/>
      <c r="C3214" s="14"/>
      <c r="D3214" s="14"/>
      <c r="E3214" s="134"/>
      <c r="F3214" s="14"/>
      <c r="G3214" s="69"/>
      <c r="H3214" s="69"/>
      <c r="I3214" s="135"/>
      <c r="J3214" s="136"/>
      <c r="K3214" s="137"/>
      <c r="L3214" s="137"/>
    </row>
    <row r="3215" spans="2:12">
      <c r="B3215" s="133"/>
      <c r="C3215" s="14"/>
      <c r="D3215" s="14"/>
      <c r="E3215" s="134"/>
      <c r="F3215" s="14"/>
      <c r="G3215" s="69"/>
      <c r="H3215" s="69"/>
      <c r="I3215" s="135"/>
      <c r="J3215" s="136"/>
      <c r="K3215" s="137"/>
      <c r="L3215" s="137"/>
    </row>
    <row r="3216" spans="2:12">
      <c r="B3216" s="133"/>
      <c r="C3216" s="14"/>
      <c r="D3216" s="14"/>
      <c r="E3216" s="134"/>
      <c r="F3216" s="14"/>
      <c r="G3216" s="69"/>
      <c r="H3216" s="69"/>
      <c r="I3216" s="135"/>
      <c r="J3216" s="136"/>
      <c r="K3216" s="137"/>
      <c r="L3216" s="137"/>
    </row>
    <row r="3217" spans="2:12">
      <c r="B3217" s="133"/>
      <c r="C3217" s="14"/>
      <c r="D3217" s="14"/>
      <c r="E3217" s="134"/>
      <c r="F3217" s="14"/>
      <c r="G3217" s="69"/>
      <c r="H3217" s="69"/>
      <c r="I3217" s="135"/>
      <c r="J3217" s="136"/>
      <c r="K3217" s="137"/>
      <c r="L3217" s="137"/>
    </row>
    <row r="3218" spans="2:12">
      <c r="B3218" s="133"/>
      <c r="C3218" s="14"/>
      <c r="D3218" s="14"/>
      <c r="E3218" s="134"/>
      <c r="F3218" s="14"/>
      <c r="G3218" s="69"/>
      <c r="H3218" s="69"/>
      <c r="I3218" s="135"/>
      <c r="J3218" s="136"/>
      <c r="K3218" s="137"/>
      <c r="L3218" s="137"/>
    </row>
    <row r="3219" spans="2:12">
      <c r="B3219" s="133"/>
      <c r="C3219" s="14"/>
      <c r="D3219" s="14"/>
      <c r="E3219" s="134"/>
      <c r="F3219" s="14"/>
      <c r="G3219" s="69"/>
      <c r="H3219" s="69"/>
      <c r="I3219" s="135"/>
      <c r="J3219" s="136"/>
      <c r="K3219" s="137"/>
      <c r="L3219" s="137"/>
    </row>
    <row r="3220" spans="2:12">
      <c r="B3220" s="133"/>
      <c r="C3220" s="14"/>
      <c r="D3220" s="14"/>
      <c r="E3220" s="134"/>
      <c r="F3220" s="14"/>
      <c r="G3220" s="69"/>
      <c r="H3220" s="69"/>
      <c r="I3220" s="135"/>
      <c r="J3220" s="136"/>
      <c r="K3220" s="137"/>
      <c r="L3220" s="137"/>
    </row>
    <row r="3221" spans="2:12">
      <c r="B3221" s="133"/>
      <c r="C3221" s="14"/>
      <c r="D3221" s="14"/>
      <c r="E3221" s="134"/>
      <c r="F3221" s="14"/>
      <c r="G3221" s="69"/>
      <c r="H3221" s="69"/>
      <c r="I3221" s="135"/>
      <c r="J3221" s="136"/>
      <c r="K3221" s="137"/>
      <c r="L3221" s="137"/>
    </row>
    <row r="3222" spans="2:12">
      <c r="B3222" s="133"/>
      <c r="C3222" s="14"/>
      <c r="D3222" s="14"/>
      <c r="E3222" s="134"/>
      <c r="F3222" s="14"/>
      <c r="G3222" s="69"/>
      <c r="H3222" s="69"/>
      <c r="I3222" s="135"/>
      <c r="J3222" s="136"/>
      <c r="K3222" s="137"/>
      <c r="L3222" s="137"/>
    </row>
    <row r="3223" spans="2:12">
      <c r="B3223" s="133"/>
      <c r="C3223" s="14"/>
      <c r="D3223" s="14"/>
      <c r="E3223" s="134"/>
      <c r="F3223" s="14"/>
      <c r="G3223" s="69"/>
      <c r="H3223" s="69"/>
      <c r="I3223" s="135"/>
      <c r="J3223" s="136"/>
      <c r="K3223" s="137"/>
      <c r="L3223" s="137"/>
    </row>
    <row r="3224" spans="2:12">
      <c r="B3224" s="133"/>
      <c r="C3224" s="14"/>
      <c r="D3224" s="14"/>
      <c r="E3224" s="134"/>
      <c r="F3224" s="14"/>
      <c r="G3224" s="69"/>
      <c r="H3224" s="69"/>
      <c r="I3224" s="135"/>
      <c r="J3224" s="136"/>
      <c r="K3224" s="137"/>
      <c r="L3224" s="137"/>
    </row>
    <row r="3225" spans="2:12">
      <c r="B3225" s="133"/>
      <c r="C3225" s="14"/>
      <c r="D3225" s="14"/>
      <c r="E3225" s="134"/>
      <c r="F3225" s="14"/>
      <c r="G3225" s="69"/>
      <c r="H3225" s="69"/>
      <c r="I3225" s="135"/>
      <c r="J3225" s="136"/>
      <c r="K3225" s="137"/>
      <c r="L3225" s="137"/>
    </row>
    <row r="3226" spans="2:12">
      <c r="B3226" s="133"/>
      <c r="C3226" s="14"/>
      <c r="D3226" s="14"/>
      <c r="E3226" s="134"/>
      <c r="F3226" s="14"/>
      <c r="G3226" s="69"/>
      <c r="H3226" s="69"/>
      <c r="I3226" s="135"/>
      <c r="J3226" s="136"/>
      <c r="K3226" s="137"/>
      <c r="L3226" s="137"/>
    </row>
    <row r="3227" spans="2:12">
      <c r="B3227" s="133"/>
      <c r="C3227" s="14"/>
      <c r="D3227" s="14"/>
      <c r="E3227" s="134"/>
      <c r="F3227" s="14"/>
      <c r="G3227" s="69"/>
      <c r="H3227" s="69"/>
      <c r="I3227" s="135"/>
      <c r="J3227" s="136"/>
      <c r="K3227" s="137"/>
      <c r="L3227" s="137"/>
    </row>
    <row r="3228" spans="2:12">
      <c r="B3228" s="133"/>
      <c r="C3228" s="14"/>
      <c r="D3228" s="14"/>
      <c r="E3228" s="134"/>
      <c r="F3228" s="14"/>
      <c r="G3228" s="69"/>
      <c r="H3228" s="69"/>
      <c r="I3228" s="135"/>
      <c r="J3228" s="136"/>
      <c r="K3228" s="137"/>
      <c r="L3228" s="137"/>
    </row>
    <row r="3229" spans="2:12">
      <c r="B3229" s="133"/>
      <c r="C3229" s="14"/>
      <c r="D3229" s="14"/>
      <c r="E3229" s="134"/>
      <c r="F3229" s="14"/>
      <c r="G3229" s="69"/>
      <c r="H3229" s="69"/>
      <c r="I3229" s="135"/>
      <c r="J3229" s="136"/>
      <c r="K3229" s="137"/>
      <c r="L3229" s="137"/>
    </row>
    <row r="3230" spans="2:12">
      <c r="B3230" s="133"/>
      <c r="C3230" s="14"/>
      <c r="D3230" s="14"/>
      <c r="E3230" s="134"/>
      <c r="F3230" s="14"/>
      <c r="G3230" s="69"/>
      <c r="H3230" s="69"/>
      <c r="I3230" s="135"/>
      <c r="J3230" s="136"/>
      <c r="K3230" s="137"/>
      <c r="L3230" s="137"/>
    </row>
    <row r="3231" spans="2:12">
      <c r="B3231" s="133"/>
      <c r="C3231" s="14"/>
      <c r="D3231" s="14"/>
      <c r="E3231" s="134"/>
      <c r="F3231" s="14"/>
      <c r="G3231" s="69"/>
      <c r="H3231" s="69"/>
      <c r="I3231" s="135"/>
      <c r="J3231" s="136"/>
      <c r="K3231" s="137"/>
      <c r="L3231" s="137"/>
    </row>
    <row r="3232" spans="2:12">
      <c r="B3232" s="133"/>
      <c r="C3232" s="14"/>
      <c r="D3232" s="14"/>
      <c r="E3232" s="134"/>
      <c r="F3232" s="14"/>
      <c r="G3232" s="69"/>
      <c r="H3232" s="69"/>
      <c r="I3232" s="135"/>
      <c r="J3232" s="136"/>
      <c r="K3232" s="137"/>
      <c r="L3232" s="137"/>
    </row>
    <row r="3233" spans="2:12">
      <c r="B3233" s="133"/>
      <c r="C3233" s="14"/>
      <c r="D3233" s="14"/>
      <c r="E3233" s="134"/>
      <c r="F3233" s="14"/>
      <c r="G3233" s="69"/>
      <c r="H3233" s="69"/>
      <c r="I3233" s="135"/>
      <c r="J3233" s="136"/>
      <c r="K3233" s="137"/>
      <c r="L3233" s="137"/>
    </row>
    <row r="3234" spans="2:12">
      <c r="B3234" s="133"/>
      <c r="C3234" s="14"/>
      <c r="D3234" s="14"/>
      <c r="E3234" s="134"/>
      <c r="F3234" s="14"/>
      <c r="G3234" s="69"/>
      <c r="H3234" s="69"/>
      <c r="I3234" s="135"/>
      <c r="J3234" s="136"/>
      <c r="K3234" s="137"/>
      <c r="L3234" s="137"/>
    </row>
    <row r="3235" spans="2:12">
      <c r="B3235" s="133"/>
      <c r="C3235" s="14"/>
      <c r="D3235" s="14"/>
      <c r="E3235" s="134"/>
      <c r="F3235" s="14"/>
      <c r="G3235" s="69"/>
      <c r="H3235" s="69"/>
      <c r="I3235" s="135"/>
      <c r="J3235" s="136"/>
      <c r="K3235" s="137"/>
      <c r="L3235" s="137"/>
    </row>
    <row r="3236" spans="2:12">
      <c r="B3236" s="133"/>
      <c r="C3236" s="14"/>
      <c r="D3236" s="14"/>
      <c r="E3236" s="134"/>
      <c r="F3236" s="14"/>
      <c r="G3236" s="69"/>
      <c r="H3236" s="69"/>
      <c r="I3236" s="135"/>
      <c r="J3236" s="136"/>
      <c r="K3236" s="137"/>
      <c r="L3236" s="137"/>
    </row>
    <row r="3237" spans="2:12">
      <c r="B3237" s="133"/>
      <c r="C3237" s="14"/>
      <c r="D3237" s="14"/>
      <c r="E3237" s="134"/>
      <c r="F3237" s="14"/>
      <c r="G3237" s="69"/>
      <c r="H3237" s="69"/>
      <c r="I3237" s="135"/>
      <c r="J3237" s="136"/>
      <c r="K3237" s="137"/>
      <c r="L3237" s="137"/>
    </row>
    <row r="3238" spans="2:12">
      <c r="B3238" s="133"/>
      <c r="C3238" s="14"/>
      <c r="D3238" s="14"/>
      <c r="E3238" s="134"/>
      <c r="F3238" s="14"/>
      <c r="G3238" s="69"/>
      <c r="H3238" s="69"/>
      <c r="I3238" s="135"/>
      <c r="J3238" s="136"/>
      <c r="K3238" s="137"/>
      <c r="L3238" s="137"/>
    </row>
    <row r="3239" spans="2:12">
      <c r="B3239" s="133"/>
      <c r="C3239" s="14"/>
      <c r="D3239" s="14"/>
      <c r="E3239" s="134"/>
      <c r="F3239" s="14"/>
      <c r="G3239" s="69"/>
      <c r="H3239" s="69"/>
      <c r="I3239" s="135"/>
      <c r="J3239" s="136"/>
      <c r="K3239" s="137"/>
      <c r="L3239" s="137"/>
    </row>
    <row r="3240" spans="2:12">
      <c r="B3240" s="133"/>
      <c r="C3240" s="14"/>
      <c r="D3240" s="14"/>
      <c r="E3240" s="134"/>
      <c r="F3240" s="14"/>
      <c r="G3240" s="69"/>
      <c r="H3240" s="69"/>
      <c r="I3240" s="135"/>
      <c r="J3240" s="136"/>
      <c r="K3240" s="137"/>
      <c r="L3240" s="137"/>
    </row>
    <row r="3241" spans="2:12">
      <c r="B3241" s="133"/>
      <c r="C3241" s="14"/>
      <c r="D3241" s="14"/>
      <c r="E3241" s="134"/>
      <c r="F3241" s="14"/>
      <c r="G3241" s="69"/>
      <c r="H3241" s="69"/>
      <c r="I3241" s="135"/>
      <c r="J3241" s="136"/>
      <c r="K3241" s="137"/>
      <c r="L3241" s="137"/>
    </row>
    <row r="3242" spans="2:12">
      <c r="B3242" s="133"/>
      <c r="C3242" s="14"/>
      <c r="D3242" s="14"/>
      <c r="E3242" s="134"/>
      <c r="F3242" s="14"/>
      <c r="G3242" s="69"/>
      <c r="H3242" s="69"/>
      <c r="I3242" s="135"/>
      <c r="J3242" s="136"/>
      <c r="K3242" s="137"/>
      <c r="L3242" s="137"/>
    </row>
    <row r="3243" spans="2:12">
      <c r="B3243" s="133"/>
      <c r="C3243" s="14"/>
      <c r="D3243" s="14"/>
      <c r="E3243" s="134"/>
      <c r="F3243" s="14"/>
      <c r="G3243" s="69"/>
      <c r="H3243" s="69"/>
      <c r="I3243" s="135"/>
      <c r="J3243" s="136"/>
      <c r="K3243" s="137"/>
      <c r="L3243" s="137"/>
    </row>
    <row r="3244" spans="2:12">
      <c r="B3244" s="133"/>
      <c r="C3244" s="14"/>
      <c r="D3244" s="14"/>
      <c r="E3244" s="134"/>
      <c r="F3244" s="14"/>
      <c r="G3244" s="69"/>
      <c r="H3244" s="69"/>
      <c r="I3244" s="135"/>
      <c r="J3244" s="136"/>
      <c r="K3244" s="137"/>
      <c r="L3244" s="137"/>
    </row>
    <row r="3245" spans="2:12">
      <c r="B3245" s="133"/>
      <c r="C3245" s="14"/>
      <c r="D3245" s="14"/>
      <c r="E3245" s="134"/>
      <c r="F3245" s="14"/>
      <c r="G3245" s="69"/>
      <c r="H3245" s="69"/>
      <c r="I3245" s="135"/>
      <c r="J3245" s="136"/>
      <c r="K3245" s="137"/>
      <c r="L3245" s="137"/>
    </row>
    <row r="3246" spans="2:12">
      <c r="B3246" s="133"/>
      <c r="C3246" s="14"/>
      <c r="D3246" s="14"/>
      <c r="E3246" s="134"/>
      <c r="F3246" s="14"/>
      <c r="G3246" s="69"/>
      <c r="H3246" s="69"/>
      <c r="I3246" s="135"/>
      <c r="J3246" s="136"/>
      <c r="K3246" s="137"/>
      <c r="L3246" s="137"/>
    </row>
    <row r="3247" spans="2:12">
      <c r="B3247" s="133"/>
      <c r="C3247" s="14"/>
      <c r="D3247" s="14"/>
      <c r="E3247" s="134"/>
      <c r="F3247" s="14"/>
      <c r="G3247" s="69"/>
      <c r="H3247" s="69"/>
      <c r="I3247" s="135"/>
      <c r="J3247" s="136"/>
      <c r="K3247" s="137"/>
      <c r="L3247" s="137"/>
    </row>
    <row r="3248" spans="2:12">
      <c r="B3248" s="133"/>
      <c r="C3248" s="14"/>
      <c r="D3248" s="14"/>
      <c r="E3248" s="134"/>
      <c r="F3248" s="14"/>
      <c r="G3248" s="69"/>
      <c r="H3248" s="69"/>
      <c r="I3248" s="135"/>
      <c r="J3248" s="136"/>
      <c r="K3248" s="137"/>
      <c r="L3248" s="137"/>
    </row>
    <row r="3249" spans="2:12">
      <c r="B3249" s="133"/>
      <c r="C3249" s="14"/>
      <c r="D3249" s="14"/>
      <c r="E3249" s="134"/>
      <c r="F3249" s="14"/>
      <c r="G3249" s="69"/>
      <c r="H3249" s="69"/>
      <c r="I3249" s="135"/>
      <c r="J3249" s="136"/>
      <c r="K3249" s="137"/>
      <c r="L3249" s="137"/>
    </row>
    <row r="3250" spans="2:12">
      <c r="B3250" s="133"/>
      <c r="C3250" s="14"/>
      <c r="D3250" s="14"/>
      <c r="E3250" s="134"/>
      <c r="F3250" s="14"/>
      <c r="G3250" s="69"/>
      <c r="H3250" s="69"/>
      <c r="I3250" s="135"/>
      <c r="J3250" s="136"/>
      <c r="K3250" s="137"/>
      <c r="L3250" s="137"/>
    </row>
    <row r="3251" spans="2:12">
      <c r="B3251" s="133"/>
      <c r="C3251" s="14"/>
      <c r="D3251" s="14"/>
      <c r="E3251" s="134"/>
      <c r="F3251" s="14"/>
      <c r="G3251" s="69"/>
      <c r="H3251" s="69"/>
      <c r="I3251" s="135"/>
      <c r="J3251" s="136"/>
      <c r="K3251" s="137"/>
      <c r="L3251" s="137"/>
    </row>
    <row r="3252" spans="2:12">
      <c r="B3252" s="133"/>
      <c r="C3252" s="14"/>
      <c r="D3252" s="14"/>
      <c r="E3252" s="134"/>
      <c r="F3252" s="14"/>
      <c r="G3252" s="69"/>
      <c r="H3252" s="69"/>
      <c r="I3252" s="135"/>
      <c r="J3252" s="136"/>
      <c r="K3252" s="137"/>
      <c r="L3252" s="137"/>
    </row>
    <row r="3253" spans="2:12">
      <c r="B3253" s="133"/>
      <c r="C3253" s="14"/>
      <c r="D3253" s="14"/>
      <c r="E3253" s="134"/>
      <c r="F3253" s="14"/>
      <c r="G3253" s="69"/>
      <c r="H3253" s="69"/>
      <c r="I3253" s="135"/>
      <c r="J3253" s="136"/>
      <c r="K3253" s="137"/>
      <c r="L3253" s="137"/>
    </row>
    <row r="3254" spans="2:12">
      <c r="B3254" s="133"/>
      <c r="C3254" s="14"/>
      <c r="D3254" s="14"/>
      <c r="E3254" s="134"/>
      <c r="F3254" s="14"/>
      <c r="G3254" s="69"/>
      <c r="H3254" s="69"/>
      <c r="I3254" s="135"/>
      <c r="J3254" s="136"/>
      <c r="K3254" s="137"/>
      <c r="L3254" s="137"/>
    </row>
    <row r="3255" spans="2:12">
      <c r="B3255" s="133"/>
      <c r="C3255" s="14"/>
      <c r="D3255" s="14"/>
      <c r="E3255" s="134"/>
      <c r="F3255" s="14"/>
      <c r="G3255" s="69"/>
      <c r="H3255" s="69"/>
      <c r="I3255" s="135"/>
      <c r="J3255" s="136"/>
      <c r="K3255" s="137"/>
      <c r="L3255" s="137"/>
    </row>
    <row r="3256" spans="2:12">
      <c r="B3256" s="133"/>
      <c r="C3256" s="14"/>
      <c r="D3256" s="14"/>
      <c r="E3256" s="134"/>
      <c r="F3256" s="14"/>
      <c r="G3256" s="69"/>
      <c r="H3256" s="69"/>
      <c r="I3256" s="135"/>
      <c r="J3256" s="136"/>
      <c r="K3256" s="137"/>
      <c r="L3256" s="137"/>
    </row>
    <row r="3257" spans="2:12">
      <c r="B3257" s="133"/>
      <c r="C3257" s="14"/>
      <c r="D3257" s="14"/>
      <c r="E3257" s="134"/>
      <c r="F3257" s="14"/>
      <c r="G3257" s="69"/>
      <c r="H3257" s="69"/>
      <c r="I3257" s="135"/>
      <c r="J3257" s="136"/>
      <c r="K3257" s="137"/>
      <c r="L3257" s="137"/>
    </row>
    <row r="3258" spans="2:12">
      <c r="B3258" s="133"/>
      <c r="C3258" s="14"/>
      <c r="D3258" s="14"/>
      <c r="E3258" s="134"/>
      <c r="F3258" s="14"/>
      <c r="G3258" s="69"/>
      <c r="H3258" s="69"/>
      <c r="I3258" s="135"/>
      <c r="J3258" s="136"/>
      <c r="K3258" s="137"/>
      <c r="L3258" s="137"/>
    </row>
    <row r="3259" spans="2:12">
      <c r="B3259" s="133"/>
      <c r="C3259" s="14"/>
      <c r="D3259" s="14"/>
      <c r="E3259" s="134"/>
      <c r="F3259" s="14"/>
      <c r="G3259" s="69"/>
      <c r="H3259" s="69"/>
      <c r="I3259" s="135"/>
      <c r="J3259" s="136"/>
      <c r="K3259" s="137"/>
      <c r="L3259" s="137"/>
    </row>
    <row r="3260" spans="2:12">
      <c r="B3260" s="133"/>
      <c r="C3260" s="14"/>
      <c r="D3260" s="14"/>
      <c r="E3260" s="134"/>
      <c r="F3260" s="14"/>
      <c r="G3260" s="69"/>
      <c r="H3260" s="69"/>
      <c r="I3260" s="135"/>
      <c r="J3260" s="136"/>
      <c r="K3260" s="137"/>
      <c r="L3260" s="137"/>
    </row>
    <row r="3261" spans="2:12">
      <c r="B3261" s="133"/>
      <c r="C3261" s="14"/>
      <c r="D3261" s="14"/>
      <c r="E3261" s="134"/>
      <c r="F3261" s="14"/>
      <c r="G3261" s="69"/>
      <c r="H3261" s="69"/>
      <c r="I3261" s="135"/>
      <c r="J3261" s="136"/>
      <c r="K3261" s="137"/>
      <c r="L3261" s="137"/>
    </row>
    <row r="3262" spans="2:12">
      <c r="B3262" s="133"/>
      <c r="C3262" s="14"/>
      <c r="D3262" s="14"/>
      <c r="E3262" s="134"/>
      <c r="F3262" s="14"/>
      <c r="G3262" s="69"/>
      <c r="H3262" s="69"/>
      <c r="I3262" s="135"/>
      <c r="J3262" s="136"/>
      <c r="K3262" s="137"/>
      <c r="L3262" s="137"/>
    </row>
    <row r="3263" spans="2:12">
      <c r="B3263" s="133"/>
      <c r="C3263" s="14"/>
      <c r="D3263" s="14"/>
      <c r="E3263" s="134"/>
      <c r="F3263" s="14"/>
      <c r="G3263" s="69"/>
      <c r="H3263" s="69"/>
      <c r="I3263" s="135"/>
      <c r="J3263" s="136"/>
      <c r="K3263" s="137"/>
      <c r="L3263" s="137"/>
    </row>
    <row r="3264" spans="2:12">
      <c r="B3264" s="133"/>
      <c r="C3264" s="14"/>
      <c r="D3264" s="14"/>
      <c r="E3264" s="134"/>
      <c r="F3264" s="14"/>
      <c r="G3264" s="69"/>
      <c r="H3264" s="69"/>
      <c r="I3264" s="135"/>
      <c r="J3264" s="136"/>
      <c r="K3264" s="137"/>
      <c r="L3264" s="137"/>
    </row>
    <row r="3265" spans="2:12">
      <c r="B3265" s="133"/>
      <c r="C3265" s="14"/>
      <c r="D3265" s="14"/>
      <c r="E3265" s="134"/>
      <c r="F3265" s="14"/>
      <c r="G3265" s="69"/>
      <c r="H3265" s="69"/>
      <c r="I3265" s="135"/>
      <c r="J3265" s="136"/>
      <c r="K3265" s="137"/>
      <c r="L3265" s="137"/>
    </row>
    <row r="3266" spans="2:12">
      <c r="B3266" s="133"/>
      <c r="C3266" s="14"/>
      <c r="D3266" s="14"/>
      <c r="E3266" s="134"/>
      <c r="F3266" s="14"/>
      <c r="G3266" s="69"/>
      <c r="H3266" s="69"/>
      <c r="I3266" s="135"/>
      <c r="J3266" s="136"/>
      <c r="K3266" s="137"/>
      <c r="L3266" s="137"/>
    </row>
    <row r="3267" spans="2:12">
      <c r="B3267" s="133"/>
      <c r="C3267" s="14"/>
      <c r="D3267" s="14"/>
      <c r="E3267" s="134"/>
      <c r="F3267" s="14"/>
      <c r="G3267" s="69"/>
      <c r="H3267" s="69"/>
      <c r="I3267" s="135"/>
      <c r="J3267" s="136"/>
      <c r="K3267" s="137"/>
      <c r="L3267" s="137"/>
    </row>
    <row r="3268" spans="2:12">
      <c r="B3268" s="133"/>
      <c r="C3268" s="14"/>
      <c r="D3268" s="14"/>
      <c r="E3268" s="134"/>
      <c r="F3268" s="14"/>
      <c r="G3268" s="69"/>
      <c r="H3268" s="69"/>
      <c r="I3268" s="135"/>
      <c r="J3268" s="136"/>
      <c r="K3268" s="137"/>
      <c r="L3268" s="137"/>
    </row>
    <row r="3269" spans="2:12">
      <c r="B3269" s="133"/>
      <c r="C3269" s="14"/>
      <c r="D3269" s="14"/>
      <c r="E3269" s="134"/>
      <c r="F3269" s="14"/>
      <c r="G3269" s="69"/>
      <c r="H3269" s="69"/>
      <c r="I3269" s="135"/>
      <c r="J3269" s="136"/>
      <c r="K3269" s="137"/>
      <c r="L3269" s="137"/>
    </row>
    <row r="3270" spans="2:12">
      <c r="B3270" s="133"/>
      <c r="C3270" s="14"/>
      <c r="D3270" s="14"/>
      <c r="E3270" s="134"/>
      <c r="F3270" s="14"/>
      <c r="G3270" s="69"/>
      <c r="H3270" s="69"/>
      <c r="I3270" s="135"/>
      <c r="J3270" s="136"/>
      <c r="K3270" s="137"/>
      <c r="L3270" s="137"/>
    </row>
    <row r="3271" spans="2:12">
      <c r="B3271" s="133"/>
      <c r="C3271" s="14"/>
      <c r="D3271" s="14"/>
      <c r="E3271" s="134"/>
      <c r="F3271" s="14"/>
      <c r="G3271" s="69"/>
      <c r="H3271" s="69"/>
      <c r="I3271" s="135"/>
      <c r="J3271" s="136"/>
      <c r="K3271" s="137"/>
      <c r="L3271" s="137"/>
    </row>
    <row r="3272" spans="2:12">
      <c r="B3272" s="133"/>
      <c r="C3272" s="14"/>
      <c r="D3272" s="14"/>
      <c r="E3272" s="134"/>
      <c r="F3272" s="14"/>
      <c r="G3272" s="69"/>
      <c r="H3272" s="69"/>
      <c r="I3272" s="135"/>
      <c r="J3272" s="136"/>
      <c r="K3272" s="137"/>
      <c r="L3272" s="137"/>
    </row>
    <row r="3273" spans="2:12">
      <c r="B3273" s="133"/>
      <c r="C3273" s="14"/>
      <c r="D3273" s="14"/>
      <c r="E3273" s="134"/>
      <c r="F3273" s="14"/>
      <c r="G3273" s="69"/>
      <c r="H3273" s="69"/>
      <c r="I3273" s="135"/>
      <c r="J3273" s="136"/>
      <c r="K3273" s="137"/>
      <c r="L3273" s="137"/>
    </row>
    <row r="3274" spans="2:12">
      <c r="B3274" s="133"/>
      <c r="C3274" s="14"/>
      <c r="D3274" s="14"/>
      <c r="E3274" s="134"/>
      <c r="F3274" s="14"/>
      <c r="G3274" s="69"/>
      <c r="H3274" s="69"/>
      <c r="I3274" s="135"/>
      <c r="J3274" s="136"/>
      <c r="K3274" s="137"/>
      <c r="L3274" s="137"/>
    </row>
    <row r="3275" spans="2:12">
      <c r="B3275" s="133"/>
      <c r="C3275" s="14"/>
      <c r="D3275" s="14"/>
      <c r="E3275" s="134"/>
      <c r="F3275" s="14"/>
      <c r="G3275" s="69"/>
      <c r="H3275" s="69"/>
      <c r="I3275" s="135"/>
      <c r="J3275" s="136"/>
      <c r="K3275" s="137"/>
      <c r="L3275" s="137"/>
    </row>
    <row r="3276" spans="2:12">
      <c r="B3276" s="133"/>
      <c r="C3276" s="14"/>
      <c r="D3276" s="14"/>
      <c r="E3276" s="134"/>
      <c r="F3276" s="14"/>
      <c r="G3276" s="69"/>
      <c r="H3276" s="69"/>
      <c r="I3276" s="135"/>
      <c r="J3276" s="136"/>
      <c r="K3276" s="137"/>
      <c r="L3276" s="137"/>
    </row>
    <row r="3277" spans="2:12">
      <c r="B3277" s="133"/>
      <c r="C3277" s="14"/>
      <c r="D3277" s="14"/>
      <c r="E3277" s="134"/>
      <c r="F3277" s="14"/>
      <c r="G3277" s="69"/>
      <c r="H3277" s="69"/>
      <c r="I3277" s="135"/>
      <c r="J3277" s="136"/>
      <c r="K3277" s="137"/>
      <c r="L3277" s="137"/>
    </row>
    <row r="3278" spans="2:12">
      <c r="B3278" s="133"/>
      <c r="C3278" s="14"/>
      <c r="D3278" s="14"/>
      <c r="E3278" s="134"/>
      <c r="F3278" s="14"/>
      <c r="G3278" s="69"/>
      <c r="H3278" s="69"/>
      <c r="I3278" s="135"/>
      <c r="J3278" s="136"/>
      <c r="K3278" s="137"/>
      <c r="L3278" s="137"/>
    </row>
    <row r="3279" spans="2:12">
      <c r="B3279" s="133"/>
      <c r="C3279" s="14"/>
      <c r="D3279" s="14"/>
      <c r="E3279" s="134"/>
      <c r="F3279" s="14"/>
      <c r="G3279" s="69"/>
      <c r="H3279" s="69"/>
      <c r="I3279" s="135"/>
      <c r="J3279" s="136"/>
      <c r="K3279" s="137"/>
      <c r="L3279" s="137"/>
    </row>
    <row r="3280" spans="2:12">
      <c r="B3280" s="133"/>
      <c r="C3280" s="14"/>
      <c r="D3280" s="14"/>
      <c r="E3280" s="134"/>
      <c r="F3280" s="14"/>
      <c r="G3280" s="69"/>
      <c r="H3280" s="69"/>
      <c r="I3280" s="135"/>
      <c r="J3280" s="136"/>
      <c r="K3280" s="137"/>
      <c r="L3280" s="137"/>
    </row>
    <row r="3281" spans="2:12">
      <c r="B3281" s="133"/>
      <c r="C3281" s="14"/>
      <c r="D3281" s="14"/>
      <c r="E3281" s="134"/>
      <c r="F3281" s="14"/>
      <c r="G3281" s="69"/>
      <c r="H3281" s="69"/>
      <c r="I3281" s="135"/>
      <c r="J3281" s="136"/>
      <c r="K3281" s="137"/>
      <c r="L3281" s="137"/>
    </row>
    <row r="3282" spans="2:12">
      <c r="B3282" s="133"/>
      <c r="C3282" s="14"/>
      <c r="D3282" s="14"/>
      <c r="E3282" s="134"/>
      <c r="F3282" s="14"/>
      <c r="G3282" s="69"/>
      <c r="H3282" s="69"/>
      <c r="I3282" s="135"/>
      <c r="J3282" s="136"/>
      <c r="K3282" s="137"/>
      <c r="L3282" s="137"/>
    </row>
    <row r="3283" spans="2:12">
      <c r="B3283" s="133"/>
      <c r="C3283" s="14"/>
      <c r="D3283" s="14"/>
      <c r="E3283" s="134"/>
      <c r="F3283" s="14"/>
      <c r="G3283" s="69"/>
      <c r="H3283" s="69"/>
      <c r="I3283" s="135"/>
      <c r="J3283" s="136"/>
      <c r="K3283" s="137"/>
      <c r="L3283" s="137"/>
    </row>
    <row r="3284" spans="2:12">
      <c r="B3284" s="133"/>
      <c r="C3284" s="14"/>
      <c r="D3284" s="14"/>
      <c r="E3284" s="134"/>
      <c r="F3284" s="14"/>
      <c r="G3284" s="69"/>
      <c r="H3284" s="69"/>
      <c r="I3284" s="135"/>
      <c r="J3284" s="136"/>
      <c r="K3284" s="137"/>
      <c r="L3284" s="137"/>
    </row>
    <row r="3285" spans="2:12">
      <c r="B3285" s="133"/>
      <c r="C3285" s="14"/>
      <c r="D3285" s="14"/>
      <c r="E3285" s="134"/>
      <c r="F3285" s="14"/>
      <c r="G3285" s="69"/>
      <c r="H3285" s="69"/>
      <c r="I3285" s="135"/>
      <c r="J3285" s="136"/>
      <c r="K3285" s="137"/>
      <c r="L3285" s="137"/>
    </row>
    <row r="3286" spans="2:12">
      <c r="B3286" s="133"/>
      <c r="C3286" s="14"/>
      <c r="D3286" s="14"/>
      <c r="E3286" s="134"/>
      <c r="F3286" s="14"/>
      <c r="G3286" s="69"/>
      <c r="H3286" s="69"/>
      <c r="I3286" s="135"/>
      <c r="J3286" s="136"/>
      <c r="K3286" s="137"/>
      <c r="L3286" s="137"/>
    </row>
    <row r="3287" spans="2:12">
      <c r="B3287" s="133"/>
      <c r="C3287" s="14"/>
      <c r="D3287" s="14"/>
      <c r="E3287" s="134"/>
      <c r="F3287" s="14"/>
      <c r="G3287" s="69"/>
      <c r="H3287" s="69"/>
      <c r="I3287" s="135"/>
      <c r="J3287" s="136"/>
      <c r="K3287" s="137"/>
      <c r="L3287" s="137"/>
    </row>
    <row r="3288" spans="2:12">
      <c r="B3288" s="133"/>
      <c r="C3288" s="14"/>
      <c r="D3288" s="14"/>
      <c r="E3288" s="134"/>
      <c r="F3288" s="14"/>
      <c r="G3288" s="69"/>
      <c r="H3288" s="69"/>
      <c r="I3288" s="135"/>
      <c r="J3288" s="136"/>
      <c r="K3288" s="137"/>
      <c r="L3288" s="137"/>
    </row>
    <row r="3289" spans="2:12">
      <c r="B3289" s="133"/>
      <c r="C3289" s="14"/>
      <c r="D3289" s="14"/>
      <c r="E3289" s="134"/>
      <c r="F3289" s="14"/>
      <c r="G3289" s="69"/>
      <c r="H3289" s="69"/>
      <c r="I3289" s="135"/>
      <c r="J3289" s="136"/>
      <c r="K3289" s="137"/>
      <c r="L3289" s="137"/>
    </row>
    <row r="3290" spans="2:12">
      <c r="B3290" s="133"/>
      <c r="C3290" s="14"/>
      <c r="D3290" s="14"/>
      <c r="E3290" s="134"/>
      <c r="F3290" s="14"/>
      <c r="G3290" s="69"/>
      <c r="H3290" s="69"/>
      <c r="I3290" s="135"/>
      <c r="J3290" s="136"/>
      <c r="K3290" s="137"/>
      <c r="L3290" s="137"/>
    </row>
    <row r="3291" spans="2:12">
      <c r="B3291" s="133"/>
      <c r="C3291" s="14"/>
      <c r="D3291" s="14"/>
      <c r="E3291" s="134"/>
      <c r="F3291" s="14"/>
      <c r="G3291" s="69"/>
      <c r="H3291" s="69"/>
      <c r="I3291" s="135"/>
      <c r="J3291" s="136"/>
      <c r="K3291" s="137"/>
      <c r="L3291" s="137"/>
    </row>
    <row r="3292" spans="2:12">
      <c r="B3292" s="133"/>
      <c r="C3292" s="14"/>
      <c r="D3292" s="14"/>
      <c r="E3292" s="134"/>
      <c r="F3292" s="14"/>
      <c r="G3292" s="69"/>
      <c r="H3292" s="69"/>
      <c r="I3292" s="135"/>
      <c r="J3292" s="136"/>
      <c r="K3292" s="137"/>
      <c r="L3292" s="137"/>
    </row>
    <row r="3293" spans="2:12">
      <c r="B3293" s="133"/>
      <c r="C3293" s="14"/>
      <c r="D3293" s="14"/>
      <c r="E3293" s="134"/>
      <c r="F3293" s="14"/>
      <c r="G3293" s="69"/>
      <c r="H3293" s="69"/>
      <c r="I3293" s="135"/>
      <c r="J3293" s="136"/>
      <c r="K3293" s="137"/>
      <c r="L3293" s="137"/>
    </row>
    <row r="3294" spans="2:12">
      <c r="B3294" s="133"/>
      <c r="C3294" s="14"/>
      <c r="D3294" s="14"/>
      <c r="E3294" s="134"/>
      <c r="F3294" s="14"/>
      <c r="G3294" s="69"/>
      <c r="H3294" s="69"/>
      <c r="I3294" s="135"/>
      <c r="J3294" s="136"/>
      <c r="K3294" s="137"/>
      <c r="L3294" s="137"/>
    </row>
    <row r="3295" spans="2:12">
      <c r="B3295" s="133"/>
      <c r="C3295" s="14"/>
      <c r="D3295" s="14"/>
      <c r="E3295" s="134"/>
      <c r="F3295" s="14"/>
      <c r="G3295" s="69"/>
      <c r="H3295" s="69"/>
      <c r="I3295" s="135"/>
      <c r="J3295" s="136"/>
      <c r="K3295" s="137"/>
      <c r="L3295" s="137"/>
    </row>
    <row r="3296" spans="2:12">
      <c r="B3296" s="133"/>
      <c r="C3296" s="14"/>
      <c r="D3296" s="14"/>
      <c r="E3296" s="134"/>
      <c r="F3296" s="14"/>
      <c r="G3296" s="69"/>
      <c r="H3296" s="69"/>
      <c r="I3296" s="135"/>
      <c r="J3296" s="136"/>
      <c r="K3296" s="137"/>
      <c r="L3296" s="137"/>
    </row>
    <row r="3297" spans="2:12">
      <c r="B3297" s="133"/>
      <c r="C3297" s="14"/>
      <c r="D3297" s="14"/>
      <c r="E3297" s="134"/>
      <c r="F3297" s="14"/>
      <c r="G3297" s="69"/>
      <c r="H3297" s="69"/>
      <c r="I3297" s="135"/>
      <c r="J3297" s="136"/>
      <c r="K3297" s="137"/>
      <c r="L3297" s="137"/>
    </row>
    <row r="3298" spans="2:12">
      <c r="B3298" s="133"/>
      <c r="C3298" s="14"/>
      <c r="D3298" s="14"/>
      <c r="E3298" s="134"/>
      <c r="F3298" s="14"/>
      <c r="G3298" s="69"/>
      <c r="H3298" s="69"/>
      <c r="I3298" s="135"/>
      <c r="J3298" s="136"/>
      <c r="K3298" s="137"/>
      <c r="L3298" s="137"/>
    </row>
    <row r="3299" spans="2:12">
      <c r="B3299" s="133"/>
      <c r="C3299" s="14"/>
      <c r="D3299" s="14"/>
      <c r="E3299" s="134"/>
      <c r="F3299" s="14"/>
      <c r="G3299" s="69"/>
      <c r="H3299" s="69"/>
      <c r="I3299" s="135"/>
      <c r="J3299" s="136"/>
      <c r="K3299" s="137"/>
      <c r="L3299" s="137"/>
    </row>
    <row r="3300" spans="2:12">
      <c r="B3300" s="133"/>
      <c r="C3300" s="14"/>
      <c r="D3300" s="14"/>
      <c r="E3300" s="134"/>
      <c r="F3300" s="14"/>
      <c r="G3300" s="69"/>
      <c r="H3300" s="69"/>
      <c r="I3300" s="135"/>
      <c r="J3300" s="136"/>
      <c r="K3300" s="137"/>
      <c r="L3300" s="137"/>
    </row>
    <row r="3301" spans="2:12">
      <c r="B3301" s="133"/>
      <c r="C3301" s="14"/>
      <c r="D3301" s="14"/>
      <c r="E3301" s="134"/>
      <c r="F3301" s="14"/>
      <c r="G3301" s="69"/>
      <c r="H3301" s="69"/>
      <c r="I3301" s="135"/>
      <c r="J3301" s="136"/>
      <c r="K3301" s="137"/>
      <c r="L3301" s="137"/>
    </row>
    <row r="3302" spans="2:12">
      <c r="B3302" s="133"/>
      <c r="C3302" s="14"/>
      <c r="D3302" s="14"/>
      <c r="E3302" s="134"/>
      <c r="F3302" s="14"/>
      <c r="G3302" s="69"/>
      <c r="H3302" s="69"/>
      <c r="I3302" s="135"/>
      <c r="J3302" s="136"/>
      <c r="K3302" s="137"/>
      <c r="L3302" s="137"/>
    </row>
    <row r="3303" spans="2:12">
      <c r="B3303" s="133"/>
      <c r="C3303" s="14"/>
      <c r="D3303" s="14"/>
      <c r="E3303" s="134"/>
      <c r="F3303" s="14"/>
      <c r="G3303" s="69"/>
      <c r="H3303" s="69"/>
      <c r="I3303" s="135"/>
      <c r="J3303" s="136"/>
      <c r="K3303" s="137"/>
      <c r="L3303" s="137"/>
    </row>
    <row r="3304" spans="2:12">
      <c r="B3304" s="133"/>
      <c r="C3304" s="14"/>
      <c r="D3304" s="14"/>
      <c r="E3304" s="134"/>
      <c r="F3304" s="14"/>
      <c r="G3304" s="69"/>
      <c r="H3304" s="69"/>
      <c r="I3304" s="135"/>
      <c r="J3304" s="136"/>
      <c r="K3304" s="137"/>
      <c r="L3304" s="137"/>
    </row>
    <row r="3305" spans="2:12">
      <c r="B3305" s="133"/>
      <c r="C3305" s="14"/>
      <c r="D3305" s="14"/>
      <c r="E3305" s="134"/>
      <c r="F3305" s="14"/>
      <c r="G3305" s="69"/>
      <c r="H3305" s="69"/>
      <c r="I3305" s="135"/>
      <c r="J3305" s="136"/>
      <c r="K3305" s="137"/>
      <c r="L3305" s="137"/>
    </row>
    <row r="3306" spans="2:12">
      <c r="B3306" s="133"/>
      <c r="C3306" s="14"/>
      <c r="D3306" s="14"/>
      <c r="E3306" s="134"/>
      <c r="F3306" s="14"/>
      <c r="G3306" s="69"/>
      <c r="H3306" s="69"/>
      <c r="I3306" s="135"/>
      <c r="J3306" s="136"/>
      <c r="K3306" s="137"/>
      <c r="L3306" s="137"/>
    </row>
    <row r="3307" spans="2:12">
      <c r="B3307" s="133"/>
      <c r="C3307" s="14"/>
      <c r="D3307" s="14"/>
      <c r="E3307" s="134"/>
      <c r="F3307" s="14"/>
      <c r="G3307" s="69"/>
      <c r="H3307" s="69"/>
      <c r="I3307" s="135"/>
      <c r="J3307" s="136"/>
      <c r="K3307" s="137"/>
      <c r="L3307" s="137"/>
    </row>
    <row r="3308" spans="2:12">
      <c r="B3308" s="133"/>
      <c r="C3308" s="14"/>
      <c r="D3308" s="14"/>
      <c r="E3308" s="134"/>
      <c r="F3308" s="14"/>
      <c r="G3308" s="69"/>
      <c r="H3308" s="69"/>
      <c r="I3308" s="135"/>
      <c r="J3308" s="136"/>
      <c r="K3308" s="137"/>
      <c r="L3308" s="137"/>
    </row>
    <row r="3309" spans="2:12">
      <c r="B3309" s="133"/>
      <c r="C3309" s="14"/>
      <c r="D3309" s="14"/>
      <c r="E3309" s="134"/>
      <c r="F3309" s="14"/>
      <c r="G3309" s="69"/>
      <c r="H3309" s="69"/>
      <c r="I3309" s="135"/>
      <c r="J3309" s="136"/>
      <c r="K3309" s="137"/>
      <c r="L3309" s="137"/>
    </row>
    <row r="3310" spans="2:12">
      <c r="B3310" s="133"/>
      <c r="C3310" s="14"/>
      <c r="D3310" s="14"/>
      <c r="E3310" s="134"/>
      <c r="F3310" s="14"/>
      <c r="G3310" s="69"/>
      <c r="H3310" s="69"/>
      <c r="I3310" s="135"/>
      <c r="J3310" s="136"/>
      <c r="K3310" s="137"/>
      <c r="L3310" s="137"/>
    </row>
    <row r="3311" spans="2:12">
      <c r="B3311" s="133"/>
      <c r="C3311" s="14"/>
      <c r="D3311" s="14"/>
      <c r="E3311" s="134"/>
      <c r="F3311" s="14"/>
      <c r="G3311" s="69"/>
      <c r="H3311" s="69"/>
      <c r="I3311" s="135"/>
      <c r="J3311" s="136"/>
      <c r="K3311" s="137"/>
      <c r="L3311" s="137"/>
    </row>
    <row r="3312" spans="2:12">
      <c r="B3312" s="133"/>
      <c r="C3312" s="14"/>
      <c r="D3312" s="14"/>
      <c r="E3312" s="134"/>
      <c r="F3312" s="14"/>
      <c r="G3312" s="69"/>
      <c r="H3312" s="69"/>
      <c r="I3312" s="135"/>
      <c r="J3312" s="136"/>
      <c r="K3312" s="137"/>
      <c r="L3312" s="137"/>
    </row>
    <row r="3313" spans="2:12">
      <c r="B3313" s="133"/>
      <c r="C3313" s="14"/>
      <c r="D3313" s="14"/>
      <c r="E3313" s="134"/>
      <c r="F3313" s="14"/>
      <c r="G3313" s="69"/>
      <c r="H3313" s="69"/>
      <c r="I3313" s="135"/>
      <c r="J3313" s="136"/>
      <c r="K3313" s="137"/>
      <c r="L3313" s="137"/>
    </row>
    <row r="3314" spans="2:12">
      <c r="B3314" s="133"/>
      <c r="C3314" s="14"/>
      <c r="D3314" s="14"/>
      <c r="E3314" s="134"/>
      <c r="F3314" s="14"/>
      <c r="G3314" s="69"/>
      <c r="H3314" s="69"/>
      <c r="I3314" s="135"/>
      <c r="J3314" s="136"/>
      <c r="K3314" s="137"/>
      <c r="L3314" s="137"/>
    </row>
    <row r="3315" spans="2:12">
      <c r="B3315" s="133"/>
      <c r="C3315" s="14"/>
      <c r="D3315" s="14"/>
      <c r="E3315" s="134"/>
      <c r="F3315" s="14"/>
      <c r="G3315" s="69"/>
      <c r="H3315" s="69"/>
      <c r="I3315" s="135"/>
      <c r="J3315" s="136"/>
      <c r="K3315" s="137"/>
      <c r="L3315" s="137"/>
    </row>
    <row r="3316" spans="2:12">
      <c r="B3316" s="133"/>
      <c r="C3316" s="14"/>
      <c r="D3316" s="14"/>
      <c r="E3316" s="134"/>
      <c r="F3316" s="14"/>
      <c r="G3316" s="69"/>
      <c r="H3316" s="69"/>
      <c r="I3316" s="135"/>
      <c r="J3316" s="136"/>
      <c r="K3316" s="137"/>
      <c r="L3316" s="137"/>
    </row>
    <row r="3317" spans="2:12">
      <c r="B3317" s="133"/>
      <c r="C3317" s="14"/>
      <c r="D3317" s="14"/>
      <c r="E3317" s="134"/>
      <c r="F3317" s="14"/>
      <c r="G3317" s="69"/>
      <c r="H3317" s="69"/>
      <c r="I3317" s="135"/>
      <c r="J3317" s="136"/>
      <c r="K3317" s="137"/>
      <c r="L3317" s="137"/>
    </row>
    <row r="3318" spans="2:12">
      <c r="B3318" s="133"/>
      <c r="C3318" s="14"/>
      <c r="D3318" s="14"/>
      <c r="E3318" s="134"/>
      <c r="F3318" s="14"/>
      <c r="G3318" s="69"/>
      <c r="H3318" s="69"/>
      <c r="I3318" s="135"/>
      <c r="J3318" s="136"/>
      <c r="K3318" s="137"/>
      <c r="L3318" s="137"/>
    </row>
    <row r="3319" spans="2:12">
      <c r="B3319" s="133"/>
      <c r="C3319" s="14"/>
      <c r="D3319" s="14"/>
      <c r="E3319" s="134"/>
      <c r="F3319" s="14"/>
      <c r="G3319" s="69"/>
      <c r="H3319" s="69"/>
      <c r="I3319" s="135"/>
      <c r="J3319" s="136"/>
      <c r="K3319" s="137"/>
      <c r="L3319" s="137"/>
    </row>
    <row r="3320" spans="2:12">
      <c r="B3320" s="133"/>
      <c r="C3320" s="14"/>
      <c r="D3320" s="14"/>
      <c r="E3320" s="134"/>
      <c r="F3320" s="14"/>
      <c r="G3320" s="69"/>
      <c r="H3320" s="69"/>
      <c r="I3320" s="135"/>
      <c r="J3320" s="136"/>
      <c r="K3320" s="137"/>
      <c r="L3320" s="137"/>
    </row>
    <row r="3321" spans="2:12">
      <c r="B3321" s="133"/>
      <c r="C3321" s="14"/>
      <c r="D3321" s="14"/>
      <c r="E3321" s="134"/>
      <c r="F3321" s="14"/>
      <c r="G3321" s="69"/>
      <c r="H3321" s="69"/>
      <c r="I3321" s="135"/>
      <c r="J3321" s="136"/>
      <c r="K3321" s="137"/>
      <c r="L3321" s="137"/>
    </row>
    <row r="3322" spans="2:12">
      <c r="B3322" s="133"/>
      <c r="C3322" s="14"/>
      <c r="D3322" s="14"/>
      <c r="E3322" s="134"/>
      <c r="F3322" s="14"/>
      <c r="G3322" s="69"/>
      <c r="H3322" s="69"/>
      <c r="I3322" s="135"/>
      <c r="J3322" s="136"/>
      <c r="K3322" s="137"/>
      <c r="L3322" s="137"/>
    </row>
    <row r="3323" spans="2:12">
      <c r="B3323" s="133"/>
      <c r="C3323" s="14"/>
      <c r="D3323" s="14"/>
      <c r="E3323" s="134"/>
      <c r="F3323" s="14"/>
      <c r="G3323" s="69"/>
      <c r="H3323" s="69"/>
      <c r="I3323" s="135"/>
      <c r="J3323" s="136"/>
      <c r="K3323" s="137"/>
      <c r="L3323" s="137"/>
    </row>
    <row r="3324" spans="2:12">
      <c r="B3324" s="133"/>
      <c r="C3324" s="14"/>
      <c r="D3324" s="14"/>
      <c r="E3324" s="134"/>
      <c r="F3324" s="14"/>
      <c r="G3324" s="69"/>
      <c r="H3324" s="69"/>
      <c r="I3324" s="135"/>
      <c r="J3324" s="136"/>
      <c r="K3324" s="137"/>
      <c r="L3324" s="137"/>
    </row>
    <row r="3325" spans="2:12">
      <c r="B3325" s="133"/>
      <c r="C3325" s="14"/>
      <c r="D3325" s="14"/>
      <c r="E3325" s="134"/>
      <c r="F3325" s="14"/>
      <c r="G3325" s="69"/>
      <c r="H3325" s="69"/>
      <c r="I3325" s="135"/>
      <c r="J3325" s="136"/>
      <c r="K3325" s="137"/>
      <c r="L3325" s="137"/>
    </row>
    <row r="3326" spans="2:12">
      <c r="B3326" s="133"/>
      <c r="C3326" s="14"/>
      <c r="D3326" s="14"/>
      <c r="E3326" s="134"/>
      <c r="F3326" s="14"/>
      <c r="G3326" s="69"/>
      <c r="H3326" s="69"/>
      <c r="I3326" s="135"/>
      <c r="J3326" s="136"/>
      <c r="K3326" s="137"/>
      <c r="L3326" s="137"/>
    </row>
    <row r="3327" spans="2:12">
      <c r="B3327" s="133"/>
      <c r="C3327" s="14"/>
      <c r="D3327" s="14"/>
      <c r="E3327" s="134"/>
      <c r="F3327" s="14"/>
      <c r="G3327" s="69"/>
      <c r="H3327" s="69"/>
      <c r="I3327" s="135"/>
      <c r="J3327" s="136"/>
      <c r="K3327" s="137"/>
      <c r="L3327" s="137"/>
    </row>
    <row r="3328" spans="2:12">
      <c r="B3328" s="133"/>
      <c r="C3328" s="14"/>
      <c r="D3328" s="14"/>
      <c r="E3328" s="134"/>
      <c r="F3328" s="14"/>
      <c r="G3328" s="69"/>
      <c r="H3328" s="69"/>
      <c r="I3328" s="135"/>
      <c r="J3328" s="136"/>
      <c r="K3328" s="137"/>
      <c r="L3328" s="137"/>
    </row>
    <row r="3329" spans="2:12">
      <c r="B3329" s="133"/>
      <c r="C3329" s="14"/>
      <c r="D3329" s="14"/>
      <c r="E3329" s="134"/>
      <c r="F3329" s="14"/>
      <c r="G3329" s="69"/>
      <c r="H3329" s="69"/>
      <c r="I3329" s="135"/>
      <c r="J3329" s="136"/>
      <c r="K3329" s="137"/>
      <c r="L3329" s="137"/>
    </row>
    <row r="3330" spans="2:12">
      <c r="B3330" s="133"/>
      <c r="C3330" s="14"/>
      <c r="D3330" s="14"/>
      <c r="E3330" s="134"/>
      <c r="F3330" s="14"/>
      <c r="G3330" s="69"/>
      <c r="H3330" s="69"/>
      <c r="I3330" s="135"/>
      <c r="J3330" s="136"/>
      <c r="K3330" s="137"/>
      <c r="L3330" s="137"/>
    </row>
    <row r="3331" spans="2:12">
      <c r="B3331" s="133"/>
      <c r="C3331" s="14"/>
      <c r="D3331" s="14"/>
      <c r="E3331" s="134"/>
      <c r="F3331" s="14"/>
      <c r="G3331" s="69"/>
      <c r="H3331" s="69"/>
      <c r="I3331" s="135"/>
      <c r="J3331" s="136"/>
      <c r="K3331" s="137"/>
      <c r="L3331" s="137"/>
    </row>
    <row r="3332" spans="2:12">
      <c r="B3332" s="133"/>
      <c r="C3332" s="14"/>
      <c r="D3332" s="14"/>
      <c r="E3332" s="134"/>
      <c r="F3332" s="14"/>
      <c r="G3332" s="69"/>
      <c r="H3332" s="69"/>
      <c r="I3332" s="135"/>
      <c r="J3332" s="136"/>
      <c r="K3332" s="137"/>
      <c r="L3332" s="137"/>
    </row>
    <row r="3333" spans="2:12">
      <c r="B3333" s="133"/>
      <c r="C3333" s="14"/>
      <c r="D3333" s="14"/>
      <c r="E3333" s="134"/>
      <c r="F3333" s="14"/>
      <c r="G3333" s="69"/>
      <c r="H3333" s="69"/>
      <c r="I3333" s="135"/>
      <c r="J3333" s="136"/>
      <c r="K3333" s="137"/>
      <c r="L3333" s="137"/>
    </row>
    <row r="3334" spans="2:12">
      <c r="B3334" s="133"/>
      <c r="C3334" s="14"/>
      <c r="D3334" s="14"/>
      <c r="E3334" s="134"/>
      <c r="F3334" s="14"/>
      <c r="G3334" s="69"/>
      <c r="H3334" s="69"/>
      <c r="I3334" s="135"/>
      <c r="J3334" s="136"/>
      <c r="K3334" s="137"/>
      <c r="L3334" s="137"/>
    </row>
    <row r="3335" spans="2:12">
      <c r="B3335" s="133"/>
      <c r="C3335" s="14"/>
      <c r="D3335" s="14"/>
      <c r="E3335" s="134"/>
      <c r="F3335" s="14"/>
      <c r="G3335" s="69"/>
      <c r="H3335" s="69"/>
      <c r="I3335" s="135"/>
      <c r="J3335" s="136"/>
      <c r="K3335" s="137"/>
      <c r="L3335" s="137"/>
    </row>
    <row r="3336" spans="2:12">
      <c r="B3336" s="133"/>
      <c r="C3336" s="14"/>
      <c r="D3336" s="14"/>
      <c r="E3336" s="134"/>
      <c r="F3336" s="14"/>
      <c r="G3336" s="69"/>
      <c r="H3336" s="69"/>
      <c r="I3336" s="135"/>
      <c r="J3336" s="136"/>
      <c r="K3336" s="137"/>
      <c r="L3336" s="137"/>
    </row>
    <row r="3337" spans="2:12">
      <c r="B3337" s="133"/>
      <c r="C3337" s="14"/>
      <c r="D3337" s="14"/>
      <c r="E3337" s="134"/>
      <c r="F3337" s="14"/>
      <c r="G3337" s="69"/>
      <c r="H3337" s="69"/>
      <c r="I3337" s="135"/>
      <c r="J3337" s="136"/>
      <c r="K3337" s="137"/>
      <c r="L3337" s="137"/>
    </row>
    <row r="3338" spans="2:12">
      <c r="B3338" s="133"/>
      <c r="C3338" s="14"/>
      <c r="D3338" s="14"/>
      <c r="E3338" s="134"/>
      <c r="F3338" s="14"/>
      <c r="G3338" s="69"/>
      <c r="H3338" s="69"/>
      <c r="I3338" s="135"/>
      <c r="J3338" s="136"/>
      <c r="K3338" s="137"/>
      <c r="L3338" s="137"/>
    </row>
    <row r="3339" spans="2:12">
      <c r="B3339" s="133"/>
      <c r="C3339" s="14"/>
      <c r="D3339" s="14"/>
      <c r="E3339" s="134"/>
      <c r="F3339" s="14"/>
      <c r="G3339" s="69"/>
      <c r="H3339" s="69"/>
      <c r="I3339" s="135"/>
      <c r="J3339" s="136"/>
      <c r="K3339" s="137"/>
      <c r="L3339" s="137"/>
    </row>
    <row r="3340" spans="2:12">
      <c r="B3340" s="133"/>
      <c r="C3340" s="14"/>
      <c r="D3340" s="14"/>
      <c r="E3340" s="134"/>
      <c r="F3340" s="14"/>
      <c r="G3340" s="69"/>
      <c r="H3340" s="69"/>
      <c r="I3340" s="135"/>
      <c r="J3340" s="136"/>
      <c r="K3340" s="137"/>
      <c r="L3340" s="137"/>
    </row>
    <row r="3341" spans="2:12">
      <c r="B3341" s="133"/>
      <c r="C3341" s="14"/>
      <c r="D3341" s="14"/>
      <c r="E3341" s="134"/>
      <c r="F3341" s="14"/>
      <c r="G3341" s="69"/>
      <c r="H3341" s="69"/>
      <c r="I3341" s="135"/>
      <c r="J3341" s="136"/>
      <c r="K3341" s="137"/>
      <c r="L3341" s="137"/>
    </row>
    <row r="3342" spans="2:12">
      <c r="B3342" s="133"/>
      <c r="C3342" s="14"/>
      <c r="D3342" s="14"/>
      <c r="E3342" s="134"/>
      <c r="F3342" s="14"/>
      <c r="G3342" s="69"/>
      <c r="H3342" s="69"/>
      <c r="I3342" s="135"/>
      <c r="J3342" s="136"/>
      <c r="K3342" s="137"/>
      <c r="L3342" s="137"/>
    </row>
    <row r="3343" spans="2:12">
      <c r="B3343" s="133"/>
      <c r="C3343" s="14"/>
      <c r="D3343" s="14"/>
      <c r="E3343" s="134"/>
      <c r="F3343" s="14"/>
      <c r="G3343" s="69"/>
      <c r="H3343" s="69"/>
      <c r="I3343" s="135"/>
      <c r="J3343" s="136"/>
      <c r="K3343" s="137"/>
      <c r="L3343" s="137"/>
    </row>
    <row r="3344" spans="2:12">
      <c r="B3344" s="133"/>
      <c r="C3344" s="14"/>
      <c r="D3344" s="14"/>
      <c r="E3344" s="134"/>
      <c r="F3344" s="14"/>
      <c r="G3344" s="69"/>
      <c r="H3344" s="69"/>
      <c r="I3344" s="135"/>
      <c r="J3344" s="136"/>
      <c r="K3344" s="137"/>
      <c r="L3344" s="137"/>
    </row>
    <row r="3345" spans="2:12">
      <c r="B3345" s="133"/>
      <c r="C3345" s="14"/>
      <c r="D3345" s="14"/>
      <c r="E3345" s="134"/>
      <c r="F3345" s="14"/>
      <c r="G3345" s="69"/>
      <c r="H3345" s="69"/>
      <c r="I3345" s="135"/>
      <c r="J3345" s="136"/>
      <c r="K3345" s="137"/>
      <c r="L3345" s="137"/>
    </row>
    <row r="3346" spans="2:12">
      <c r="B3346" s="133"/>
      <c r="C3346" s="14"/>
      <c r="D3346" s="14"/>
      <c r="E3346" s="134"/>
      <c r="F3346" s="14"/>
      <c r="G3346" s="69"/>
      <c r="H3346" s="69"/>
      <c r="I3346" s="135"/>
      <c r="J3346" s="136"/>
      <c r="K3346" s="137"/>
      <c r="L3346" s="137"/>
    </row>
    <row r="3347" spans="2:12">
      <c r="B3347" s="133"/>
      <c r="C3347" s="14"/>
      <c r="D3347" s="14"/>
      <c r="E3347" s="134"/>
      <c r="F3347" s="14"/>
      <c r="G3347" s="69"/>
      <c r="H3347" s="69"/>
      <c r="I3347" s="135"/>
      <c r="J3347" s="136"/>
      <c r="K3347" s="137"/>
      <c r="L3347" s="137"/>
    </row>
    <row r="3348" spans="2:12">
      <c r="B3348" s="133"/>
      <c r="C3348" s="14"/>
      <c r="D3348" s="14"/>
      <c r="E3348" s="134"/>
      <c r="F3348" s="14"/>
      <c r="G3348" s="69"/>
      <c r="H3348" s="69"/>
      <c r="I3348" s="135"/>
      <c r="J3348" s="136"/>
      <c r="K3348" s="137"/>
      <c r="L3348" s="137"/>
    </row>
    <row r="3349" spans="2:12">
      <c r="B3349" s="133"/>
      <c r="C3349" s="14"/>
      <c r="D3349" s="14"/>
      <c r="E3349" s="134"/>
      <c r="F3349" s="14"/>
      <c r="G3349" s="69"/>
      <c r="H3349" s="69"/>
      <c r="I3349" s="135"/>
      <c r="J3349" s="136"/>
      <c r="K3349" s="137"/>
      <c r="L3349" s="137"/>
    </row>
    <row r="3350" spans="2:12">
      <c r="B3350" s="133"/>
      <c r="C3350" s="14"/>
      <c r="D3350" s="14"/>
      <c r="E3350" s="134"/>
      <c r="F3350" s="14"/>
      <c r="G3350" s="69"/>
      <c r="H3350" s="69"/>
      <c r="I3350" s="135"/>
      <c r="J3350" s="136"/>
      <c r="K3350" s="137"/>
      <c r="L3350" s="137"/>
    </row>
    <row r="3351" spans="2:12">
      <c r="B3351" s="133"/>
      <c r="C3351" s="14"/>
      <c r="D3351" s="14"/>
      <c r="E3351" s="134"/>
      <c r="F3351" s="14"/>
      <c r="G3351" s="69"/>
      <c r="H3351" s="69"/>
      <c r="I3351" s="135"/>
      <c r="J3351" s="136"/>
      <c r="K3351" s="137"/>
      <c r="L3351" s="137"/>
    </row>
    <row r="3352" spans="2:12">
      <c r="B3352" s="133"/>
      <c r="C3352" s="14"/>
      <c r="D3352" s="14"/>
      <c r="E3352" s="134"/>
      <c r="F3352" s="14"/>
      <c r="G3352" s="69"/>
      <c r="H3352" s="69"/>
      <c r="I3352" s="135"/>
      <c r="J3352" s="136"/>
      <c r="K3352" s="137"/>
      <c r="L3352" s="137"/>
    </row>
    <row r="3353" spans="2:12">
      <c r="B3353" s="133"/>
      <c r="C3353" s="14"/>
      <c r="D3353" s="14"/>
      <c r="E3353" s="134"/>
      <c r="F3353" s="14"/>
      <c r="G3353" s="69"/>
      <c r="H3353" s="69"/>
      <c r="I3353" s="135"/>
      <c r="J3353" s="136"/>
      <c r="K3353" s="137"/>
      <c r="L3353" s="137"/>
    </row>
    <row r="3354" spans="2:12">
      <c r="B3354" s="133"/>
      <c r="C3354" s="14"/>
      <c r="D3354" s="14"/>
      <c r="E3354" s="134"/>
      <c r="F3354" s="14"/>
      <c r="G3354" s="69"/>
      <c r="H3354" s="69"/>
      <c r="I3354" s="135"/>
      <c r="J3354" s="136"/>
      <c r="K3354" s="137"/>
      <c r="L3354" s="137"/>
    </row>
    <row r="3355" spans="2:12">
      <c r="B3355" s="133"/>
      <c r="C3355" s="14"/>
      <c r="D3355" s="14"/>
      <c r="E3355" s="134"/>
      <c r="F3355" s="14"/>
      <c r="G3355" s="69"/>
      <c r="H3355" s="69"/>
      <c r="I3355" s="135"/>
      <c r="J3355" s="136"/>
      <c r="K3355" s="137"/>
      <c r="L3355" s="137"/>
    </row>
    <row r="3356" spans="2:12">
      <c r="B3356" s="133"/>
      <c r="C3356" s="14"/>
      <c r="D3356" s="14"/>
      <c r="E3356" s="134"/>
      <c r="F3356" s="14"/>
      <c r="G3356" s="69"/>
      <c r="H3356" s="69"/>
      <c r="I3356" s="135"/>
      <c r="J3356" s="136"/>
      <c r="K3356" s="137"/>
      <c r="L3356" s="137"/>
    </row>
    <row r="3357" spans="2:12">
      <c r="B3357" s="133"/>
      <c r="C3357" s="14"/>
      <c r="D3357" s="14"/>
      <c r="E3357" s="134"/>
      <c r="F3357" s="14"/>
      <c r="G3357" s="69"/>
      <c r="H3357" s="69"/>
      <c r="I3357" s="135"/>
      <c r="J3357" s="136"/>
      <c r="K3357" s="137"/>
      <c r="L3357" s="137"/>
    </row>
    <row r="3358" spans="2:12">
      <c r="B3358" s="133"/>
      <c r="C3358" s="14"/>
      <c r="D3358" s="14"/>
      <c r="E3358" s="134"/>
      <c r="F3358" s="14"/>
      <c r="G3358" s="69"/>
      <c r="H3358" s="69"/>
      <c r="I3358" s="135"/>
      <c r="J3358" s="136"/>
      <c r="K3358" s="137"/>
      <c r="L3358" s="137"/>
    </row>
    <row r="3359" spans="2:12">
      <c r="B3359" s="133"/>
      <c r="C3359" s="14"/>
      <c r="D3359" s="14"/>
      <c r="E3359" s="134"/>
      <c r="F3359" s="14"/>
      <c r="G3359" s="69"/>
      <c r="H3359" s="69"/>
      <c r="I3359" s="135"/>
      <c r="J3359" s="136"/>
      <c r="K3359" s="137"/>
      <c r="L3359" s="137"/>
    </row>
    <row r="3360" spans="2:12">
      <c r="B3360" s="133"/>
      <c r="C3360" s="14"/>
      <c r="D3360" s="14"/>
      <c r="E3360" s="134"/>
      <c r="F3360" s="14"/>
      <c r="G3360" s="69"/>
      <c r="H3360" s="69"/>
      <c r="I3360" s="135"/>
      <c r="J3360" s="136"/>
      <c r="K3360" s="137"/>
      <c r="L3360" s="137"/>
    </row>
    <row r="3361" spans="2:12">
      <c r="B3361" s="133"/>
      <c r="C3361" s="14"/>
      <c r="D3361" s="14"/>
      <c r="E3361" s="134"/>
      <c r="F3361" s="14"/>
      <c r="G3361" s="69"/>
      <c r="H3361" s="69"/>
      <c r="I3361" s="135"/>
      <c r="J3361" s="136"/>
      <c r="K3361" s="137"/>
      <c r="L3361" s="137"/>
    </row>
    <row r="3362" spans="2:12">
      <c r="B3362" s="133"/>
      <c r="C3362" s="14"/>
      <c r="D3362" s="14"/>
      <c r="E3362" s="134"/>
      <c r="F3362" s="14"/>
      <c r="G3362" s="69"/>
      <c r="H3362" s="69"/>
      <c r="I3362" s="135"/>
      <c r="J3362" s="136"/>
      <c r="K3362" s="137"/>
      <c r="L3362" s="137"/>
    </row>
    <row r="3363" spans="2:12">
      <c r="B3363" s="133"/>
      <c r="C3363" s="14"/>
      <c r="D3363" s="14"/>
      <c r="E3363" s="134"/>
      <c r="F3363" s="14"/>
      <c r="G3363" s="69"/>
      <c r="H3363" s="69"/>
      <c r="I3363" s="135"/>
      <c r="J3363" s="136"/>
      <c r="K3363" s="137"/>
      <c r="L3363" s="137"/>
    </row>
    <row r="3364" spans="2:12">
      <c r="B3364" s="133"/>
      <c r="C3364" s="14"/>
      <c r="D3364" s="14"/>
      <c r="E3364" s="134"/>
      <c r="F3364" s="14"/>
      <c r="G3364" s="69"/>
      <c r="H3364" s="69"/>
      <c r="I3364" s="135"/>
      <c r="J3364" s="136"/>
      <c r="K3364" s="137"/>
      <c r="L3364" s="137"/>
    </row>
    <row r="3365" spans="2:12">
      <c r="B3365" s="133"/>
      <c r="C3365" s="14"/>
      <c r="D3365" s="14"/>
      <c r="E3365" s="134"/>
      <c r="F3365" s="14"/>
      <c r="G3365" s="69"/>
      <c r="H3365" s="69"/>
      <c r="I3365" s="135"/>
      <c r="J3365" s="136"/>
      <c r="K3365" s="137"/>
      <c r="L3365" s="137"/>
    </row>
    <row r="3366" spans="2:12">
      <c r="B3366" s="133"/>
      <c r="C3366" s="14"/>
      <c r="D3366" s="14"/>
      <c r="E3366" s="134"/>
      <c r="F3366" s="14"/>
      <c r="G3366" s="69"/>
      <c r="H3366" s="69"/>
      <c r="I3366" s="135"/>
      <c r="J3366" s="136"/>
      <c r="K3366" s="137"/>
      <c r="L3366" s="137"/>
    </row>
    <row r="3367" spans="2:12">
      <c r="B3367" s="133"/>
      <c r="C3367" s="14"/>
      <c r="D3367" s="14"/>
      <c r="E3367" s="134"/>
      <c r="F3367" s="14"/>
      <c r="G3367" s="69"/>
      <c r="H3367" s="69"/>
      <c r="I3367" s="135"/>
      <c r="J3367" s="136"/>
      <c r="K3367" s="137"/>
      <c r="L3367" s="137"/>
    </row>
    <row r="3368" spans="2:12">
      <c r="B3368" s="133"/>
      <c r="C3368" s="14"/>
      <c r="D3368" s="14"/>
      <c r="E3368" s="134"/>
      <c r="F3368" s="14"/>
      <c r="G3368" s="69"/>
      <c r="H3368" s="69"/>
      <c r="I3368" s="135"/>
      <c r="J3368" s="136"/>
      <c r="K3368" s="137"/>
      <c r="L3368" s="137"/>
    </row>
    <row r="3369" spans="2:12">
      <c r="B3369" s="133"/>
      <c r="C3369" s="14"/>
      <c r="D3369" s="14"/>
      <c r="E3369" s="134"/>
      <c r="F3369" s="14"/>
      <c r="G3369" s="69"/>
      <c r="H3369" s="69"/>
      <c r="I3369" s="135"/>
      <c r="J3369" s="136"/>
      <c r="K3369" s="137"/>
      <c r="L3369" s="137"/>
    </row>
    <row r="3370" spans="2:12">
      <c r="B3370" s="133"/>
      <c r="C3370" s="14"/>
      <c r="D3370" s="14"/>
      <c r="E3370" s="134"/>
      <c r="F3370" s="14"/>
      <c r="G3370" s="69"/>
      <c r="H3370" s="69"/>
      <c r="I3370" s="135"/>
      <c r="J3370" s="136"/>
      <c r="K3370" s="137"/>
      <c r="L3370" s="137"/>
    </row>
    <row r="3371" spans="2:12">
      <c r="B3371" s="133"/>
      <c r="C3371" s="14"/>
      <c r="D3371" s="14"/>
      <c r="E3371" s="134"/>
      <c r="F3371" s="14"/>
      <c r="G3371" s="69"/>
      <c r="H3371" s="69"/>
      <c r="I3371" s="135"/>
      <c r="J3371" s="136"/>
      <c r="K3371" s="137"/>
      <c r="L3371" s="137"/>
    </row>
    <row r="3372" spans="2:12">
      <c r="B3372" s="133"/>
      <c r="C3372" s="14"/>
      <c r="D3372" s="14"/>
      <c r="E3372" s="134"/>
      <c r="F3372" s="14"/>
      <c r="G3372" s="69"/>
      <c r="H3372" s="69"/>
      <c r="I3372" s="135"/>
      <c r="J3372" s="136"/>
      <c r="K3372" s="137"/>
      <c r="L3372" s="137"/>
    </row>
    <row r="3373" spans="2:12">
      <c r="B3373" s="133"/>
      <c r="C3373" s="14"/>
      <c r="D3373" s="14"/>
      <c r="E3373" s="134"/>
      <c r="F3373" s="14"/>
      <c r="G3373" s="69"/>
      <c r="H3373" s="69"/>
      <c r="I3373" s="135"/>
      <c r="J3373" s="136"/>
      <c r="K3373" s="137"/>
      <c r="L3373" s="137"/>
    </row>
    <row r="3374" spans="2:12">
      <c r="B3374" s="133"/>
      <c r="C3374" s="14"/>
      <c r="D3374" s="14"/>
      <c r="E3374" s="134"/>
      <c r="F3374" s="14"/>
      <c r="G3374" s="69"/>
      <c r="H3374" s="69"/>
      <c r="I3374" s="135"/>
      <c r="J3374" s="136"/>
      <c r="K3374" s="137"/>
      <c r="L3374" s="137"/>
    </row>
    <row r="3375" spans="2:12">
      <c r="B3375" s="133"/>
      <c r="C3375" s="14"/>
      <c r="D3375" s="14"/>
      <c r="E3375" s="134"/>
      <c r="F3375" s="14"/>
      <c r="G3375" s="69"/>
      <c r="H3375" s="69"/>
      <c r="I3375" s="135"/>
      <c r="J3375" s="136"/>
      <c r="K3375" s="137"/>
      <c r="L3375" s="137"/>
    </row>
    <row r="3376" spans="2:12">
      <c r="B3376" s="133"/>
      <c r="C3376" s="14"/>
      <c r="D3376" s="14"/>
      <c r="E3376" s="134"/>
      <c r="F3376" s="14"/>
      <c r="G3376" s="69"/>
      <c r="H3376" s="69"/>
      <c r="I3376" s="135"/>
      <c r="J3376" s="136"/>
      <c r="K3376" s="137"/>
      <c r="L3376" s="137"/>
    </row>
    <row r="3377" spans="2:12">
      <c r="B3377" s="133"/>
      <c r="C3377" s="14"/>
      <c r="D3377" s="14"/>
      <c r="E3377" s="134"/>
      <c r="F3377" s="14"/>
      <c r="G3377" s="69"/>
      <c r="H3377" s="69"/>
      <c r="I3377" s="135"/>
      <c r="J3377" s="136"/>
      <c r="K3377" s="137"/>
      <c r="L3377" s="137"/>
    </row>
    <row r="3378" spans="2:12">
      <c r="B3378" s="133"/>
      <c r="C3378" s="14"/>
      <c r="D3378" s="14"/>
      <c r="E3378" s="134"/>
      <c r="F3378" s="14"/>
      <c r="G3378" s="69"/>
      <c r="H3378" s="69"/>
      <c r="I3378" s="135"/>
      <c r="J3378" s="136"/>
      <c r="K3378" s="137"/>
      <c r="L3378" s="137"/>
    </row>
    <row r="3379" spans="2:12">
      <c r="B3379" s="133"/>
      <c r="C3379" s="14"/>
      <c r="D3379" s="14"/>
      <c r="E3379" s="134"/>
      <c r="F3379" s="14"/>
      <c r="G3379" s="69"/>
      <c r="H3379" s="69"/>
      <c r="I3379" s="135"/>
      <c r="J3379" s="136"/>
      <c r="K3379" s="137"/>
      <c r="L3379" s="137"/>
    </row>
    <row r="3380" spans="2:12">
      <c r="B3380" s="133"/>
      <c r="C3380" s="14"/>
      <c r="D3380" s="14"/>
      <c r="E3380" s="134"/>
      <c r="F3380" s="14"/>
      <c r="G3380" s="69"/>
      <c r="H3380" s="69"/>
      <c r="I3380" s="135"/>
      <c r="J3380" s="136"/>
      <c r="K3380" s="137"/>
      <c r="L3380" s="137"/>
    </row>
    <row r="3381" spans="2:12">
      <c r="B3381" s="133"/>
      <c r="C3381" s="14"/>
      <c r="D3381" s="14"/>
      <c r="E3381" s="134"/>
      <c r="F3381" s="14"/>
      <c r="G3381" s="69"/>
      <c r="H3381" s="69"/>
      <c r="I3381" s="135"/>
      <c r="J3381" s="136"/>
      <c r="K3381" s="137"/>
      <c r="L3381" s="137"/>
    </row>
    <row r="3382" spans="2:12">
      <c r="B3382" s="133"/>
      <c r="C3382" s="14"/>
      <c r="D3382" s="14"/>
      <c r="E3382" s="134"/>
      <c r="F3382" s="14"/>
      <c r="G3382" s="69"/>
      <c r="H3382" s="69"/>
      <c r="I3382" s="135"/>
      <c r="J3382" s="136"/>
      <c r="K3382" s="137"/>
      <c r="L3382" s="137"/>
    </row>
    <row r="3383" spans="2:12">
      <c r="B3383" s="133"/>
      <c r="C3383" s="14"/>
      <c r="D3383" s="14"/>
      <c r="E3383" s="134"/>
      <c r="F3383" s="14"/>
      <c r="G3383" s="69"/>
      <c r="H3383" s="69"/>
      <c r="I3383" s="135"/>
      <c r="J3383" s="136"/>
      <c r="K3383" s="137"/>
      <c r="L3383" s="137"/>
    </row>
    <row r="3384" spans="2:12">
      <c r="B3384" s="133"/>
      <c r="C3384" s="14"/>
      <c r="D3384" s="14"/>
      <c r="E3384" s="134"/>
      <c r="F3384" s="14"/>
      <c r="G3384" s="69"/>
      <c r="H3384" s="69"/>
      <c r="I3384" s="135"/>
      <c r="J3384" s="136"/>
      <c r="K3384" s="137"/>
      <c r="L3384" s="137"/>
    </row>
    <row r="3385" spans="2:12">
      <c r="B3385" s="133"/>
      <c r="C3385" s="14"/>
      <c r="D3385" s="14"/>
      <c r="E3385" s="134"/>
      <c r="F3385" s="14"/>
      <c r="G3385" s="69"/>
      <c r="H3385" s="69"/>
      <c r="I3385" s="135"/>
      <c r="J3385" s="136"/>
      <c r="K3385" s="137"/>
      <c r="L3385" s="137"/>
    </row>
    <row r="3386" spans="2:12">
      <c r="B3386" s="133"/>
      <c r="C3386" s="14"/>
      <c r="D3386" s="14"/>
      <c r="E3386" s="134"/>
      <c r="F3386" s="14"/>
      <c r="G3386" s="69"/>
      <c r="H3386" s="69"/>
      <c r="I3386" s="135"/>
      <c r="J3386" s="136"/>
      <c r="K3386" s="137"/>
      <c r="L3386" s="137"/>
    </row>
    <row r="3387" spans="2:12">
      <c r="B3387" s="133"/>
      <c r="C3387" s="14"/>
      <c r="D3387" s="14"/>
      <c r="E3387" s="134"/>
      <c r="F3387" s="14"/>
      <c r="G3387" s="69"/>
      <c r="H3387" s="69"/>
      <c r="I3387" s="135"/>
      <c r="J3387" s="136"/>
      <c r="K3387" s="137"/>
      <c r="L3387" s="137"/>
    </row>
    <row r="3388" spans="2:12">
      <c r="B3388" s="133"/>
      <c r="C3388" s="14"/>
      <c r="D3388" s="14"/>
      <c r="E3388" s="134"/>
      <c r="F3388" s="14"/>
      <c r="G3388" s="69"/>
      <c r="H3388" s="69"/>
      <c r="I3388" s="135"/>
      <c r="J3388" s="136"/>
      <c r="K3388" s="137"/>
      <c r="L3388" s="137"/>
    </row>
    <row r="3389" spans="2:12">
      <c r="B3389" s="133"/>
      <c r="C3389" s="14"/>
      <c r="D3389" s="14"/>
      <c r="E3389" s="134"/>
      <c r="F3389" s="14"/>
      <c r="G3389" s="69"/>
      <c r="H3389" s="69"/>
      <c r="I3389" s="135"/>
      <c r="J3389" s="136"/>
      <c r="K3389" s="137"/>
      <c r="L3389" s="137"/>
    </row>
    <row r="3390" spans="2:12">
      <c r="B3390" s="133"/>
      <c r="C3390" s="14"/>
      <c r="D3390" s="14"/>
      <c r="E3390" s="134"/>
      <c r="F3390" s="14"/>
      <c r="G3390" s="69"/>
      <c r="H3390" s="69"/>
      <c r="I3390" s="135"/>
      <c r="J3390" s="136"/>
      <c r="K3390" s="137"/>
      <c r="L3390" s="137"/>
    </row>
    <row r="3391" spans="2:12">
      <c r="B3391" s="133"/>
      <c r="C3391" s="14"/>
      <c r="D3391" s="14"/>
      <c r="E3391" s="134"/>
      <c r="F3391" s="14"/>
      <c r="G3391" s="69"/>
      <c r="H3391" s="69"/>
      <c r="I3391" s="135"/>
      <c r="J3391" s="136"/>
      <c r="K3391" s="137"/>
      <c r="L3391" s="137"/>
    </row>
    <row r="3392" spans="2:12">
      <c r="B3392" s="133"/>
      <c r="C3392" s="14"/>
      <c r="D3392" s="14"/>
      <c r="E3392" s="134"/>
      <c r="F3392" s="14"/>
      <c r="G3392" s="69"/>
      <c r="H3392" s="69"/>
      <c r="I3392" s="135"/>
      <c r="J3392" s="136"/>
      <c r="K3392" s="137"/>
      <c r="L3392" s="137"/>
    </row>
    <row r="3393" spans="2:12">
      <c r="B3393" s="133"/>
      <c r="C3393" s="14"/>
      <c r="D3393" s="14"/>
      <c r="E3393" s="134"/>
      <c r="F3393" s="14"/>
      <c r="G3393" s="69"/>
      <c r="H3393" s="69"/>
      <c r="I3393" s="135"/>
      <c r="J3393" s="136"/>
      <c r="K3393" s="137"/>
      <c r="L3393" s="137"/>
    </row>
    <row r="3394" spans="2:12">
      <c r="B3394" s="133"/>
      <c r="C3394" s="14"/>
      <c r="D3394" s="14"/>
      <c r="E3394" s="134"/>
      <c r="F3394" s="14"/>
      <c r="G3394" s="69"/>
      <c r="H3394" s="69"/>
      <c r="I3394" s="135"/>
      <c r="J3394" s="136"/>
      <c r="K3394" s="137"/>
      <c r="L3394" s="137"/>
    </row>
    <row r="3395" spans="2:12">
      <c r="B3395" s="133"/>
      <c r="C3395" s="14"/>
      <c r="D3395" s="14"/>
      <c r="E3395" s="134"/>
      <c r="F3395" s="14"/>
      <c r="G3395" s="69"/>
      <c r="H3395" s="69"/>
      <c r="I3395" s="135"/>
      <c r="J3395" s="136"/>
      <c r="K3395" s="137"/>
      <c r="L3395" s="137"/>
    </row>
    <row r="3396" spans="2:12">
      <c r="B3396" s="133"/>
      <c r="C3396" s="14"/>
      <c r="D3396" s="14"/>
      <c r="E3396" s="134"/>
      <c r="F3396" s="14"/>
      <c r="G3396" s="69"/>
      <c r="H3396" s="69"/>
      <c r="I3396" s="135"/>
      <c r="J3396" s="136"/>
      <c r="K3396" s="137"/>
      <c r="L3396" s="137"/>
    </row>
    <row r="3397" spans="2:12">
      <c r="B3397" s="133"/>
      <c r="C3397" s="14"/>
      <c r="D3397" s="14"/>
      <c r="E3397" s="134"/>
      <c r="F3397" s="14"/>
      <c r="G3397" s="69"/>
      <c r="H3397" s="69"/>
      <c r="I3397" s="135"/>
      <c r="J3397" s="136"/>
      <c r="K3397" s="137"/>
      <c r="L3397" s="137"/>
    </row>
    <row r="3398" spans="2:12">
      <c r="B3398" s="133"/>
      <c r="C3398" s="14"/>
      <c r="D3398" s="14"/>
      <c r="E3398" s="134"/>
      <c r="F3398" s="14"/>
      <c r="G3398" s="69"/>
      <c r="H3398" s="69"/>
      <c r="I3398" s="135"/>
      <c r="J3398" s="136"/>
      <c r="K3398" s="137"/>
      <c r="L3398" s="137"/>
    </row>
    <row r="3399" spans="2:12">
      <c r="B3399" s="133"/>
      <c r="C3399" s="14"/>
      <c r="D3399" s="14"/>
      <c r="E3399" s="134"/>
      <c r="F3399" s="14"/>
      <c r="G3399" s="69"/>
      <c r="H3399" s="69"/>
      <c r="I3399" s="135"/>
      <c r="J3399" s="136"/>
      <c r="K3399" s="137"/>
      <c r="L3399" s="137"/>
    </row>
    <row r="3400" spans="2:12">
      <c r="B3400" s="133"/>
      <c r="C3400" s="14"/>
      <c r="D3400" s="14"/>
      <c r="E3400" s="134"/>
      <c r="F3400" s="14"/>
      <c r="G3400" s="69"/>
      <c r="H3400" s="69"/>
      <c r="I3400" s="135"/>
      <c r="J3400" s="136"/>
      <c r="K3400" s="137"/>
      <c r="L3400" s="137"/>
    </row>
    <row r="3401" spans="2:12">
      <c r="B3401" s="133"/>
      <c r="C3401" s="14"/>
      <c r="D3401" s="14"/>
      <c r="E3401" s="134"/>
      <c r="F3401" s="14"/>
      <c r="G3401" s="69"/>
      <c r="H3401" s="69"/>
      <c r="I3401" s="135"/>
      <c r="J3401" s="136"/>
      <c r="K3401" s="137"/>
      <c r="L3401" s="137"/>
    </row>
    <row r="3402" spans="2:12">
      <c r="B3402" s="133"/>
      <c r="C3402" s="14"/>
      <c r="D3402" s="14"/>
      <c r="E3402" s="134"/>
      <c r="F3402" s="14"/>
      <c r="G3402" s="69"/>
      <c r="H3402" s="69"/>
      <c r="I3402" s="135"/>
      <c r="J3402" s="136"/>
      <c r="K3402" s="137"/>
      <c r="L3402" s="137"/>
    </row>
    <row r="3403" spans="2:12">
      <c r="B3403" s="133"/>
      <c r="C3403" s="14"/>
      <c r="D3403" s="14"/>
      <c r="E3403" s="134"/>
      <c r="F3403" s="14"/>
      <c r="G3403" s="69"/>
      <c r="H3403" s="69"/>
      <c r="I3403" s="135"/>
      <c r="J3403" s="136"/>
      <c r="K3403" s="137"/>
      <c r="L3403" s="137"/>
    </row>
    <row r="3404" spans="2:12">
      <c r="B3404" s="133"/>
      <c r="C3404" s="14"/>
      <c r="D3404" s="14"/>
      <c r="E3404" s="134"/>
      <c r="F3404" s="14"/>
      <c r="G3404" s="69"/>
      <c r="H3404" s="69"/>
      <c r="I3404" s="135"/>
      <c r="J3404" s="136"/>
      <c r="K3404" s="137"/>
      <c r="L3404" s="137"/>
    </row>
    <row r="3405" spans="2:12">
      <c r="B3405" s="133"/>
      <c r="C3405" s="14"/>
      <c r="D3405" s="14"/>
      <c r="E3405" s="134"/>
      <c r="F3405" s="14"/>
      <c r="G3405" s="69"/>
      <c r="H3405" s="69"/>
      <c r="I3405" s="135"/>
      <c r="J3405" s="136"/>
      <c r="K3405" s="137"/>
      <c r="L3405" s="137"/>
    </row>
    <row r="3406" spans="2:12">
      <c r="B3406" s="133"/>
      <c r="C3406" s="14"/>
      <c r="D3406" s="14"/>
      <c r="E3406" s="134"/>
      <c r="F3406" s="14"/>
      <c r="G3406" s="69"/>
      <c r="H3406" s="69"/>
      <c r="I3406" s="135"/>
      <c r="J3406" s="136"/>
      <c r="K3406" s="137"/>
      <c r="L3406" s="137"/>
    </row>
    <row r="3407" spans="2:12">
      <c r="B3407" s="133"/>
      <c r="C3407" s="14"/>
      <c r="D3407" s="14"/>
      <c r="E3407" s="134"/>
      <c r="F3407" s="14"/>
      <c r="G3407" s="69"/>
      <c r="H3407" s="69"/>
      <c r="I3407" s="135"/>
      <c r="J3407" s="136"/>
      <c r="K3407" s="137"/>
      <c r="L3407" s="137"/>
    </row>
    <row r="3408" spans="2:12">
      <c r="B3408" s="133"/>
      <c r="C3408" s="14"/>
      <c r="D3408" s="14"/>
      <c r="E3408" s="134"/>
      <c r="F3408" s="14"/>
      <c r="G3408" s="69"/>
      <c r="H3408" s="69"/>
      <c r="I3408" s="135"/>
      <c r="J3408" s="136"/>
      <c r="K3408" s="137"/>
      <c r="L3408" s="137"/>
    </row>
    <row r="3409" spans="2:12">
      <c r="B3409" s="133"/>
      <c r="C3409" s="14"/>
      <c r="D3409" s="14"/>
      <c r="E3409" s="134"/>
      <c r="F3409" s="14"/>
      <c r="G3409" s="69"/>
      <c r="H3409" s="69"/>
      <c r="I3409" s="135"/>
      <c r="J3409" s="136"/>
      <c r="K3409" s="137"/>
      <c r="L3409" s="137"/>
    </row>
    <row r="3410" spans="2:12">
      <c r="B3410" s="133"/>
      <c r="C3410" s="14"/>
      <c r="D3410" s="14"/>
      <c r="E3410" s="134"/>
      <c r="F3410" s="14"/>
      <c r="G3410" s="69"/>
      <c r="H3410" s="69"/>
      <c r="I3410" s="135"/>
      <c r="J3410" s="136"/>
      <c r="K3410" s="137"/>
      <c r="L3410" s="137"/>
    </row>
    <row r="3411" spans="2:12">
      <c r="B3411" s="133"/>
      <c r="C3411" s="14"/>
      <c r="D3411" s="14"/>
      <c r="E3411" s="134"/>
      <c r="F3411" s="14"/>
      <c r="G3411" s="69"/>
      <c r="H3411" s="69"/>
      <c r="I3411" s="135"/>
      <c r="J3411" s="136"/>
      <c r="K3411" s="137"/>
      <c r="L3411" s="137"/>
    </row>
    <row r="3412" spans="2:12">
      <c r="B3412" s="133"/>
      <c r="C3412" s="14"/>
      <c r="D3412" s="14"/>
      <c r="E3412" s="134"/>
      <c r="F3412" s="14"/>
      <c r="G3412" s="69"/>
      <c r="H3412" s="69"/>
      <c r="I3412" s="135"/>
      <c r="J3412" s="136"/>
      <c r="K3412" s="137"/>
      <c r="L3412" s="137"/>
    </row>
    <row r="3413" spans="2:12">
      <c r="B3413" s="133"/>
      <c r="C3413" s="14"/>
      <c r="D3413" s="14"/>
      <c r="E3413" s="134"/>
      <c r="F3413" s="14"/>
      <c r="G3413" s="69"/>
      <c r="H3413" s="69"/>
      <c r="I3413" s="135"/>
      <c r="J3413" s="136"/>
      <c r="K3413" s="137"/>
      <c r="L3413" s="137"/>
    </row>
    <row r="3414" spans="2:12">
      <c r="B3414" s="133"/>
      <c r="C3414" s="14"/>
      <c r="D3414" s="14"/>
      <c r="E3414" s="134"/>
      <c r="F3414" s="14"/>
      <c r="G3414" s="69"/>
      <c r="H3414" s="69"/>
      <c r="I3414" s="135"/>
      <c r="J3414" s="136"/>
      <c r="K3414" s="137"/>
      <c r="L3414" s="137"/>
    </row>
    <row r="3415" spans="2:12">
      <c r="B3415" s="133"/>
      <c r="C3415" s="14"/>
      <c r="D3415" s="14"/>
      <c r="E3415" s="134"/>
      <c r="F3415" s="14"/>
      <c r="G3415" s="69"/>
      <c r="H3415" s="69"/>
      <c r="I3415" s="135"/>
      <c r="J3415" s="136"/>
      <c r="K3415" s="137"/>
      <c r="L3415" s="137"/>
    </row>
    <row r="3416" spans="2:12">
      <c r="B3416" s="133"/>
      <c r="C3416" s="14"/>
      <c r="D3416" s="14"/>
      <c r="E3416" s="134"/>
      <c r="F3416" s="14"/>
      <c r="G3416" s="69"/>
      <c r="H3416" s="69"/>
      <c r="I3416" s="135"/>
      <c r="J3416" s="136"/>
      <c r="K3416" s="137"/>
      <c r="L3416" s="137"/>
    </row>
    <row r="3417" spans="2:12">
      <c r="B3417" s="133"/>
      <c r="C3417" s="14"/>
      <c r="D3417" s="14"/>
      <c r="E3417" s="134"/>
      <c r="F3417" s="14"/>
      <c r="G3417" s="69"/>
      <c r="H3417" s="69"/>
      <c r="I3417" s="135"/>
      <c r="J3417" s="136"/>
      <c r="K3417" s="137"/>
      <c r="L3417" s="137"/>
    </row>
    <row r="3418" spans="2:12">
      <c r="B3418" s="133"/>
      <c r="C3418" s="14"/>
      <c r="D3418" s="14"/>
      <c r="E3418" s="134"/>
      <c r="F3418" s="14"/>
      <c r="G3418" s="69"/>
      <c r="H3418" s="69"/>
      <c r="I3418" s="135"/>
      <c r="J3418" s="136"/>
      <c r="K3418" s="137"/>
      <c r="L3418" s="137"/>
    </row>
    <row r="3419" spans="2:12">
      <c r="B3419" s="133"/>
      <c r="C3419" s="14"/>
      <c r="D3419" s="14"/>
      <c r="E3419" s="134"/>
      <c r="F3419" s="14"/>
      <c r="G3419" s="69"/>
      <c r="H3419" s="69"/>
      <c r="I3419" s="135"/>
      <c r="J3419" s="136"/>
      <c r="K3419" s="137"/>
      <c r="L3419" s="137"/>
    </row>
    <row r="3420" spans="2:12">
      <c r="B3420" s="133"/>
      <c r="C3420" s="14"/>
      <c r="D3420" s="14"/>
      <c r="E3420" s="134"/>
      <c r="F3420" s="14"/>
      <c r="G3420" s="69"/>
      <c r="H3420" s="69"/>
      <c r="I3420" s="135"/>
      <c r="J3420" s="136"/>
      <c r="K3420" s="137"/>
      <c r="L3420" s="137"/>
    </row>
    <row r="3421" spans="2:12">
      <c r="B3421" s="133"/>
      <c r="C3421" s="14"/>
      <c r="D3421" s="14"/>
      <c r="E3421" s="134"/>
      <c r="F3421" s="14"/>
      <c r="G3421" s="69"/>
      <c r="H3421" s="69"/>
      <c r="I3421" s="135"/>
      <c r="J3421" s="136"/>
      <c r="K3421" s="137"/>
      <c r="L3421" s="137"/>
    </row>
    <row r="3422" spans="2:12">
      <c r="B3422" s="133"/>
      <c r="C3422" s="14"/>
      <c r="D3422" s="14"/>
      <c r="E3422" s="134"/>
      <c r="F3422" s="14"/>
      <c r="G3422" s="69"/>
      <c r="H3422" s="69"/>
      <c r="I3422" s="135"/>
      <c r="J3422" s="136"/>
      <c r="K3422" s="137"/>
      <c r="L3422" s="137"/>
    </row>
    <row r="3423" spans="2:12">
      <c r="B3423" s="133"/>
      <c r="C3423" s="14"/>
      <c r="D3423" s="14"/>
      <c r="E3423" s="134"/>
      <c r="F3423" s="14"/>
      <c r="G3423" s="69"/>
      <c r="H3423" s="69"/>
      <c r="I3423" s="135"/>
      <c r="J3423" s="136"/>
      <c r="K3423" s="137"/>
      <c r="L3423" s="137"/>
    </row>
    <row r="3424" spans="2:12">
      <c r="B3424" s="133"/>
      <c r="C3424" s="14"/>
      <c r="D3424" s="14"/>
      <c r="E3424" s="134"/>
      <c r="F3424" s="14"/>
      <c r="G3424" s="69"/>
      <c r="H3424" s="69"/>
      <c r="I3424" s="135"/>
      <c r="J3424" s="136"/>
      <c r="K3424" s="137"/>
      <c r="L3424" s="137"/>
    </row>
    <row r="3425" spans="2:12">
      <c r="B3425" s="133"/>
      <c r="C3425" s="14"/>
      <c r="D3425" s="14"/>
      <c r="E3425" s="134"/>
      <c r="F3425" s="14"/>
      <c r="G3425" s="69"/>
      <c r="H3425" s="69"/>
      <c r="I3425" s="135"/>
      <c r="J3425" s="136"/>
      <c r="K3425" s="137"/>
      <c r="L3425" s="137"/>
    </row>
    <row r="3426" spans="2:12">
      <c r="B3426" s="133"/>
      <c r="C3426" s="14"/>
      <c r="D3426" s="14"/>
      <c r="E3426" s="134"/>
      <c r="F3426" s="14"/>
      <c r="G3426" s="69"/>
      <c r="H3426" s="69"/>
      <c r="I3426" s="135"/>
      <c r="J3426" s="136"/>
      <c r="K3426" s="137"/>
      <c r="L3426" s="137"/>
    </row>
    <row r="3427" spans="2:12">
      <c r="B3427" s="133"/>
      <c r="C3427" s="14"/>
      <c r="D3427" s="14"/>
      <c r="E3427" s="134"/>
      <c r="F3427" s="14"/>
      <c r="G3427" s="69"/>
      <c r="H3427" s="69"/>
      <c r="I3427" s="135"/>
      <c r="J3427" s="136"/>
      <c r="K3427" s="137"/>
      <c r="L3427" s="137"/>
    </row>
    <row r="3428" spans="2:12">
      <c r="B3428" s="133"/>
      <c r="C3428" s="14"/>
      <c r="D3428" s="14"/>
      <c r="E3428" s="134"/>
      <c r="F3428" s="14"/>
      <c r="G3428" s="69"/>
      <c r="H3428" s="69"/>
      <c r="I3428" s="135"/>
      <c r="J3428" s="136"/>
      <c r="K3428" s="137"/>
      <c r="L3428" s="137"/>
    </row>
    <row r="3429" spans="2:12">
      <c r="B3429" s="133"/>
      <c r="C3429" s="14"/>
      <c r="D3429" s="14"/>
      <c r="E3429" s="134"/>
      <c r="F3429" s="14"/>
      <c r="G3429" s="69"/>
      <c r="H3429" s="69"/>
      <c r="I3429" s="135"/>
      <c r="J3429" s="136"/>
      <c r="K3429" s="137"/>
      <c r="L3429" s="137"/>
    </row>
    <row r="3430" spans="2:12">
      <c r="B3430" s="133"/>
      <c r="C3430" s="14"/>
      <c r="D3430" s="14"/>
      <c r="E3430" s="134"/>
      <c r="F3430" s="14"/>
      <c r="G3430" s="69"/>
      <c r="H3430" s="69"/>
      <c r="I3430" s="135"/>
      <c r="J3430" s="136"/>
      <c r="K3430" s="137"/>
      <c r="L3430" s="137"/>
    </row>
    <row r="3431" spans="2:12">
      <c r="B3431" s="133"/>
      <c r="C3431" s="14"/>
      <c r="D3431" s="14"/>
      <c r="E3431" s="134"/>
      <c r="F3431" s="14"/>
      <c r="G3431" s="69"/>
      <c r="H3431" s="69"/>
      <c r="I3431" s="135"/>
      <c r="J3431" s="136"/>
      <c r="K3431" s="137"/>
      <c r="L3431" s="137"/>
    </row>
    <row r="3432" spans="2:12">
      <c r="B3432" s="133"/>
      <c r="C3432" s="14"/>
      <c r="D3432" s="14"/>
      <c r="E3432" s="134"/>
      <c r="F3432" s="14"/>
      <c r="G3432" s="69"/>
      <c r="H3432" s="69"/>
      <c r="I3432" s="135"/>
      <c r="J3432" s="136"/>
      <c r="K3432" s="137"/>
      <c r="L3432" s="137"/>
    </row>
    <row r="3433" spans="2:12">
      <c r="B3433" s="133"/>
      <c r="C3433" s="14"/>
      <c r="D3433" s="14"/>
      <c r="E3433" s="134"/>
      <c r="F3433" s="14"/>
      <c r="G3433" s="69"/>
      <c r="H3433" s="69"/>
      <c r="I3433" s="135"/>
      <c r="J3433" s="136"/>
      <c r="K3433" s="137"/>
      <c r="L3433" s="137"/>
    </row>
    <row r="3434" spans="2:12">
      <c r="B3434" s="133"/>
      <c r="C3434" s="14"/>
      <c r="D3434" s="14"/>
      <c r="E3434" s="134"/>
      <c r="F3434" s="14"/>
      <c r="G3434" s="69"/>
      <c r="H3434" s="69"/>
      <c r="I3434" s="135"/>
      <c r="J3434" s="136"/>
      <c r="K3434" s="137"/>
      <c r="L3434" s="137"/>
    </row>
    <row r="3435" spans="2:12">
      <c r="B3435" s="133"/>
      <c r="C3435" s="14"/>
      <c r="D3435" s="14"/>
      <c r="E3435" s="134"/>
      <c r="F3435" s="14"/>
      <c r="G3435" s="69"/>
      <c r="H3435" s="69"/>
      <c r="I3435" s="135"/>
      <c r="J3435" s="136"/>
      <c r="K3435" s="137"/>
      <c r="L3435" s="137"/>
    </row>
    <row r="3436" spans="2:12">
      <c r="B3436" s="133"/>
      <c r="C3436" s="14"/>
      <c r="D3436" s="14"/>
      <c r="E3436" s="134"/>
      <c r="F3436" s="14"/>
      <c r="G3436" s="69"/>
      <c r="H3436" s="69"/>
      <c r="I3436" s="135"/>
      <c r="J3436" s="136"/>
      <c r="K3436" s="137"/>
      <c r="L3436" s="137"/>
    </row>
    <row r="3437" spans="2:12">
      <c r="B3437" s="133"/>
      <c r="C3437" s="14"/>
      <c r="D3437" s="14"/>
      <c r="E3437" s="134"/>
      <c r="F3437" s="14"/>
      <c r="G3437" s="69"/>
      <c r="H3437" s="69"/>
      <c r="I3437" s="135"/>
      <c r="J3437" s="136"/>
      <c r="K3437" s="137"/>
      <c r="L3437" s="137"/>
    </row>
    <row r="3438" spans="2:12">
      <c r="B3438" s="133"/>
      <c r="C3438" s="14"/>
      <c r="D3438" s="14"/>
      <c r="E3438" s="134"/>
      <c r="F3438" s="14"/>
      <c r="G3438" s="69"/>
      <c r="H3438" s="69"/>
      <c r="I3438" s="135"/>
      <c r="J3438" s="136"/>
      <c r="K3438" s="137"/>
      <c r="L3438" s="137"/>
    </row>
    <row r="3439" spans="2:12">
      <c r="B3439" s="133"/>
      <c r="C3439" s="14"/>
      <c r="D3439" s="14"/>
      <c r="E3439" s="134"/>
      <c r="F3439" s="14"/>
      <c r="G3439" s="69"/>
      <c r="H3439" s="69"/>
      <c r="I3439" s="135"/>
      <c r="J3439" s="136"/>
      <c r="K3439" s="137"/>
      <c r="L3439" s="137"/>
    </row>
    <row r="3440" spans="2:12">
      <c r="B3440" s="133"/>
      <c r="C3440" s="14"/>
      <c r="D3440" s="14"/>
      <c r="E3440" s="134"/>
      <c r="F3440" s="14"/>
      <c r="G3440" s="69"/>
      <c r="H3440" s="69"/>
      <c r="I3440" s="135"/>
      <c r="J3440" s="136"/>
      <c r="K3440" s="137"/>
      <c r="L3440" s="137"/>
    </row>
    <row r="3441" spans="2:12">
      <c r="B3441" s="133"/>
      <c r="C3441" s="14"/>
      <c r="D3441" s="14"/>
      <c r="E3441" s="134"/>
      <c r="F3441" s="14"/>
      <c r="G3441" s="69"/>
      <c r="H3441" s="69"/>
      <c r="I3441" s="135"/>
      <c r="J3441" s="136"/>
      <c r="K3441" s="137"/>
      <c r="L3441" s="137"/>
    </row>
    <row r="3442" spans="2:12">
      <c r="B3442" s="133"/>
      <c r="C3442" s="14"/>
      <c r="D3442" s="14"/>
      <c r="E3442" s="134"/>
      <c r="F3442" s="14"/>
      <c r="G3442" s="69"/>
      <c r="H3442" s="69"/>
      <c r="I3442" s="135"/>
      <c r="J3442" s="136"/>
      <c r="K3442" s="137"/>
      <c r="L3442" s="137"/>
    </row>
    <row r="3443" spans="2:12">
      <c r="B3443" s="133"/>
      <c r="C3443" s="14"/>
      <c r="D3443" s="14"/>
      <c r="E3443" s="134"/>
      <c r="F3443" s="14"/>
      <c r="G3443" s="69"/>
      <c r="H3443" s="69"/>
      <c r="I3443" s="135"/>
      <c r="J3443" s="136"/>
      <c r="K3443" s="137"/>
      <c r="L3443" s="137"/>
    </row>
    <row r="3444" spans="2:12">
      <c r="B3444" s="133"/>
      <c r="C3444" s="14"/>
      <c r="D3444" s="14"/>
      <c r="E3444" s="134"/>
      <c r="F3444" s="14"/>
      <c r="G3444" s="69"/>
      <c r="H3444" s="69"/>
      <c r="I3444" s="135"/>
      <c r="J3444" s="136"/>
      <c r="K3444" s="137"/>
      <c r="L3444" s="137"/>
    </row>
    <row r="3445" spans="2:12">
      <c r="B3445" s="133"/>
      <c r="C3445" s="14"/>
      <c r="D3445" s="14"/>
      <c r="E3445" s="134"/>
      <c r="F3445" s="14"/>
      <c r="G3445" s="69"/>
      <c r="H3445" s="69"/>
      <c r="I3445" s="135"/>
      <c r="J3445" s="136"/>
      <c r="K3445" s="137"/>
      <c r="L3445" s="137"/>
    </row>
    <row r="3446" spans="2:12">
      <c r="B3446" s="133"/>
      <c r="C3446" s="14"/>
      <c r="D3446" s="14"/>
      <c r="E3446" s="134"/>
      <c r="F3446" s="14"/>
      <c r="G3446" s="69"/>
      <c r="H3446" s="69"/>
      <c r="I3446" s="135"/>
      <c r="J3446" s="136"/>
      <c r="K3446" s="137"/>
      <c r="L3446" s="137"/>
    </row>
    <row r="3447" spans="2:12">
      <c r="B3447" s="133"/>
      <c r="C3447" s="14"/>
      <c r="D3447" s="14"/>
      <c r="E3447" s="134"/>
      <c r="F3447" s="14"/>
      <c r="G3447" s="69"/>
      <c r="H3447" s="69"/>
      <c r="I3447" s="135"/>
      <c r="J3447" s="136"/>
      <c r="K3447" s="137"/>
      <c r="L3447" s="137"/>
    </row>
    <row r="3448" spans="2:12">
      <c r="B3448" s="133"/>
      <c r="C3448" s="14"/>
      <c r="D3448" s="14"/>
      <c r="E3448" s="134"/>
      <c r="F3448" s="14"/>
      <c r="G3448" s="69"/>
      <c r="H3448" s="69"/>
      <c r="I3448" s="135"/>
      <c r="J3448" s="136"/>
      <c r="K3448" s="137"/>
      <c r="L3448" s="137"/>
    </row>
    <row r="3449" spans="2:12">
      <c r="B3449" s="133"/>
      <c r="C3449" s="14"/>
      <c r="D3449" s="14"/>
      <c r="E3449" s="134"/>
      <c r="F3449" s="14"/>
      <c r="G3449" s="69"/>
      <c r="H3449" s="69"/>
      <c r="I3449" s="135"/>
      <c r="J3449" s="136"/>
      <c r="K3449" s="137"/>
      <c r="L3449" s="137"/>
    </row>
    <row r="3450" spans="2:12">
      <c r="B3450" s="133"/>
      <c r="C3450" s="14"/>
      <c r="D3450" s="14"/>
      <c r="E3450" s="134"/>
      <c r="F3450" s="14"/>
      <c r="G3450" s="69"/>
      <c r="H3450" s="69"/>
      <c r="I3450" s="135"/>
      <c r="J3450" s="136"/>
      <c r="K3450" s="137"/>
      <c r="L3450" s="137"/>
    </row>
    <row r="3451" spans="2:12">
      <c r="B3451" s="133"/>
      <c r="C3451" s="14"/>
      <c r="D3451" s="14"/>
      <c r="E3451" s="134"/>
      <c r="F3451" s="14"/>
      <c r="G3451" s="69"/>
      <c r="H3451" s="69"/>
      <c r="I3451" s="135"/>
      <c r="J3451" s="136"/>
      <c r="K3451" s="137"/>
      <c r="L3451" s="137"/>
    </row>
    <row r="3452" spans="2:12">
      <c r="B3452" s="133"/>
      <c r="C3452" s="14"/>
      <c r="D3452" s="14"/>
      <c r="E3452" s="134"/>
      <c r="F3452" s="14"/>
      <c r="G3452" s="69"/>
      <c r="H3452" s="69"/>
      <c r="I3452" s="135"/>
      <c r="J3452" s="136"/>
      <c r="K3452" s="137"/>
      <c r="L3452" s="137"/>
    </row>
    <row r="3453" spans="2:12">
      <c r="B3453" s="133"/>
      <c r="C3453" s="14"/>
      <c r="D3453" s="14"/>
      <c r="E3453" s="134"/>
      <c r="F3453" s="14"/>
      <c r="G3453" s="69"/>
      <c r="H3453" s="69"/>
      <c r="I3453" s="135"/>
      <c r="J3453" s="136"/>
      <c r="K3453" s="137"/>
      <c r="L3453" s="137"/>
    </row>
    <row r="3454" spans="2:12">
      <c r="B3454" s="133"/>
      <c r="C3454" s="14"/>
      <c r="D3454" s="14"/>
      <c r="E3454" s="134"/>
      <c r="F3454" s="14"/>
      <c r="G3454" s="69"/>
      <c r="H3454" s="69"/>
      <c r="I3454" s="135"/>
      <c r="J3454" s="136"/>
      <c r="K3454" s="137"/>
      <c r="L3454" s="137"/>
    </row>
    <row r="3455" spans="2:12">
      <c r="B3455" s="133"/>
      <c r="C3455" s="14"/>
      <c r="D3455" s="14"/>
      <c r="E3455" s="134"/>
      <c r="F3455" s="14"/>
      <c r="G3455" s="69"/>
      <c r="H3455" s="69"/>
      <c r="I3455" s="135"/>
      <c r="J3455" s="136"/>
      <c r="K3455" s="137"/>
      <c r="L3455" s="137"/>
    </row>
    <row r="3456" spans="2:12">
      <c r="B3456" s="133"/>
      <c r="C3456" s="14"/>
      <c r="D3456" s="14"/>
      <c r="E3456" s="134"/>
      <c r="F3456" s="14"/>
      <c r="G3456" s="69"/>
      <c r="H3456" s="69"/>
      <c r="I3456" s="135"/>
      <c r="J3456" s="136"/>
      <c r="K3456" s="137"/>
      <c r="L3456" s="137"/>
    </row>
    <row r="3457" spans="2:12">
      <c r="B3457" s="133"/>
      <c r="C3457" s="14"/>
      <c r="D3457" s="14"/>
      <c r="E3457" s="134"/>
      <c r="F3457" s="14"/>
      <c r="G3457" s="69"/>
      <c r="H3457" s="69"/>
      <c r="I3457" s="135"/>
      <c r="J3457" s="136"/>
      <c r="K3457" s="137"/>
      <c r="L3457" s="137"/>
    </row>
    <row r="3458" spans="2:12">
      <c r="B3458" s="133"/>
      <c r="C3458" s="14"/>
      <c r="D3458" s="14"/>
      <c r="E3458" s="134"/>
      <c r="F3458" s="14"/>
      <c r="G3458" s="69"/>
      <c r="H3458" s="69"/>
      <c r="I3458" s="135"/>
      <c r="J3458" s="136"/>
      <c r="K3458" s="137"/>
      <c r="L3458" s="137"/>
    </row>
    <row r="3459" spans="2:12">
      <c r="B3459" s="133"/>
      <c r="C3459" s="14"/>
      <c r="D3459" s="14"/>
      <c r="E3459" s="134"/>
      <c r="F3459" s="14"/>
      <c r="G3459" s="69"/>
      <c r="H3459" s="69"/>
      <c r="I3459" s="135"/>
      <c r="J3459" s="136"/>
      <c r="K3459" s="137"/>
      <c r="L3459" s="137"/>
    </row>
    <row r="3460" spans="2:12">
      <c r="B3460" s="133"/>
      <c r="C3460" s="14"/>
      <c r="D3460" s="14"/>
      <c r="E3460" s="134"/>
      <c r="F3460" s="14"/>
      <c r="G3460" s="69"/>
      <c r="H3460" s="69"/>
      <c r="I3460" s="135"/>
      <c r="J3460" s="136"/>
      <c r="K3460" s="137"/>
      <c r="L3460" s="137"/>
    </row>
    <row r="3461" spans="2:12">
      <c r="B3461" s="133"/>
      <c r="C3461" s="14"/>
      <c r="D3461" s="14"/>
      <c r="E3461" s="134"/>
      <c r="F3461" s="14"/>
      <c r="G3461" s="69"/>
      <c r="H3461" s="69"/>
      <c r="I3461" s="135"/>
      <c r="J3461" s="136"/>
      <c r="K3461" s="137"/>
      <c r="L3461" s="137"/>
    </row>
    <row r="3462" spans="2:12">
      <c r="B3462" s="133"/>
      <c r="C3462" s="14"/>
      <c r="D3462" s="14"/>
      <c r="E3462" s="134"/>
      <c r="F3462" s="14"/>
      <c r="G3462" s="69"/>
      <c r="H3462" s="69"/>
      <c r="I3462" s="135"/>
      <c r="J3462" s="136"/>
      <c r="K3462" s="137"/>
      <c r="L3462" s="137"/>
    </row>
    <row r="3463" spans="2:12">
      <c r="B3463" s="133"/>
      <c r="C3463" s="14"/>
      <c r="D3463" s="14"/>
      <c r="E3463" s="134"/>
      <c r="F3463" s="14"/>
      <c r="G3463" s="69"/>
      <c r="H3463" s="69"/>
      <c r="I3463" s="135"/>
      <c r="J3463" s="136"/>
      <c r="K3463" s="137"/>
      <c r="L3463" s="137"/>
    </row>
    <row r="3464" spans="2:12">
      <c r="B3464" s="133"/>
      <c r="C3464" s="14"/>
      <c r="D3464" s="14"/>
      <c r="E3464" s="134"/>
      <c r="F3464" s="14"/>
      <c r="G3464" s="69"/>
      <c r="H3464" s="69"/>
      <c r="I3464" s="135"/>
      <c r="J3464" s="136"/>
      <c r="K3464" s="137"/>
      <c r="L3464" s="137"/>
    </row>
    <row r="3465" spans="2:12">
      <c r="B3465" s="133"/>
      <c r="C3465" s="14"/>
      <c r="D3465" s="14"/>
      <c r="E3465" s="134"/>
      <c r="F3465" s="14"/>
      <c r="G3465" s="69"/>
      <c r="H3465" s="69"/>
      <c r="I3465" s="135"/>
      <c r="J3465" s="136"/>
      <c r="K3465" s="137"/>
      <c r="L3465" s="137"/>
    </row>
    <row r="3466" spans="2:12">
      <c r="B3466" s="133"/>
      <c r="C3466" s="14"/>
      <c r="D3466" s="14"/>
      <c r="E3466" s="134"/>
      <c r="F3466" s="14"/>
      <c r="G3466" s="69"/>
      <c r="H3466" s="69"/>
      <c r="I3466" s="135"/>
      <c r="J3466" s="136"/>
      <c r="K3466" s="137"/>
      <c r="L3466" s="137"/>
    </row>
    <row r="3467" spans="2:12">
      <c r="B3467" s="133"/>
      <c r="C3467" s="14"/>
      <c r="D3467" s="14"/>
      <c r="E3467" s="134"/>
      <c r="F3467" s="14"/>
      <c r="G3467" s="69"/>
      <c r="H3467" s="69"/>
      <c r="I3467" s="135"/>
      <c r="J3467" s="136"/>
      <c r="K3467" s="137"/>
      <c r="L3467" s="137"/>
    </row>
    <row r="3468" spans="2:12">
      <c r="B3468" s="133"/>
      <c r="C3468" s="14"/>
      <c r="D3468" s="14"/>
      <c r="E3468" s="134"/>
      <c r="F3468" s="14"/>
      <c r="G3468" s="69"/>
      <c r="H3468" s="69"/>
      <c r="I3468" s="135"/>
      <c r="J3468" s="136"/>
      <c r="K3468" s="137"/>
      <c r="L3468" s="137"/>
    </row>
    <row r="3469" spans="2:12">
      <c r="B3469" s="133"/>
      <c r="C3469" s="14"/>
      <c r="D3469" s="14"/>
      <c r="E3469" s="134"/>
      <c r="F3469" s="14"/>
      <c r="G3469" s="69"/>
      <c r="H3469" s="69"/>
      <c r="I3469" s="135"/>
      <c r="J3469" s="136"/>
      <c r="K3469" s="137"/>
      <c r="L3469" s="137"/>
    </row>
    <row r="3470" spans="2:12">
      <c r="B3470" s="133"/>
      <c r="C3470" s="14"/>
      <c r="D3470" s="14"/>
      <c r="E3470" s="134"/>
      <c r="F3470" s="14"/>
      <c r="G3470" s="69"/>
      <c r="H3470" s="69"/>
      <c r="I3470" s="135"/>
      <c r="J3470" s="136"/>
      <c r="K3470" s="137"/>
      <c r="L3470" s="137"/>
    </row>
    <row r="3471" spans="2:12">
      <c r="B3471" s="133"/>
      <c r="C3471" s="14"/>
      <c r="D3471" s="14"/>
      <c r="E3471" s="134"/>
      <c r="F3471" s="14"/>
      <c r="G3471" s="69"/>
      <c r="H3471" s="69"/>
      <c r="I3471" s="135"/>
      <c r="J3471" s="136"/>
      <c r="K3471" s="137"/>
      <c r="L3471" s="137"/>
    </row>
    <row r="3472" spans="2:12">
      <c r="B3472" s="133"/>
      <c r="C3472" s="14"/>
      <c r="D3472" s="14"/>
      <c r="E3472" s="134"/>
      <c r="F3472" s="14"/>
      <c r="G3472" s="69"/>
      <c r="H3472" s="69"/>
      <c r="I3472" s="135"/>
      <c r="J3472" s="136"/>
      <c r="K3472" s="137"/>
      <c r="L3472" s="137"/>
    </row>
    <row r="3473" spans="2:12">
      <c r="B3473" s="133"/>
      <c r="C3473" s="14"/>
      <c r="D3473" s="14"/>
      <c r="E3473" s="134"/>
      <c r="F3473" s="14"/>
      <c r="G3473" s="69"/>
      <c r="H3473" s="69"/>
      <c r="I3473" s="135"/>
      <c r="J3473" s="136"/>
      <c r="K3473" s="137"/>
      <c r="L3473" s="137"/>
    </row>
    <row r="3474" spans="2:12">
      <c r="B3474" s="133"/>
      <c r="C3474" s="14"/>
      <c r="D3474" s="14"/>
      <c r="E3474" s="134"/>
      <c r="F3474" s="14"/>
      <c r="G3474" s="69"/>
      <c r="H3474" s="69"/>
      <c r="I3474" s="135"/>
      <c r="J3474" s="136"/>
      <c r="K3474" s="137"/>
      <c r="L3474" s="137"/>
    </row>
    <row r="3475" spans="2:12">
      <c r="B3475" s="133"/>
      <c r="C3475" s="14"/>
      <c r="D3475" s="14"/>
      <c r="E3475" s="134"/>
      <c r="F3475" s="14"/>
      <c r="G3475" s="69"/>
      <c r="H3475" s="69"/>
      <c r="I3475" s="135"/>
      <c r="J3475" s="136"/>
      <c r="K3475" s="137"/>
      <c r="L3475" s="137"/>
    </row>
    <row r="3476" spans="2:12">
      <c r="B3476" s="133"/>
      <c r="C3476" s="14"/>
      <c r="D3476" s="14"/>
      <c r="E3476" s="134"/>
      <c r="F3476" s="14"/>
      <c r="G3476" s="69"/>
      <c r="H3476" s="69"/>
      <c r="I3476" s="135"/>
      <c r="J3476" s="136"/>
      <c r="K3476" s="137"/>
      <c r="L3476" s="137"/>
    </row>
    <row r="3477" spans="2:12">
      <c r="B3477" s="133"/>
      <c r="C3477" s="14"/>
      <c r="D3477" s="14"/>
      <c r="E3477" s="134"/>
      <c r="F3477" s="14"/>
      <c r="G3477" s="69"/>
      <c r="H3477" s="69"/>
      <c r="I3477" s="135"/>
      <c r="J3477" s="136"/>
      <c r="K3477" s="137"/>
      <c r="L3477" s="137"/>
    </row>
    <row r="3478" spans="2:12">
      <c r="B3478" s="133"/>
      <c r="C3478" s="14"/>
      <c r="D3478" s="14"/>
      <c r="E3478" s="134"/>
      <c r="F3478" s="14"/>
      <c r="G3478" s="69"/>
      <c r="H3478" s="69"/>
      <c r="I3478" s="135"/>
      <c r="J3478" s="136"/>
      <c r="K3478" s="137"/>
      <c r="L3478" s="137"/>
    </row>
    <row r="3479" spans="2:12">
      <c r="B3479" s="133"/>
      <c r="C3479" s="14"/>
      <c r="D3479" s="14"/>
      <c r="E3479" s="134"/>
      <c r="F3479" s="14"/>
      <c r="G3479" s="69"/>
      <c r="H3479" s="69"/>
      <c r="I3479" s="135"/>
      <c r="J3479" s="136"/>
      <c r="K3479" s="137"/>
      <c r="L3479" s="137"/>
    </row>
    <row r="3480" spans="2:12">
      <c r="B3480" s="133"/>
      <c r="C3480" s="14"/>
      <c r="D3480" s="14"/>
      <c r="E3480" s="134"/>
      <c r="F3480" s="14"/>
      <c r="G3480" s="69"/>
      <c r="H3480" s="69"/>
      <c r="I3480" s="135"/>
      <c r="J3480" s="136"/>
      <c r="K3480" s="137"/>
      <c r="L3480" s="137"/>
    </row>
    <row r="3481" spans="2:12">
      <c r="B3481" s="133"/>
      <c r="C3481" s="14"/>
      <c r="D3481" s="14"/>
      <c r="E3481" s="134"/>
      <c r="F3481" s="14"/>
      <c r="G3481" s="69"/>
      <c r="H3481" s="69"/>
      <c r="I3481" s="135"/>
      <c r="J3481" s="136"/>
      <c r="K3481" s="137"/>
      <c r="L3481" s="137"/>
    </row>
    <row r="3482" spans="2:12">
      <c r="B3482" s="133"/>
      <c r="C3482" s="14"/>
      <c r="D3482" s="14"/>
      <c r="E3482" s="134"/>
      <c r="F3482" s="14"/>
      <c r="G3482" s="69"/>
      <c r="H3482" s="69"/>
      <c r="I3482" s="135"/>
      <c r="J3482" s="136"/>
      <c r="K3482" s="137"/>
      <c r="L3482" s="137"/>
    </row>
    <row r="3483" spans="2:12">
      <c r="B3483" s="133"/>
      <c r="C3483" s="14"/>
      <c r="D3483" s="14"/>
      <c r="E3483" s="134"/>
      <c r="F3483" s="14"/>
      <c r="G3483" s="69"/>
      <c r="H3483" s="69"/>
      <c r="I3483" s="135"/>
      <c r="J3483" s="136"/>
      <c r="K3483" s="137"/>
      <c r="L3483" s="137"/>
    </row>
    <row r="3484" spans="2:12">
      <c r="B3484" s="133"/>
      <c r="C3484" s="14"/>
      <c r="D3484" s="14"/>
      <c r="E3484" s="134"/>
      <c r="F3484" s="14"/>
      <c r="G3484" s="69"/>
      <c r="H3484" s="69"/>
      <c r="I3484" s="135"/>
      <c r="J3484" s="136"/>
      <c r="K3484" s="137"/>
      <c r="L3484" s="137"/>
    </row>
    <row r="3485" spans="2:12">
      <c r="B3485" s="133"/>
      <c r="C3485" s="14"/>
      <c r="D3485" s="14"/>
      <c r="E3485" s="134"/>
      <c r="F3485" s="14"/>
      <c r="G3485" s="69"/>
      <c r="H3485" s="69"/>
      <c r="I3485" s="135"/>
      <c r="J3485" s="136"/>
      <c r="K3485" s="137"/>
      <c r="L3485" s="137"/>
    </row>
    <row r="3486" spans="2:12">
      <c r="B3486" s="133"/>
      <c r="C3486" s="14"/>
      <c r="D3486" s="14"/>
      <c r="E3486" s="134"/>
      <c r="F3486" s="14"/>
      <c r="G3486" s="69"/>
      <c r="H3486" s="69"/>
      <c r="I3486" s="135"/>
      <c r="J3486" s="136"/>
      <c r="K3486" s="137"/>
      <c r="L3486" s="137"/>
    </row>
    <row r="3487" spans="2:12">
      <c r="B3487" s="133"/>
      <c r="C3487" s="14"/>
      <c r="D3487" s="14"/>
      <c r="E3487" s="134"/>
      <c r="F3487" s="14"/>
      <c r="G3487" s="69"/>
      <c r="H3487" s="69"/>
      <c r="I3487" s="135"/>
      <c r="J3487" s="136"/>
      <c r="K3487" s="137"/>
      <c r="L3487" s="137"/>
    </row>
    <row r="3488" spans="2:12">
      <c r="B3488" s="133"/>
      <c r="C3488" s="14"/>
      <c r="D3488" s="14"/>
      <c r="E3488" s="134"/>
      <c r="F3488" s="14"/>
      <c r="G3488" s="69"/>
      <c r="H3488" s="69"/>
      <c r="I3488" s="135"/>
      <c r="J3488" s="136"/>
      <c r="K3488" s="137"/>
      <c r="L3488" s="137"/>
    </row>
    <row r="3489" spans="2:12">
      <c r="B3489" s="133"/>
      <c r="C3489" s="14"/>
      <c r="D3489" s="14"/>
      <c r="E3489" s="134"/>
      <c r="F3489" s="14"/>
      <c r="G3489" s="69"/>
      <c r="H3489" s="69"/>
      <c r="I3489" s="135"/>
      <c r="J3489" s="136"/>
      <c r="K3489" s="137"/>
      <c r="L3489" s="137"/>
    </row>
    <row r="3490" spans="2:12">
      <c r="B3490" s="133"/>
      <c r="C3490" s="14"/>
      <c r="D3490" s="14"/>
      <c r="E3490" s="134"/>
      <c r="F3490" s="14"/>
      <c r="G3490" s="69"/>
      <c r="H3490" s="69"/>
      <c r="I3490" s="135"/>
      <c r="J3490" s="136"/>
      <c r="K3490" s="137"/>
      <c r="L3490" s="137"/>
    </row>
    <row r="3491" spans="2:12">
      <c r="B3491" s="133"/>
      <c r="C3491" s="14"/>
      <c r="D3491" s="14"/>
      <c r="E3491" s="134"/>
      <c r="F3491" s="14"/>
      <c r="G3491" s="69"/>
      <c r="H3491" s="69"/>
      <c r="I3491" s="135"/>
      <c r="J3491" s="136"/>
      <c r="K3491" s="137"/>
      <c r="L3491" s="137"/>
    </row>
    <row r="3492" spans="2:12">
      <c r="B3492" s="133"/>
      <c r="C3492" s="14"/>
      <c r="D3492" s="14"/>
      <c r="E3492" s="134"/>
      <c r="F3492" s="14"/>
      <c r="G3492" s="69"/>
      <c r="H3492" s="69"/>
      <c r="I3492" s="135"/>
      <c r="J3492" s="136"/>
      <c r="K3492" s="137"/>
      <c r="L3492" s="137"/>
    </row>
    <row r="3493" spans="2:12">
      <c r="B3493" s="133"/>
      <c r="C3493" s="14"/>
      <c r="D3493" s="14"/>
      <c r="E3493" s="134"/>
      <c r="F3493" s="14"/>
      <c r="G3493" s="69"/>
      <c r="H3493" s="69"/>
      <c r="I3493" s="135"/>
      <c r="J3493" s="136"/>
      <c r="K3493" s="137"/>
      <c r="L3493" s="137"/>
    </row>
    <row r="3494" spans="2:12">
      <c r="B3494" s="133"/>
      <c r="C3494" s="14"/>
      <c r="D3494" s="14"/>
      <c r="E3494" s="134"/>
      <c r="F3494" s="14"/>
      <c r="G3494" s="69"/>
      <c r="H3494" s="69"/>
      <c r="I3494" s="135"/>
      <c r="J3494" s="136"/>
      <c r="K3494" s="137"/>
      <c r="L3494" s="137"/>
    </row>
    <row r="3495" spans="2:12">
      <c r="B3495" s="133"/>
      <c r="C3495" s="14"/>
      <c r="D3495" s="14"/>
      <c r="E3495" s="134"/>
      <c r="F3495" s="14"/>
      <c r="G3495" s="69"/>
      <c r="H3495" s="69"/>
      <c r="I3495" s="135"/>
      <c r="J3495" s="136"/>
      <c r="K3495" s="137"/>
      <c r="L3495" s="137"/>
    </row>
    <row r="3496" spans="2:12">
      <c r="B3496" s="133"/>
      <c r="C3496" s="14"/>
      <c r="D3496" s="14"/>
      <c r="E3496" s="134"/>
      <c r="F3496" s="14"/>
      <c r="G3496" s="69"/>
      <c r="H3496" s="69"/>
      <c r="I3496" s="135"/>
      <c r="J3496" s="136"/>
      <c r="K3496" s="137"/>
      <c r="L3496" s="137"/>
    </row>
    <row r="3497" spans="2:12">
      <c r="B3497" s="133"/>
      <c r="C3497" s="14"/>
      <c r="D3497" s="14"/>
      <c r="E3497" s="134"/>
      <c r="F3497" s="14"/>
      <c r="G3497" s="69"/>
      <c r="H3497" s="69"/>
      <c r="I3497" s="135"/>
      <c r="J3497" s="136"/>
      <c r="K3497" s="137"/>
      <c r="L3497" s="137"/>
    </row>
    <row r="3498" spans="2:12">
      <c r="B3498" s="133"/>
      <c r="C3498" s="14"/>
      <c r="D3498" s="14"/>
      <c r="E3498" s="134"/>
      <c r="F3498" s="14"/>
      <c r="G3498" s="69"/>
      <c r="H3498" s="69"/>
      <c r="I3498" s="135"/>
      <c r="J3498" s="136"/>
      <c r="K3498" s="137"/>
      <c r="L3498" s="137"/>
    </row>
    <row r="3499" spans="2:12">
      <c r="B3499" s="133"/>
      <c r="C3499" s="14"/>
      <c r="D3499" s="14"/>
      <c r="E3499" s="134"/>
      <c r="F3499" s="14"/>
      <c r="G3499" s="69"/>
      <c r="H3499" s="69"/>
      <c r="I3499" s="135"/>
      <c r="J3499" s="136"/>
      <c r="K3499" s="137"/>
      <c r="L3499" s="137"/>
    </row>
    <row r="3500" spans="2:12">
      <c r="B3500" s="133"/>
      <c r="C3500" s="14"/>
      <c r="D3500" s="14"/>
      <c r="E3500" s="134"/>
      <c r="F3500" s="14"/>
      <c r="G3500" s="69"/>
      <c r="H3500" s="69"/>
      <c r="I3500" s="135"/>
      <c r="J3500" s="136"/>
      <c r="K3500" s="137"/>
      <c r="L3500" s="137"/>
    </row>
    <row r="3501" spans="2:12">
      <c r="B3501" s="133"/>
      <c r="C3501" s="14"/>
      <c r="D3501" s="14"/>
      <c r="E3501" s="134"/>
      <c r="F3501" s="14"/>
      <c r="G3501" s="69"/>
      <c r="H3501" s="69"/>
      <c r="I3501" s="135"/>
      <c r="J3501" s="136"/>
      <c r="K3501" s="137"/>
      <c r="L3501" s="137"/>
    </row>
    <row r="3502" spans="2:12">
      <c r="B3502" s="133"/>
      <c r="C3502" s="14"/>
      <c r="D3502" s="14"/>
      <c r="E3502" s="134"/>
      <c r="F3502" s="14"/>
      <c r="G3502" s="69"/>
      <c r="H3502" s="69"/>
      <c r="I3502" s="135"/>
      <c r="J3502" s="136"/>
      <c r="K3502" s="137"/>
      <c r="L3502" s="137"/>
    </row>
    <row r="3503" spans="2:12">
      <c r="B3503" s="133"/>
      <c r="C3503" s="14"/>
      <c r="D3503" s="14"/>
      <c r="E3503" s="134"/>
      <c r="F3503" s="14"/>
      <c r="G3503" s="69"/>
      <c r="H3503" s="69"/>
      <c r="I3503" s="135"/>
      <c r="J3503" s="136"/>
      <c r="K3503" s="137"/>
      <c r="L3503" s="137"/>
    </row>
    <row r="3504" spans="2:12">
      <c r="B3504" s="133"/>
      <c r="C3504" s="14"/>
      <c r="D3504" s="14"/>
      <c r="E3504" s="134"/>
      <c r="F3504" s="14"/>
      <c r="G3504" s="69"/>
      <c r="H3504" s="69"/>
      <c r="I3504" s="135"/>
      <c r="J3504" s="136"/>
      <c r="K3504" s="137"/>
      <c r="L3504" s="137"/>
    </row>
    <row r="3505" spans="2:12">
      <c r="B3505" s="133"/>
      <c r="C3505" s="14"/>
      <c r="D3505" s="14"/>
      <c r="E3505" s="134"/>
      <c r="F3505" s="14"/>
      <c r="G3505" s="69"/>
      <c r="H3505" s="69"/>
      <c r="I3505" s="135"/>
      <c r="J3505" s="136"/>
      <c r="K3505" s="137"/>
      <c r="L3505" s="137"/>
    </row>
    <row r="3506" spans="2:12">
      <c r="B3506" s="133"/>
      <c r="C3506" s="14"/>
      <c r="D3506" s="14"/>
      <c r="E3506" s="134"/>
      <c r="F3506" s="14"/>
      <c r="G3506" s="69"/>
      <c r="H3506" s="69"/>
      <c r="I3506" s="135"/>
      <c r="J3506" s="136"/>
      <c r="K3506" s="137"/>
      <c r="L3506" s="137"/>
    </row>
    <row r="3507" spans="2:12">
      <c r="B3507" s="133"/>
      <c r="C3507" s="14"/>
      <c r="D3507" s="14"/>
      <c r="E3507" s="134"/>
      <c r="F3507" s="14"/>
      <c r="G3507" s="69"/>
      <c r="H3507" s="69"/>
      <c r="I3507" s="135"/>
      <c r="J3507" s="136"/>
      <c r="K3507" s="137"/>
      <c r="L3507" s="137"/>
    </row>
    <row r="3508" spans="2:12">
      <c r="B3508" s="133"/>
      <c r="C3508" s="14"/>
      <c r="D3508" s="14"/>
      <c r="E3508" s="134"/>
      <c r="F3508" s="14"/>
      <c r="G3508" s="69"/>
      <c r="H3508" s="69"/>
      <c r="I3508" s="135"/>
      <c r="J3508" s="136"/>
      <c r="K3508" s="137"/>
      <c r="L3508" s="137"/>
    </row>
    <row r="3509" spans="2:12">
      <c r="B3509" s="133"/>
      <c r="C3509" s="14"/>
      <c r="D3509" s="14"/>
      <c r="E3509" s="134"/>
      <c r="F3509" s="14"/>
      <c r="G3509" s="69"/>
      <c r="H3509" s="69"/>
      <c r="I3509" s="135"/>
      <c r="J3509" s="136"/>
      <c r="K3509" s="137"/>
      <c r="L3509" s="137"/>
    </row>
    <row r="3510" spans="2:12">
      <c r="B3510" s="133"/>
      <c r="C3510" s="14"/>
      <c r="D3510" s="14"/>
      <c r="E3510" s="134"/>
      <c r="F3510" s="14"/>
      <c r="G3510" s="69"/>
      <c r="H3510" s="69"/>
      <c r="I3510" s="135"/>
      <c r="J3510" s="136"/>
      <c r="K3510" s="137"/>
      <c r="L3510" s="137"/>
    </row>
    <row r="3511" spans="2:12">
      <c r="B3511" s="133"/>
      <c r="C3511" s="14"/>
      <c r="D3511" s="14"/>
      <c r="E3511" s="134"/>
      <c r="F3511" s="14"/>
      <c r="G3511" s="69"/>
      <c r="H3511" s="69"/>
      <c r="I3511" s="135"/>
      <c r="J3511" s="136"/>
      <c r="K3511" s="137"/>
      <c r="L3511" s="137"/>
    </row>
    <row r="3512" spans="2:12">
      <c r="B3512" s="133"/>
      <c r="C3512" s="14"/>
      <c r="D3512" s="14"/>
      <c r="E3512" s="134"/>
      <c r="F3512" s="14"/>
      <c r="G3512" s="69"/>
      <c r="H3512" s="69"/>
      <c r="I3512" s="135"/>
      <c r="J3512" s="136"/>
      <c r="K3512" s="137"/>
      <c r="L3512" s="137"/>
    </row>
    <row r="3513" spans="2:12">
      <c r="B3513" s="133"/>
      <c r="C3513" s="14"/>
      <c r="D3513" s="14"/>
      <c r="E3513" s="134"/>
      <c r="F3513" s="14"/>
      <c r="G3513" s="69"/>
      <c r="H3513" s="69"/>
      <c r="I3513" s="135"/>
      <c r="J3513" s="136"/>
      <c r="K3513" s="137"/>
      <c r="L3513" s="137"/>
    </row>
    <row r="3514" spans="2:12">
      <c r="B3514" s="133"/>
      <c r="C3514" s="14"/>
      <c r="D3514" s="14"/>
      <c r="E3514" s="134"/>
      <c r="F3514" s="14"/>
      <c r="G3514" s="69"/>
      <c r="H3514" s="69"/>
      <c r="I3514" s="135"/>
      <c r="J3514" s="136"/>
      <c r="K3514" s="137"/>
      <c r="L3514" s="137"/>
    </row>
    <row r="3515" spans="2:12">
      <c r="B3515" s="133"/>
      <c r="C3515" s="14"/>
      <c r="D3515" s="14"/>
      <c r="E3515" s="134"/>
      <c r="F3515" s="14"/>
      <c r="G3515" s="69"/>
      <c r="H3515" s="69"/>
      <c r="I3515" s="135"/>
      <c r="J3515" s="136"/>
      <c r="K3515" s="137"/>
      <c r="L3515" s="137"/>
    </row>
    <row r="3516" spans="2:12">
      <c r="B3516" s="133"/>
      <c r="C3516" s="14"/>
      <c r="D3516" s="14"/>
      <c r="E3516" s="134"/>
      <c r="F3516" s="14"/>
      <c r="G3516" s="69"/>
      <c r="H3516" s="69"/>
      <c r="I3516" s="135"/>
      <c r="J3516" s="136"/>
      <c r="K3516" s="137"/>
      <c r="L3516" s="137"/>
    </row>
    <row r="3517" spans="2:12">
      <c r="B3517" s="133"/>
      <c r="C3517" s="14"/>
      <c r="D3517" s="14"/>
      <c r="E3517" s="134"/>
      <c r="F3517" s="14"/>
      <c r="G3517" s="69"/>
      <c r="H3517" s="69"/>
      <c r="I3517" s="135"/>
      <c r="J3517" s="136"/>
      <c r="K3517" s="137"/>
      <c r="L3517" s="137"/>
    </row>
    <row r="3518" spans="2:12">
      <c r="B3518" s="133"/>
      <c r="C3518" s="14"/>
      <c r="D3518" s="14"/>
      <c r="E3518" s="134"/>
      <c r="F3518" s="14"/>
      <c r="G3518" s="69"/>
      <c r="H3518" s="69"/>
      <c r="I3518" s="135"/>
      <c r="J3518" s="136"/>
      <c r="K3518" s="137"/>
      <c r="L3518" s="137"/>
    </row>
    <row r="3519" spans="2:12">
      <c r="B3519" s="133"/>
      <c r="C3519" s="14"/>
      <c r="D3519" s="14"/>
      <c r="E3519" s="134"/>
      <c r="F3519" s="14"/>
      <c r="G3519" s="69"/>
      <c r="H3519" s="69"/>
      <c r="I3519" s="135"/>
      <c r="J3519" s="136"/>
      <c r="K3519" s="137"/>
      <c r="L3519" s="137"/>
    </row>
    <row r="3520" spans="2:12">
      <c r="B3520" s="133"/>
      <c r="C3520" s="14"/>
      <c r="D3520" s="14"/>
      <c r="E3520" s="134"/>
      <c r="F3520" s="14"/>
      <c r="G3520" s="69"/>
      <c r="H3520" s="69"/>
      <c r="I3520" s="135"/>
      <c r="J3520" s="136"/>
      <c r="K3520" s="137"/>
      <c r="L3520" s="137"/>
    </row>
    <row r="3521" spans="2:12">
      <c r="B3521" s="133"/>
      <c r="C3521" s="14"/>
      <c r="D3521" s="14"/>
      <c r="E3521" s="134"/>
      <c r="F3521" s="14"/>
      <c r="G3521" s="69"/>
      <c r="H3521" s="69"/>
      <c r="I3521" s="135"/>
      <c r="J3521" s="136"/>
      <c r="K3521" s="137"/>
      <c r="L3521" s="137"/>
    </row>
    <row r="3522" spans="2:12">
      <c r="B3522" s="133"/>
      <c r="C3522" s="14"/>
      <c r="D3522" s="14"/>
      <c r="E3522" s="134"/>
      <c r="F3522" s="14"/>
      <c r="G3522" s="69"/>
      <c r="H3522" s="69"/>
      <c r="I3522" s="135"/>
      <c r="J3522" s="136"/>
      <c r="K3522" s="137"/>
      <c r="L3522" s="137"/>
    </row>
    <row r="3523" spans="2:12">
      <c r="B3523" s="133"/>
      <c r="C3523" s="14"/>
      <c r="D3523" s="14"/>
      <c r="E3523" s="134"/>
      <c r="F3523" s="14"/>
      <c r="G3523" s="69"/>
      <c r="H3523" s="69"/>
      <c r="I3523" s="135"/>
      <c r="J3523" s="136"/>
      <c r="K3523" s="137"/>
      <c r="L3523" s="137"/>
    </row>
    <row r="3524" spans="2:12">
      <c r="B3524" s="133"/>
      <c r="C3524" s="14"/>
      <c r="D3524" s="14"/>
      <c r="E3524" s="134"/>
      <c r="F3524" s="14"/>
      <c r="G3524" s="69"/>
      <c r="H3524" s="69"/>
      <c r="I3524" s="135"/>
      <c r="J3524" s="136"/>
      <c r="K3524" s="137"/>
      <c r="L3524" s="137"/>
    </row>
    <row r="3525" spans="2:12">
      <c r="B3525" s="133"/>
      <c r="C3525" s="14"/>
      <c r="D3525" s="14"/>
      <c r="E3525" s="134"/>
      <c r="F3525" s="14"/>
      <c r="G3525" s="69"/>
      <c r="H3525" s="69"/>
      <c r="I3525" s="135"/>
      <c r="J3525" s="136"/>
      <c r="K3525" s="137"/>
      <c r="L3525" s="137"/>
    </row>
    <row r="3526" spans="2:12">
      <c r="B3526" s="133"/>
      <c r="C3526" s="14"/>
      <c r="D3526" s="14"/>
      <c r="E3526" s="134"/>
      <c r="F3526" s="14"/>
      <c r="G3526" s="69"/>
      <c r="H3526" s="69"/>
      <c r="I3526" s="135"/>
      <c r="J3526" s="136"/>
      <c r="K3526" s="137"/>
      <c r="L3526" s="137"/>
    </row>
    <row r="3527" spans="2:12">
      <c r="B3527" s="133"/>
      <c r="C3527" s="14"/>
      <c r="D3527" s="14"/>
      <c r="E3527" s="134"/>
      <c r="F3527" s="14"/>
      <c r="G3527" s="69"/>
      <c r="H3527" s="69"/>
      <c r="I3527" s="135"/>
      <c r="J3527" s="136"/>
      <c r="K3527" s="137"/>
      <c r="L3527" s="137"/>
    </row>
    <row r="3528" spans="2:12">
      <c r="B3528" s="133"/>
      <c r="C3528" s="14"/>
      <c r="D3528" s="14"/>
      <c r="E3528" s="134"/>
      <c r="F3528" s="14"/>
      <c r="G3528" s="69"/>
      <c r="H3528" s="69"/>
      <c r="I3528" s="135"/>
      <c r="J3528" s="136"/>
      <c r="K3528" s="137"/>
      <c r="L3528" s="137"/>
    </row>
    <row r="3529" spans="2:12">
      <c r="B3529" s="133"/>
      <c r="C3529" s="14"/>
      <c r="D3529" s="14"/>
      <c r="E3529" s="134"/>
      <c r="F3529" s="14"/>
      <c r="G3529" s="69"/>
      <c r="H3529" s="69"/>
      <c r="I3529" s="135"/>
      <c r="J3529" s="136"/>
      <c r="K3529" s="137"/>
      <c r="L3529" s="137"/>
    </row>
    <row r="3530" spans="2:12">
      <c r="B3530" s="133"/>
      <c r="C3530" s="14"/>
      <c r="D3530" s="14"/>
      <c r="E3530" s="134"/>
      <c r="F3530" s="14"/>
      <c r="G3530" s="69"/>
      <c r="H3530" s="69"/>
      <c r="I3530" s="135"/>
      <c r="J3530" s="136"/>
      <c r="K3530" s="137"/>
      <c r="L3530" s="137"/>
    </row>
    <row r="3531" spans="2:12">
      <c r="B3531" s="133"/>
      <c r="C3531" s="14"/>
      <c r="D3531" s="14"/>
      <c r="E3531" s="134"/>
      <c r="F3531" s="14"/>
      <c r="G3531" s="69"/>
      <c r="H3531" s="69"/>
      <c r="I3531" s="135"/>
      <c r="J3531" s="136"/>
      <c r="K3531" s="137"/>
      <c r="L3531" s="137"/>
    </row>
    <row r="3532" spans="2:12">
      <c r="B3532" s="133"/>
      <c r="C3532" s="14"/>
      <c r="D3532" s="14"/>
      <c r="E3532" s="134"/>
      <c r="F3532" s="14"/>
      <c r="G3532" s="69"/>
      <c r="H3532" s="69"/>
      <c r="I3532" s="135"/>
      <c r="J3532" s="136"/>
      <c r="K3532" s="137"/>
      <c r="L3532" s="137"/>
    </row>
    <row r="3533" spans="2:12">
      <c r="B3533" s="133"/>
      <c r="C3533" s="14"/>
      <c r="D3533" s="14"/>
      <c r="E3533" s="134"/>
      <c r="F3533" s="14"/>
      <c r="G3533" s="69"/>
      <c r="H3533" s="69"/>
      <c r="I3533" s="135"/>
      <c r="J3533" s="136"/>
      <c r="K3533" s="137"/>
      <c r="L3533" s="137"/>
    </row>
    <row r="3534" spans="2:12">
      <c r="B3534" s="133"/>
      <c r="C3534" s="14"/>
      <c r="D3534" s="14"/>
      <c r="E3534" s="134"/>
      <c r="F3534" s="14"/>
      <c r="G3534" s="69"/>
      <c r="H3534" s="69"/>
      <c r="I3534" s="135"/>
      <c r="J3534" s="136"/>
      <c r="K3534" s="137"/>
      <c r="L3534" s="137"/>
    </row>
    <row r="3535" spans="2:12">
      <c r="B3535" s="133"/>
      <c r="C3535" s="14"/>
      <c r="D3535" s="14"/>
      <c r="E3535" s="134"/>
      <c r="F3535" s="14"/>
      <c r="G3535" s="69"/>
      <c r="H3535" s="69"/>
      <c r="I3535" s="135"/>
      <c r="J3535" s="136"/>
      <c r="K3535" s="137"/>
      <c r="L3535" s="137"/>
    </row>
    <row r="3536" spans="2:12">
      <c r="B3536" s="133"/>
      <c r="C3536" s="14"/>
      <c r="D3536" s="14"/>
      <c r="E3536" s="134"/>
      <c r="F3536" s="14"/>
      <c r="G3536" s="69"/>
      <c r="H3536" s="69"/>
      <c r="I3536" s="135"/>
      <c r="J3536" s="136"/>
      <c r="K3536" s="137"/>
      <c r="L3536" s="137"/>
    </row>
    <row r="3537" spans="2:12">
      <c r="B3537" s="133"/>
      <c r="C3537" s="14"/>
      <c r="D3537" s="14"/>
      <c r="E3537" s="134"/>
      <c r="F3537" s="14"/>
      <c r="G3537" s="69"/>
      <c r="H3537" s="69"/>
      <c r="I3537" s="135"/>
      <c r="J3537" s="136"/>
      <c r="K3537" s="137"/>
      <c r="L3537" s="137"/>
    </row>
    <row r="3538" spans="2:12">
      <c r="B3538" s="133"/>
      <c r="C3538" s="14"/>
      <c r="D3538" s="14"/>
      <c r="E3538" s="134"/>
      <c r="F3538" s="14"/>
      <c r="G3538" s="69"/>
      <c r="H3538" s="69"/>
      <c r="I3538" s="135"/>
      <c r="J3538" s="136"/>
      <c r="K3538" s="137"/>
      <c r="L3538" s="137"/>
    </row>
    <row r="3539" spans="2:12">
      <c r="B3539" s="133"/>
      <c r="C3539" s="14"/>
      <c r="D3539" s="14"/>
      <c r="E3539" s="134"/>
      <c r="F3539" s="14"/>
      <c r="G3539" s="69"/>
      <c r="H3539" s="69"/>
      <c r="I3539" s="135"/>
      <c r="J3539" s="136"/>
      <c r="K3539" s="137"/>
      <c r="L3539" s="137"/>
    </row>
    <row r="3540" spans="2:12">
      <c r="B3540" s="133"/>
      <c r="C3540" s="14"/>
      <c r="D3540" s="14"/>
      <c r="E3540" s="134"/>
      <c r="F3540" s="14"/>
      <c r="G3540" s="69"/>
      <c r="H3540" s="69"/>
      <c r="I3540" s="135"/>
      <c r="J3540" s="136"/>
      <c r="K3540" s="137"/>
      <c r="L3540" s="137"/>
    </row>
    <row r="3541" spans="2:12">
      <c r="B3541" s="133"/>
      <c r="C3541" s="14"/>
      <c r="D3541" s="14"/>
      <c r="E3541" s="134"/>
      <c r="F3541" s="14"/>
      <c r="G3541" s="69"/>
      <c r="H3541" s="69"/>
      <c r="I3541" s="135"/>
      <c r="J3541" s="136"/>
      <c r="K3541" s="137"/>
      <c r="L3541" s="137"/>
    </row>
    <row r="3542" spans="2:12">
      <c r="B3542" s="133"/>
      <c r="C3542" s="14"/>
      <c r="D3542" s="14"/>
      <c r="E3542" s="134"/>
      <c r="F3542" s="14"/>
      <c r="G3542" s="69"/>
      <c r="H3542" s="69"/>
      <c r="I3542" s="135"/>
      <c r="J3542" s="136"/>
      <c r="K3542" s="137"/>
      <c r="L3542" s="137"/>
    </row>
    <row r="3543" spans="2:12">
      <c r="B3543" s="133"/>
      <c r="C3543" s="14"/>
      <c r="D3543" s="14"/>
      <c r="E3543" s="134"/>
      <c r="F3543" s="14"/>
      <c r="G3543" s="69"/>
      <c r="H3543" s="69"/>
      <c r="I3543" s="135"/>
      <c r="J3543" s="136"/>
      <c r="K3543" s="137"/>
      <c r="L3543" s="137"/>
    </row>
    <row r="3544" spans="2:12">
      <c r="B3544" s="133"/>
      <c r="C3544" s="14"/>
      <c r="D3544" s="14"/>
      <c r="E3544" s="134"/>
      <c r="F3544" s="14"/>
      <c r="G3544" s="69"/>
      <c r="H3544" s="69"/>
      <c r="I3544" s="135"/>
      <c r="J3544" s="136"/>
      <c r="K3544" s="137"/>
      <c r="L3544" s="137"/>
    </row>
    <row r="3545" spans="2:12">
      <c r="B3545" s="133"/>
      <c r="C3545" s="14"/>
      <c r="D3545" s="14"/>
      <c r="E3545" s="134"/>
      <c r="F3545" s="14"/>
      <c r="G3545" s="69"/>
      <c r="H3545" s="69"/>
      <c r="I3545" s="135"/>
      <c r="J3545" s="136"/>
      <c r="K3545" s="137"/>
      <c r="L3545" s="137"/>
    </row>
    <row r="3546" spans="2:12">
      <c r="B3546" s="133"/>
      <c r="C3546" s="14"/>
      <c r="D3546" s="14"/>
      <c r="E3546" s="134"/>
      <c r="F3546" s="14"/>
      <c r="G3546" s="69"/>
      <c r="H3546" s="69"/>
      <c r="I3546" s="135"/>
      <c r="J3546" s="136"/>
      <c r="K3546" s="137"/>
      <c r="L3546" s="137"/>
    </row>
    <row r="3547" spans="2:12">
      <c r="B3547" s="133"/>
      <c r="C3547" s="14"/>
      <c r="D3547" s="14"/>
      <c r="E3547" s="134"/>
      <c r="F3547" s="14"/>
      <c r="G3547" s="69"/>
      <c r="H3547" s="69"/>
      <c r="I3547" s="135"/>
      <c r="J3547" s="136"/>
      <c r="K3547" s="137"/>
      <c r="L3547" s="137"/>
    </row>
    <row r="3548" spans="2:12">
      <c r="B3548" s="133"/>
      <c r="C3548" s="14"/>
      <c r="D3548" s="14"/>
      <c r="E3548" s="134"/>
      <c r="F3548" s="14"/>
      <c r="G3548" s="69"/>
      <c r="H3548" s="69"/>
      <c r="I3548" s="135"/>
      <c r="J3548" s="136"/>
      <c r="K3548" s="137"/>
      <c r="L3548" s="137"/>
    </row>
    <row r="3549" spans="2:12">
      <c r="B3549" s="133"/>
      <c r="C3549" s="14"/>
      <c r="D3549" s="14"/>
      <c r="E3549" s="134"/>
      <c r="F3549" s="14"/>
      <c r="G3549" s="69"/>
      <c r="H3549" s="69"/>
      <c r="I3549" s="135"/>
      <c r="J3549" s="136"/>
      <c r="K3549" s="137"/>
      <c r="L3549" s="137"/>
    </row>
    <row r="3550" spans="2:12">
      <c r="B3550" s="133"/>
      <c r="C3550" s="14"/>
      <c r="D3550" s="14"/>
      <c r="E3550" s="134"/>
      <c r="F3550" s="14"/>
      <c r="G3550" s="69"/>
      <c r="H3550" s="69"/>
      <c r="I3550" s="135"/>
      <c r="J3550" s="136"/>
      <c r="K3550" s="137"/>
      <c r="L3550" s="137"/>
    </row>
    <row r="3551" spans="2:12">
      <c r="B3551" s="133"/>
      <c r="C3551" s="14"/>
      <c r="D3551" s="14"/>
      <c r="E3551" s="134"/>
      <c r="F3551" s="14"/>
      <c r="G3551" s="69"/>
      <c r="H3551" s="69"/>
      <c r="I3551" s="135"/>
      <c r="J3551" s="136"/>
      <c r="K3551" s="137"/>
      <c r="L3551" s="137"/>
    </row>
    <row r="3552" spans="2:12">
      <c r="B3552" s="133"/>
      <c r="C3552" s="14"/>
      <c r="D3552" s="14"/>
      <c r="E3552" s="134"/>
      <c r="F3552" s="14"/>
      <c r="G3552" s="69"/>
      <c r="H3552" s="69"/>
      <c r="I3552" s="135"/>
      <c r="J3552" s="136"/>
      <c r="K3552" s="137"/>
      <c r="L3552" s="137"/>
    </row>
    <row r="3553" spans="2:12">
      <c r="B3553" s="133"/>
      <c r="C3553" s="14"/>
      <c r="D3553" s="14"/>
      <c r="E3553" s="134"/>
      <c r="F3553" s="14"/>
      <c r="G3553" s="69"/>
      <c r="H3553" s="69"/>
      <c r="I3553" s="135"/>
      <c r="J3553" s="136"/>
      <c r="K3553" s="137"/>
      <c r="L3553" s="137"/>
    </row>
    <row r="3554" spans="2:12">
      <c r="B3554" s="133"/>
      <c r="C3554" s="14"/>
      <c r="D3554" s="14"/>
      <c r="E3554" s="134"/>
      <c r="F3554" s="14"/>
      <c r="G3554" s="69"/>
      <c r="H3554" s="69"/>
      <c r="I3554" s="135"/>
      <c r="J3554" s="136"/>
      <c r="K3554" s="137"/>
      <c r="L3554" s="137"/>
    </row>
    <row r="3555" spans="2:12">
      <c r="B3555" s="133"/>
      <c r="C3555" s="14"/>
      <c r="D3555" s="14"/>
      <c r="E3555" s="134"/>
      <c r="F3555" s="14"/>
      <c r="G3555" s="69"/>
      <c r="H3555" s="69"/>
      <c r="I3555" s="135"/>
      <c r="J3555" s="136"/>
      <c r="K3555" s="137"/>
      <c r="L3555" s="137"/>
    </row>
    <row r="3556" spans="2:12">
      <c r="B3556" s="133"/>
      <c r="C3556" s="14"/>
      <c r="D3556" s="14"/>
      <c r="E3556" s="134"/>
      <c r="F3556" s="14"/>
      <c r="G3556" s="69"/>
      <c r="H3556" s="69"/>
      <c r="I3556" s="135"/>
      <c r="J3556" s="136"/>
      <c r="K3556" s="137"/>
      <c r="L3556" s="137"/>
    </row>
    <row r="3557" spans="2:12">
      <c r="B3557" s="133"/>
      <c r="C3557" s="14"/>
      <c r="D3557" s="14"/>
      <c r="E3557" s="134"/>
      <c r="F3557" s="14"/>
      <c r="G3557" s="69"/>
      <c r="H3557" s="69"/>
      <c r="I3557" s="135"/>
      <c r="J3557" s="136"/>
      <c r="K3557" s="137"/>
      <c r="L3557" s="137"/>
    </row>
    <row r="3558" spans="2:12">
      <c r="B3558" s="133"/>
      <c r="C3558" s="14"/>
      <c r="D3558" s="14"/>
      <c r="E3558" s="134"/>
      <c r="F3558" s="14"/>
      <c r="G3558" s="69"/>
      <c r="H3558" s="69"/>
      <c r="I3558" s="135"/>
      <c r="J3558" s="136"/>
      <c r="K3558" s="137"/>
      <c r="L3558" s="137"/>
    </row>
    <row r="3559" spans="2:12">
      <c r="B3559" s="133"/>
      <c r="C3559" s="14"/>
      <c r="D3559" s="14"/>
      <c r="E3559" s="134"/>
      <c r="F3559" s="14"/>
      <c r="G3559" s="69"/>
      <c r="H3559" s="69"/>
      <c r="I3559" s="135"/>
      <c r="J3559" s="136"/>
      <c r="K3559" s="137"/>
      <c r="L3559" s="137"/>
    </row>
    <row r="3560" spans="2:12">
      <c r="B3560" s="133"/>
      <c r="C3560" s="14"/>
      <c r="D3560" s="14"/>
      <c r="E3560" s="134"/>
      <c r="F3560" s="14"/>
      <c r="G3560" s="69"/>
      <c r="H3560" s="69"/>
      <c r="I3560" s="135"/>
      <c r="J3560" s="136"/>
      <c r="K3560" s="137"/>
      <c r="L3560" s="137"/>
    </row>
    <row r="3561" spans="2:12">
      <c r="B3561" s="133"/>
      <c r="C3561" s="14"/>
      <c r="D3561" s="14"/>
      <c r="E3561" s="134"/>
      <c r="F3561" s="14"/>
      <c r="G3561" s="69"/>
      <c r="H3561" s="69"/>
      <c r="I3561" s="135"/>
      <c r="J3561" s="136"/>
      <c r="K3561" s="137"/>
      <c r="L3561" s="137"/>
    </row>
    <row r="3562" spans="2:12">
      <c r="B3562" s="133"/>
      <c r="C3562" s="14"/>
      <c r="D3562" s="14"/>
      <c r="E3562" s="134"/>
      <c r="F3562" s="14"/>
      <c r="G3562" s="69"/>
      <c r="H3562" s="69"/>
      <c r="I3562" s="135"/>
      <c r="J3562" s="136"/>
      <c r="K3562" s="137"/>
      <c r="L3562" s="137"/>
    </row>
    <row r="3563" spans="2:12">
      <c r="B3563" s="133"/>
      <c r="C3563" s="14"/>
      <c r="D3563" s="14"/>
      <c r="E3563" s="134"/>
      <c r="F3563" s="14"/>
      <c r="G3563" s="69"/>
      <c r="H3563" s="69"/>
      <c r="I3563" s="135"/>
      <c r="J3563" s="136"/>
      <c r="K3563" s="137"/>
      <c r="L3563" s="137"/>
    </row>
    <row r="3564" spans="2:12">
      <c r="B3564" s="133"/>
      <c r="C3564" s="14"/>
      <c r="D3564" s="14"/>
      <c r="E3564" s="134"/>
      <c r="F3564" s="14"/>
      <c r="G3564" s="69"/>
      <c r="H3564" s="69"/>
      <c r="I3564" s="135"/>
      <c r="J3564" s="136"/>
      <c r="K3564" s="137"/>
      <c r="L3564" s="137"/>
    </row>
    <row r="3565" spans="2:12">
      <c r="B3565" s="133"/>
      <c r="C3565" s="14"/>
      <c r="D3565" s="14"/>
      <c r="E3565" s="134"/>
      <c r="F3565" s="14"/>
      <c r="G3565" s="69"/>
      <c r="H3565" s="69"/>
      <c r="I3565" s="135"/>
      <c r="J3565" s="136"/>
      <c r="K3565" s="137"/>
      <c r="L3565" s="137"/>
    </row>
    <row r="3566" spans="2:12">
      <c r="B3566" s="133"/>
      <c r="C3566" s="14"/>
      <c r="D3566" s="14"/>
      <c r="E3566" s="134"/>
      <c r="F3566" s="14"/>
      <c r="G3566" s="69"/>
      <c r="H3566" s="69"/>
      <c r="I3566" s="135"/>
      <c r="J3566" s="136"/>
      <c r="K3566" s="137"/>
      <c r="L3566" s="137"/>
    </row>
    <row r="3567" spans="2:12">
      <c r="B3567" s="133"/>
      <c r="C3567" s="14"/>
      <c r="D3567" s="14"/>
      <c r="E3567" s="134"/>
      <c r="F3567" s="14"/>
      <c r="G3567" s="69"/>
      <c r="H3567" s="69"/>
      <c r="I3567" s="135"/>
      <c r="J3567" s="136"/>
      <c r="K3567" s="137"/>
      <c r="L3567" s="137"/>
    </row>
    <row r="3568" spans="2:12">
      <c r="B3568" s="133"/>
      <c r="C3568" s="14"/>
      <c r="D3568" s="14"/>
      <c r="E3568" s="134"/>
      <c r="F3568" s="14"/>
      <c r="G3568" s="69"/>
      <c r="H3568" s="69"/>
      <c r="I3568" s="135"/>
      <c r="J3568" s="136"/>
      <c r="K3568" s="137"/>
      <c r="L3568" s="137"/>
    </row>
    <row r="3569" spans="2:12">
      <c r="B3569" s="133"/>
      <c r="C3569" s="14"/>
      <c r="D3569" s="14"/>
      <c r="E3569" s="134"/>
      <c r="F3569" s="14"/>
      <c r="G3569" s="69"/>
      <c r="H3569" s="69"/>
      <c r="I3569" s="135"/>
      <c r="J3569" s="136"/>
      <c r="K3569" s="137"/>
      <c r="L3569" s="137"/>
    </row>
    <row r="3570" spans="2:12">
      <c r="B3570" s="133"/>
      <c r="C3570" s="14"/>
      <c r="D3570" s="14"/>
      <c r="E3570" s="134"/>
      <c r="F3570" s="14"/>
      <c r="G3570" s="69"/>
      <c r="H3570" s="69"/>
      <c r="I3570" s="135"/>
      <c r="J3570" s="136"/>
      <c r="K3570" s="137"/>
      <c r="L3570" s="137"/>
    </row>
    <row r="3571" spans="2:12">
      <c r="B3571" s="133"/>
      <c r="C3571" s="14"/>
      <c r="D3571" s="14"/>
      <c r="E3571" s="134"/>
      <c r="F3571" s="14"/>
      <c r="G3571" s="69"/>
      <c r="H3571" s="69"/>
      <c r="I3571" s="135"/>
      <c r="J3571" s="136"/>
      <c r="K3571" s="137"/>
      <c r="L3571" s="137"/>
    </row>
    <row r="3572" spans="2:12">
      <c r="B3572" s="133"/>
      <c r="C3572" s="14"/>
      <c r="D3572" s="14"/>
      <c r="E3572" s="134"/>
      <c r="F3572" s="14"/>
      <c r="G3572" s="69"/>
      <c r="H3572" s="69"/>
      <c r="I3572" s="135"/>
      <c r="J3572" s="136"/>
      <c r="K3572" s="137"/>
      <c r="L3572" s="137"/>
    </row>
    <row r="3573" spans="2:12">
      <c r="B3573" s="133"/>
      <c r="C3573" s="14"/>
      <c r="D3573" s="14"/>
      <c r="E3573" s="134"/>
      <c r="F3573" s="14"/>
      <c r="G3573" s="69"/>
      <c r="H3573" s="69"/>
      <c r="I3573" s="135"/>
      <c r="J3573" s="136"/>
      <c r="K3573" s="137"/>
      <c r="L3573" s="137"/>
    </row>
    <row r="3574" spans="2:12">
      <c r="B3574" s="133"/>
      <c r="C3574" s="14"/>
      <c r="D3574" s="14"/>
      <c r="E3574" s="134"/>
      <c r="F3574" s="14"/>
      <c r="G3574" s="69"/>
      <c r="H3574" s="69"/>
      <c r="I3574" s="135"/>
      <c r="J3574" s="136"/>
      <c r="K3574" s="137"/>
      <c r="L3574" s="137"/>
    </row>
    <row r="3575" spans="2:12">
      <c r="B3575" s="133"/>
      <c r="C3575" s="14"/>
      <c r="D3575" s="14"/>
      <c r="E3575" s="134"/>
      <c r="F3575" s="14"/>
      <c r="G3575" s="69"/>
      <c r="H3575" s="69"/>
      <c r="I3575" s="135"/>
      <c r="J3575" s="136"/>
      <c r="K3575" s="137"/>
      <c r="L3575" s="137"/>
    </row>
    <row r="3576" spans="2:12">
      <c r="B3576" s="133"/>
      <c r="C3576" s="14"/>
      <c r="D3576" s="14"/>
      <c r="E3576" s="134"/>
      <c r="F3576" s="14"/>
      <c r="G3576" s="69"/>
      <c r="H3576" s="69"/>
      <c r="I3576" s="135"/>
      <c r="J3576" s="136"/>
      <c r="K3576" s="137"/>
      <c r="L3576" s="137"/>
    </row>
    <row r="3577" spans="2:12">
      <c r="B3577" s="133"/>
      <c r="C3577" s="14"/>
      <c r="D3577" s="14"/>
      <c r="E3577" s="134"/>
      <c r="F3577" s="14"/>
      <c r="G3577" s="69"/>
      <c r="H3577" s="69"/>
      <c r="I3577" s="135"/>
      <c r="J3577" s="136"/>
      <c r="K3577" s="137"/>
      <c r="L3577" s="137"/>
    </row>
    <row r="3578" spans="2:12">
      <c r="B3578" s="133"/>
      <c r="C3578" s="14"/>
      <c r="D3578" s="14"/>
      <c r="E3578" s="134"/>
      <c r="F3578" s="14"/>
      <c r="G3578" s="69"/>
      <c r="H3578" s="69"/>
      <c r="I3578" s="135"/>
      <c r="J3578" s="136"/>
      <c r="K3578" s="137"/>
      <c r="L3578" s="137"/>
    </row>
    <row r="3579" spans="2:12">
      <c r="B3579" s="133"/>
      <c r="C3579" s="14"/>
      <c r="D3579" s="14"/>
      <c r="E3579" s="134"/>
      <c r="F3579" s="14"/>
      <c r="G3579" s="69"/>
      <c r="H3579" s="69"/>
      <c r="I3579" s="135"/>
      <c r="J3579" s="136"/>
      <c r="K3579" s="137"/>
      <c r="L3579" s="137"/>
    </row>
    <row r="3580" spans="2:12">
      <c r="B3580" s="133"/>
      <c r="C3580" s="14"/>
      <c r="D3580" s="14"/>
      <c r="E3580" s="134"/>
      <c r="F3580" s="14"/>
      <c r="G3580" s="69"/>
      <c r="H3580" s="69"/>
      <c r="I3580" s="135"/>
      <c r="J3580" s="136"/>
      <c r="K3580" s="137"/>
      <c r="L3580" s="137"/>
    </row>
    <row r="3581" spans="2:12">
      <c r="B3581" s="133"/>
      <c r="C3581" s="14"/>
      <c r="D3581" s="14"/>
      <c r="E3581" s="134"/>
      <c r="F3581" s="14"/>
      <c r="G3581" s="69"/>
      <c r="H3581" s="69"/>
      <c r="I3581" s="135"/>
      <c r="J3581" s="136"/>
      <c r="K3581" s="137"/>
      <c r="L3581" s="137"/>
    </row>
    <row r="3582" spans="2:12">
      <c r="B3582" s="133"/>
      <c r="C3582" s="14"/>
      <c r="D3582" s="14"/>
      <c r="E3582" s="134"/>
      <c r="F3582" s="14"/>
      <c r="G3582" s="69"/>
      <c r="H3582" s="69"/>
      <c r="I3582" s="135"/>
      <c r="J3582" s="136"/>
      <c r="K3582" s="137"/>
      <c r="L3582" s="137"/>
    </row>
    <row r="3583" spans="2:12">
      <c r="B3583" s="133"/>
      <c r="C3583" s="14"/>
      <c r="D3583" s="14"/>
      <c r="E3583" s="134"/>
      <c r="F3583" s="14"/>
      <c r="G3583" s="69"/>
      <c r="H3583" s="69"/>
      <c r="I3583" s="135"/>
      <c r="J3583" s="136"/>
      <c r="K3583" s="137"/>
      <c r="L3583" s="137"/>
    </row>
    <row r="3584" spans="2:12">
      <c r="B3584" s="133"/>
      <c r="C3584" s="14"/>
      <c r="D3584" s="14"/>
      <c r="E3584" s="134"/>
      <c r="F3584" s="14"/>
      <c r="G3584" s="69"/>
      <c r="H3584" s="69"/>
      <c r="I3584" s="135"/>
      <c r="J3584" s="136"/>
      <c r="K3584" s="137"/>
      <c r="L3584" s="137"/>
    </row>
    <row r="3585" spans="2:12">
      <c r="B3585" s="133"/>
      <c r="C3585" s="14"/>
      <c r="D3585" s="14"/>
      <c r="E3585" s="134"/>
      <c r="F3585" s="14"/>
      <c r="G3585" s="69"/>
      <c r="H3585" s="69"/>
      <c r="I3585" s="135"/>
      <c r="J3585" s="136"/>
      <c r="K3585" s="137"/>
      <c r="L3585" s="137"/>
    </row>
    <row r="3586" spans="2:12">
      <c r="B3586" s="133"/>
      <c r="C3586" s="14"/>
      <c r="D3586" s="14"/>
      <c r="E3586" s="134"/>
      <c r="F3586" s="14"/>
      <c r="G3586" s="69"/>
      <c r="H3586" s="69"/>
      <c r="I3586" s="135"/>
      <c r="J3586" s="136"/>
      <c r="K3586" s="137"/>
      <c r="L3586" s="137"/>
    </row>
    <row r="3587" spans="2:12">
      <c r="B3587" s="133"/>
      <c r="C3587" s="14"/>
      <c r="D3587" s="14"/>
      <c r="E3587" s="134"/>
      <c r="F3587" s="14"/>
      <c r="G3587" s="69"/>
      <c r="H3587" s="69"/>
      <c r="I3587" s="135"/>
      <c r="J3587" s="136"/>
      <c r="K3587" s="137"/>
      <c r="L3587" s="137"/>
    </row>
    <row r="3588" spans="2:12">
      <c r="B3588" s="133"/>
      <c r="C3588" s="14"/>
      <c r="D3588" s="14"/>
      <c r="E3588" s="134"/>
      <c r="F3588" s="14"/>
      <c r="G3588" s="69"/>
      <c r="H3588" s="69"/>
      <c r="I3588" s="135"/>
      <c r="J3588" s="136"/>
      <c r="K3588" s="137"/>
      <c r="L3588" s="137"/>
    </row>
    <row r="3589" spans="2:12">
      <c r="B3589" s="133"/>
      <c r="C3589" s="14"/>
      <c r="D3589" s="14"/>
      <c r="E3589" s="134"/>
      <c r="F3589" s="14"/>
      <c r="G3589" s="69"/>
      <c r="H3589" s="69"/>
      <c r="I3589" s="135"/>
      <c r="J3589" s="136"/>
      <c r="K3589" s="137"/>
      <c r="L3589" s="137"/>
    </row>
    <row r="3590" spans="2:12">
      <c r="B3590" s="133"/>
      <c r="C3590" s="14"/>
      <c r="D3590" s="14"/>
      <c r="E3590" s="134"/>
      <c r="F3590" s="14"/>
      <c r="G3590" s="69"/>
      <c r="H3590" s="69"/>
      <c r="I3590" s="135"/>
      <c r="J3590" s="136"/>
      <c r="K3590" s="137"/>
      <c r="L3590" s="137"/>
    </row>
    <row r="3591" spans="2:12">
      <c r="B3591" s="133"/>
      <c r="C3591" s="14"/>
      <c r="D3591" s="14"/>
      <c r="E3591" s="134"/>
      <c r="F3591" s="14"/>
      <c r="G3591" s="69"/>
      <c r="H3591" s="69"/>
      <c r="I3591" s="135"/>
      <c r="J3591" s="136"/>
      <c r="K3591" s="137"/>
      <c r="L3591" s="137"/>
    </row>
    <row r="3592" spans="2:12">
      <c r="B3592" s="133"/>
      <c r="C3592" s="14"/>
      <c r="D3592" s="14"/>
      <c r="E3592" s="134"/>
      <c r="F3592" s="14"/>
      <c r="G3592" s="69"/>
      <c r="H3592" s="69"/>
      <c r="I3592" s="135"/>
      <c r="J3592" s="136"/>
      <c r="K3592" s="137"/>
      <c r="L3592" s="137"/>
    </row>
    <row r="3593" spans="2:12">
      <c r="B3593" s="133"/>
      <c r="C3593" s="14"/>
      <c r="D3593" s="14"/>
      <c r="E3593" s="134"/>
      <c r="F3593" s="14"/>
      <c r="G3593" s="69"/>
      <c r="H3593" s="69"/>
      <c r="I3593" s="135"/>
      <c r="J3593" s="136"/>
      <c r="K3593" s="137"/>
      <c r="L3593" s="137"/>
    </row>
    <row r="3594" spans="2:12">
      <c r="B3594" s="133"/>
      <c r="C3594" s="14"/>
      <c r="D3594" s="14"/>
      <c r="E3594" s="134"/>
      <c r="F3594" s="14"/>
      <c r="G3594" s="69"/>
      <c r="H3594" s="69"/>
      <c r="I3594" s="135"/>
      <c r="J3594" s="136"/>
      <c r="K3594" s="137"/>
      <c r="L3594" s="137"/>
    </row>
    <row r="3595" spans="2:12">
      <c r="B3595" s="133"/>
      <c r="C3595" s="14"/>
      <c r="D3595" s="14"/>
      <c r="E3595" s="134"/>
      <c r="F3595" s="14"/>
      <c r="G3595" s="69"/>
      <c r="H3595" s="69"/>
      <c r="I3595" s="135"/>
      <c r="J3595" s="136"/>
      <c r="K3595" s="137"/>
      <c r="L3595" s="137"/>
    </row>
    <row r="3596" spans="2:12">
      <c r="B3596" s="133"/>
      <c r="C3596" s="14"/>
      <c r="D3596" s="14"/>
      <c r="E3596" s="134"/>
      <c r="F3596" s="14"/>
      <c r="G3596" s="69"/>
      <c r="H3596" s="69"/>
      <c r="I3596" s="135"/>
      <c r="J3596" s="136"/>
      <c r="K3596" s="137"/>
      <c r="L3596" s="137"/>
    </row>
    <row r="3597" spans="2:12">
      <c r="B3597" s="133"/>
      <c r="C3597" s="14"/>
      <c r="D3597" s="14"/>
      <c r="E3597" s="134"/>
      <c r="F3597" s="14"/>
      <c r="G3597" s="69"/>
      <c r="H3597" s="69"/>
      <c r="I3597" s="135"/>
      <c r="J3597" s="136"/>
      <c r="K3597" s="137"/>
      <c r="L3597" s="137"/>
    </row>
    <row r="3598" spans="2:12">
      <c r="B3598" s="133"/>
      <c r="C3598" s="14"/>
      <c r="D3598" s="14"/>
      <c r="E3598" s="134"/>
      <c r="F3598" s="14"/>
      <c r="G3598" s="69"/>
      <c r="H3598" s="69"/>
      <c r="I3598" s="135"/>
      <c r="J3598" s="136"/>
      <c r="K3598" s="137"/>
      <c r="L3598" s="137"/>
    </row>
    <row r="3599" spans="2:12">
      <c r="B3599" s="133"/>
      <c r="C3599" s="14"/>
      <c r="D3599" s="14"/>
      <c r="E3599" s="134"/>
      <c r="F3599" s="14"/>
      <c r="G3599" s="69"/>
      <c r="H3599" s="69"/>
      <c r="I3599" s="135"/>
      <c r="J3599" s="136"/>
      <c r="K3599" s="137"/>
      <c r="L3599" s="137"/>
    </row>
    <row r="3600" spans="2:12">
      <c r="B3600" s="133"/>
      <c r="C3600" s="14"/>
      <c r="D3600" s="14"/>
      <c r="E3600" s="134"/>
      <c r="F3600" s="14"/>
      <c r="G3600" s="69"/>
      <c r="H3600" s="69"/>
      <c r="I3600" s="135"/>
      <c r="J3600" s="136"/>
      <c r="K3600" s="137"/>
      <c r="L3600" s="137"/>
    </row>
    <row r="3601" spans="2:12">
      <c r="B3601" s="133"/>
      <c r="C3601" s="14"/>
      <c r="D3601" s="14"/>
      <c r="E3601" s="134"/>
      <c r="F3601" s="14"/>
      <c r="G3601" s="69"/>
      <c r="H3601" s="69"/>
      <c r="I3601" s="135"/>
      <c r="J3601" s="136"/>
      <c r="K3601" s="137"/>
      <c r="L3601" s="137"/>
    </row>
    <row r="3602" spans="2:12">
      <c r="B3602" s="133"/>
      <c r="C3602" s="14"/>
      <c r="D3602" s="14"/>
      <c r="E3602" s="134"/>
      <c r="F3602" s="14"/>
      <c r="G3602" s="69"/>
      <c r="H3602" s="69"/>
      <c r="I3602" s="135"/>
      <c r="J3602" s="136"/>
      <c r="K3602" s="137"/>
      <c r="L3602" s="137"/>
    </row>
    <row r="3603" spans="2:12">
      <c r="B3603" s="133"/>
      <c r="C3603" s="14"/>
      <c r="D3603" s="14"/>
      <c r="E3603" s="134"/>
      <c r="F3603" s="14"/>
      <c r="G3603" s="69"/>
      <c r="H3603" s="69"/>
      <c r="I3603" s="135"/>
      <c r="J3603" s="136"/>
      <c r="K3603" s="137"/>
      <c r="L3603" s="137"/>
    </row>
    <row r="3604" spans="2:12">
      <c r="B3604" s="133"/>
      <c r="C3604" s="14"/>
      <c r="D3604" s="14"/>
      <c r="E3604" s="134"/>
      <c r="F3604" s="14"/>
      <c r="G3604" s="69"/>
      <c r="H3604" s="69"/>
      <c r="I3604" s="135"/>
      <c r="J3604" s="136"/>
      <c r="K3604" s="137"/>
      <c r="L3604" s="137"/>
    </row>
    <row r="3605" spans="2:12">
      <c r="B3605" s="133"/>
      <c r="C3605" s="14"/>
      <c r="D3605" s="14"/>
      <c r="E3605" s="134"/>
      <c r="F3605" s="14"/>
      <c r="G3605" s="69"/>
      <c r="H3605" s="69"/>
      <c r="I3605" s="135"/>
      <c r="J3605" s="136"/>
      <c r="K3605" s="137"/>
      <c r="L3605" s="137"/>
    </row>
    <row r="3606" spans="2:12">
      <c r="B3606" s="133"/>
      <c r="C3606" s="14"/>
      <c r="D3606" s="14"/>
      <c r="E3606" s="134"/>
      <c r="F3606" s="14"/>
      <c r="G3606" s="69"/>
      <c r="H3606" s="69"/>
      <c r="I3606" s="135"/>
      <c r="J3606" s="136"/>
      <c r="K3606" s="137"/>
      <c r="L3606" s="137"/>
    </row>
    <row r="3607" spans="2:12">
      <c r="B3607" s="133"/>
      <c r="C3607" s="14"/>
      <c r="D3607" s="14"/>
      <c r="E3607" s="134"/>
      <c r="F3607" s="14"/>
      <c r="G3607" s="69"/>
      <c r="H3607" s="69"/>
      <c r="I3607" s="135"/>
      <c r="J3607" s="136"/>
      <c r="K3607" s="137"/>
      <c r="L3607" s="137"/>
    </row>
    <row r="3608" spans="2:12">
      <c r="B3608" s="133"/>
      <c r="C3608" s="14"/>
      <c r="D3608" s="14"/>
      <c r="E3608" s="134"/>
      <c r="F3608" s="14"/>
      <c r="G3608" s="69"/>
      <c r="H3608" s="69"/>
      <c r="I3608" s="135"/>
      <c r="J3608" s="136"/>
      <c r="K3608" s="137"/>
      <c r="L3608" s="137"/>
    </row>
    <row r="3609" spans="2:12">
      <c r="B3609" s="133"/>
      <c r="C3609" s="14"/>
      <c r="D3609" s="14"/>
      <c r="E3609" s="134"/>
      <c r="F3609" s="14"/>
      <c r="G3609" s="69"/>
      <c r="H3609" s="69"/>
      <c r="I3609" s="135"/>
      <c r="J3609" s="136"/>
      <c r="K3609" s="137"/>
      <c r="L3609" s="137"/>
    </row>
    <row r="3610" spans="2:12">
      <c r="B3610" s="133"/>
      <c r="C3610" s="14"/>
      <c r="D3610" s="14"/>
      <c r="E3610" s="134"/>
      <c r="F3610" s="14"/>
      <c r="G3610" s="69"/>
      <c r="H3610" s="69"/>
      <c r="I3610" s="135"/>
      <c r="J3610" s="136"/>
      <c r="K3610" s="137"/>
      <c r="L3610" s="137"/>
    </row>
    <row r="3611" spans="2:12">
      <c r="B3611" s="133"/>
      <c r="C3611" s="14"/>
      <c r="D3611" s="14"/>
      <c r="E3611" s="134"/>
      <c r="F3611" s="14"/>
      <c r="G3611" s="69"/>
      <c r="H3611" s="69"/>
      <c r="I3611" s="135"/>
      <c r="J3611" s="136"/>
      <c r="K3611" s="137"/>
      <c r="L3611" s="137"/>
    </row>
    <row r="3612" spans="2:12">
      <c r="B3612" s="133"/>
      <c r="C3612" s="14"/>
      <c r="D3612" s="14"/>
      <c r="E3612" s="134"/>
      <c r="F3612" s="14"/>
      <c r="G3612" s="69"/>
      <c r="H3612" s="69"/>
      <c r="I3612" s="135"/>
      <c r="J3612" s="136"/>
      <c r="K3612" s="137"/>
      <c r="L3612" s="137"/>
    </row>
    <row r="3613" spans="2:12">
      <c r="B3613" s="133"/>
      <c r="C3613" s="14"/>
      <c r="D3613" s="14"/>
      <c r="E3613" s="134"/>
      <c r="F3613" s="14"/>
      <c r="G3613" s="69"/>
      <c r="H3613" s="69"/>
      <c r="I3613" s="135"/>
      <c r="J3613" s="136"/>
      <c r="K3613" s="137"/>
      <c r="L3613" s="137"/>
    </row>
    <row r="3614" spans="2:12">
      <c r="B3614" s="133"/>
      <c r="C3614" s="14"/>
      <c r="D3614" s="14"/>
      <c r="E3614" s="134"/>
      <c r="F3614" s="14"/>
      <c r="G3614" s="69"/>
      <c r="H3614" s="69"/>
      <c r="I3614" s="135"/>
      <c r="J3614" s="136"/>
      <c r="K3614" s="137"/>
      <c r="L3614" s="137"/>
    </row>
    <row r="3615" spans="2:12">
      <c r="B3615" s="133"/>
      <c r="C3615" s="14"/>
      <c r="D3615" s="14"/>
      <c r="E3615" s="134"/>
      <c r="F3615" s="14"/>
      <c r="G3615" s="69"/>
      <c r="H3615" s="69"/>
      <c r="I3615" s="135"/>
      <c r="J3615" s="136"/>
      <c r="K3615" s="137"/>
      <c r="L3615" s="137"/>
    </row>
    <row r="3616" spans="2:12">
      <c r="B3616" s="133"/>
      <c r="C3616" s="14"/>
      <c r="D3616" s="14"/>
      <c r="E3616" s="134"/>
      <c r="F3616" s="14"/>
      <c r="G3616" s="69"/>
      <c r="H3616" s="69"/>
      <c r="I3616" s="135"/>
      <c r="J3616" s="136"/>
      <c r="K3616" s="137"/>
      <c r="L3616" s="137"/>
    </row>
    <row r="3617" spans="2:12">
      <c r="B3617" s="133"/>
      <c r="C3617" s="14"/>
      <c r="D3617" s="14"/>
      <c r="E3617" s="134"/>
      <c r="F3617" s="14"/>
      <c r="G3617" s="69"/>
      <c r="H3617" s="69"/>
      <c r="I3617" s="135"/>
      <c r="J3617" s="136"/>
      <c r="K3617" s="137"/>
      <c r="L3617" s="137"/>
    </row>
    <row r="3618" spans="2:12">
      <c r="B3618" s="133"/>
      <c r="C3618" s="14"/>
      <c r="D3618" s="14"/>
      <c r="E3618" s="134"/>
      <c r="F3618" s="14"/>
      <c r="G3618" s="69"/>
      <c r="H3618" s="69"/>
      <c r="I3618" s="135"/>
      <c r="J3618" s="136"/>
      <c r="K3618" s="137"/>
      <c r="L3618" s="137"/>
    </row>
    <row r="3619" spans="2:12">
      <c r="B3619" s="133"/>
      <c r="C3619" s="14"/>
      <c r="D3619" s="14"/>
      <c r="E3619" s="134"/>
      <c r="F3619" s="14"/>
      <c r="G3619" s="69"/>
      <c r="H3619" s="69"/>
      <c r="I3619" s="135"/>
      <c r="J3619" s="136"/>
      <c r="K3619" s="137"/>
      <c r="L3619" s="137"/>
    </row>
    <row r="3620" spans="2:12">
      <c r="B3620" s="133"/>
      <c r="C3620" s="14"/>
      <c r="D3620" s="14"/>
      <c r="E3620" s="134"/>
      <c r="F3620" s="14"/>
      <c r="G3620" s="69"/>
      <c r="H3620" s="69"/>
      <c r="I3620" s="135"/>
      <c r="J3620" s="136"/>
      <c r="K3620" s="137"/>
      <c r="L3620" s="137"/>
    </row>
    <row r="3621" spans="2:12">
      <c r="B3621" s="133"/>
      <c r="C3621" s="14"/>
      <c r="D3621" s="14"/>
      <c r="E3621" s="134"/>
      <c r="F3621" s="14"/>
      <c r="G3621" s="69"/>
      <c r="H3621" s="69"/>
      <c r="I3621" s="135"/>
      <c r="J3621" s="136"/>
      <c r="K3621" s="137"/>
      <c r="L3621" s="137"/>
    </row>
    <row r="3622" spans="2:12">
      <c r="B3622" s="133"/>
      <c r="C3622" s="14"/>
      <c r="D3622" s="14"/>
      <c r="E3622" s="134"/>
      <c r="F3622" s="14"/>
      <c r="G3622" s="69"/>
      <c r="H3622" s="69"/>
      <c r="I3622" s="135"/>
      <c r="J3622" s="136"/>
      <c r="K3622" s="137"/>
      <c r="L3622" s="137"/>
    </row>
    <row r="3623" spans="2:12">
      <c r="B3623" s="133"/>
      <c r="C3623" s="14"/>
      <c r="D3623" s="14"/>
      <c r="E3623" s="134"/>
      <c r="F3623" s="14"/>
      <c r="G3623" s="69"/>
      <c r="H3623" s="69"/>
      <c r="I3623" s="135"/>
      <c r="J3623" s="136"/>
      <c r="K3623" s="137"/>
      <c r="L3623" s="137"/>
    </row>
    <row r="3624" spans="2:12">
      <c r="B3624" s="133"/>
      <c r="C3624" s="14"/>
      <c r="D3624" s="14"/>
      <c r="E3624" s="134"/>
      <c r="F3624" s="14"/>
      <c r="G3624" s="69"/>
      <c r="H3624" s="69"/>
      <c r="I3624" s="135"/>
      <c r="J3624" s="136"/>
      <c r="K3624" s="137"/>
      <c r="L3624" s="137"/>
    </row>
    <row r="3625" spans="2:12">
      <c r="B3625" s="133"/>
      <c r="C3625" s="14"/>
      <c r="D3625" s="14"/>
      <c r="E3625" s="134"/>
      <c r="F3625" s="14"/>
      <c r="G3625" s="69"/>
      <c r="H3625" s="69"/>
      <c r="I3625" s="135"/>
      <c r="J3625" s="136"/>
      <c r="K3625" s="137"/>
      <c r="L3625" s="137"/>
    </row>
    <row r="3626" spans="2:12">
      <c r="B3626" s="133"/>
      <c r="C3626" s="14"/>
      <c r="D3626" s="14"/>
      <c r="E3626" s="134"/>
      <c r="F3626" s="14"/>
      <c r="G3626" s="69"/>
      <c r="H3626" s="69"/>
      <c r="I3626" s="135"/>
      <c r="J3626" s="136"/>
      <c r="K3626" s="137"/>
      <c r="L3626" s="137"/>
    </row>
    <row r="3627" spans="2:12">
      <c r="B3627" s="133"/>
      <c r="C3627" s="14"/>
      <c r="D3627" s="14"/>
      <c r="E3627" s="134"/>
      <c r="F3627" s="14"/>
      <c r="G3627" s="69"/>
      <c r="H3627" s="69"/>
      <c r="I3627" s="135"/>
      <c r="J3627" s="136"/>
      <c r="K3627" s="137"/>
      <c r="L3627" s="137"/>
    </row>
    <row r="3628" spans="2:12">
      <c r="B3628" s="133"/>
      <c r="C3628" s="14"/>
      <c r="D3628" s="14"/>
      <c r="E3628" s="134"/>
      <c r="F3628" s="14"/>
      <c r="G3628" s="69"/>
      <c r="H3628" s="69"/>
      <c r="I3628" s="135"/>
      <c r="J3628" s="136"/>
      <c r="K3628" s="137"/>
      <c r="L3628" s="137"/>
    </row>
    <row r="3629" spans="2:12">
      <c r="B3629" s="133"/>
      <c r="C3629" s="14"/>
      <c r="D3629" s="14"/>
      <c r="E3629" s="134"/>
      <c r="F3629" s="14"/>
      <c r="G3629" s="69"/>
      <c r="H3629" s="69"/>
      <c r="I3629" s="135"/>
      <c r="J3629" s="136"/>
      <c r="K3629" s="137"/>
      <c r="L3629" s="137"/>
    </row>
    <row r="3630" spans="2:12">
      <c r="B3630" s="133"/>
      <c r="C3630" s="14"/>
      <c r="D3630" s="14"/>
      <c r="E3630" s="134"/>
      <c r="F3630" s="14"/>
      <c r="G3630" s="69"/>
      <c r="H3630" s="69"/>
      <c r="I3630" s="135"/>
      <c r="J3630" s="136"/>
      <c r="K3630" s="137"/>
      <c r="L3630" s="137"/>
    </row>
    <row r="3631" spans="2:12">
      <c r="B3631" s="133"/>
      <c r="C3631" s="14"/>
      <c r="D3631" s="14"/>
      <c r="E3631" s="134"/>
      <c r="F3631" s="14"/>
      <c r="G3631" s="69"/>
      <c r="H3631" s="69"/>
      <c r="I3631" s="135"/>
      <c r="J3631" s="136"/>
      <c r="K3631" s="137"/>
      <c r="L3631" s="137"/>
    </row>
    <row r="3632" spans="2:12">
      <c r="B3632" s="133"/>
      <c r="C3632" s="14"/>
      <c r="D3632" s="14"/>
      <c r="E3632" s="134"/>
      <c r="F3632" s="14"/>
      <c r="G3632" s="69"/>
      <c r="H3632" s="69"/>
      <c r="I3632" s="135"/>
      <c r="J3632" s="136"/>
      <c r="K3632" s="137"/>
      <c r="L3632" s="137"/>
    </row>
    <row r="3633" spans="2:12">
      <c r="B3633" s="133"/>
      <c r="C3633" s="14"/>
      <c r="D3633" s="14"/>
      <c r="E3633" s="134"/>
      <c r="F3633" s="14"/>
      <c r="G3633" s="69"/>
      <c r="H3633" s="69"/>
      <c r="I3633" s="135"/>
      <c r="J3633" s="136"/>
      <c r="K3633" s="137"/>
      <c r="L3633" s="137"/>
    </row>
    <row r="3634" spans="2:12">
      <c r="B3634" s="133"/>
      <c r="C3634" s="14"/>
      <c r="D3634" s="14"/>
      <c r="E3634" s="134"/>
      <c r="F3634" s="14"/>
      <c r="G3634" s="69"/>
      <c r="H3634" s="69"/>
      <c r="I3634" s="135"/>
      <c r="J3634" s="136"/>
      <c r="K3634" s="137"/>
      <c r="L3634" s="137"/>
    </row>
    <row r="3635" spans="2:12">
      <c r="B3635" s="133"/>
      <c r="C3635" s="14"/>
      <c r="D3635" s="14"/>
      <c r="E3635" s="134"/>
      <c r="F3635" s="14"/>
      <c r="G3635" s="69"/>
      <c r="H3635" s="69"/>
      <c r="I3635" s="135"/>
      <c r="J3635" s="136"/>
      <c r="K3635" s="137"/>
      <c r="L3635" s="137"/>
    </row>
    <row r="3636" spans="2:12">
      <c r="B3636" s="133"/>
      <c r="C3636" s="14"/>
      <c r="D3636" s="14"/>
      <c r="E3636" s="134"/>
      <c r="F3636" s="14"/>
      <c r="G3636" s="69"/>
      <c r="H3636" s="69"/>
      <c r="I3636" s="135"/>
      <c r="J3636" s="136"/>
      <c r="K3636" s="137"/>
      <c r="L3636" s="137"/>
    </row>
    <row r="3637" spans="2:12">
      <c r="B3637" s="133"/>
      <c r="C3637" s="14"/>
      <c r="D3637" s="14"/>
      <c r="E3637" s="134"/>
      <c r="F3637" s="14"/>
      <c r="G3637" s="69"/>
      <c r="H3637" s="69"/>
      <c r="I3637" s="135"/>
      <c r="J3637" s="136"/>
      <c r="K3637" s="137"/>
      <c r="L3637" s="137"/>
    </row>
    <row r="3638" spans="2:12">
      <c r="B3638" s="133"/>
      <c r="C3638" s="14"/>
      <c r="D3638" s="14"/>
      <c r="E3638" s="134"/>
      <c r="F3638" s="14"/>
      <c r="G3638" s="69"/>
      <c r="H3638" s="69"/>
      <c r="I3638" s="135"/>
      <c r="J3638" s="136"/>
      <c r="K3638" s="137"/>
      <c r="L3638" s="137"/>
    </row>
    <row r="3639" spans="2:12">
      <c r="B3639" s="133"/>
      <c r="C3639" s="14"/>
      <c r="D3639" s="14"/>
      <c r="E3639" s="134"/>
      <c r="F3639" s="14"/>
      <c r="G3639" s="69"/>
      <c r="H3639" s="69"/>
      <c r="I3639" s="135"/>
      <c r="J3639" s="136"/>
      <c r="K3639" s="137"/>
      <c r="L3639" s="137"/>
    </row>
    <row r="3640" spans="2:12">
      <c r="B3640" s="133"/>
      <c r="C3640" s="14"/>
      <c r="D3640" s="14"/>
      <c r="E3640" s="134"/>
      <c r="F3640" s="14"/>
      <c r="G3640" s="69"/>
      <c r="H3640" s="69"/>
      <c r="I3640" s="135"/>
      <c r="J3640" s="136"/>
      <c r="K3640" s="137"/>
      <c r="L3640" s="137"/>
    </row>
    <row r="3641" spans="2:12">
      <c r="B3641" s="133"/>
      <c r="C3641" s="14"/>
      <c r="D3641" s="14"/>
      <c r="E3641" s="134"/>
      <c r="F3641" s="14"/>
      <c r="G3641" s="69"/>
      <c r="H3641" s="69"/>
      <c r="I3641" s="135"/>
      <c r="J3641" s="136"/>
      <c r="K3641" s="137"/>
      <c r="L3641" s="137"/>
    </row>
    <row r="3642" spans="2:12">
      <c r="B3642" s="133"/>
      <c r="C3642" s="14"/>
      <c r="D3642" s="14"/>
      <c r="E3642" s="134"/>
      <c r="F3642" s="14"/>
      <c r="G3642" s="69"/>
      <c r="H3642" s="69"/>
      <c r="I3642" s="135"/>
      <c r="J3642" s="136"/>
      <c r="K3642" s="137"/>
      <c r="L3642" s="137"/>
    </row>
    <row r="3643" spans="2:12">
      <c r="B3643" s="133"/>
      <c r="C3643" s="14"/>
      <c r="D3643" s="14"/>
      <c r="E3643" s="134"/>
      <c r="F3643" s="14"/>
      <c r="G3643" s="69"/>
      <c r="H3643" s="69"/>
      <c r="I3643" s="135"/>
      <c r="J3643" s="136"/>
      <c r="K3643" s="137"/>
      <c r="L3643" s="137"/>
    </row>
    <row r="3644" spans="2:12">
      <c r="B3644" s="133"/>
      <c r="C3644" s="14"/>
      <c r="D3644" s="14"/>
      <c r="E3644" s="134"/>
      <c r="F3644" s="14"/>
      <c r="G3644" s="69"/>
      <c r="H3644" s="69"/>
      <c r="I3644" s="135"/>
      <c r="J3644" s="136"/>
      <c r="K3644" s="137"/>
      <c r="L3644" s="137"/>
    </row>
    <row r="3645" spans="2:12">
      <c r="B3645" s="133"/>
      <c r="C3645" s="14"/>
      <c r="D3645" s="14"/>
      <c r="E3645" s="134"/>
      <c r="F3645" s="14"/>
      <c r="G3645" s="69"/>
      <c r="H3645" s="69"/>
      <c r="I3645" s="135"/>
      <c r="J3645" s="136"/>
      <c r="K3645" s="137"/>
      <c r="L3645" s="137"/>
    </row>
    <row r="3646" spans="2:12">
      <c r="B3646" s="133"/>
      <c r="C3646" s="14"/>
      <c r="D3646" s="14"/>
      <c r="E3646" s="134"/>
      <c r="F3646" s="14"/>
      <c r="G3646" s="69"/>
      <c r="H3646" s="69"/>
      <c r="I3646" s="135"/>
      <c r="J3646" s="136"/>
      <c r="K3646" s="137"/>
      <c r="L3646" s="137"/>
    </row>
    <row r="3647" spans="2:12">
      <c r="B3647" s="133"/>
      <c r="C3647" s="14"/>
      <c r="D3647" s="14"/>
      <c r="E3647" s="134"/>
      <c r="F3647" s="14"/>
      <c r="G3647" s="69"/>
      <c r="H3647" s="69"/>
      <c r="I3647" s="135"/>
      <c r="J3647" s="136"/>
      <c r="K3647" s="137"/>
      <c r="L3647" s="137"/>
    </row>
    <row r="3648" spans="2:12">
      <c r="B3648" s="133"/>
      <c r="C3648" s="14"/>
      <c r="D3648" s="14"/>
      <c r="E3648" s="134"/>
      <c r="F3648" s="14"/>
      <c r="G3648" s="69"/>
      <c r="H3648" s="69"/>
      <c r="I3648" s="135"/>
      <c r="J3648" s="136"/>
      <c r="K3648" s="137"/>
      <c r="L3648" s="137"/>
    </row>
    <row r="3649" spans="2:12">
      <c r="B3649" s="133"/>
      <c r="C3649" s="14"/>
      <c r="D3649" s="14"/>
      <c r="E3649" s="134"/>
      <c r="F3649" s="14"/>
      <c r="G3649" s="69"/>
      <c r="H3649" s="69"/>
      <c r="I3649" s="135"/>
      <c r="J3649" s="136"/>
      <c r="K3649" s="137"/>
      <c r="L3649" s="137"/>
    </row>
    <row r="3650" spans="2:12">
      <c r="B3650" s="133"/>
      <c r="C3650" s="14"/>
      <c r="D3650" s="14"/>
      <c r="E3650" s="134"/>
      <c r="F3650" s="14"/>
      <c r="G3650" s="69"/>
      <c r="H3650" s="69"/>
      <c r="I3650" s="135"/>
      <c r="J3650" s="136"/>
      <c r="K3650" s="137"/>
      <c r="L3650" s="137"/>
    </row>
    <row r="3651" spans="2:12">
      <c r="B3651" s="133"/>
      <c r="C3651" s="14"/>
      <c r="D3651" s="14"/>
      <c r="E3651" s="134"/>
      <c r="F3651" s="14"/>
      <c r="G3651" s="69"/>
      <c r="H3651" s="69"/>
      <c r="I3651" s="135"/>
      <c r="J3651" s="136"/>
      <c r="K3651" s="137"/>
      <c r="L3651" s="137"/>
    </row>
    <row r="3652" spans="2:12">
      <c r="B3652" s="133"/>
      <c r="C3652" s="14"/>
      <c r="D3652" s="14"/>
      <c r="E3652" s="134"/>
      <c r="F3652" s="14"/>
      <c r="G3652" s="69"/>
      <c r="H3652" s="69"/>
      <c r="I3652" s="135"/>
      <c r="J3652" s="136"/>
      <c r="K3652" s="137"/>
      <c r="L3652" s="137"/>
    </row>
    <row r="3653" spans="2:12">
      <c r="B3653" s="133"/>
      <c r="C3653" s="14"/>
      <c r="D3653" s="14"/>
      <c r="E3653" s="134"/>
      <c r="F3653" s="14"/>
      <c r="G3653" s="69"/>
      <c r="H3653" s="69"/>
      <c r="I3653" s="135"/>
      <c r="J3653" s="136"/>
      <c r="K3653" s="137"/>
      <c r="L3653" s="137"/>
    </row>
    <row r="3654" spans="2:12">
      <c r="B3654" s="133"/>
      <c r="C3654" s="14"/>
      <c r="D3654" s="14"/>
      <c r="E3654" s="134"/>
      <c r="F3654" s="14"/>
      <c r="G3654" s="69"/>
      <c r="H3654" s="69"/>
      <c r="I3654" s="135"/>
      <c r="J3654" s="136"/>
      <c r="K3654" s="137"/>
      <c r="L3654" s="137"/>
    </row>
    <row r="3655" spans="2:12">
      <c r="B3655" s="133"/>
      <c r="C3655" s="14"/>
      <c r="D3655" s="14"/>
      <c r="E3655" s="134"/>
      <c r="F3655" s="14"/>
      <c r="G3655" s="69"/>
      <c r="H3655" s="69"/>
      <c r="I3655" s="135"/>
      <c r="J3655" s="136"/>
      <c r="K3655" s="137"/>
      <c r="L3655" s="137"/>
    </row>
    <row r="3656" spans="2:12">
      <c r="B3656" s="133"/>
      <c r="C3656" s="14"/>
      <c r="D3656" s="14"/>
      <c r="E3656" s="134"/>
      <c r="F3656" s="14"/>
      <c r="G3656" s="69"/>
      <c r="H3656" s="69"/>
      <c r="I3656" s="135"/>
      <c r="J3656" s="136"/>
      <c r="K3656" s="137"/>
      <c r="L3656" s="137"/>
    </row>
    <row r="3657" spans="2:12">
      <c r="B3657" s="133"/>
      <c r="C3657" s="14"/>
      <c r="D3657" s="14"/>
      <c r="E3657" s="134"/>
      <c r="F3657" s="14"/>
      <c r="G3657" s="69"/>
      <c r="H3657" s="69"/>
      <c r="I3657" s="135"/>
      <c r="J3657" s="136"/>
      <c r="K3657" s="137"/>
      <c r="L3657" s="137"/>
    </row>
    <row r="3658" spans="2:12">
      <c r="B3658" s="133"/>
      <c r="C3658" s="14"/>
      <c r="D3658" s="14"/>
      <c r="E3658" s="134"/>
      <c r="F3658" s="14"/>
      <c r="G3658" s="69"/>
      <c r="H3658" s="69"/>
      <c r="I3658" s="135"/>
      <c r="J3658" s="136"/>
      <c r="K3658" s="137"/>
      <c r="L3658" s="137"/>
    </row>
    <row r="3659" spans="2:12">
      <c r="B3659" s="133"/>
      <c r="C3659" s="14"/>
      <c r="D3659" s="14"/>
      <c r="E3659" s="134"/>
      <c r="F3659" s="14"/>
      <c r="G3659" s="69"/>
      <c r="H3659" s="69"/>
      <c r="I3659" s="135"/>
      <c r="J3659" s="136"/>
      <c r="K3659" s="137"/>
      <c r="L3659" s="137"/>
    </row>
    <row r="3660" spans="2:12">
      <c r="B3660" s="133"/>
      <c r="C3660" s="14"/>
      <c r="D3660" s="14"/>
      <c r="E3660" s="134"/>
      <c r="F3660" s="14"/>
      <c r="G3660" s="69"/>
      <c r="H3660" s="69"/>
      <c r="I3660" s="135"/>
      <c r="J3660" s="136"/>
      <c r="K3660" s="137"/>
      <c r="L3660" s="137"/>
    </row>
    <row r="3661" spans="2:12">
      <c r="B3661" s="133"/>
      <c r="C3661" s="14"/>
      <c r="D3661" s="14"/>
      <c r="E3661" s="134"/>
      <c r="F3661" s="14"/>
      <c r="G3661" s="69"/>
      <c r="H3661" s="69"/>
      <c r="I3661" s="135"/>
      <c r="J3661" s="136"/>
      <c r="K3661" s="137"/>
      <c r="L3661" s="137"/>
    </row>
    <row r="3662" spans="2:12">
      <c r="B3662" s="133"/>
      <c r="C3662" s="14"/>
      <c r="D3662" s="14"/>
      <c r="E3662" s="134"/>
      <c r="F3662" s="14"/>
      <c r="G3662" s="69"/>
      <c r="H3662" s="69"/>
      <c r="I3662" s="135"/>
      <c r="J3662" s="136"/>
      <c r="K3662" s="137"/>
      <c r="L3662" s="137"/>
    </row>
    <row r="3663" spans="2:12">
      <c r="B3663" s="133"/>
      <c r="C3663" s="14"/>
      <c r="D3663" s="14"/>
      <c r="E3663" s="134"/>
      <c r="F3663" s="14"/>
      <c r="G3663" s="69"/>
      <c r="H3663" s="69"/>
      <c r="I3663" s="135"/>
      <c r="J3663" s="136"/>
      <c r="K3663" s="137"/>
      <c r="L3663" s="137"/>
    </row>
    <row r="3664" spans="2:12">
      <c r="B3664" s="133"/>
      <c r="C3664" s="14"/>
      <c r="D3664" s="14"/>
      <c r="E3664" s="134"/>
      <c r="F3664" s="14"/>
      <c r="G3664" s="69"/>
      <c r="H3664" s="69"/>
      <c r="I3664" s="135"/>
      <c r="J3664" s="136"/>
      <c r="K3664" s="137"/>
      <c r="L3664" s="137"/>
    </row>
    <row r="3665" spans="2:12">
      <c r="B3665" s="133"/>
      <c r="C3665" s="14"/>
      <c r="D3665" s="14"/>
      <c r="E3665" s="134"/>
      <c r="F3665" s="14"/>
      <c r="G3665" s="69"/>
      <c r="H3665" s="69"/>
      <c r="I3665" s="135"/>
      <c r="J3665" s="136"/>
      <c r="K3665" s="137"/>
      <c r="L3665" s="137"/>
    </row>
    <row r="3666" spans="2:12">
      <c r="B3666" s="133"/>
      <c r="C3666" s="14"/>
      <c r="D3666" s="14"/>
      <c r="E3666" s="134"/>
      <c r="F3666" s="14"/>
      <c r="G3666" s="69"/>
      <c r="H3666" s="69"/>
      <c r="I3666" s="135"/>
      <c r="J3666" s="136"/>
      <c r="K3666" s="137"/>
      <c r="L3666" s="137"/>
    </row>
    <row r="3667" spans="2:12">
      <c r="B3667" s="133"/>
      <c r="C3667" s="14"/>
      <c r="D3667" s="14"/>
      <c r="E3667" s="134"/>
      <c r="F3667" s="14"/>
      <c r="G3667" s="69"/>
      <c r="H3667" s="69"/>
      <c r="I3667" s="135"/>
      <c r="J3667" s="136"/>
      <c r="K3667" s="137"/>
      <c r="L3667" s="137"/>
    </row>
    <row r="3668" spans="2:12">
      <c r="B3668" s="133"/>
      <c r="C3668" s="14"/>
      <c r="D3668" s="14"/>
      <c r="E3668" s="134"/>
      <c r="F3668" s="14"/>
      <c r="G3668" s="69"/>
      <c r="H3668" s="69"/>
      <c r="I3668" s="135"/>
      <c r="J3668" s="136"/>
      <c r="K3668" s="137"/>
      <c r="L3668" s="137"/>
    </row>
    <row r="3669" spans="2:12">
      <c r="B3669" s="133"/>
      <c r="C3669" s="14"/>
      <c r="D3669" s="14"/>
      <c r="E3669" s="134"/>
      <c r="F3669" s="14"/>
      <c r="G3669" s="69"/>
      <c r="H3669" s="69"/>
      <c r="I3669" s="135"/>
      <c r="J3669" s="136"/>
      <c r="K3669" s="137"/>
      <c r="L3669" s="137"/>
    </row>
    <row r="3670" spans="2:12">
      <c r="B3670" s="133"/>
      <c r="C3670" s="14"/>
      <c r="D3670" s="14"/>
      <c r="E3670" s="134"/>
      <c r="F3670" s="14"/>
      <c r="G3670" s="69"/>
      <c r="H3670" s="69"/>
      <c r="I3670" s="135"/>
      <c r="J3670" s="136"/>
      <c r="K3670" s="137"/>
      <c r="L3670" s="137"/>
    </row>
    <row r="3671" spans="2:12">
      <c r="B3671" s="133"/>
      <c r="C3671" s="14"/>
      <c r="D3671" s="14"/>
      <c r="E3671" s="134"/>
      <c r="F3671" s="14"/>
      <c r="G3671" s="69"/>
      <c r="H3671" s="69"/>
      <c r="I3671" s="135"/>
      <c r="J3671" s="136"/>
      <c r="K3671" s="137"/>
      <c r="L3671" s="137"/>
    </row>
    <row r="3672" spans="2:12">
      <c r="B3672" s="133"/>
      <c r="C3672" s="14"/>
      <c r="D3672" s="14"/>
      <c r="E3672" s="134"/>
      <c r="F3672" s="14"/>
      <c r="G3672" s="69"/>
      <c r="H3672" s="69"/>
      <c r="I3672" s="135"/>
      <c r="J3672" s="136"/>
      <c r="K3672" s="137"/>
      <c r="L3672" s="137"/>
    </row>
    <row r="3673" spans="2:12">
      <c r="B3673" s="133"/>
      <c r="C3673" s="14"/>
      <c r="D3673" s="14"/>
      <c r="E3673" s="134"/>
      <c r="F3673" s="14"/>
      <c r="G3673" s="69"/>
      <c r="H3673" s="69"/>
      <c r="I3673" s="135"/>
      <c r="J3673" s="136"/>
      <c r="K3673" s="137"/>
      <c r="L3673" s="137"/>
    </row>
    <row r="3674" spans="2:12">
      <c r="B3674" s="133"/>
      <c r="C3674" s="14"/>
      <c r="D3674" s="14"/>
      <c r="E3674" s="134"/>
      <c r="F3674" s="14"/>
      <c r="G3674" s="69"/>
      <c r="H3674" s="69"/>
      <c r="I3674" s="135"/>
      <c r="J3674" s="136"/>
      <c r="K3674" s="137"/>
      <c r="L3674" s="137"/>
    </row>
    <row r="3675" spans="2:12">
      <c r="B3675" s="133"/>
      <c r="C3675" s="14"/>
      <c r="D3675" s="14"/>
      <c r="E3675" s="134"/>
      <c r="F3675" s="14"/>
      <c r="G3675" s="69"/>
      <c r="H3675" s="69"/>
      <c r="I3675" s="135"/>
      <c r="J3675" s="136"/>
      <c r="K3675" s="137"/>
      <c r="L3675" s="137"/>
    </row>
    <row r="3676" spans="2:12">
      <c r="B3676" s="133"/>
      <c r="C3676" s="14"/>
      <c r="D3676" s="14"/>
      <c r="E3676" s="134"/>
      <c r="F3676" s="14"/>
      <c r="G3676" s="69"/>
      <c r="H3676" s="69"/>
      <c r="I3676" s="135"/>
      <c r="J3676" s="136"/>
      <c r="K3676" s="137"/>
      <c r="L3676" s="137"/>
    </row>
    <row r="3677" spans="2:12">
      <c r="B3677" s="133"/>
      <c r="C3677" s="14"/>
      <c r="D3677" s="14"/>
      <c r="E3677" s="134"/>
      <c r="F3677" s="14"/>
      <c r="G3677" s="69"/>
      <c r="H3677" s="69"/>
      <c r="I3677" s="135"/>
      <c r="J3677" s="136"/>
      <c r="K3677" s="137"/>
      <c r="L3677" s="137"/>
    </row>
    <row r="3678" spans="2:12">
      <c r="B3678" s="133"/>
      <c r="C3678" s="14"/>
      <c r="D3678" s="14"/>
      <c r="E3678" s="134"/>
      <c r="F3678" s="14"/>
      <c r="G3678" s="69"/>
      <c r="H3678" s="69"/>
      <c r="I3678" s="135"/>
      <c r="J3678" s="136"/>
      <c r="K3678" s="137"/>
      <c r="L3678" s="137"/>
    </row>
    <row r="3679" spans="2:12">
      <c r="B3679" s="133"/>
      <c r="C3679" s="14"/>
      <c r="D3679" s="14"/>
      <c r="E3679" s="134"/>
      <c r="F3679" s="14"/>
      <c r="G3679" s="69"/>
      <c r="H3679" s="69"/>
      <c r="I3679" s="135"/>
      <c r="J3679" s="136"/>
      <c r="K3679" s="137"/>
      <c r="L3679" s="137"/>
    </row>
    <row r="3680" spans="2:12">
      <c r="B3680" s="133"/>
      <c r="C3680" s="14"/>
      <c r="D3680" s="14"/>
      <c r="E3680" s="134"/>
      <c r="F3680" s="14"/>
      <c r="G3680" s="69"/>
      <c r="H3680" s="69"/>
      <c r="I3680" s="135"/>
      <c r="J3680" s="136"/>
      <c r="K3680" s="137"/>
      <c r="L3680" s="137"/>
    </row>
    <row r="3681" spans="2:12">
      <c r="B3681" s="133"/>
      <c r="C3681" s="14"/>
      <c r="D3681" s="14"/>
      <c r="E3681" s="134"/>
      <c r="F3681" s="14"/>
      <c r="G3681" s="69"/>
      <c r="H3681" s="69"/>
      <c r="I3681" s="135"/>
      <c r="J3681" s="136"/>
      <c r="K3681" s="137"/>
      <c r="L3681" s="137"/>
    </row>
    <row r="3682" spans="2:12">
      <c r="B3682" s="133"/>
      <c r="C3682" s="14"/>
      <c r="D3682" s="14"/>
      <c r="E3682" s="134"/>
      <c r="F3682" s="14"/>
      <c r="G3682" s="69"/>
      <c r="H3682" s="69"/>
      <c r="I3682" s="135"/>
      <c r="J3682" s="136"/>
      <c r="K3682" s="137"/>
      <c r="L3682" s="137"/>
    </row>
    <row r="3683" spans="2:12">
      <c r="B3683" s="133"/>
      <c r="C3683" s="14"/>
      <c r="D3683" s="14"/>
      <c r="E3683" s="134"/>
      <c r="F3683" s="14"/>
      <c r="G3683" s="69"/>
      <c r="H3683" s="69"/>
      <c r="I3683" s="135"/>
      <c r="J3683" s="136"/>
      <c r="K3683" s="137"/>
      <c r="L3683" s="137"/>
    </row>
    <row r="3684" spans="2:12">
      <c r="B3684" s="133"/>
      <c r="C3684" s="14"/>
      <c r="D3684" s="14"/>
      <c r="E3684" s="134"/>
      <c r="F3684" s="14"/>
      <c r="G3684" s="69"/>
      <c r="H3684" s="69"/>
      <c r="I3684" s="135"/>
      <c r="J3684" s="136"/>
      <c r="K3684" s="137"/>
      <c r="L3684" s="137"/>
    </row>
    <row r="3685" spans="2:12">
      <c r="B3685" s="133"/>
      <c r="C3685" s="14"/>
      <c r="D3685" s="14"/>
      <c r="E3685" s="134"/>
      <c r="F3685" s="14"/>
      <c r="G3685" s="69"/>
      <c r="H3685" s="69"/>
      <c r="I3685" s="135"/>
      <c r="J3685" s="136"/>
      <c r="K3685" s="137"/>
      <c r="L3685" s="137"/>
    </row>
    <row r="3686" spans="2:12">
      <c r="B3686" s="133"/>
      <c r="C3686" s="14"/>
      <c r="D3686" s="14"/>
      <c r="E3686" s="134"/>
      <c r="F3686" s="14"/>
      <c r="G3686" s="69"/>
      <c r="H3686" s="69"/>
      <c r="I3686" s="135"/>
      <c r="J3686" s="136"/>
      <c r="K3686" s="137"/>
      <c r="L3686" s="137"/>
    </row>
    <row r="3687" spans="2:12">
      <c r="B3687" s="133"/>
      <c r="C3687" s="14"/>
      <c r="D3687" s="14"/>
      <c r="E3687" s="134"/>
      <c r="F3687" s="14"/>
      <c r="G3687" s="69"/>
      <c r="H3687" s="69"/>
      <c r="I3687" s="135"/>
      <c r="J3687" s="136"/>
      <c r="K3687" s="137"/>
      <c r="L3687" s="137"/>
    </row>
    <row r="3688" spans="2:12">
      <c r="B3688" s="133"/>
      <c r="C3688" s="14"/>
      <c r="D3688" s="14"/>
      <c r="E3688" s="134"/>
      <c r="F3688" s="14"/>
      <c r="G3688" s="69"/>
      <c r="H3688" s="69"/>
      <c r="I3688" s="135"/>
      <c r="J3688" s="136"/>
      <c r="K3688" s="137"/>
      <c r="L3688" s="137"/>
    </row>
    <row r="3689" spans="2:12">
      <c r="B3689" s="133"/>
      <c r="C3689" s="14"/>
      <c r="D3689" s="14"/>
      <c r="E3689" s="134"/>
      <c r="F3689" s="14"/>
      <c r="G3689" s="69"/>
      <c r="H3689" s="69"/>
      <c r="I3689" s="135"/>
      <c r="J3689" s="136"/>
      <c r="K3689" s="137"/>
      <c r="L3689" s="137"/>
    </row>
    <row r="3690" spans="2:12">
      <c r="B3690" s="133"/>
      <c r="C3690" s="14"/>
      <c r="D3690" s="14"/>
      <c r="E3690" s="134"/>
      <c r="F3690" s="14"/>
      <c r="G3690" s="69"/>
      <c r="H3690" s="69"/>
      <c r="I3690" s="135"/>
      <c r="J3690" s="136"/>
      <c r="K3690" s="137"/>
      <c r="L3690" s="137"/>
    </row>
    <row r="3691" spans="2:12">
      <c r="B3691" s="133"/>
      <c r="C3691" s="14"/>
      <c r="D3691" s="14"/>
      <c r="E3691" s="134"/>
      <c r="F3691" s="14"/>
      <c r="G3691" s="69"/>
      <c r="H3691" s="69"/>
      <c r="I3691" s="135"/>
      <c r="J3691" s="136"/>
      <c r="K3691" s="137"/>
      <c r="L3691" s="137"/>
    </row>
    <row r="3692" spans="2:12">
      <c r="B3692" s="133"/>
      <c r="C3692" s="14"/>
      <c r="D3692" s="14"/>
      <c r="E3692" s="134"/>
      <c r="F3692" s="14"/>
      <c r="G3692" s="69"/>
      <c r="H3692" s="69"/>
      <c r="I3692" s="135"/>
      <c r="J3692" s="136"/>
      <c r="K3692" s="137"/>
      <c r="L3692" s="137"/>
    </row>
    <row r="3693" spans="2:12">
      <c r="B3693" s="133"/>
      <c r="C3693" s="14"/>
      <c r="D3693" s="14"/>
      <c r="E3693" s="134"/>
      <c r="F3693" s="14"/>
      <c r="G3693" s="69"/>
      <c r="H3693" s="69"/>
      <c r="I3693" s="135"/>
      <c r="J3693" s="136"/>
      <c r="K3693" s="137"/>
      <c r="L3693" s="137"/>
    </row>
    <row r="3694" spans="2:12">
      <c r="B3694" s="133"/>
      <c r="C3694" s="14"/>
      <c r="D3694" s="14"/>
      <c r="E3694" s="134"/>
      <c r="F3694" s="14"/>
      <c r="G3694" s="69"/>
      <c r="H3694" s="69"/>
      <c r="I3694" s="135"/>
      <c r="J3694" s="136"/>
      <c r="K3694" s="137"/>
      <c r="L3694" s="137"/>
    </row>
    <row r="3695" spans="2:12">
      <c r="B3695" s="133"/>
      <c r="C3695" s="14"/>
      <c r="D3695" s="14"/>
      <c r="E3695" s="134"/>
      <c r="F3695" s="14"/>
      <c r="G3695" s="69"/>
      <c r="H3695" s="69"/>
      <c r="I3695" s="135"/>
      <c r="J3695" s="136"/>
      <c r="K3695" s="137"/>
      <c r="L3695" s="137"/>
    </row>
    <row r="3696" spans="2:12">
      <c r="B3696" s="133"/>
      <c r="C3696" s="14"/>
      <c r="D3696" s="14"/>
      <c r="E3696" s="134"/>
      <c r="F3696" s="14"/>
      <c r="G3696" s="69"/>
      <c r="H3696" s="69"/>
      <c r="I3696" s="135"/>
      <c r="J3696" s="136"/>
      <c r="K3696" s="137"/>
      <c r="L3696" s="137"/>
    </row>
    <row r="3697" spans="2:12">
      <c r="B3697" s="133"/>
      <c r="C3697" s="14"/>
      <c r="D3697" s="14"/>
      <c r="E3697" s="134"/>
      <c r="F3697" s="14"/>
      <c r="G3697" s="69"/>
      <c r="H3697" s="69"/>
      <c r="I3697" s="135"/>
      <c r="J3697" s="136"/>
      <c r="K3697" s="137"/>
      <c r="L3697" s="137"/>
    </row>
    <row r="3698" spans="2:12">
      <c r="B3698" s="133"/>
      <c r="C3698" s="14"/>
      <c r="D3698" s="14"/>
      <c r="E3698" s="134"/>
      <c r="F3698" s="14"/>
      <c r="G3698" s="69"/>
      <c r="H3698" s="69"/>
      <c r="I3698" s="135"/>
      <c r="J3698" s="136"/>
      <c r="K3698" s="137"/>
      <c r="L3698" s="137"/>
    </row>
    <row r="3699" spans="2:12">
      <c r="B3699" s="133"/>
      <c r="C3699" s="14"/>
      <c r="D3699" s="14"/>
      <c r="E3699" s="134"/>
      <c r="F3699" s="14"/>
      <c r="G3699" s="69"/>
      <c r="H3699" s="69"/>
      <c r="I3699" s="135"/>
      <c r="J3699" s="136"/>
      <c r="K3699" s="137"/>
      <c r="L3699" s="137"/>
    </row>
    <row r="3700" spans="2:12">
      <c r="B3700" s="133"/>
      <c r="C3700" s="14"/>
      <c r="D3700" s="14"/>
      <c r="E3700" s="134"/>
      <c r="F3700" s="14"/>
      <c r="G3700" s="69"/>
      <c r="H3700" s="69"/>
      <c r="I3700" s="135"/>
      <c r="J3700" s="136"/>
      <c r="K3700" s="137"/>
      <c r="L3700" s="137"/>
    </row>
    <row r="3701" spans="2:12">
      <c r="B3701" s="133"/>
      <c r="C3701" s="14"/>
      <c r="D3701" s="14"/>
      <c r="E3701" s="134"/>
      <c r="F3701" s="14"/>
      <c r="G3701" s="69"/>
      <c r="H3701" s="69"/>
      <c r="I3701" s="135"/>
      <c r="J3701" s="136"/>
      <c r="K3701" s="137"/>
      <c r="L3701" s="137"/>
    </row>
    <row r="3702" spans="2:12">
      <c r="B3702" s="133"/>
      <c r="C3702" s="14"/>
      <c r="D3702" s="14"/>
      <c r="E3702" s="134"/>
      <c r="F3702" s="14"/>
      <c r="G3702" s="69"/>
      <c r="H3702" s="69"/>
      <c r="I3702" s="135"/>
      <c r="J3702" s="136"/>
      <c r="K3702" s="137"/>
      <c r="L3702" s="137"/>
    </row>
    <row r="3703" spans="2:12">
      <c r="B3703" s="133"/>
      <c r="C3703" s="14"/>
      <c r="D3703" s="14"/>
      <c r="E3703" s="134"/>
      <c r="F3703" s="14"/>
      <c r="G3703" s="69"/>
      <c r="H3703" s="69"/>
      <c r="I3703" s="135"/>
      <c r="J3703" s="136"/>
      <c r="K3703" s="137"/>
      <c r="L3703" s="137"/>
    </row>
    <row r="3704" spans="2:12">
      <c r="B3704" s="133"/>
      <c r="C3704" s="14"/>
      <c r="D3704" s="14"/>
      <c r="E3704" s="134"/>
      <c r="F3704" s="14"/>
      <c r="G3704" s="69"/>
      <c r="H3704" s="69"/>
      <c r="I3704" s="135"/>
      <c r="J3704" s="136"/>
      <c r="K3704" s="137"/>
      <c r="L3704" s="137"/>
    </row>
    <row r="3705" spans="2:12">
      <c r="B3705" s="133"/>
      <c r="C3705" s="14"/>
      <c r="D3705" s="14"/>
      <c r="E3705" s="134"/>
      <c r="F3705" s="14"/>
      <c r="G3705" s="69"/>
      <c r="H3705" s="69"/>
      <c r="I3705" s="135"/>
      <c r="J3705" s="136"/>
      <c r="K3705" s="137"/>
      <c r="L3705" s="137"/>
    </row>
    <row r="3706" spans="2:12">
      <c r="B3706" s="133"/>
      <c r="C3706" s="14"/>
      <c r="D3706" s="14"/>
      <c r="E3706" s="134"/>
      <c r="F3706" s="14"/>
      <c r="G3706" s="69"/>
      <c r="H3706" s="69"/>
      <c r="I3706" s="135"/>
      <c r="J3706" s="136"/>
      <c r="K3706" s="137"/>
      <c r="L3706" s="137"/>
    </row>
    <row r="3707" spans="2:12">
      <c r="B3707" s="133"/>
      <c r="C3707" s="14"/>
      <c r="D3707" s="14"/>
      <c r="E3707" s="134"/>
      <c r="F3707" s="14"/>
      <c r="G3707" s="69"/>
      <c r="H3707" s="69"/>
      <c r="I3707" s="135"/>
      <c r="J3707" s="136"/>
      <c r="K3707" s="137"/>
      <c r="L3707" s="137"/>
    </row>
    <row r="3708" spans="2:12">
      <c r="B3708" s="133"/>
      <c r="C3708" s="14"/>
      <c r="D3708" s="14"/>
      <c r="E3708" s="134"/>
      <c r="F3708" s="14"/>
      <c r="G3708" s="69"/>
      <c r="H3708" s="69"/>
      <c r="I3708" s="135"/>
      <c r="J3708" s="136"/>
      <c r="K3708" s="137"/>
      <c r="L3708" s="137"/>
    </row>
    <row r="3709" spans="2:12">
      <c r="B3709" s="133"/>
      <c r="C3709" s="14"/>
      <c r="D3709" s="14"/>
      <c r="E3709" s="134"/>
      <c r="F3709" s="14"/>
      <c r="G3709" s="69"/>
      <c r="H3709" s="69"/>
      <c r="I3709" s="135"/>
      <c r="J3709" s="136"/>
      <c r="K3709" s="137"/>
      <c r="L3709" s="137"/>
    </row>
    <row r="3710" spans="2:12">
      <c r="B3710" s="133"/>
      <c r="C3710" s="14"/>
      <c r="D3710" s="14"/>
      <c r="E3710" s="134"/>
      <c r="F3710" s="14"/>
      <c r="G3710" s="69"/>
      <c r="H3710" s="69"/>
      <c r="I3710" s="135"/>
      <c r="J3710" s="136"/>
      <c r="K3710" s="137"/>
      <c r="L3710" s="137"/>
    </row>
    <row r="3711" spans="2:12">
      <c r="B3711" s="133"/>
      <c r="C3711" s="14"/>
      <c r="D3711" s="14"/>
      <c r="E3711" s="134"/>
      <c r="F3711" s="14"/>
      <c r="G3711" s="69"/>
      <c r="H3711" s="69"/>
      <c r="I3711" s="135"/>
      <c r="J3711" s="136"/>
      <c r="K3711" s="137"/>
      <c r="L3711" s="137"/>
    </row>
    <row r="3712" spans="2:12">
      <c r="B3712" s="133"/>
      <c r="C3712" s="14"/>
      <c r="D3712" s="14"/>
      <c r="E3712" s="134"/>
      <c r="F3712" s="14"/>
      <c r="G3712" s="69"/>
      <c r="H3712" s="69"/>
      <c r="I3712" s="135"/>
      <c r="J3712" s="136"/>
      <c r="K3712" s="137"/>
      <c r="L3712" s="137"/>
    </row>
    <row r="3713" spans="2:12">
      <c r="B3713" s="133"/>
      <c r="C3713" s="14"/>
      <c r="D3713" s="14"/>
      <c r="E3713" s="134"/>
      <c r="F3713" s="14"/>
      <c r="G3713" s="69"/>
      <c r="H3713" s="69"/>
      <c r="I3713" s="135"/>
      <c r="J3713" s="136"/>
      <c r="K3713" s="137"/>
      <c r="L3713" s="137"/>
    </row>
    <row r="3714" spans="2:12">
      <c r="B3714" s="133"/>
      <c r="C3714" s="14"/>
      <c r="D3714" s="14"/>
      <c r="E3714" s="134"/>
      <c r="F3714" s="14"/>
      <c r="G3714" s="69"/>
      <c r="H3714" s="69"/>
      <c r="I3714" s="135"/>
      <c r="J3714" s="136"/>
      <c r="K3714" s="137"/>
      <c r="L3714" s="137"/>
    </row>
    <row r="3715" spans="2:12">
      <c r="B3715" s="133"/>
      <c r="C3715" s="14"/>
      <c r="D3715" s="14"/>
      <c r="E3715" s="134"/>
      <c r="F3715" s="14"/>
      <c r="G3715" s="69"/>
      <c r="H3715" s="69"/>
      <c r="I3715" s="135"/>
      <c r="J3715" s="136"/>
      <c r="K3715" s="137"/>
      <c r="L3715" s="137"/>
    </row>
    <row r="3716" spans="2:12">
      <c r="B3716" s="133"/>
      <c r="C3716" s="14"/>
      <c r="D3716" s="14"/>
      <c r="E3716" s="134"/>
      <c r="F3716" s="14"/>
      <c r="G3716" s="69"/>
      <c r="H3716" s="69"/>
      <c r="I3716" s="135"/>
      <c r="J3716" s="136"/>
      <c r="K3716" s="137"/>
      <c r="L3716" s="137"/>
    </row>
    <row r="3717" spans="2:12">
      <c r="B3717" s="133"/>
      <c r="C3717" s="14"/>
      <c r="D3717" s="14"/>
      <c r="E3717" s="134"/>
      <c r="F3717" s="14"/>
      <c r="G3717" s="69"/>
      <c r="H3717" s="69"/>
      <c r="I3717" s="135"/>
      <c r="J3717" s="136"/>
      <c r="K3717" s="137"/>
      <c r="L3717" s="137"/>
    </row>
    <row r="3718" spans="2:12">
      <c r="B3718" s="133"/>
      <c r="C3718" s="14"/>
      <c r="D3718" s="14"/>
      <c r="E3718" s="134"/>
      <c r="F3718" s="14"/>
      <c r="G3718" s="69"/>
      <c r="H3718" s="69"/>
      <c r="I3718" s="135"/>
      <c r="J3718" s="136"/>
      <c r="K3718" s="137"/>
      <c r="L3718" s="137"/>
    </row>
    <row r="3719" spans="2:12">
      <c r="B3719" s="133"/>
      <c r="C3719" s="14"/>
      <c r="D3719" s="14"/>
      <c r="E3719" s="134"/>
      <c r="F3719" s="14"/>
      <c r="G3719" s="69"/>
      <c r="H3719" s="69"/>
      <c r="I3719" s="135"/>
      <c r="J3719" s="136"/>
      <c r="K3719" s="137"/>
      <c r="L3719" s="137"/>
    </row>
    <row r="3720" spans="2:12">
      <c r="B3720" s="133"/>
      <c r="C3720" s="14"/>
      <c r="D3720" s="14"/>
      <c r="E3720" s="134"/>
      <c r="F3720" s="14"/>
      <c r="G3720" s="69"/>
      <c r="H3720" s="69"/>
      <c r="I3720" s="135"/>
      <c r="J3720" s="136"/>
      <c r="K3720" s="137"/>
      <c r="L3720" s="137"/>
    </row>
    <row r="3721" spans="2:12">
      <c r="B3721" s="133"/>
      <c r="C3721" s="14"/>
      <c r="D3721" s="14"/>
      <c r="E3721" s="134"/>
      <c r="F3721" s="14"/>
      <c r="G3721" s="69"/>
      <c r="H3721" s="69"/>
      <c r="I3721" s="135"/>
      <c r="J3721" s="136"/>
      <c r="K3721" s="137"/>
      <c r="L3721" s="137"/>
    </row>
    <row r="3722" spans="2:12">
      <c r="B3722" s="133"/>
      <c r="C3722" s="14"/>
      <c r="D3722" s="14"/>
      <c r="E3722" s="134"/>
      <c r="F3722" s="14"/>
      <c r="G3722" s="69"/>
      <c r="H3722" s="69"/>
      <c r="I3722" s="135"/>
      <c r="J3722" s="136"/>
      <c r="K3722" s="137"/>
      <c r="L3722" s="137"/>
    </row>
    <row r="3723" spans="2:12">
      <c r="B3723" s="133"/>
      <c r="C3723" s="14"/>
      <c r="D3723" s="14"/>
      <c r="E3723" s="134"/>
      <c r="F3723" s="14"/>
      <c r="G3723" s="69"/>
      <c r="H3723" s="69"/>
      <c r="I3723" s="135"/>
      <c r="J3723" s="136"/>
      <c r="K3723" s="137"/>
      <c r="L3723" s="137"/>
    </row>
    <row r="3724" spans="2:12">
      <c r="B3724" s="133"/>
      <c r="C3724" s="14"/>
      <c r="D3724" s="14"/>
      <c r="E3724" s="134"/>
      <c r="F3724" s="14"/>
      <c r="G3724" s="69"/>
      <c r="H3724" s="69"/>
      <c r="I3724" s="135"/>
      <c r="J3724" s="136"/>
      <c r="K3724" s="137"/>
      <c r="L3724" s="137"/>
    </row>
    <row r="3725" spans="2:12">
      <c r="B3725" s="133"/>
      <c r="C3725" s="14"/>
      <c r="D3725" s="14"/>
      <c r="E3725" s="134"/>
      <c r="F3725" s="14"/>
      <c r="G3725" s="69"/>
      <c r="H3725" s="69"/>
      <c r="I3725" s="135"/>
      <c r="J3725" s="136"/>
      <c r="K3725" s="137"/>
      <c r="L3725" s="137"/>
    </row>
    <row r="3726" spans="2:12">
      <c r="B3726" s="133"/>
      <c r="C3726" s="14"/>
      <c r="D3726" s="14"/>
      <c r="E3726" s="134"/>
      <c r="F3726" s="14"/>
      <c r="G3726" s="69"/>
      <c r="H3726" s="69"/>
      <c r="I3726" s="135"/>
      <c r="J3726" s="136"/>
      <c r="K3726" s="137"/>
      <c r="L3726" s="137"/>
    </row>
    <row r="3727" spans="2:12">
      <c r="B3727" s="133"/>
      <c r="C3727" s="14"/>
      <c r="D3727" s="14"/>
      <c r="E3727" s="134"/>
      <c r="F3727" s="14"/>
      <c r="G3727" s="69"/>
      <c r="H3727" s="69"/>
      <c r="I3727" s="135"/>
      <c r="J3727" s="136"/>
      <c r="K3727" s="137"/>
      <c r="L3727" s="137"/>
    </row>
    <row r="3728" spans="2:12">
      <c r="B3728" s="133"/>
      <c r="C3728" s="14"/>
      <c r="D3728" s="14"/>
      <c r="E3728" s="134"/>
      <c r="F3728" s="14"/>
      <c r="G3728" s="69"/>
      <c r="H3728" s="69"/>
      <c r="I3728" s="135"/>
      <c r="J3728" s="136"/>
      <c r="K3728" s="137"/>
      <c r="L3728" s="137"/>
    </row>
    <row r="3729" spans="2:12">
      <c r="B3729" s="133"/>
      <c r="C3729" s="14"/>
      <c r="D3729" s="14"/>
      <c r="E3729" s="134"/>
      <c r="F3729" s="14"/>
      <c r="G3729" s="69"/>
      <c r="H3729" s="69"/>
      <c r="I3729" s="135"/>
      <c r="J3729" s="136"/>
      <c r="K3729" s="137"/>
      <c r="L3729" s="137"/>
    </row>
    <row r="3730" spans="2:12">
      <c r="B3730" s="133"/>
      <c r="C3730" s="14"/>
      <c r="D3730" s="14"/>
      <c r="E3730" s="134"/>
      <c r="F3730" s="14"/>
      <c r="G3730" s="69"/>
      <c r="H3730" s="69"/>
      <c r="I3730" s="135"/>
      <c r="J3730" s="136"/>
      <c r="K3730" s="137"/>
      <c r="L3730" s="137"/>
    </row>
    <row r="3731" spans="2:12">
      <c r="B3731" s="133"/>
      <c r="C3731" s="14"/>
      <c r="D3731" s="14"/>
      <c r="E3731" s="134"/>
      <c r="F3731" s="14"/>
      <c r="G3731" s="69"/>
      <c r="H3731" s="69"/>
      <c r="I3731" s="135"/>
      <c r="J3731" s="136"/>
      <c r="K3731" s="137"/>
      <c r="L3731" s="137"/>
    </row>
    <row r="3732" spans="2:12">
      <c r="B3732" s="133"/>
      <c r="C3732" s="14"/>
      <c r="D3732" s="14"/>
      <c r="E3732" s="134"/>
      <c r="F3732" s="14"/>
      <c r="G3732" s="69"/>
      <c r="H3732" s="69"/>
      <c r="I3732" s="135"/>
      <c r="J3732" s="136"/>
      <c r="K3732" s="137"/>
      <c r="L3732" s="137"/>
    </row>
    <row r="3733" spans="2:12">
      <c r="B3733" s="133"/>
      <c r="C3733" s="14"/>
      <c r="D3733" s="14"/>
      <c r="E3733" s="134"/>
      <c r="F3733" s="14"/>
      <c r="G3733" s="69"/>
      <c r="H3733" s="69"/>
      <c r="I3733" s="135"/>
      <c r="J3733" s="136"/>
      <c r="K3733" s="137"/>
      <c r="L3733" s="137"/>
    </row>
    <row r="3734" spans="2:12">
      <c r="B3734" s="133"/>
      <c r="C3734" s="14"/>
      <c r="D3734" s="14"/>
      <c r="E3734" s="134"/>
      <c r="F3734" s="14"/>
      <c r="G3734" s="69"/>
      <c r="H3734" s="69"/>
      <c r="I3734" s="135"/>
      <c r="J3734" s="136"/>
      <c r="K3734" s="137"/>
      <c r="L3734" s="137"/>
    </row>
    <row r="3735" spans="2:12">
      <c r="B3735" s="133"/>
      <c r="C3735" s="14"/>
      <c r="D3735" s="14"/>
      <c r="E3735" s="134"/>
      <c r="F3735" s="14"/>
      <c r="G3735" s="69"/>
      <c r="H3735" s="69"/>
      <c r="I3735" s="135"/>
      <c r="J3735" s="136"/>
      <c r="K3735" s="137"/>
      <c r="L3735" s="137"/>
    </row>
    <row r="3736" spans="2:12">
      <c r="B3736" s="133"/>
      <c r="C3736" s="14"/>
      <c r="D3736" s="14"/>
      <c r="E3736" s="134"/>
      <c r="F3736" s="14"/>
      <c r="G3736" s="69"/>
      <c r="H3736" s="69"/>
      <c r="I3736" s="135"/>
      <c r="J3736" s="136"/>
      <c r="K3736" s="137"/>
      <c r="L3736" s="137"/>
    </row>
    <row r="3737" spans="2:12">
      <c r="B3737" s="133"/>
      <c r="C3737" s="14"/>
      <c r="D3737" s="14"/>
      <c r="E3737" s="134"/>
      <c r="F3737" s="14"/>
      <c r="G3737" s="69"/>
      <c r="H3737" s="69"/>
      <c r="I3737" s="135"/>
      <c r="J3737" s="136"/>
      <c r="K3737" s="137"/>
      <c r="L3737" s="137"/>
    </row>
    <row r="3738" spans="2:12">
      <c r="B3738" s="133"/>
      <c r="C3738" s="14"/>
      <c r="D3738" s="14"/>
      <c r="E3738" s="134"/>
      <c r="F3738" s="14"/>
      <c r="G3738" s="69"/>
      <c r="H3738" s="69"/>
      <c r="I3738" s="135"/>
      <c r="J3738" s="136"/>
      <c r="K3738" s="137"/>
      <c r="L3738" s="137"/>
    </row>
    <row r="3739" spans="2:12">
      <c r="B3739" s="133"/>
      <c r="C3739" s="14"/>
      <c r="D3739" s="14"/>
      <c r="E3739" s="134"/>
      <c r="F3739" s="14"/>
      <c r="G3739" s="69"/>
      <c r="H3739" s="69"/>
      <c r="I3739" s="135"/>
      <c r="J3739" s="136"/>
      <c r="K3739" s="137"/>
      <c r="L3739" s="137"/>
    </row>
    <row r="3740" spans="2:12">
      <c r="B3740" s="133"/>
      <c r="C3740" s="14"/>
      <c r="D3740" s="14"/>
      <c r="E3740" s="134"/>
      <c r="F3740" s="14"/>
      <c r="G3740" s="69"/>
      <c r="H3740" s="69"/>
      <c r="I3740" s="135"/>
      <c r="J3740" s="136"/>
      <c r="K3740" s="137"/>
      <c r="L3740" s="137"/>
    </row>
    <row r="3741" spans="2:12">
      <c r="B3741" s="133"/>
      <c r="C3741" s="14"/>
      <c r="D3741" s="14"/>
      <c r="E3741" s="134"/>
      <c r="F3741" s="14"/>
      <c r="G3741" s="69"/>
      <c r="H3741" s="69"/>
      <c r="I3741" s="135"/>
      <c r="J3741" s="136"/>
      <c r="K3741" s="137"/>
      <c r="L3741" s="137"/>
    </row>
    <row r="3742" spans="2:12">
      <c r="B3742" s="133"/>
      <c r="C3742" s="14"/>
      <c r="D3742" s="14"/>
      <c r="E3742" s="134"/>
      <c r="F3742" s="14"/>
      <c r="G3742" s="69"/>
      <c r="H3742" s="69"/>
      <c r="I3742" s="135"/>
      <c r="J3742" s="136"/>
      <c r="K3742" s="137"/>
      <c r="L3742" s="137"/>
    </row>
    <row r="3743" spans="2:12">
      <c r="B3743" s="133"/>
      <c r="C3743" s="14"/>
      <c r="D3743" s="14"/>
      <c r="E3743" s="134"/>
      <c r="F3743" s="14"/>
      <c r="G3743" s="69"/>
      <c r="H3743" s="69"/>
      <c r="I3743" s="135"/>
      <c r="J3743" s="136"/>
      <c r="K3743" s="137"/>
      <c r="L3743" s="137"/>
    </row>
    <row r="3744" spans="2:12">
      <c r="B3744" s="133"/>
      <c r="C3744" s="14"/>
      <c r="D3744" s="14"/>
      <c r="E3744" s="134"/>
      <c r="F3744" s="14"/>
      <c r="G3744" s="69"/>
      <c r="H3744" s="69"/>
      <c r="I3744" s="135"/>
      <c r="J3744" s="136"/>
      <c r="K3744" s="137"/>
      <c r="L3744" s="137"/>
    </row>
    <row r="3745" spans="2:12">
      <c r="B3745" s="133"/>
      <c r="C3745" s="14"/>
      <c r="D3745" s="14"/>
      <c r="E3745" s="134"/>
      <c r="F3745" s="14"/>
      <c r="G3745" s="69"/>
      <c r="H3745" s="69"/>
      <c r="I3745" s="135"/>
      <c r="J3745" s="136"/>
      <c r="K3745" s="137"/>
      <c r="L3745" s="137"/>
    </row>
    <row r="3746" spans="2:12">
      <c r="B3746" s="133"/>
      <c r="C3746" s="14"/>
      <c r="D3746" s="14"/>
      <c r="E3746" s="134"/>
      <c r="F3746" s="14"/>
      <c r="G3746" s="69"/>
      <c r="H3746" s="69"/>
      <c r="I3746" s="135"/>
      <c r="J3746" s="136"/>
      <c r="K3746" s="137"/>
      <c r="L3746" s="137"/>
    </row>
    <row r="3747" spans="2:12">
      <c r="B3747" s="133"/>
      <c r="C3747" s="14"/>
      <c r="D3747" s="14"/>
      <c r="E3747" s="134"/>
      <c r="F3747" s="14"/>
      <c r="G3747" s="69"/>
      <c r="H3747" s="69"/>
      <c r="I3747" s="135"/>
      <c r="J3747" s="136"/>
      <c r="K3747" s="137"/>
      <c r="L3747" s="137"/>
    </row>
    <row r="3748" spans="2:12">
      <c r="B3748" s="133"/>
      <c r="C3748" s="14"/>
      <c r="D3748" s="14"/>
      <c r="E3748" s="134"/>
      <c r="F3748" s="14"/>
      <c r="G3748" s="69"/>
      <c r="H3748" s="69"/>
      <c r="I3748" s="135"/>
      <c r="J3748" s="136"/>
      <c r="K3748" s="137"/>
      <c r="L3748" s="137"/>
    </row>
    <row r="3749" spans="2:12">
      <c r="B3749" s="133"/>
      <c r="C3749" s="14"/>
      <c r="D3749" s="14"/>
      <c r="E3749" s="134"/>
      <c r="F3749" s="14"/>
      <c r="G3749" s="69"/>
      <c r="H3749" s="69"/>
      <c r="I3749" s="135"/>
      <c r="J3749" s="136"/>
      <c r="K3749" s="137"/>
      <c r="L3749" s="137"/>
    </row>
    <row r="3750" spans="2:12">
      <c r="B3750" s="133"/>
      <c r="C3750" s="14"/>
      <c r="D3750" s="14"/>
      <c r="E3750" s="134"/>
      <c r="F3750" s="14"/>
      <c r="G3750" s="69"/>
      <c r="H3750" s="69"/>
      <c r="I3750" s="135"/>
      <c r="J3750" s="136"/>
      <c r="K3750" s="137"/>
      <c r="L3750" s="137"/>
    </row>
    <row r="3751" spans="2:12">
      <c r="B3751" s="133"/>
      <c r="C3751" s="14"/>
      <c r="D3751" s="14"/>
      <c r="E3751" s="134"/>
      <c r="F3751" s="14"/>
      <c r="G3751" s="69"/>
      <c r="H3751" s="69"/>
      <c r="I3751" s="135"/>
      <c r="J3751" s="136"/>
      <c r="K3751" s="137"/>
      <c r="L3751" s="137"/>
    </row>
    <row r="3752" spans="2:12">
      <c r="B3752" s="133"/>
      <c r="C3752" s="14"/>
      <c r="D3752" s="14"/>
      <c r="E3752" s="134"/>
      <c r="F3752" s="14"/>
      <c r="G3752" s="69"/>
      <c r="H3752" s="69"/>
      <c r="I3752" s="135"/>
      <c r="J3752" s="136"/>
      <c r="K3752" s="137"/>
      <c r="L3752" s="137"/>
    </row>
    <row r="3753" spans="2:12">
      <c r="B3753" s="133"/>
      <c r="C3753" s="14"/>
      <c r="D3753" s="14"/>
      <c r="E3753" s="134"/>
      <c r="F3753" s="14"/>
      <c r="G3753" s="69"/>
      <c r="H3753" s="69"/>
      <c r="I3753" s="135"/>
      <c r="J3753" s="136"/>
      <c r="K3753" s="137"/>
      <c r="L3753" s="137"/>
    </row>
    <row r="3754" spans="2:12">
      <c r="B3754" s="133"/>
      <c r="C3754" s="14"/>
      <c r="D3754" s="14"/>
      <c r="E3754" s="134"/>
      <c r="F3754" s="14"/>
      <c r="G3754" s="69"/>
      <c r="H3754" s="69"/>
      <c r="I3754" s="135"/>
      <c r="J3754" s="136"/>
      <c r="K3754" s="137"/>
      <c r="L3754" s="137"/>
    </row>
    <row r="3755" spans="2:12">
      <c r="B3755" s="133"/>
      <c r="C3755" s="14"/>
      <c r="D3755" s="14"/>
      <c r="E3755" s="134"/>
      <c r="F3755" s="14"/>
      <c r="G3755" s="69"/>
      <c r="H3755" s="69"/>
      <c r="I3755" s="135"/>
      <c r="J3755" s="136"/>
      <c r="K3755" s="137"/>
      <c r="L3755" s="137"/>
    </row>
    <row r="3756" spans="2:12">
      <c r="B3756" s="133"/>
      <c r="C3756" s="14"/>
      <c r="D3756" s="14"/>
      <c r="E3756" s="134"/>
      <c r="F3756" s="14"/>
      <c r="G3756" s="69"/>
      <c r="H3756" s="69"/>
      <c r="I3756" s="135"/>
      <c r="J3756" s="136"/>
      <c r="K3756" s="137"/>
      <c r="L3756" s="137"/>
    </row>
    <row r="3757" spans="2:12">
      <c r="B3757" s="133"/>
      <c r="C3757" s="14"/>
      <c r="D3757" s="14"/>
      <c r="E3757" s="134"/>
      <c r="F3757" s="14"/>
      <c r="G3757" s="69"/>
      <c r="H3757" s="69"/>
      <c r="I3757" s="135"/>
      <c r="J3757" s="136"/>
      <c r="K3757" s="137"/>
      <c r="L3757" s="137"/>
    </row>
    <row r="3758" spans="2:12">
      <c r="B3758" s="133"/>
      <c r="C3758" s="14"/>
      <c r="D3758" s="14"/>
      <c r="E3758" s="134"/>
      <c r="F3758" s="14"/>
      <c r="G3758" s="69"/>
      <c r="H3758" s="69"/>
      <c r="I3758" s="135"/>
      <c r="J3758" s="136"/>
      <c r="K3758" s="137"/>
      <c r="L3758" s="137"/>
    </row>
    <row r="3759" spans="2:12">
      <c r="B3759" s="133"/>
      <c r="C3759" s="14"/>
      <c r="D3759" s="14"/>
      <c r="E3759" s="134"/>
      <c r="F3759" s="14"/>
      <c r="G3759" s="69"/>
      <c r="H3759" s="69"/>
      <c r="I3759" s="135"/>
      <c r="J3759" s="136"/>
      <c r="K3759" s="137"/>
      <c r="L3759" s="137"/>
    </row>
    <row r="3760" spans="2:12">
      <c r="B3760" s="133"/>
      <c r="C3760" s="14"/>
      <c r="D3760" s="14"/>
      <c r="E3760" s="134"/>
      <c r="F3760" s="14"/>
      <c r="G3760" s="69"/>
      <c r="H3760" s="69"/>
      <c r="I3760" s="135"/>
      <c r="J3760" s="136"/>
      <c r="K3760" s="137"/>
      <c r="L3760" s="137"/>
    </row>
    <row r="3761" spans="2:12">
      <c r="B3761" s="133"/>
      <c r="C3761" s="14"/>
      <c r="D3761" s="14"/>
      <c r="E3761" s="134"/>
      <c r="F3761" s="14"/>
      <c r="G3761" s="69"/>
      <c r="H3761" s="69"/>
      <c r="I3761" s="135"/>
      <c r="J3761" s="136"/>
      <c r="K3761" s="137"/>
      <c r="L3761" s="137"/>
    </row>
    <row r="3762" spans="2:12">
      <c r="B3762" s="133"/>
      <c r="C3762" s="14"/>
      <c r="D3762" s="14"/>
      <c r="E3762" s="134"/>
      <c r="F3762" s="14"/>
      <c r="G3762" s="69"/>
      <c r="H3762" s="69"/>
      <c r="I3762" s="135"/>
      <c r="J3762" s="136"/>
      <c r="K3762" s="137"/>
      <c r="L3762" s="137"/>
    </row>
    <row r="3763" spans="2:12">
      <c r="B3763" s="133"/>
      <c r="C3763" s="14"/>
      <c r="D3763" s="14"/>
      <c r="E3763" s="134"/>
      <c r="F3763" s="14"/>
      <c r="G3763" s="69"/>
      <c r="H3763" s="69"/>
      <c r="I3763" s="135"/>
      <c r="J3763" s="136"/>
      <c r="K3763" s="137"/>
      <c r="L3763" s="137"/>
    </row>
    <row r="3764" spans="2:12">
      <c r="B3764" s="133"/>
      <c r="C3764" s="14"/>
      <c r="D3764" s="14"/>
      <c r="E3764" s="134"/>
      <c r="F3764" s="14"/>
      <c r="G3764" s="69"/>
      <c r="H3764" s="69"/>
      <c r="I3764" s="135"/>
      <c r="J3764" s="136"/>
      <c r="K3764" s="137"/>
      <c r="L3764" s="137"/>
    </row>
    <row r="3765" spans="2:12">
      <c r="B3765" s="133"/>
      <c r="C3765" s="14"/>
      <c r="D3765" s="14"/>
      <c r="E3765" s="134"/>
      <c r="F3765" s="14"/>
      <c r="G3765" s="69"/>
      <c r="H3765" s="69"/>
      <c r="I3765" s="135"/>
      <c r="J3765" s="136"/>
      <c r="K3765" s="137"/>
      <c r="L3765" s="137"/>
    </row>
    <row r="3766" spans="2:12">
      <c r="B3766" s="133"/>
      <c r="C3766" s="14"/>
      <c r="D3766" s="14"/>
      <c r="E3766" s="134"/>
      <c r="F3766" s="14"/>
      <c r="G3766" s="69"/>
      <c r="H3766" s="69"/>
      <c r="I3766" s="135"/>
      <c r="J3766" s="136"/>
      <c r="K3766" s="137"/>
      <c r="L3766" s="137"/>
    </row>
    <row r="3767" spans="2:12">
      <c r="B3767" s="133"/>
      <c r="C3767" s="14"/>
      <c r="D3767" s="14"/>
      <c r="E3767" s="134"/>
      <c r="F3767" s="14"/>
      <c r="G3767" s="69"/>
      <c r="H3767" s="69"/>
      <c r="I3767" s="135"/>
      <c r="J3767" s="136"/>
      <c r="K3767" s="137"/>
      <c r="L3767" s="137"/>
    </row>
    <row r="3768" spans="2:12">
      <c r="B3768" s="133"/>
      <c r="C3768" s="14"/>
      <c r="D3768" s="14"/>
      <c r="E3768" s="134"/>
      <c r="F3768" s="14"/>
      <c r="G3768" s="69"/>
      <c r="H3768" s="69"/>
      <c r="I3768" s="135"/>
      <c r="J3768" s="136"/>
      <c r="K3768" s="137"/>
      <c r="L3768" s="137"/>
    </row>
    <row r="3769" spans="2:12">
      <c r="B3769" s="133"/>
      <c r="C3769" s="14"/>
      <c r="D3769" s="14"/>
      <c r="E3769" s="134"/>
      <c r="F3769" s="14"/>
      <c r="G3769" s="69"/>
      <c r="H3769" s="69"/>
      <c r="I3769" s="135"/>
      <c r="J3769" s="136"/>
      <c r="K3769" s="137"/>
      <c r="L3769" s="137"/>
    </row>
    <row r="3770" spans="2:12">
      <c r="B3770" s="133"/>
      <c r="C3770" s="14"/>
      <c r="D3770" s="14"/>
      <c r="E3770" s="134"/>
      <c r="F3770" s="14"/>
      <c r="G3770" s="69"/>
      <c r="H3770" s="69"/>
      <c r="I3770" s="135"/>
      <c r="J3770" s="136"/>
      <c r="K3770" s="137"/>
      <c r="L3770" s="137"/>
    </row>
    <row r="3771" spans="2:12">
      <c r="B3771" s="133"/>
      <c r="C3771" s="14"/>
      <c r="D3771" s="14"/>
      <c r="E3771" s="134"/>
      <c r="F3771" s="14"/>
      <c r="G3771" s="69"/>
      <c r="H3771" s="69"/>
      <c r="I3771" s="135"/>
      <c r="J3771" s="136"/>
      <c r="K3771" s="137"/>
      <c r="L3771" s="137"/>
    </row>
    <row r="3772" spans="2:12">
      <c r="B3772" s="133"/>
      <c r="C3772" s="14"/>
      <c r="D3772" s="14"/>
      <c r="E3772" s="134"/>
      <c r="F3772" s="14"/>
      <c r="G3772" s="69"/>
      <c r="H3772" s="69"/>
      <c r="I3772" s="135"/>
      <c r="J3772" s="136"/>
      <c r="K3772" s="137"/>
      <c r="L3772" s="137"/>
    </row>
    <row r="3773" spans="2:12">
      <c r="B3773" s="133"/>
      <c r="C3773" s="14"/>
      <c r="D3773" s="14"/>
      <c r="E3773" s="134"/>
      <c r="F3773" s="14"/>
      <c r="G3773" s="69"/>
      <c r="H3773" s="69"/>
      <c r="I3773" s="135"/>
      <c r="J3773" s="136"/>
      <c r="K3773" s="137"/>
      <c r="L3773" s="137"/>
    </row>
    <row r="3774" spans="2:12">
      <c r="B3774" s="133"/>
      <c r="C3774" s="14"/>
      <c r="D3774" s="14"/>
      <c r="E3774" s="134"/>
      <c r="F3774" s="14"/>
      <c r="G3774" s="69"/>
      <c r="H3774" s="69"/>
      <c r="I3774" s="135"/>
      <c r="J3774" s="136"/>
      <c r="K3774" s="137"/>
      <c r="L3774" s="137"/>
    </row>
    <row r="3775" spans="2:12">
      <c r="B3775" s="133"/>
      <c r="C3775" s="14"/>
      <c r="D3775" s="14"/>
      <c r="E3775" s="134"/>
      <c r="F3775" s="14"/>
      <c r="G3775" s="69"/>
      <c r="H3775" s="69"/>
      <c r="I3775" s="135"/>
      <c r="J3775" s="136"/>
      <c r="K3775" s="137"/>
      <c r="L3775" s="137"/>
    </row>
    <row r="3776" spans="2:12">
      <c r="B3776" s="133"/>
      <c r="C3776" s="14"/>
      <c r="D3776" s="14"/>
      <c r="E3776" s="134"/>
      <c r="F3776" s="14"/>
      <c r="G3776" s="69"/>
      <c r="H3776" s="69"/>
      <c r="I3776" s="135"/>
      <c r="J3776" s="136"/>
      <c r="K3776" s="137"/>
      <c r="L3776" s="137"/>
    </row>
    <row r="3777" spans="2:12">
      <c r="B3777" s="133"/>
      <c r="C3777" s="14"/>
      <c r="D3777" s="14"/>
      <c r="E3777" s="134"/>
      <c r="F3777" s="14"/>
      <c r="G3777" s="69"/>
      <c r="H3777" s="69"/>
      <c r="I3777" s="135"/>
      <c r="J3777" s="136"/>
      <c r="K3777" s="137"/>
      <c r="L3777" s="137"/>
    </row>
    <row r="3778" spans="2:12">
      <c r="B3778" s="133"/>
      <c r="C3778" s="14"/>
      <c r="D3778" s="14"/>
      <c r="E3778" s="134"/>
      <c r="F3778" s="14"/>
      <c r="G3778" s="69"/>
      <c r="H3778" s="69"/>
      <c r="I3778" s="135"/>
      <c r="J3778" s="136"/>
      <c r="K3778" s="137"/>
      <c r="L3778" s="137"/>
    </row>
    <row r="3779" spans="2:12">
      <c r="B3779" s="133"/>
      <c r="C3779" s="14"/>
      <c r="D3779" s="14"/>
      <c r="E3779" s="134"/>
      <c r="F3779" s="14"/>
      <c r="G3779" s="69"/>
      <c r="H3779" s="69"/>
      <c r="I3779" s="135"/>
      <c r="J3779" s="136"/>
      <c r="K3779" s="137"/>
      <c r="L3779" s="137"/>
    </row>
    <row r="3780" spans="2:12">
      <c r="B3780" s="133"/>
      <c r="C3780" s="14"/>
      <c r="D3780" s="14"/>
      <c r="E3780" s="134"/>
      <c r="F3780" s="14"/>
      <c r="G3780" s="69"/>
      <c r="H3780" s="69"/>
      <c r="I3780" s="135"/>
      <c r="J3780" s="136"/>
      <c r="K3780" s="137"/>
      <c r="L3780" s="137"/>
    </row>
    <row r="3781" spans="2:12">
      <c r="B3781" s="133"/>
      <c r="C3781" s="14"/>
      <c r="D3781" s="14"/>
      <c r="E3781" s="134"/>
      <c r="F3781" s="14"/>
      <c r="G3781" s="69"/>
      <c r="H3781" s="69"/>
      <c r="I3781" s="135"/>
      <c r="J3781" s="136"/>
      <c r="K3781" s="137"/>
      <c r="L3781" s="137"/>
    </row>
    <row r="3782" spans="2:12">
      <c r="B3782" s="133"/>
      <c r="C3782" s="14"/>
      <c r="D3782" s="14"/>
      <c r="E3782" s="134"/>
      <c r="F3782" s="14"/>
      <c r="G3782" s="69"/>
      <c r="H3782" s="69"/>
      <c r="I3782" s="135"/>
      <c r="J3782" s="136"/>
      <c r="K3782" s="137"/>
      <c r="L3782" s="137"/>
    </row>
    <row r="3783" spans="2:12">
      <c r="B3783" s="133"/>
      <c r="C3783" s="14"/>
      <c r="D3783" s="14"/>
      <c r="E3783" s="134"/>
      <c r="F3783" s="14"/>
      <c r="G3783" s="69"/>
      <c r="H3783" s="69"/>
      <c r="I3783" s="135"/>
      <c r="J3783" s="136"/>
      <c r="K3783" s="137"/>
      <c r="L3783" s="137"/>
    </row>
    <row r="3784" spans="2:12">
      <c r="B3784" s="133"/>
      <c r="C3784" s="14"/>
      <c r="D3784" s="14"/>
      <c r="E3784" s="134"/>
      <c r="F3784" s="14"/>
      <c r="G3784" s="69"/>
      <c r="H3784" s="69"/>
      <c r="I3784" s="135"/>
      <c r="J3784" s="136"/>
      <c r="K3784" s="137"/>
      <c r="L3784" s="137"/>
    </row>
    <row r="3785" spans="2:12">
      <c r="B3785" s="133"/>
      <c r="C3785" s="14"/>
      <c r="D3785" s="14"/>
      <c r="E3785" s="134"/>
      <c r="F3785" s="14"/>
      <c r="G3785" s="69"/>
      <c r="H3785" s="69"/>
      <c r="I3785" s="135"/>
      <c r="J3785" s="136"/>
      <c r="K3785" s="137"/>
      <c r="L3785" s="137"/>
    </row>
    <row r="3786" spans="2:12">
      <c r="B3786" s="133"/>
      <c r="C3786" s="14"/>
      <c r="D3786" s="14"/>
      <c r="E3786" s="134"/>
      <c r="F3786" s="14"/>
      <c r="G3786" s="69"/>
      <c r="H3786" s="69"/>
      <c r="I3786" s="135"/>
      <c r="J3786" s="136"/>
      <c r="K3786" s="137"/>
      <c r="L3786" s="137"/>
    </row>
    <row r="3787" spans="2:12">
      <c r="B3787" s="133"/>
      <c r="C3787" s="14"/>
      <c r="D3787" s="14"/>
      <c r="E3787" s="134"/>
      <c r="F3787" s="14"/>
      <c r="G3787" s="69"/>
      <c r="H3787" s="69"/>
      <c r="I3787" s="135"/>
      <c r="J3787" s="136"/>
      <c r="K3787" s="137"/>
      <c r="L3787" s="137"/>
    </row>
    <row r="3788" spans="2:12">
      <c r="B3788" s="133"/>
      <c r="C3788" s="14"/>
      <c r="D3788" s="14"/>
      <c r="E3788" s="134"/>
      <c r="F3788" s="14"/>
      <c r="G3788" s="69"/>
      <c r="H3788" s="69"/>
      <c r="I3788" s="135"/>
      <c r="J3788" s="136"/>
      <c r="K3788" s="137"/>
      <c r="L3788" s="137"/>
    </row>
    <row r="3789" spans="2:12">
      <c r="B3789" s="133"/>
      <c r="C3789" s="14"/>
      <c r="D3789" s="14"/>
      <c r="E3789" s="134"/>
      <c r="F3789" s="14"/>
      <c r="G3789" s="69"/>
      <c r="H3789" s="69"/>
      <c r="I3789" s="135"/>
      <c r="J3789" s="136"/>
      <c r="K3789" s="137"/>
      <c r="L3789" s="137"/>
    </row>
    <row r="3790" spans="2:12">
      <c r="B3790" s="133"/>
      <c r="C3790" s="14"/>
      <c r="D3790" s="14"/>
      <c r="E3790" s="134"/>
      <c r="F3790" s="14"/>
      <c r="G3790" s="69"/>
      <c r="H3790" s="69"/>
      <c r="I3790" s="135"/>
      <c r="J3790" s="136"/>
      <c r="K3790" s="137"/>
      <c r="L3790" s="137"/>
    </row>
    <row r="3791" spans="2:12">
      <c r="B3791" s="133"/>
      <c r="C3791" s="14"/>
      <c r="D3791" s="14"/>
      <c r="E3791" s="134"/>
      <c r="F3791" s="14"/>
      <c r="G3791" s="69"/>
      <c r="H3791" s="69"/>
      <c r="I3791" s="135"/>
      <c r="J3791" s="136"/>
      <c r="K3791" s="137"/>
      <c r="L3791" s="137"/>
    </row>
    <row r="3792" spans="2:12">
      <c r="B3792" s="133"/>
      <c r="C3792" s="14"/>
      <c r="D3792" s="14"/>
      <c r="E3792" s="134"/>
      <c r="F3792" s="14"/>
      <c r="G3792" s="69"/>
      <c r="H3792" s="69"/>
      <c r="I3792" s="135"/>
      <c r="J3792" s="136"/>
      <c r="K3792" s="137"/>
      <c r="L3792" s="137"/>
    </row>
    <row r="3793" spans="2:12">
      <c r="B3793" s="133"/>
      <c r="C3793" s="14"/>
      <c r="D3793" s="14"/>
      <c r="E3793" s="134"/>
      <c r="F3793" s="14"/>
      <c r="G3793" s="69"/>
      <c r="H3793" s="69"/>
      <c r="I3793" s="135"/>
      <c r="J3793" s="136"/>
      <c r="K3793" s="137"/>
      <c r="L3793" s="137"/>
    </row>
    <row r="3794" spans="2:12">
      <c r="B3794" s="133"/>
      <c r="C3794" s="14"/>
      <c r="D3794" s="14"/>
      <c r="E3794" s="134"/>
      <c r="F3794" s="14"/>
      <c r="G3794" s="69"/>
      <c r="H3794" s="69"/>
      <c r="I3794" s="135"/>
      <c r="J3794" s="136"/>
      <c r="K3794" s="137"/>
      <c r="L3794" s="137"/>
    </row>
    <row r="3795" spans="2:12">
      <c r="B3795" s="133"/>
      <c r="C3795" s="14"/>
      <c r="D3795" s="14"/>
      <c r="E3795" s="134"/>
      <c r="F3795" s="14"/>
      <c r="G3795" s="69"/>
      <c r="H3795" s="69"/>
      <c r="I3795" s="135"/>
      <c r="J3795" s="136"/>
      <c r="K3795" s="137"/>
      <c r="L3795" s="137"/>
    </row>
    <row r="3796" spans="2:12">
      <c r="B3796" s="133"/>
      <c r="C3796" s="14"/>
      <c r="D3796" s="14"/>
      <c r="E3796" s="134"/>
      <c r="F3796" s="14"/>
      <c r="G3796" s="69"/>
      <c r="H3796" s="69"/>
      <c r="I3796" s="135"/>
      <c r="J3796" s="136"/>
      <c r="K3796" s="137"/>
      <c r="L3796" s="137"/>
    </row>
    <row r="3797" spans="2:12">
      <c r="B3797" s="133"/>
      <c r="C3797" s="14"/>
      <c r="D3797" s="14"/>
      <c r="E3797" s="134"/>
      <c r="F3797" s="14"/>
      <c r="G3797" s="69"/>
      <c r="H3797" s="69"/>
      <c r="I3797" s="135"/>
      <c r="J3797" s="136"/>
      <c r="K3797" s="137"/>
      <c r="L3797" s="137"/>
    </row>
    <row r="3798" spans="2:12">
      <c r="B3798" s="133"/>
      <c r="C3798" s="14"/>
      <c r="D3798" s="14"/>
      <c r="E3798" s="134"/>
      <c r="F3798" s="14"/>
      <c r="G3798" s="69"/>
      <c r="H3798" s="69"/>
      <c r="I3798" s="135"/>
      <c r="J3798" s="136"/>
      <c r="K3798" s="137"/>
      <c r="L3798" s="137"/>
    </row>
    <row r="3799" spans="2:12">
      <c r="B3799" s="133"/>
      <c r="C3799" s="14"/>
      <c r="D3799" s="14"/>
      <c r="E3799" s="134"/>
      <c r="F3799" s="14"/>
      <c r="G3799" s="69"/>
      <c r="H3799" s="69"/>
      <c r="I3799" s="135"/>
      <c r="J3799" s="136"/>
      <c r="K3799" s="137"/>
      <c r="L3799" s="137"/>
    </row>
    <row r="3800" spans="2:12">
      <c r="B3800" s="133"/>
      <c r="C3800" s="14"/>
      <c r="D3800" s="14"/>
      <c r="E3800" s="134"/>
      <c r="F3800" s="14"/>
      <c r="G3800" s="69"/>
      <c r="H3800" s="69"/>
      <c r="I3800" s="135"/>
      <c r="J3800" s="136"/>
      <c r="K3800" s="137"/>
      <c r="L3800" s="137"/>
    </row>
    <row r="3801" spans="2:12">
      <c r="B3801" s="133"/>
      <c r="C3801" s="14"/>
      <c r="D3801" s="14"/>
      <c r="E3801" s="134"/>
      <c r="F3801" s="14"/>
      <c r="G3801" s="69"/>
      <c r="H3801" s="69"/>
      <c r="I3801" s="135"/>
      <c r="J3801" s="136"/>
      <c r="K3801" s="137"/>
      <c r="L3801" s="137"/>
    </row>
    <row r="3802" spans="2:12">
      <c r="B3802" s="133"/>
      <c r="C3802" s="14"/>
      <c r="D3802" s="14"/>
      <c r="E3802" s="134"/>
      <c r="F3802" s="14"/>
      <c r="G3802" s="69"/>
      <c r="H3802" s="69"/>
      <c r="I3802" s="135"/>
      <c r="J3802" s="136"/>
      <c r="K3802" s="137"/>
      <c r="L3802" s="137"/>
    </row>
    <row r="3803" spans="2:12">
      <c r="B3803" s="133"/>
      <c r="C3803" s="14"/>
      <c r="D3803" s="14"/>
      <c r="E3803" s="134"/>
      <c r="F3803" s="14"/>
      <c r="G3803" s="69"/>
      <c r="H3803" s="69"/>
      <c r="I3803" s="135"/>
      <c r="J3803" s="136"/>
      <c r="K3803" s="137"/>
      <c r="L3803" s="137"/>
    </row>
    <row r="3804" spans="2:12">
      <c r="B3804" s="133"/>
      <c r="C3804" s="14"/>
      <c r="D3804" s="14"/>
      <c r="E3804" s="134"/>
      <c r="F3804" s="14"/>
      <c r="G3804" s="69"/>
      <c r="H3804" s="69"/>
      <c r="I3804" s="135"/>
      <c r="J3804" s="136"/>
      <c r="K3804" s="137"/>
      <c r="L3804" s="137"/>
    </row>
    <row r="3805" spans="2:12">
      <c r="B3805" s="133"/>
      <c r="C3805" s="14"/>
      <c r="D3805" s="14"/>
      <c r="E3805" s="134"/>
      <c r="F3805" s="14"/>
      <c r="G3805" s="69"/>
      <c r="H3805" s="69"/>
      <c r="I3805" s="135"/>
      <c r="J3805" s="136"/>
      <c r="K3805" s="137"/>
      <c r="L3805" s="137"/>
    </row>
    <row r="3806" spans="2:12">
      <c r="B3806" s="133"/>
      <c r="C3806" s="14"/>
      <c r="D3806" s="14"/>
      <c r="E3806" s="134"/>
      <c r="F3806" s="14"/>
      <c r="G3806" s="69"/>
      <c r="H3806" s="69"/>
      <c r="I3806" s="135"/>
      <c r="J3806" s="136"/>
      <c r="K3806" s="137"/>
      <c r="L3806" s="137"/>
    </row>
    <row r="3807" spans="2:12">
      <c r="B3807" s="133"/>
      <c r="C3807" s="14"/>
      <c r="D3807" s="14"/>
      <c r="E3807" s="134"/>
      <c r="F3807" s="14"/>
      <c r="G3807" s="69"/>
      <c r="H3807" s="69"/>
      <c r="I3807" s="135"/>
      <c r="J3807" s="136"/>
      <c r="K3807" s="137"/>
      <c r="L3807" s="137"/>
    </row>
    <row r="3808" spans="2:12">
      <c r="B3808" s="133"/>
      <c r="C3808" s="14"/>
      <c r="D3808" s="14"/>
      <c r="E3808" s="134"/>
      <c r="F3808" s="14"/>
      <c r="G3808" s="69"/>
      <c r="H3808" s="69"/>
      <c r="I3808" s="135"/>
      <c r="J3808" s="136"/>
      <c r="K3808" s="137"/>
      <c r="L3808" s="137"/>
    </row>
    <row r="3809" spans="2:12">
      <c r="B3809" s="133"/>
      <c r="C3809" s="14"/>
      <c r="D3809" s="14"/>
      <c r="E3809" s="134"/>
      <c r="F3809" s="14"/>
      <c r="G3809" s="69"/>
      <c r="H3809" s="69"/>
      <c r="I3809" s="135"/>
      <c r="J3809" s="136"/>
      <c r="K3809" s="137"/>
      <c r="L3809" s="137"/>
    </row>
    <row r="3810" spans="2:12">
      <c r="B3810" s="133"/>
      <c r="C3810" s="14"/>
      <c r="D3810" s="14"/>
      <c r="E3810" s="134"/>
      <c r="F3810" s="14"/>
      <c r="G3810" s="69"/>
      <c r="H3810" s="69"/>
      <c r="I3810" s="135"/>
      <c r="J3810" s="136"/>
      <c r="K3810" s="137"/>
      <c r="L3810" s="137"/>
    </row>
    <row r="3811" spans="2:12">
      <c r="B3811" s="133"/>
      <c r="C3811" s="14"/>
      <c r="D3811" s="14"/>
      <c r="E3811" s="134"/>
      <c r="F3811" s="14"/>
      <c r="G3811" s="69"/>
      <c r="H3811" s="69"/>
      <c r="I3811" s="135"/>
      <c r="J3811" s="136"/>
      <c r="K3811" s="137"/>
      <c r="L3811" s="137"/>
    </row>
    <row r="3812" spans="2:12">
      <c r="B3812" s="133"/>
      <c r="C3812" s="14"/>
      <c r="D3812" s="14"/>
      <c r="E3812" s="134"/>
      <c r="F3812" s="14"/>
      <c r="G3812" s="69"/>
      <c r="H3812" s="69"/>
      <c r="I3812" s="135"/>
      <c r="J3812" s="136"/>
      <c r="K3812" s="137"/>
      <c r="L3812" s="137"/>
    </row>
    <row r="3813" spans="2:12">
      <c r="B3813" s="133"/>
      <c r="C3813" s="14"/>
      <c r="D3813" s="14"/>
      <c r="E3813" s="134"/>
      <c r="F3813" s="14"/>
      <c r="G3813" s="69"/>
      <c r="H3813" s="69"/>
      <c r="I3813" s="135"/>
      <c r="J3813" s="136"/>
      <c r="K3813" s="137"/>
      <c r="L3813" s="137"/>
    </row>
    <row r="3814" spans="2:12">
      <c r="B3814" s="133"/>
      <c r="C3814" s="14"/>
      <c r="D3814" s="14"/>
      <c r="E3814" s="134"/>
      <c r="F3814" s="14"/>
      <c r="G3814" s="69"/>
      <c r="H3814" s="69"/>
      <c r="I3814" s="135"/>
      <c r="J3814" s="136"/>
      <c r="K3814" s="137"/>
      <c r="L3814" s="137"/>
    </row>
    <row r="3815" spans="2:12">
      <c r="B3815" s="133"/>
      <c r="C3815" s="14"/>
      <c r="D3815" s="14"/>
      <c r="E3815" s="134"/>
      <c r="F3815" s="14"/>
      <c r="G3815" s="69"/>
      <c r="H3815" s="69"/>
      <c r="I3815" s="135"/>
      <c r="J3815" s="136"/>
      <c r="K3815" s="137"/>
      <c r="L3815" s="137"/>
    </row>
    <row r="3816" spans="2:12">
      <c r="B3816" s="133"/>
      <c r="C3816" s="14"/>
      <c r="D3816" s="14"/>
      <c r="E3816" s="134"/>
      <c r="F3816" s="14"/>
      <c r="G3816" s="69"/>
      <c r="H3816" s="69"/>
      <c r="I3816" s="135"/>
      <c r="J3816" s="136"/>
      <c r="K3816" s="137"/>
      <c r="L3816" s="137"/>
    </row>
    <row r="3817" spans="2:12">
      <c r="B3817" s="133"/>
      <c r="C3817" s="14"/>
      <c r="D3817" s="14"/>
      <c r="E3817" s="134"/>
      <c r="F3817" s="14"/>
      <c r="G3817" s="69"/>
      <c r="H3817" s="69"/>
      <c r="I3817" s="135"/>
      <c r="J3817" s="136"/>
      <c r="K3817" s="137"/>
      <c r="L3817" s="137"/>
    </row>
    <row r="3818" spans="2:12">
      <c r="B3818" s="133"/>
      <c r="C3818" s="14"/>
      <c r="D3818" s="14"/>
      <c r="E3818" s="134"/>
      <c r="F3818" s="14"/>
      <c r="G3818" s="69"/>
      <c r="H3818" s="69"/>
      <c r="I3818" s="135"/>
      <c r="J3818" s="136"/>
      <c r="K3818" s="137"/>
      <c r="L3818" s="137"/>
    </row>
    <row r="3819" spans="2:12">
      <c r="B3819" s="133"/>
      <c r="C3819" s="14"/>
      <c r="D3819" s="14"/>
      <c r="E3819" s="134"/>
      <c r="F3819" s="14"/>
      <c r="G3819" s="69"/>
      <c r="H3819" s="69"/>
      <c r="I3819" s="135"/>
      <c r="J3819" s="136"/>
      <c r="K3819" s="137"/>
      <c r="L3819" s="137"/>
    </row>
    <row r="3820" spans="2:12">
      <c r="B3820" s="133"/>
      <c r="C3820" s="14"/>
      <c r="D3820" s="14"/>
      <c r="E3820" s="134"/>
      <c r="F3820" s="14"/>
      <c r="G3820" s="69"/>
      <c r="H3820" s="69"/>
      <c r="I3820" s="135"/>
      <c r="J3820" s="136"/>
      <c r="K3820" s="137"/>
      <c r="L3820" s="137"/>
    </row>
    <row r="3821" spans="2:12">
      <c r="B3821" s="133"/>
      <c r="C3821" s="14"/>
      <c r="D3821" s="14"/>
      <c r="E3821" s="134"/>
      <c r="F3821" s="14"/>
      <c r="G3821" s="69"/>
      <c r="H3821" s="69"/>
      <c r="I3821" s="135"/>
      <c r="J3821" s="136"/>
      <c r="K3821" s="137"/>
      <c r="L3821" s="137"/>
    </row>
    <row r="3822" spans="2:12">
      <c r="B3822" s="133"/>
      <c r="C3822" s="14"/>
      <c r="D3822" s="14"/>
      <c r="E3822" s="134"/>
      <c r="F3822" s="14"/>
      <c r="G3822" s="69"/>
      <c r="H3822" s="69"/>
      <c r="I3822" s="135"/>
      <c r="J3822" s="136"/>
      <c r="K3822" s="137"/>
      <c r="L3822" s="137"/>
    </row>
    <row r="3823" spans="2:12">
      <c r="B3823" s="133"/>
      <c r="C3823" s="14"/>
      <c r="D3823" s="14"/>
      <c r="E3823" s="134"/>
      <c r="F3823" s="14"/>
      <c r="G3823" s="69"/>
      <c r="H3823" s="69"/>
      <c r="I3823" s="135"/>
      <c r="J3823" s="136"/>
      <c r="K3823" s="137"/>
      <c r="L3823" s="137"/>
    </row>
    <row r="3824" spans="2:12">
      <c r="B3824" s="133"/>
      <c r="C3824" s="14"/>
      <c r="D3824" s="14"/>
      <c r="E3824" s="134"/>
      <c r="F3824" s="14"/>
      <c r="G3824" s="69"/>
      <c r="H3824" s="69"/>
      <c r="I3824" s="135"/>
      <c r="J3824" s="136"/>
      <c r="K3824" s="137"/>
      <c r="L3824" s="137"/>
    </row>
    <row r="3825" spans="2:12">
      <c r="B3825" s="133"/>
      <c r="C3825" s="14"/>
      <c r="D3825" s="14"/>
      <c r="E3825" s="134"/>
      <c r="F3825" s="14"/>
      <c r="G3825" s="69"/>
      <c r="H3825" s="69"/>
      <c r="I3825" s="135"/>
      <c r="J3825" s="136"/>
      <c r="K3825" s="137"/>
      <c r="L3825" s="137"/>
    </row>
    <row r="3826" spans="2:12">
      <c r="B3826" s="133"/>
      <c r="C3826" s="14"/>
      <c r="D3826" s="14"/>
      <c r="E3826" s="134"/>
      <c r="F3826" s="14"/>
      <c r="G3826" s="69"/>
      <c r="H3826" s="69"/>
      <c r="I3826" s="135"/>
      <c r="J3826" s="136"/>
      <c r="K3826" s="137"/>
      <c r="L3826" s="137"/>
    </row>
    <row r="3827" spans="2:12">
      <c r="B3827" s="133"/>
      <c r="C3827" s="14"/>
      <c r="D3827" s="14"/>
      <c r="E3827" s="134"/>
      <c r="F3827" s="14"/>
      <c r="G3827" s="69"/>
      <c r="H3827" s="69"/>
      <c r="I3827" s="135"/>
      <c r="J3827" s="136"/>
      <c r="K3827" s="137"/>
      <c r="L3827" s="137"/>
    </row>
    <row r="3828" spans="2:12">
      <c r="B3828" s="133"/>
      <c r="C3828" s="14"/>
      <c r="D3828" s="14"/>
      <c r="E3828" s="134"/>
      <c r="F3828" s="14"/>
      <c r="G3828" s="69"/>
      <c r="H3828" s="69"/>
      <c r="I3828" s="135"/>
      <c r="J3828" s="136"/>
      <c r="K3828" s="137"/>
      <c r="L3828" s="137"/>
    </row>
    <row r="3829" spans="2:12">
      <c r="B3829" s="133"/>
      <c r="C3829" s="14"/>
      <c r="D3829" s="14"/>
      <c r="E3829" s="134"/>
      <c r="F3829" s="14"/>
      <c r="G3829" s="69"/>
      <c r="H3829" s="69"/>
      <c r="I3829" s="135"/>
      <c r="J3829" s="136"/>
      <c r="K3829" s="137"/>
      <c r="L3829" s="137"/>
    </row>
    <row r="3830" spans="2:12">
      <c r="B3830" s="133"/>
      <c r="C3830" s="14"/>
      <c r="D3830" s="14"/>
      <c r="E3830" s="134"/>
      <c r="F3830" s="14"/>
      <c r="G3830" s="69"/>
      <c r="H3830" s="69"/>
      <c r="I3830" s="135"/>
      <c r="J3830" s="136"/>
      <c r="K3830" s="137"/>
      <c r="L3830" s="137"/>
    </row>
    <row r="3831" spans="2:12">
      <c r="B3831" s="133"/>
      <c r="C3831" s="14"/>
      <c r="D3831" s="14"/>
      <c r="E3831" s="134"/>
      <c r="F3831" s="14"/>
      <c r="G3831" s="69"/>
      <c r="H3831" s="69"/>
      <c r="I3831" s="135"/>
      <c r="J3831" s="136"/>
      <c r="K3831" s="137"/>
      <c r="L3831" s="137"/>
    </row>
    <row r="3832" spans="2:12">
      <c r="B3832" s="133"/>
      <c r="C3832" s="14"/>
      <c r="D3832" s="14"/>
      <c r="E3832" s="134"/>
      <c r="F3832" s="14"/>
      <c r="G3832" s="69"/>
      <c r="H3832" s="69"/>
      <c r="I3832" s="135"/>
      <c r="J3832" s="136"/>
      <c r="K3832" s="137"/>
      <c r="L3832" s="137"/>
    </row>
    <row r="3833" spans="2:12">
      <c r="B3833" s="133"/>
      <c r="C3833" s="14"/>
      <c r="D3833" s="14"/>
      <c r="E3833" s="134"/>
      <c r="F3833" s="14"/>
      <c r="G3833" s="69"/>
      <c r="H3833" s="69"/>
      <c r="I3833" s="135"/>
      <c r="J3833" s="136"/>
      <c r="K3833" s="137"/>
      <c r="L3833" s="137"/>
    </row>
    <row r="3834" spans="2:12">
      <c r="B3834" s="133"/>
      <c r="C3834" s="14"/>
      <c r="D3834" s="14"/>
      <c r="E3834" s="134"/>
      <c r="F3834" s="14"/>
      <c r="G3834" s="69"/>
      <c r="H3834" s="69"/>
      <c r="I3834" s="135"/>
      <c r="J3834" s="136"/>
      <c r="K3834" s="137"/>
      <c r="L3834" s="137"/>
    </row>
    <row r="3835" spans="2:12">
      <c r="B3835" s="133"/>
      <c r="C3835" s="14"/>
      <c r="D3835" s="14"/>
      <c r="E3835" s="134"/>
      <c r="F3835" s="14"/>
      <c r="G3835" s="69"/>
      <c r="H3835" s="69"/>
      <c r="I3835" s="135"/>
      <c r="J3835" s="136"/>
      <c r="K3835" s="137"/>
      <c r="L3835" s="137"/>
    </row>
    <row r="3836" spans="2:12">
      <c r="B3836" s="133"/>
      <c r="C3836" s="14"/>
      <c r="D3836" s="14"/>
      <c r="E3836" s="134"/>
      <c r="F3836" s="14"/>
      <c r="G3836" s="69"/>
      <c r="H3836" s="69"/>
      <c r="I3836" s="135"/>
      <c r="J3836" s="136"/>
      <c r="K3836" s="137"/>
      <c r="L3836" s="137"/>
    </row>
    <row r="3837" spans="2:12">
      <c r="B3837" s="133"/>
      <c r="C3837" s="14"/>
      <c r="D3837" s="14"/>
      <c r="E3837" s="134"/>
      <c r="F3837" s="14"/>
      <c r="G3837" s="69"/>
      <c r="H3837" s="69"/>
      <c r="I3837" s="135"/>
      <c r="J3837" s="136"/>
      <c r="K3837" s="137"/>
      <c r="L3837" s="137"/>
    </row>
    <row r="3838" spans="2:12">
      <c r="B3838" s="133"/>
      <c r="C3838" s="14"/>
      <c r="D3838" s="14"/>
      <c r="E3838" s="134"/>
      <c r="F3838" s="14"/>
      <c r="G3838" s="69"/>
      <c r="H3838" s="69"/>
      <c r="I3838" s="135"/>
      <c r="J3838" s="136"/>
      <c r="K3838" s="137"/>
      <c r="L3838" s="137"/>
    </row>
    <row r="3839" spans="2:12">
      <c r="B3839" s="133"/>
      <c r="C3839" s="14"/>
      <c r="D3839" s="14"/>
      <c r="E3839" s="134"/>
      <c r="F3839" s="14"/>
      <c r="G3839" s="69"/>
      <c r="H3839" s="69"/>
      <c r="I3839" s="135"/>
      <c r="J3839" s="136"/>
      <c r="K3839" s="137"/>
      <c r="L3839" s="137"/>
    </row>
    <row r="3840" spans="2:12">
      <c r="B3840" s="133"/>
      <c r="C3840" s="14"/>
      <c r="D3840" s="14"/>
      <c r="E3840" s="134"/>
      <c r="F3840" s="14"/>
      <c r="G3840" s="69"/>
      <c r="H3840" s="69"/>
      <c r="I3840" s="135"/>
      <c r="J3840" s="136"/>
      <c r="K3840" s="137"/>
      <c r="L3840" s="137"/>
    </row>
    <row r="3841" spans="2:12">
      <c r="B3841" s="133"/>
      <c r="C3841" s="14"/>
      <c r="D3841" s="14"/>
      <c r="E3841" s="134"/>
      <c r="F3841" s="14"/>
      <c r="G3841" s="69"/>
      <c r="H3841" s="69"/>
      <c r="I3841" s="135"/>
      <c r="J3841" s="136"/>
      <c r="K3841" s="137"/>
      <c r="L3841" s="137"/>
    </row>
    <row r="3842" spans="2:12">
      <c r="B3842" s="133"/>
      <c r="C3842" s="14"/>
      <c r="D3842" s="14"/>
      <c r="E3842" s="134"/>
      <c r="F3842" s="14"/>
      <c r="G3842" s="69"/>
      <c r="H3842" s="69"/>
      <c r="I3842" s="135"/>
      <c r="J3842" s="136"/>
      <c r="K3842" s="137"/>
      <c r="L3842" s="137"/>
    </row>
    <row r="3843" spans="2:12">
      <c r="B3843" s="133"/>
      <c r="C3843" s="14"/>
      <c r="D3843" s="14"/>
      <c r="E3843" s="134"/>
      <c r="F3843" s="14"/>
      <c r="G3843" s="69"/>
      <c r="H3843" s="69"/>
      <c r="I3843" s="135"/>
      <c r="J3843" s="136"/>
      <c r="K3843" s="137"/>
      <c r="L3843" s="137"/>
    </row>
    <row r="3844" spans="2:12">
      <c r="B3844" s="133"/>
      <c r="C3844" s="14"/>
      <c r="D3844" s="14"/>
      <c r="E3844" s="134"/>
      <c r="F3844" s="14"/>
      <c r="G3844" s="69"/>
      <c r="H3844" s="69"/>
      <c r="I3844" s="135"/>
      <c r="J3844" s="136"/>
      <c r="K3844" s="137"/>
      <c r="L3844" s="137"/>
    </row>
    <row r="3845" spans="2:12">
      <c r="B3845" s="133"/>
      <c r="C3845" s="14"/>
      <c r="D3845" s="14"/>
      <c r="E3845" s="134"/>
      <c r="F3845" s="14"/>
      <c r="G3845" s="69"/>
      <c r="H3845" s="69"/>
      <c r="I3845" s="135"/>
      <c r="J3845" s="136"/>
      <c r="K3845" s="137"/>
      <c r="L3845" s="137"/>
    </row>
    <row r="3846" spans="2:12">
      <c r="B3846" s="133"/>
      <c r="C3846" s="14"/>
      <c r="D3846" s="14"/>
      <c r="E3846" s="134"/>
      <c r="F3846" s="14"/>
      <c r="G3846" s="69"/>
      <c r="H3846" s="69"/>
      <c r="I3846" s="135"/>
      <c r="J3846" s="136"/>
      <c r="K3846" s="137"/>
      <c r="L3846" s="137"/>
    </row>
    <row r="3847" spans="2:12">
      <c r="B3847" s="133"/>
      <c r="C3847" s="14"/>
      <c r="D3847" s="14"/>
      <c r="E3847" s="134"/>
      <c r="F3847" s="14"/>
      <c r="G3847" s="69"/>
      <c r="H3847" s="69"/>
      <c r="I3847" s="135"/>
      <c r="J3847" s="136"/>
      <c r="K3847" s="137"/>
      <c r="L3847" s="137"/>
    </row>
    <row r="3848" spans="2:12">
      <c r="B3848" s="133"/>
      <c r="C3848" s="14"/>
      <c r="D3848" s="14"/>
      <c r="E3848" s="134"/>
      <c r="F3848" s="14"/>
      <c r="G3848" s="69"/>
      <c r="H3848" s="69"/>
      <c r="I3848" s="135"/>
      <c r="J3848" s="136"/>
      <c r="K3848" s="137"/>
      <c r="L3848" s="137"/>
    </row>
    <row r="3849" spans="2:12">
      <c r="B3849" s="133"/>
      <c r="C3849" s="14"/>
      <c r="D3849" s="14"/>
      <c r="E3849" s="134"/>
      <c r="F3849" s="14"/>
      <c r="G3849" s="69"/>
      <c r="H3849" s="69"/>
      <c r="I3849" s="135"/>
      <c r="J3849" s="136"/>
      <c r="K3849" s="137"/>
      <c r="L3849" s="137"/>
    </row>
    <row r="3850" spans="2:12">
      <c r="B3850" s="133"/>
      <c r="C3850" s="14"/>
      <c r="D3850" s="14"/>
      <c r="E3850" s="134"/>
      <c r="F3850" s="14"/>
      <c r="G3850" s="69"/>
      <c r="H3850" s="69"/>
      <c r="I3850" s="135"/>
      <c r="J3850" s="136"/>
      <c r="K3850" s="137"/>
      <c r="L3850" s="137"/>
    </row>
    <row r="3851" spans="2:12">
      <c r="B3851" s="133"/>
      <c r="C3851" s="14"/>
      <c r="D3851" s="14"/>
      <c r="E3851" s="134"/>
      <c r="F3851" s="14"/>
      <c r="G3851" s="69"/>
      <c r="H3851" s="69"/>
      <c r="I3851" s="135"/>
      <c r="J3851" s="136"/>
      <c r="K3851" s="137"/>
      <c r="L3851" s="137"/>
    </row>
    <row r="3852" spans="2:12">
      <c r="B3852" s="133"/>
      <c r="C3852" s="14"/>
      <c r="D3852" s="14"/>
      <c r="E3852" s="134"/>
      <c r="F3852" s="14"/>
      <c r="G3852" s="69"/>
      <c r="H3852" s="69"/>
      <c r="I3852" s="135"/>
      <c r="J3852" s="136"/>
      <c r="K3852" s="137"/>
      <c r="L3852" s="137"/>
    </row>
    <row r="3853" spans="2:12">
      <c r="B3853" s="133"/>
      <c r="C3853" s="14"/>
      <c r="D3853" s="14"/>
      <c r="E3853" s="134"/>
      <c r="F3853" s="14"/>
      <c r="G3853" s="69"/>
      <c r="H3853" s="69"/>
      <c r="I3853" s="135"/>
      <c r="J3853" s="136"/>
      <c r="K3853" s="137"/>
      <c r="L3853" s="137"/>
    </row>
    <row r="3854" spans="2:12">
      <c r="B3854" s="133"/>
      <c r="C3854" s="14"/>
      <c r="D3854" s="14"/>
      <c r="E3854" s="134"/>
      <c r="F3854" s="14"/>
      <c r="G3854" s="69"/>
      <c r="H3854" s="69"/>
      <c r="I3854" s="135"/>
      <c r="J3854" s="136"/>
      <c r="K3854" s="137"/>
      <c r="L3854" s="137"/>
    </row>
    <row r="3855" spans="2:12">
      <c r="B3855" s="133"/>
      <c r="C3855" s="14"/>
      <c r="D3855" s="14"/>
      <c r="E3855" s="134"/>
      <c r="F3855" s="14"/>
      <c r="G3855" s="69"/>
      <c r="H3855" s="69"/>
      <c r="I3855" s="135"/>
      <c r="J3855" s="136"/>
      <c r="K3855" s="137"/>
      <c r="L3855" s="137"/>
    </row>
    <row r="3856" spans="2:12">
      <c r="B3856" s="133"/>
      <c r="C3856" s="14"/>
      <c r="D3856" s="14"/>
      <c r="E3856" s="134"/>
      <c r="F3856" s="14"/>
      <c r="G3856" s="69"/>
      <c r="H3856" s="69"/>
      <c r="I3856" s="135"/>
      <c r="J3856" s="136"/>
      <c r="K3856" s="137"/>
      <c r="L3856" s="137"/>
    </row>
    <row r="3857" spans="2:12">
      <c r="B3857" s="133"/>
      <c r="C3857" s="14"/>
      <c r="D3857" s="14"/>
      <c r="E3857" s="134"/>
      <c r="F3857" s="14"/>
      <c r="G3857" s="69"/>
      <c r="H3857" s="69"/>
      <c r="I3857" s="135"/>
      <c r="J3857" s="136"/>
      <c r="K3857" s="137"/>
      <c r="L3857" s="137"/>
    </row>
    <row r="3858" spans="2:12">
      <c r="B3858" s="133"/>
      <c r="C3858" s="14"/>
      <c r="D3858" s="14"/>
      <c r="E3858" s="134"/>
      <c r="F3858" s="14"/>
      <c r="G3858" s="69"/>
      <c r="H3858" s="69"/>
      <c r="I3858" s="135"/>
      <c r="J3858" s="136"/>
      <c r="K3858" s="137"/>
      <c r="L3858" s="137"/>
    </row>
    <row r="3859" spans="2:12">
      <c r="B3859" s="133"/>
      <c r="C3859" s="14"/>
      <c r="D3859" s="14"/>
      <c r="E3859" s="134"/>
      <c r="F3859" s="14"/>
      <c r="G3859" s="69"/>
      <c r="H3859" s="69"/>
      <c r="I3859" s="135"/>
      <c r="J3859" s="136"/>
      <c r="K3859" s="137"/>
      <c r="L3859" s="137"/>
    </row>
    <row r="3860" spans="2:12">
      <c r="B3860" s="133"/>
      <c r="C3860" s="14"/>
      <c r="D3860" s="14"/>
      <c r="E3860" s="134"/>
      <c r="F3860" s="14"/>
      <c r="G3860" s="69"/>
      <c r="H3860" s="69"/>
      <c r="I3860" s="135"/>
      <c r="J3860" s="136"/>
      <c r="K3860" s="137"/>
      <c r="L3860" s="137"/>
    </row>
    <row r="3861" spans="2:12">
      <c r="B3861" s="133"/>
      <c r="C3861" s="14"/>
      <c r="D3861" s="14"/>
      <c r="E3861" s="134"/>
      <c r="F3861" s="14"/>
      <c r="G3861" s="69"/>
      <c r="H3861" s="69"/>
      <c r="I3861" s="135"/>
      <c r="J3861" s="136"/>
      <c r="K3861" s="137"/>
      <c r="L3861" s="137"/>
    </row>
    <row r="3862" spans="2:12">
      <c r="B3862" s="133"/>
      <c r="C3862" s="14"/>
      <c r="D3862" s="14"/>
      <c r="E3862" s="134"/>
      <c r="F3862" s="14"/>
      <c r="G3862" s="69"/>
      <c r="H3862" s="69"/>
      <c r="I3862" s="135"/>
      <c r="J3862" s="136"/>
      <c r="K3862" s="137"/>
      <c r="L3862" s="137"/>
    </row>
    <row r="3863" spans="2:12">
      <c r="B3863" s="133"/>
      <c r="C3863" s="14"/>
      <c r="D3863" s="14"/>
      <c r="E3863" s="134"/>
      <c r="F3863" s="14"/>
      <c r="G3863" s="69"/>
      <c r="H3863" s="69"/>
      <c r="I3863" s="135"/>
      <c r="J3863" s="136"/>
      <c r="K3863" s="137"/>
      <c r="L3863" s="137"/>
    </row>
    <row r="3864" spans="2:12">
      <c r="B3864" s="133"/>
      <c r="C3864" s="14"/>
      <c r="D3864" s="14"/>
      <c r="E3864" s="134"/>
      <c r="F3864" s="14"/>
      <c r="G3864" s="69"/>
      <c r="H3864" s="69"/>
      <c r="I3864" s="135"/>
      <c r="J3864" s="136"/>
      <c r="K3864" s="137"/>
      <c r="L3864" s="137"/>
    </row>
    <row r="3865" spans="2:12">
      <c r="B3865" s="133"/>
      <c r="C3865" s="14"/>
      <c r="D3865" s="14"/>
      <c r="E3865" s="134"/>
      <c r="F3865" s="14"/>
      <c r="G3865" s="69"/>
      <c r="H3865" s="69"/>
      <c r="I3865" s="135"/>
      <c r="J3865" s="136"/>
      <c r="K3865" s="137"/>
      <c r="L3865" s="137"/>
    </row>
    <row r="3866" spans="2:12">
      <c r="B3866" s="133"/>
      <c r="C3866" s="14"/>
      <c r="D3866" s="14"/>
      <c r="E3866" s="134"/>
      <c r="F3866" s="14"/>
      <c r="G3866" s="69"/>
      <c r="H3866" s="69"/>
      <c r="I3866" s="135"/>
      <c r="J3866" s="136"/>
      <c r="K3866" s="137"/>
      <c r="L3866" s="137"/>
    </row>
    <row r="3867" spans="2:12">
      <c r="B3867" s="133"/>
      <c r="C3867" s="14"/>
      <c r="D3867" s="14"/>
      <c r="E3867" s="134"/>
      <c r="F3867" s="14"/>
      <c r="G3867" s="69"/>
      <c r="H3867" s="69"/>
      <c r="I3867" s="135"/>
      <c r="J3867" s="136"/>
      <c r="K3867" s="137"/>
      <c r="L3867" s="137"/>
    </row>
    <row r="3868" spans="2:12">
      <c r="B3868" s="133"/>
      <c r="C3868" s="14"/>
      <c r="D3868" s="14"/>
      <c r="E3868" s="134"/>
      <c r="F3868" s="14"/>
      <c r="G3868" s="69"/>
      <c r="H3868" s="69"/>
      <c r="I3868" s="135"/>
      <c r="J3868" s="136"/>
      <c r="K3868" s="137"/>
      <c r="L3868" s="137"/>
    </row>
    <row r="3869" spans="2:12">
      <c r="B3869" s="133"/>
      <c r="C3869" s="14"/>
      <c r="D3869" s="14"/>
      <c r="E3869" s="134"/>
      <c r="F3869" s="14"/>
      <c r="G3869" s="69"/>
      <c r="H3869" s="69"/>
      <c r="I3869" s="135"/>
      <c r="J3869" s="136"/>
      <c r="K3869" s="137"/>
      <c r="L3869" s="137"/>
    </row>
    <row r="3870" spans="2:12">
      <c r="B3870" s="133"/>
      <c r="C3870" s="14"/>
      <c r="D3870" s="14"/>
      <c r="E3870" s="134"/>
      <c r="F3870" s="14"/>
      <c r="G3870" s="69"/>
      <c r="H3870" s="69"/>
      <c r="I3870" s="135"/>
      <c r="J3870" s="136"/>
      <c r="K3870" s="137"/>
      <c r="L3870" s="137"/>
    </row>
    <row r="3871" spans="2:12">
      <c r="B3871" s="133"/>
      <c r="C3871" s="14"/>
      <c r="D3871" s="14"/>
      <c r="E3871" s="134"/>
      <c r="F3871" s="14"/>
      <c r="G3871" s="69"/>
      <c r="H3871" s="69"/>
      <c r="I3871" s="135"/>
      <c r="J3871" s="136"/>
      <c r="K3871" s="137"/>
      <c r="L3871" s="137"/>
    </row>
    <row r="3872" spans="2:12">
      <c r="B3872" s="133"/>
      <c r="C3872" s="14"/>
      <c r="D3872" s="14"/>
      <c r="E3872" s="134"/>
      <c r="F3872" s="14"/>
      <c r="G3872" s="69"/>
      <c r="H3872" s="69"/>
      <c r="I3872" s="135"/>
      <c r="J3872" s="136"/>
      <c r="K3872" s="137"/>
      <c r="L3872" s="137"/>
    </row>
    <row r="3873" spans="2:12">
      <c r="B3873" s="133"/>
      <c r="C3873" s="14"/>
      <c r="D3873" s="14"/>
      <c r="E3873" s="134"/>
      <c r="F3873" s="14"/>
      <c r="G3873" s="69"/>
      <c r="H3873" s="69"/>
      <c r="I3873" s="135"/>
      <c r="J3873" s="136"/>
      <c r="K3873" s="137"/>
      <c r="L3873" s="137"/>
    </row>
    <row r="3874" spans="2:12">
      <c r="B3874" s="133"/>
      <c r="C3874" s="14"/>
      <c r="D3874" s="14"/>
      <c r="E3874" s="134"/>
      <c r="F3874" s="14"/>
      <c r="G3874" s="69"/>
      <c r="H3874" s="69"/>
      <c r="I3874" s="135"/>
      <c r="J3874" s="136"/>
      <c r="K3874" s="137"/>
      <c r="L3874" s="137"/>
    </row>
    <row r="3875" spans="2:12">
      <c r="B3875" s="133"/>
      <c r="C3875" s="14"/>
      <c r="D3875" s="14"/>
      <c r="E3875" s="134"/>
      <c r="F3875" s="14"/>
      <c r="G3875" s="69"/>
      <c r="H3875" s="69"/>
      <c r="I3875" s="135"/>
      <c r="J3875" s="136"/>
      <c r="K3875" s="137"/>
      <c r="L3875" s="137"/>
    </row>
    <row r="3876" spans="2:12">
      <c r="B3876" s="133"/>
      <c r="C3876" s="14"/>
      <c r="D3876" s="14"/>
      <c r="E3876" s="134"/>
      <c r="F3876" s="14"/>
      <c r="G3876" s="69"/>
      <c r="H3876" s="69"/>
      <c r="I3876" s="135"/>
      <c r="J3876" s="136"/>
      <c r="K3876" s="137"/>
      <c r="L3876" s="137"/>
    </row>
    <row r="3877" spans="2:12">
      <c r="B3877" s="133"/>
      <c r="C3877" s="14"/>
      <c r="D3877" s="14"/>
      <c r="E3877" s="134"/>
      <c r="F3877" s="14"/>
      <c r="G3877" s="69"/>
      <c r="H3877" s="69"/>
      <c r="I3877" s="135"/>
      <c r="J3877" s="136"/>
      <c r="K3877" s="137"/>
      <c r="L3877" s="137"/>
    </row>
    <row r="3878" spans="2:12">
      <c r="B3878" s="133"/>
      <c r="C3878" s="14"/>
      <c r="D3878" s="14"/>
      <c r="E3878" s="134"/>
      <c r="F3878" s="14"/>
      <c r="G3878" s="69"/>
      <c r="H3878" s="69"/>
      <c r="I3878" s="135"/>
      <c r="J3878" s="136"/>
      <c r="K3878" s="137"/>
      <c r="L3878" s="137"/>
    </row>
    <row r="3879" spans="2:12">
      <c r="B3879" s="133"/>
      <c r="C3879" s="14"/>
      <c r="D3879" s="14"/>
      <c r="E3879" s="134"/>
      <c r="F3879" s="14"/>
      <c r="G3879" s="69"/>
      <c r="H3879" s="69"/>
      <c r="I3879" s="135"/>
      <c r="J3879" s="136"/>
      <c r="K3879" s="137"/>
      <c r="L3879" s="137"/>
    </row>
    <row r="3880" spans="2:12">
      <c r="B3880" s="133"/>
      <c r="C3880" s="14"/>
      <c r="D3880" s="14"/>
      <c r="E3880" s="134"/>
      <c r="F3880" s="14"/>
      <c r="G3880" s="69"/>
      <c r="H3880" s="69"/>
      <c r="I3880" s="135"/>
      <c r="J3880" s="136"/>
      <c r="K3880" s="137"/>
      <c r="L3880" s="137"/>
    </row>
    <row r="3881" spans="2:12">
      <c r="B3881" s="133"/>
      <c r="C3881" s="14"/>
      <c r="D3881" s="14"/>
      <c r="E3881" s="134"/>
      <c r="F3881" s="14"/>
      <c r="G3881" s="69"/>
      <c r="H3881" s="69"/>
      <c r="I3881" s="135"/>
      <c r="J3881" s="136"/>
      <c r="K3881" s="137"/>
      <c r="L3881" s="137"/>
    </row>
    <row r="3882" spans="2:12">
      <c r="B3882" s="133"/>
      <c r="C3882" s="14"/>
      <c r="D3882" s="14"/>
      <c r="E3882" s="134"/>
      <c r="F3882" s="14"/>
      <c r="G3882" s="69"/>
      <c r="H3882" s="69"/>
      <c r="I3882" s="135"/>
      <c r="J3882" s="136"/>
      <c r="K3882" s="137"/>
      <c r="L3882" s="137"/>
    </row>
    <row r="3883" spans="2:12">
      <c r="B3883" s="133"/>
      <c r="C3883" s="14"/>
      <c r="D3883" s="14"/>
      <c r="E3883" s="134"/>
      <c r="F3883" s="14"/>
      <c r="G3883" s="69"/>
      <c r="H3883" s="69"/>
      <c r="I3883" s="135"/>
      <c r="J3883" s="136"/>
      <c r="K3883" s="137"/>
      <c r="L3883" s="137"/>
    </row>
    <row r="3884" spans="2:12">
      <c r="B3884" s="133"/>
      <c r="C3884" s="14"/>
      <c r="D3884" s="14"/>
      <c r="E3884" s="134"/>
      <c r="F3884" s="14"/>
      <c r="G3884" s="69"/>
      <c r="H3884" s="69"/>
      <c r="I3884" s="135"/>
      <c r="J3884" s="136"/>
      <c r="K3884" s="137"/>
      <c r="L3884" s="137"/>
    </row>
    <row r="3885" spans="2:12">
      <c r="B3885" s="133"/>
      <c r="C3885" s="14"/>
      <c r="D3885" s="14"/>
      <c r="E3885" s="134"/>
      <c r="F3885" s="14"/>
      <c r="G3885" s="69"/>
      <c r="H3885" s="69"/>
      <c r="I3885" s="135"/>
      <c r="J3885" s="136"/>
      <c r="K3885" s="137"/>
      <c r="L3885" s="137"/>
    </row>
    <row r="3886" spans="2:12">
      <c r="B3886" s="133"/>
      <c r="C3886" s="14"/>
      <c r="D3886" s="14"/>
      <c r="E3886" s="134"/>
      <c r="F3886" s="14"/>
      <c r="G3886" s="69"/>
      <c r="H3886" s="69"/>
      <c r="I3886" s="135"/>
      <c r="J3886" s="136"/>
      <c r="K3886" s="137"/>
      <c r="L3886" s="137"/>
    </row>
    <row r="3887" spans="2:12">
      <c r="B3887" s="133"/>
      <c r="C3887" s="14"/>
      <c r="D3887" s="14"/>
      <c r="E3887" s="134"/>
      <c r="F3887" s="14"/>
      <c r="G3887" s="69"/>
      <c r="H3887" s="69"/>
      <c r="I3887" s="135"/>
      <c r="J3887" s="136"/>
      <c r="K3887" s="137"/>
      <c r="L3887" s="137"/>
    </row>
    <row r="3888" spans="2:12">
      <c r="B3888" s="133"/>
      <c r="C3888" s="14"/>
      <c r="D3888" s="14"/>
      <c r="E3888" s="134"/>
      <c r="F3888" s="14"/>
      <c r="G3888" s="69"/>
      <c r="H3888" s="69"/>
      <c r="I3888" s="135"/>
      <c r="J3888" s="136"/>
      <c r="K3888" s="137"/>
      <c r="L3888" s="137"/>
    </row>
    <row r="3889" spans="2:12">
      <c r="B3889" s="133"/>
      <c r="C3889" s="14"/>
      <c r="D3889" s="14"/>
      <c r="E3889" s="134"/>
      <c r="F3889" s="14"/>
      <c r="G3889" s="69"/>
      <c r="H3889" s="69"/>
      <c r="I3889" s="135"/>
      <c r="J3889" s="136"/>
      <c r="K3889" s="137"/>
      <c r="L3889" s="137"/>
    </row>
    <row r="3890" spans="2:12">
      <c r="B3890" s="133"/>
      <c r="C3890" s="14"/>
      <c r="D3890" s="14"/>
      <c r="E3890" s="134"/>
      <c r="F3890" s="14"/>
      <c r="G3890" s="69"/>
      <c r="H3890" s="69"/>
      <c r="I3890" s="135"/>
      <c r="J3890" s="136"/>
      <c r="K3890" s="137"/>
      <c r="L3890" s="137"/>
    </row>
    <row r="3891" spans="2:12">
      <c r="B3891" s="133"/>
      <c r="C3891" s="14"/>
      <c r="D3891" s="14"/>
      <c r="E3891" s="134"/>
      <c r="F3891" s="14"/>
      <c r="G3891" s="69"/>
      <c r="H3891" s="69"/>
      <c r="I3891" s="135"/>
      <c r="J3891" s="136"/>
      <c r="K3891" s="137"/>
      <c r="L3891" s="137"/>
    </row>
    <row r="3892" spans="2:12">
      <c r="B3892" s="133"/>
      <c r="C3892" s="14"/>
      <c r="D3892" s="14"/>
      <c r="E3892" s="134"/>
      <c r="F3892" s="14"/>
      <c r="G3892" s="69"/>
      <c r="H3892" s="69"/>
      <c r="I3892" s="135"/>
      <c r="J3892" s="136"/>
      <c r="K3892" s="137"/>
      <c r="L3892" s="137"/>
    </row>
    <row r="3893" spans="2:12">
      <c r="B3893" s="133"/>
      <c r="C3893" s="14"/>
      <c r="D3893" s="14"/>
      <c r="E3893" s="134"/>
      <c r="F3893" s="14"/>
      <c r="G3893" s="69"/>
      <c r="H3893" s="69"/>
      <c r="I3893" s="135"/>
      <c r="J3893" s="136"/>
      <c r="K3893" s="137"/>
      <c r="L3893" s="137"/>
    </row>
    <row r="3894" spans="2:12">
      <c r="B3894" s="133"/>
      <c r="C3894" s="14"/>
      <c r="D3894" s="14"/>
      <c r="E3894" s="134"/>
      <c r="F3894" s="14"/>
      <c r="G3894" s="69"/>
      <c r="H3894" s="69"/>
      <c r="I3894" s="135"/>
      <c r="J3894" s="136"/>
      <c r="K3894" s="137"/>
      <c r="L3894" s="137"/>
    </row>
    <row r="3895" spans="2:12">
      <c r="B3895" s="133"/>
      <c r="C3895" s="14"/>
      <c r="D3895" s="14"/>
      <c r="E3895" s="134"/>
      <c r="F3895" s="14"/>
      <c r="G3895" s="69"/>
      <c r="H3895" s="69"/>
      <c r="I3895" s="135"/>
      <c r="J3895" s="136"/>
      <c r="K3895" s="137"/>
      <c r="L3895" s="137"/>
    </row>
    <row r="3896" spans="2:12">
      <c r="B3896" s="133"/>
      <c r="C3896" s="14"/>
      <c r="D3896" s="14"/>
      <c r="E3896" s="134"/>
      <c r="F3896" s="14"/>
      <c r="G3896" s="69"/>
      <c r="H3896" s="69"/>
      <c r="I3896" s="135"/>
      <c r="J3896" s="136"/>
      <c r="K3896" s="137"/>
      <c r="L3896" s="137"/>
    </row>
    <row r="3897" spans="2:12">
      <c r="B3897" s="133"/>
      <c r="C3897" s="14"/>
      <c r="D3897" s="14"/>
      <c r="E3897" s="134"/>
      <c r="F3897" s="14"/>
      <c r="G3897" s="69"/>
      <c r="H3897" s="69"/>
      <c r="I3897" s="135"/>
      <c r="J3897" s="136"/>
      <c r="K3897" s="137"/>
      <c r="L3897" s="137"/>
    </row>
    <row r="3898" spans="2:12">
      <c r="B3898" s="133"/>
      <c r="C3898" s="14"/>
      <c r="D3898" s="14"/>
      <c r="E3898" s="134"/>
      <c r="F3898" s="14"/>
      <c r="G3898" s="69"/>
      <c r="H3898" s="69"/>
      <c r="I3898" s="135"/>
      <c r="J3898" s="136"/>
      <c r="K3898" s="137"/>
      <c r="L3898" s="137"/>
    </row>
    <row r="3899" spans="2:12">
      <c r="B3899" s="133"/>
      <c r="C3899" s="14"/>
      <c r="D3899" s="14"/>
      <c r="E3899" s="134"/>
      <c r="F3899" s="14"/>
      <c r="G3899" s="69"/>
      <c r="H3899" s="69"/>
      <c r="I3899" s="135"/>
      <c r="J3899" s="136"/>
      <c r="K3899" s="137"/>
      <c r="L3899" s="137"/>
    </row>
    <row r="3900" spans="2:12">
      <c r="B3900" s="133"/>
      <c r="C3900" s="14"/>
      <c r="D3900" s="14"/>
      <c r="E3900" s="134"/>
      <c r="F3900" s="14"/>
      <c r="G3900" s="69"/>
      <c r="H3900" s="69"/>
      <c r="I3900" s="135"/>
      <c r="J3900" s="136"/>
      <c r="K3900" s="137"/>
      <c r="L3900" s="137"/>
    </row>
    <row r="3901" spans="2:12">
      <c r="B3901" s="133"/>
      <c r="C3901" s="14"/>
      <c r="D3901" s="14"/>
      <c r="E3901" s="134"/>
      <c r="F3901" s="14"/>
      <c r="G3901" s="69"/>
      <c r="H3901" s="69"/>
      <c r="I3901" s="135"/>
      <c r="J3901" s="136"/>
      <c r="K3901" s="137"/>
      <c r="L3901" s="137"/>
    </row>
    <row r="3902" spans="2:12">
      <c r="B3902" s="133"/>
      <c r="C3902" s="14"/>
      <c r="D3902" s="14"/>
      <c r="E3902" s="134"/>
      <c r="F3902" s="14"/>
      <c r="G3902" s="69"/>
      <c r="H3902" s="69"/>
      <c r="I3902" s="135"/>
      <c r="J3902" s="136"/>
      <c r="K3902" s="137"/>
      <c r="L3902" s="137"/>
    </row>
    <row r="3903" spans="2:12">
      <c r="B3903" s="133"/>
      <c r="C3903" s="14"/>
      <c r="D3903" s="14"/>
      <c r="E3903" s="134"/>
      <c r="F3903" s="14"/>
      <c r="G3903" s="69"/>
      <c r="H3903" s="69"/>
      <c r="I3903" s="135"/>
      <c r="J3903" s="136"/>
      <c r="K3903" s="137"/>
      <c r="L3903" s="137"/>
    </row>
    <row r="3904" spans="2:12">
      <c r="B3904" s="133"/>
      <c r="C3904" s="14"/>
      <c r="D3904" s="14"/>
      <c r="E3904" s="134"/>
      <c r="F3904" s="14"/>
      <c r="G3904" s="69"/>
      <c r="H3904" s="69"/>
      <c r="I3904" s="135"/>
      <c r="J3904" s="136"/>
      <c r="K3904" s="137"/>
      <c r="L3904" s="137"/>
    </row>
    <row r="3905" spans="2:12">
      <c r="B3905" s="133"/>
      <c r="C3905" s="14"/>
      <c r="D3905" s="14"/>
      <c r="E3905" s="134"/>
      <c r="F3905" s="14"/>
      <c r="G3905" s="69"/>
      <c r="H3905" s="69"/>
      <c r="I3905" s="135"/>
      <c r="J3905" s="136"/>
      <c r="K3905" s="137"/>
      <c r="L3905" s="137"/>
    </row>
    <row r="3906" spans="2:12">
      <c r="B3906" s="133"/>
      <c r="C3906" s="14"/>
      <c r="D3906" s="14"/>
      <c r="E3906" s="134"/>
      <c r="F3906" s="14"/>
      <c r="G3906" s="69"/>
      <c r="H3906" s="69"/>
      <c r="I3906" s="135"/>
      <c r="J3906" s="136"/>
      <c r="K3906" s="137"/>
      <c r="L3906" s="137"/>
    </row>
    <row r="3907" spans="2:12">
      <c r="B3907" s="133"/>
      <c r="C3907" s="14"/>
      <c r="D3907" s="14"/>
      <c r="E3907" s="134"/>
      <c r="F3907" s="14"/>
      <c r="G3907" s="69"/>
      <c r="H3907" s="69"/>
      <c r="I3907" s="135"/>
      <c r="J3907" s="136"/>
      <c r="K3907" s="137"/>
      <c r="L3907" s="137"/>
    </row>
    <row r="3908" spans="2:12">
      <c r="B3908" s="133"/>
      <c r="C3908" s="14"/>
      <c r="D3908" s="14"/>
      <c r="E3908" s="134"/>
      <c r="F3908" s="14"/>
      <c r="G3908" s="69"/>
      <c r="H3908" s="69"/>
      <c r="I3908" s="135"/>
      <c r="J3908" s="136"/>
      <c r="K3908" s="137"/>
      <c r="L3908" s="137"/>
    </row>
    <row r="3909" spans="2:12">
      <c r="B3909" s="133"/>
      <c r="C3909" s="14"/>
      <c r="D3909" s="14"/>
      <c r="E3909" s="134"/>
      <c r="F3909" s="14"/>
      <c r="G3909" s="69"/>
      <c r="H3909" s="69"/>
      <c r="I3909" s="135"/>
      <c r="J3909" s="136"/>
      <c r="K3909" s="137"/>
      <c r="L3909" s="137"/>
    </row>
    <row r="3910" spans="2:12">
      <c r="B3910" s="133"/>
      <c r="C3910" s="14"/>
      <c r="D3910" s="14"/>
      <c r="E3910" s="134"/>
      <c r="F3910" s="14"/>
      <c r="G3910" s="69"/>
      <c r="H3910" s="69"/>
      <c r="I3910" s="135"/>
      <c r="J3910" s="136"/>
      <c r="K3910" s="137"/>
      <c r="L3910" s="137"/>
    </row>
    <row r="3911" spans="2:12">
      <c r="B3911" s="133"/>
      <c r="C3911" s="14"/>
      <c r="D3911" s="14"/>
      <c r="E3911" s="134"/>
      <c r="F3911" s="14"/>
      <c r="G3911" s="69"/>
      <c r="H3911" s="69"/>
      <c r="I3911" s="135"/>
      <c r="J3911" s="136"/>
      <c r="K3911" s="137"/>
      <c r="L3911" s="137"/>
    </row>
    <row r="3912" spans="2:12">
      <c r="B3912" s="133"/>
      <c r="C3912" s="14"/>
      <c r="D3912" s="14"/>
      <c r="E3912" s="134"/>
      <c r="F3912" s="14"/>
      <c r="G3912" s="69"/>
      <c r="H3912" s="69"/>
      <c r="I3912" s="135"/>
      <c r="J3912" s="136"/>
      <c r="K3912" s="137"/>
      <c r="L3912" s="137"/>
    </row>
    <row r="3913" spans="2:12">
      <c r="B3913" s="133"/>
      <c r="C3913" s="14"/>
      <c r="D3913" s="14"/>
      <c r="E3913" s="134"/>
      <c r="F3913" s="14"/>
      <c r="G3913" s="69"/>
      <c r="H3913" s="69"/>
      <c r="I3913" s="135"/>
      <c r="J3913" s="136"/>
      <c r="K3913" s="137"/>
      <c r="L3913" s="137"/>
    </row>
    <row r="3914" spans="2:12">
      <c r="B3914" s="133"/>
      <c r="C3914" s="14"/>
      <c r="D3914" s="14"/>
      <c r="E3914" s="134"/>
      <c r="F3914" s="14"/>
      <c r="G3914" s="69"/>
      <c r="H3914" s="69"/>
      <c r="I3914" s="135"/>
      <c r="J3914" s="136"/>
      <c r="K3914" s="137"/>
      <c r="L3914" s="137"/>
    </row>
    <row r="3915" spans="2:12">
      <c r="B3915" s="133"/>
      <c r="C3915" s="14"/>
      <c r="D3915" s="14"/>
      <c r="E3915" s="134"/>
      <c r="F3915" s="14"/>
      <c r="G3915" s="69"/>
      <c r="H3915" s="69"/>
      <c r="I3915" s="135"/>
      <c r="J3915" s="136"/>
      <c r="K3915" s="137"/>
      <c r="L3915" s="137"/>
    </row>
    <row r="3916" spans="2:12">
      <c r="B3916" s="133"/>
      <c r="C3916" s="14"/>
      <c r="D3916" s="14"/>
      <c r="E3916" s="134"/>
      <c r="F3916" s="14"/>
      <c r="G3916" s="69"/>
      <c r="H3916" s="69"/>
      <c r="I3916" s="135"/>
      <c r="J3916" s="136"/>
      <c r="K3916" s="137"/>
      <c r="L3916" s="137"/>
    </row>
    <row r="3917" spans="2:12">
      <c r="B3917" s="133"/>
      <c r="C3917" s="14"/>
      <c r="D3917" s="14"/>
      <c r="E3917" s="134"/>
      <c r="F3917" s="14"/>
      <c r="G3917" s="69"/>
      <c r="H3917" s="69"/>
      <c r="I3917" s="135"/>
      <c r="J3917" s="136"/>
      <c r="K3917" s="137"/>
      <c r="L3917" s="137"/>
    </row>
    <row r="3918" spans="2:12">
      <c r="B3918" s="133"/>
      <c r="C3918" s="14"/>
      <c r="D3918" s="14"/>
      <c r="E3918" s="134"/>
      <c r="F3918" s="14"/>
      <c r="G3918" s="69"/>
      <c r="H3918" s="69"/>
      <c r="I3918" s="135"/>
      <c r="J3918" s="136"/>
      <c r="K3918" s="137"/>
      <c r="L3918" s="137"/>
    </row>
    <row r="3919" spans="2:12">
      <c r="B3919" s="133"/>
      <c r="C3919" s="14"/>
      <c r="D3919" s="14"/>
      <c r="E3919" s="134"/>
      <c r="F3919" s="14"/>
      <c r="G3919" s="69"/>
      <c r="H3919" s="69"/>
      <c r="I3919" s="135"/>
      <c r="J3919" s="136"/>
      <c r="K3919" s="137"/>
      <c r="L3919" s="137"/>
    </row>
    <row r="3920" spans="2:12">
      <c r="B3920" s="133"/>
      <c r="C3920" s="14"/>
      <c r="D3920" s="14"/>
      <c r="E3920" s="134"/>
      <c r="F3920" s="14"/>
      <c r="G3920" s="69"/>
      <c r="H3920" s="69"/>
      <c r="I3920" s="135"/>
      <c r="J3920" s="136"/>
      <c r="K3920" s="137"/>
      <c r="L3920" s="137"/>
    </row>
    <row r="3921" spans="2:12">
      <c r="B3921" s="133"/>
      <c r="C3921" s="14"/>
      <c r="D3921" s="14"/>
      <c r="E3921" s="134"/>
      <c r="F3921" s="14"/>
      <c r="G3921" s="69"/>
      <c r="H3921" s="69"/>
      <c r="I3921" s="135"/>
      <c r="J3921" s="136"/>
      <c r="K3921" s="137"/>
      <c r="L3921" s="137"/>
    </row>
    <row r="3922" spans="2:12">
      <c r="B3922" s="133"/>
      <c r="C3922" s="14"/>
      <c r="D3922" s="14"/>
      <c r="E3922" s="134"/>
      <c r="F3922" s="14"/>
      <c r="G3922" s="69"/>
      <c r="H3922" s="69"/>
      <c r="I3922" s="135"/>
      <c r="J3922" s="136"/>
      <c r="K3922" s="137"/>
      <c r="L3922" s="137"/>
    </row>
    <row r="3923" spans="2:12">
      <c r="B3923" s="133"/>
      <c r="C3923" s="14"/>
      <c r="D3923" s="14"/>
      <c r="E3923" s="134"/>
      <c r="F3923" s="14"/>
      <c r="G3923" s="69"/>
      <c r="H3923" s="69"/>
      <c r="I3923" s="135"/>
      <c r="J3923" s="136"/>
      <c r="K3923" s="137"/>
      <c r="L3923" s="137"/>
    </row>
    <row r="3924" spans="2:12">
      <c r="B3924" s="133"/>
      <c r="C3924" s="14"/>
      <c r="D3924" s="14"/>
      <c r="E3924" s="134"/>
      <c r="F3924" s="14"/>
      <c r="G3924" s="69"/>
      <c r="H3924" s="69"/>
      <c r="I3924" s="135"/>
      <c r="J3924" s="136"/>
      <c r="K3924" s="137"/>
      <c r="L3924" s="137"/>
    </row>
    <row r="3925" spans="2:12">
      <c r="B3925" s="133"/>
      <c r="C3925" s="14"/>
      <c r="D3925" s="14"/>
      <c r="E3925" s="134"/>
      <c r="F3925" s="14"/>
      <c r="G3925" s="69"/>
      <c r="H3925" s="69"/>
      <c r="I3925" s="135"/>
      <c r="J3925" s="136"/>
      <c r="K3925" s="137"/>
      <c r="L3925" s="137"/>
    </row>
    <row r="3926" spans="2:12">
      <c r="B3926" s="133"/>
      <c r="C3926" s="14"/>
      <c r="D3926" s="14"/>
      <c r="E3926" s="134"/>
      <c r="F3926" s="14"/>
      <c r="G3926" s="69"/>
      <c r="H3926" s="69"/>
      <c r="I3926" s="135"/>
      <c r="J3926" s="136"/>
      <c r="K3926" s="137"/>
      <c r="L3926" s="137"/>
    </row>
    <row r="3927" spans="2:12">
      <c r="B3927" s="133"/>
      <c r="C3927" s="14"/>
      <c r="D3927" s="14"/>
      <c r="E3927" s="134"/>
      <c r="F3927" s="14"/>
      <c r="G3927" s="69"/>
      <c r="H3927" s="69"/>
      <c r="I3927" s="135"/>
      <c r="J3927" s="136"/>
      <c r="K3927" s="137"/>
      <c r="L3927" s="137"/>
    </row>
    <row r="3928" spans="2:12">
      <c r="B3928" s="133"/>
      <c r="C3928" s="14"/>
      <c r="D3928" s="14"/>
      <c r="E3928" s="134"/>
      <c r="F3928" s="14"/>
      <c r="G3928" s="69"/>
      <c r="H3928" s="69"/>
      <c r="I3928" s="135"/>
      <c r="J3928" s="136"/>
      <c r="K3928" s="137"/>
      <c r="L3928" s="137"/>
    </row>
    <row r="3929" spans="2:12">
      <c r="B3929" s="133"/>
      <c r="C3929" s="14"/>
      <c r="D3929" s="14"/>
      <c r="E3929" s="134"/>
      <c r="F3929" s="14"/>
      <c r="G3929" s="69"/>
      <c r="H3929" s="69"/>
      <c r="I3929" s="135"/>
      <c r="J3929" s="136"/>
      <c r="K3929" s="137"/>
      <c r="L3929" s="137"/>
    </row>
    <row r="3930" spans="2:12">
      <c r="B3930" s="133"/>
      <c r="C3930" s="14"/>
      <c r="D3930" s="14"/>
      <c r="E3930" s="134"/>
      <c r="F3930" s="14"/>
      <c r="G3930" s="69"/>
      <c r="H3930" s="69"/>
      <c r="I3930" s="135"/>
      <c r="J3930" s="136"/>
      <c r="K3930" s="137"/>
      <c r="L3930" s="137"/>
    </row>
    <row r="3931" spans="2:12">
      <c r="B3931" s="133"/>
      <c r="C3931" s="14"/>
      <c r="D3931" s="14"/>
      <c r="E3931" s="134"/>
      <c r="F3931" s="14"/>
      <c r="G3931" s="69"/>
      <c r="H3931" s="69"/>
      <c r="I3931" s="135"/>
      <c r="J3931" s="136"/>
      <c r="K3931" s="137"/>
      <c r="L3931" s="137"/>
    </row>
    <row r="3932" spans="2:12">
      <c r="B3932" s="133"/>
      <c r="C3932" s="14"/>
      <c r="D3932" s="14"/>
      <c r="E3932" s="134"/>
      <c r="F3932" s="14"/>
      <c r="G3932" s="69"/>
      <c r="H3932" s="69"/>
      <c r="I3932" s="135"/>
      <c r="J3932" s="136"/>
      <c r="K3932" s="137"/>
      <c r="L3932" s="137"/>
    </row>
    <row r="3933" spans="2:12">
      <c r="B3933" s="133"/>
      <c r="C3933" s="14"/>
      <c r="D3933" s="14"/>
      <c r="E3933" s="134"/>
      <c r="F3933" s="14"/>
      <c r="G3933" s="69"/>
      <c r="H3933" s="69"/>
      <c r="I3933" s="135"/>
      <c r="J3933" s="136"/>
      <c r="K3933" s="137"/>
      <c r="L3933" s="137"/>
    </row>
    <row r="3934" spans="2:12">
      <c r="B3934" s="133"/>
      <c r="C3934" s="14"/>
      <c r="D3934" s="14"/>
      <c r="E3934" s="134"/>
      <c r="F3934" s="14"/>
      <c r="G3934" s="69"/>
      <c r="H3934" s="69"/>
      <c r="I3934" s="135"/>
      <c r="J3934" s="136"/>
      <c r="K3934" s="137"/>
      <c r="L3934" s="137"/>
    </row>
    <row r="3935" spans="2:12">
      <c r="B3935" s="133"/>
      <c r="C3935" s="14"/>
      <c r="D3935" s="14"/>
      <c r="E3935" s="134"/>
      <c r="F3935" s="14"/>
      <c r="G3935" s="69"/>
      <c r="H3935" s="69"/>
      <c r="I3935" s="135"/>
      <c r="J3935" s="136"/>
      <c r="K3935" s="137"/>
      <c r="L3935" s="137"/>
    </row>
    <row r="3936" spans="2:12">
      <c r="B3936" s="133"/>
      <c r="C3936" s="14"/>
      <c r="D3936" s="14"/>
      <c r="E3936" s="134"/>
      <c r="F3936" s="14"/>
      <c r="G3936" s="69"/>
      <c r="H3936" s="69"/>
      <c r="I3936" s="135"/>
      <c r="J3936" s="136"/>
      <c r="K3936" s="137"/>
      <c r="L3936" s="137"/>
    </row>
    <row r="3937" spans="2:12">
      <c r="B3937" s="133"/>
      <c r="C3937" s="14"/>
      <c r="D3937" s="14"/>
      <c r="E3937" s="134"/>
      <c r="F3937" s="14"/>
      <c r="G3937" s="69"/>
      <c r="H3937" s="69"/>
      <c r="I3937" s="135"/>
      <c r="J3937" s="136"/>
      <c r="K3937" s="137"/>
      <c r="L3937" s="137"/>
    </row>
    <row r="3938" spans="2:12">
      <c r="B3938" s="133"/>
      <c r="C3938" s="14"/>
      <c r="D3938" s="14"/>
      <c r="E3938" s="134"/>
      <c r="F3938" s="14"/>
      <c r="G3938" s="69"/>
      <c r="H3938" s="69"/>
      <c r="I3938" s="135"/>
      <c r="J3938" s="136"/>
      <c r="K3938" s="137"/>
      <c r="L3938" s="137"/>
    </row>
    <row r="3939" spans="2:12">
      <c r="B3939" s="133"/>
      <c r="C3939" s="14"/>
      <c r="D3939" s="14"/>
      <c r="E3939" s="134"/>
      <c r="F3939" s="14"/>
      <c r="G3939" s="69"/>
      <c r="H3939" s="69"/>
      <c r="I3939" s="135"/>
      <c r="J3939" s="136"/>
      <c r="K3939" s="137"/>
      <c r="L3939" s="137"/>
    </row>
    <row r="3940" spans="2:12">
      <c r="B3940" s="133"/>
      <c r="C3940" s="14"/>
      <c r="D3940" s="14"/>
      <c r="E3940" s="134"/>
      <c r="F3940" s="14"/>
      <c r="G3940" s="69"/>
      <c r="H3940" s="69"/>
      <c r="I3940" s="135"/>
      <c r="J3940" s="136"/>
      <c r="K3940" s="137"/>
      <c r="L3940" s="137"/>
    </row>
    <row r="3941" spans="2:12">
      <c r="B3941" s="133"/>
      <c r="C3941" s="14"/>
      <c r="D3941" s="14"/>
      <c r="E3941" s="134"/>
      <c r="F3941" s="14"/>
      <c r="G3941" s="69"/>
      <c r="H3941" s="69"/>
      <c r="I3941" s="135"/>
      <c r="J3941" s="136"/>
      <c r="K3941" s="137"/>
      <c r="L3941" s="137"/>
    </row>
    <row r="3942" spans="2:12">
      <c r="B3942" s="133"/>
      <c r="C3942" s="14"/>
      <c r="D3942" s="14"/>
      <c r="E3942" s="134"/>
      <c r="F3942" s="14"/>
      <c r="G3942" s="69"/>
      <c r="H3942" s="69"/>
      <c r="I3942" s="135"/>
      <c r="J3942" s="136"/>
      <c r="K3942" s="137"/>
      <c r="L3942" s="137"/>
    </row>
    <row r="3943" spans="2:12">
      <c r="B3943" s="133"/>
      <c r="C3943" s="14"/>
      <c r="D3943" s="14"/>
      <c r="E3943" s="134"/>
      <c r="F3943" s="14"/>
      <c r="G3943" s="69"/>
      <c r="H3943" s="69"/>
      <c r="I3943" s="135"/>
      <c r="J3943" s="136"/>
      <c r="K3943" s="137"/>
      <c r="L3943" s="137"/>
    </row>
    <row r="3944" spans="2:12">
      <c r="B3944" s="133"/>
      <c r="C3944" s="14"/>
      <c r="D3944" s="14"/>
      <c r="E3944" s="134"/>
      <c r="F3944" s="14"/>
      <c r="G3944" s="69"/>
      <c r="H3944" s="69"/>
      <c r="I3944" s="135"/>
      <c r="J3944" s="136"/>
      <c r="K3944" s="137"/>
      <c r="L3944" s="137"/>
    </row>
    <row r="3945" spans="2:12">
      <c r="B3945" s="133"/>
      <c r="C3945" s="14"/>
      <c r="D3945" s="14"/>
      <c r="E3945" s="134"/>
      <c r="F3945" s="14"/>
      <c r="G3945" s="69"/>
      <c r="H3945" s="69"/>
      <c r="I3945" s="135"/>
      <c r="J3945" s="136"/>
      <c r="K3945" s="137"/>
      <c r="L3945" s="137"/>
    </row>
    <row r="3946" spans="2:12">
      <c r="B3946" s="133"/>
      <c r="C3946" s="14"/>
      <c r="D3946" s="14"/>
      <c r="E3946" s="134"/>
      <c r="F3946" s="14"/>
      <c r="G3946" s="69"/>
      <c r="H3946" s="69"/>
      <c r="I3946" s="135"/>
      <c r="J3946" s="136"/>
      <c r="K3946" s="137"/>
      <c r="L3946" s="137"/>
    </row>
    <row r="3947" spans="2:12">
      <c r="B3947" s="133"/>
      <c r="C3947" s="14"/>
      <c r="D3947" s="14"/>
      <c r="E3947" s="134"/>
      <c r="F3947" s="14"/>
      <c r="G3947" s="69"/>
      <c r="H3947" s="69"/>
      <c r="I3947" s="135"/>
      <c r="J3947" s="136"/>
      <c r="K3947" s="137"/>
      <c r="L3947" s="137"/>
    </row>
    <row r="3948" spans="2:12">
      <c r="B3948" s="133"/>
      <c r="C3948" s="14"/>
      <c r="D3948" s="14"/>
      <c r="E3948" s="134"/>
      <c r="F3948" s="14"/>
      <c r="G3948" s="69"/>
      <c r="H3948" s="69"/>
      <c r="I3948" s="135"/>
      <c r="J3948" s="136"/>
      <c r="K3948" s="137"/>
      <c r="L3948" s="137"/>
    </row>
    <row r="3949" spans="2:12">
      <c r="B3949" s="133"/>
      <c r="C3949" s="14"/>
      <c r="D3949" s="14"/>
      <c r="E3949" s="134"/>
      <c r="F3949" s="14"/>
      <c r="G3949" s="69"/>
      <c r="H3949" s="69"/>
      <c r="I3949" s="135"/>
      <c r="J3949" s="136"/>
      <c r="K3949" s="137"/>
      <c r="L3949" s="137"/>
    </row>
    <row r="3950" spans="2:12">
      <c r="B3950" s="133"/>
      <c r="C3950" s="14"/>
      <c r="D3950" s="14"/>
      <c r="E3950" s="134"/>
      <c r="F3950" s="14"/>
      <c r="G3950" s="69"/>
      <c r="H3950" s="69"/>
      <c r="I3950" s="135"/>
      <c r="J3950" s="136"/>
      <c r="K3950" s="137"/>
      <c r="L3950" s="137"/>
    </row>
    <row r="3951" spans="2:12">
      <c r="B3951" s="133"/>
      <c r="C3951" s="14"/>
      <c r="D3951" s="14"/>
      <c r="E3951" s="134"/>
      <c r="F3951" s="14"/>
      <c r="G3951" s="69"/>
      <c r="H3951" s="69"/>
      <c r="I3951" s="135"/>
      <c r="J3951" s="136"/>
      <c r="K3951" s="137"/>
      <c r="L3951" s="137"/>
    </row>
    <row r="3952" spans="2:12">
      <c r="B3952" s="133"/>
      <c r="C3952" s="14"/>
      <c r="D3952" s="14"/>
      <c r="E3952" s="134"/>
      <c r="F3952" s="14"/>
      <c r="G3952" s="69"/>
      <c r="H3952" s="69"/>
      <c r="I3952" s="135"/>
      <c r="J3952" s="136"/>
      <c r="K3952" s="137"/>
      <c r="L3952" s="137"/>
    </row>
    <row r="3953" spans="2:12">
      <c r="B3953" s="133"/>
      <c r="C3953" s="14"/>
      <c r="D3953" s="14"/>
      <c r="E3953" s="134"/>
      <c r="F3953" s="14"/>
      <c r="G3953" s="69"/>
      <c r="H3953" s="69"/>
      <c r="I3953" s="135"/>
      <c r="J3953" s="136"/>
      <c r="K3953" s="137"/>
      <c r="L3953" s="137"/>
    </row>
    <row r="3954" spans="2:12">
      <c r="B3954" s="133"/>
      <c r="C3954" s="14"/>
      <c r="D3954" s="14"/>
      <c r="E3954" s="134"/>
      <c r="F3954" s="14"/>
      <c r="G3954" s="69"/>
      <c r="H3954" s="69"/>
      <c r="I3954" s="135"/>
      <c r="J3954" s="136"/>
      <c r="K3954" s="137"/>
      <c r="L3954" s="137"/>
    </row>
    <row r="3955" spans="2:12">
      <c r="B3955" s="133"/>
      <c r="C3955" s="14"/>
      <c r="D3955" s="14"/>
      <c r="E3955" s="134"/>
      <c r="F3955" s="14"/>
      <c r="G3955" s="69"/>
      <c r="H3955" s="69"/>
      <c r="I3955" s="135"/>
      <c r="J3955" s="136"/>
      <c r="K3955" s="137"/>
      <c r="L3955" s="137"/>
    </row>
    <row r="3956" spans="2:12">
      <c r="B3956" s="133"/>
      <c r="C3956" s="14"/>
      <c r="D3956" s="14"/>
      <c r="E3956" s="134"/>
      <c r="F3956" s="14"/>
      <c r="G3956" s="69"/>
      <c r="H3956" s="69"/>
      <c r="I3956" s="135"/>
      <c r="J3956" s="136"/>
      <c r="K3956" s="137"/>
      <c r="L3956" s="137"/>
    </row>
    <row r="3957" spans="2:12">
      <c r="B3957" s="133"/>
      <c r="C3957" s="14"/>
      <c r="D3957" s="14"/>
      <c r="E3957" s="134"/>
      <c r="F3957" s="14"/>
      <c r="G3957" s="69"/>
      <c r="H3957" s="69"/>
      <c r="I3957" s="135"/>
      <c r="J3957" s="136"/>
      <c r="K3957" s="137"/>
      <c r="L3957" s="137"/>
    </row>
    <row r="3958" spans="2:12">
      <c r="B3958" s="133"/>
      <c r="C3958" s="14"/>
      <c r="D3958" s="14"/>
      <c r="E3958" s="134"/>
      <c r="F3958" s="14"/>
      <c r="G3958" s="69"/>
      <c r="H3958" s="69"/>
      <c r="I3958" s="135"/>
      <c r="J3958" s="136"/>
      <c r="K3958" s="137"/>
      <c r="L3958" s="137"/>
    </row>
    <row r="3959" spans="2:12">
      <c r="B3959" s="133"/>
      <c r="C3959" s="14"/>
      <c r="D3959" s="14"/>
      <c r="E3959" s="134"/>
      <c r="F3959" s="14"/>
      <c r="G3959" s="69"/>
      <c r="H3959" s="69"/>
      <c r="I3959" s="135"/>
      <c r="J3959" s="136"/>
      <c r="K3959" s="137"/>
      <c r="L3959" s="137"/>
    </row>
    <row r="3960" spans="2:12">
      <c r="B3960" s="133"/>
      <c r="C3960" s="14"/>
      <c r="D3960" s="14"/>
      <c r="E3960" s="134"/>
      <c r="F3960" s="14"/>
      <c r="G3960" s="69"/>
      <c r="H3960" s="69"/>
      <c r="I3960" s="135"/>
      <c r="J3960" s="136"/>
      <c r="K3960" s="137"/>
      <c r="L3960" s="137"/>
    </row>
    <row r="3961" spans="2:12">
      <c r="B3961" s="133"/>
      <c r="C3961" s="14"/>
      <c r="D3961" s="14"/>
      <c r="E3961" s="134"/>
      <c r="F3961" s="14"/>
      <c r="G3961" s="69"/>
      <c r="H3961" s="69"/>
      <c r="I3961" s="135"/>
      <c r="J3961" s="136"/>
      <c r="K3961" s="137"/>
      <c r="L3961" s="137"/>
    </row>
    <row r="3962" spans="2:12">
      <c r="B3962" s="133"/>
      <c r="C3962" s="14"/>
      <c r="D3962" s="14"/>
      <c r="E3962" s="134"/>
      <c r="F3962" s="14"/>
      <c r="G3962" s="69"/>
      <c r="H3962" s="69"/>
      <c r="I3962" s="135"/>
      <c r="J3962" s="136"/>
      <c r="K3962" s="137"/>
      <c r="L3962" s="137"/>
    </row>
    <row r="3963" spans="2:12">
      <c r="B3963" s="133"/>
      <c r="C3963" s="14"/>
      <c r="D3963" s="14"/>
      <c r="E3963" s="134"/>
      <c r="F3963" s="14"/>
      <c r="G3963" s="69"/>
      <c r="H3963" s="69"/>
      <c r="I3963" s="135"/>
      <c r="J3963" s="136"/>
      <c r="K3963" s="137"/>
      <c r="L3963" s="137"/>
    </row>
    <row r="3964" spans="2:12">
      <c r="B3964" s="133"/>
      <c r="C3964" s="14"/>
      <c r="D3964" s="14"/>
      <c r="E3964" s="134"/>
      <c r="F3964" s="14"/>
      <c r="G3964" s="69"/>
      <c r="H3964" s="69"/>
      <c r="I3964" s="135"/>
      <c r="J3964" s="136"/>
      <c r="K3964" s="137"/>
      <c r="L3964" s="137"/>
    </row>
    <row r="3965" spans="2:12">
      <c r="B3965" s="133"/>
      <c r="C3965" s="14"/>
      <c r="D3965" s="14"/>
      <c r="E3965" s="134"/>
      <c r="F3965" s="14"/>
      <c r="G3965" s="69"/>
      <c r="H3965" s="69"/>
      <c r="I3965" s="135"/>
      <c r="J3965" s="136"/>
      <c r="K3965" s="137"/>
      <c r="L3965" s="137"/>
    </row>
    <row r="3966" spans="2:12">
      <c r="B3966" s="133"/>
      <c r="C3966" s="14"/>
      <c r="D3966" s="14"/>
      <c r="E3966" s="134"/>
      <c r="F3966" s="14"/>
      <c r="G3966" s="69"/>
      <c r="H3966" s="69"/>
      <c r="I3966" s="135"/>
      <c r="J3966" s="136"/>
      <c r="K3966" s="137"/>
      <c r="L3966" s="137"/>
    </row>
    <row r="3967" spans="2:12">
      <c r="B3967" s="133"/>
      <c r="C3967" s="14"/>
      <c r="D3967" s="14"/>
      <c r="E3967" s="134"/>
      <c r="F3967" s="14"/>
      <c r="G3967" s="69"/>
      <c r="H3967" s="69"/>
      <c r="I3967" s="135"/>
      <c r="J3967" s="136"/>
      <c r="K3967" s="137"/>
      <c r="L3967" s="137"/>
    </row>
    <row r="3968" spans="2:12">
      <c r="B3968" s="133"/>
      <c r="C3968" s="14"/>
      <c r="D3968" s="14"/>
      <c r="E3968" s="134"/>
      <c r="F3968" s="14"/>
      <c r="G3968" s="69"/>
      <c r="H3968" s="69"/>
      <c r="I3968" s="135"/>
      <c r="J3968" s="136"/>
      <c r="K3968" s="137"/>
      <c r="L3968" s="137"/>
    </row>
    <row r="3969" spans="2:12">
      <c r="B3969" s="133"/>
      <c r="C3969" s="14"/>
      <c r="D3969" s="14"/>
      <c r="E3969" s="134"/>
      <c r="F3969" s="14"/>
      <c r="G3969" s="69"/>
      <c r="H3969" s="69"/>
      <c r="I3969" s="135"/>
      <c r="J3969" s="136"/>
      <c r="K3969" s="137"/>
      <c r="L3969" s="137"/>
    </row>
    <row r="3970" spans="2:12">
      <c r="B3970" s="133"/>
      <c r="C3970" s="14"/>
      <c r="D3970" s="14"/>
      <c r="E3970" s="134"/>
      <c r="F3970" s="14"/>
      <c r="G3970" s="69"/>
      <c r="H3970" s="69"/>
      <c r="I3970" s="135"/>
      <c r="J3970" s="136"/>
      <c r="K3970" s="137"/>
      <c r="L3970" s="137"/>
    </row>
    <row r="3971" spans="2:12">
      <c r="B3971" s="133"/>
      <c r="C3971" s="14"/>
      <c r="D3971" s="14"/>
      <c r="E3971" s="134"/>
      <c r="F3971" s="14"/>
      <c r="G3971" s="69"/>
      <c r="H3971" s="69"/>
      <c r="I3971" s="135"/>
      <c r="J3971" s="136"/>
      <c r="K3971" s="137"/>
      <c r="L3971" s="137"/>
    </row>
    <row r="3972" spans="2:12">
      <c r="B3972" s="133"/>
      <c r="C3972" s="14"/>
      <c r="D3972" s="14"/>
      <c r="E3972" s="134"/>
      <c r="F3972" s="14"/>
      <c r="G3972" s="69"/>
      <c r="H3972" s="69"/>
      <c r="I3972" s="135"/>
      <c r="J3972" s="136"/>
      <c r="K3972" s="137"/>
      <c r="L3972" s="137"/>
    </row>
    <row r="3973" spans="2:12">
      <c r="B3973" s="133"/>
      <c r="C3973" s="14"/>
      <c r="D3973" s="14"/>
      <c r="E3973" s="134"/>
      <c r="F3973" s="14"/>
      <c r="G3973" s="69"/>
      <c r="H3973" s="69"/>
      <c r="I3973" s="135"/>
      <c r="J3973" s="136"/>
      <c r="K3973" s="137"/>
      <c r="L3973" s="137"/>
    </row>
    <row r="3974" spans="2:12">
      <c r="B3974" s="133"/>
      <c r="C3974" s="14"/>
      <c r="D3974" s="14"/>
      <c r="E3974" s="134"/>
      <c r="F3974" s="14"/>
      <c r="G3974" s="69"/>
      <c r="H3974" s="69"/>
      <c r="I3974" s="135"/>
      <c r="J3974" s="136"/>
      <c r="K3974" s="137"/>
      <c r="L3974" s="137"/>
    </row>
    <row r="3975" spans="2:12">
      <c r="B3975" s="133"/>
      <c r="C3975" s="14"/>
      <c r="D3975" s="14"/>
      <c r="E3975" s="134"/>
      <c r="F3975" s="14"/>
      <c r="G3975" s="69"/>
      <c r="H3975" s="69"/>
      <c r="I3975" s="135"/>
      <c r="J3975" s="136"/>
      <c r="K3975" s="137"/>
      <c r="L3975" s="137"/>
    </row>
    <row r="3976" spans="2:12">
      <c r="B3976" s="133"/>
      <c r="C3976" s="14"/>
      <c r="D3976" s="14"/>
      <c r="E3976" s="134"/>
      <c r="F3976" s="14"/>
      <c r="G3976" s="69"/>
      <c r="H3976" s="69"/>
      <c r="I3976" s="135"/>
      <c r="J3976" s="136"/>
      <c r="K3976" s="137"/>
      <c r="L3976" s="137"/>
    </row>
    <row r="3977" spans="2:12">
      <c r="B3977" s="133"/>
      <c r="C3977" s="14"/>
      <c r="D3977" s="14"/>
      <c r="E3977" s="134"/>
      <c r="F3977" s="14"/>
      <c r="G3977" s="69"/>
      <c r="H3977" s="69"/>
      <c r="I3977" s="135"/>
      <c r="J3977" s="136"/>
      <c r="K3977" s="137"/>
      <c r="L3977" s="137"/>
    </row>
    <row r="3978" spans="2:12">
      <c r="B3978" s="133"/>
      <c r="C3978" s="14"/>
      <c r="D3978" s="14"/>
      <c r="E3978" s="134"/>
      <c r="F3978" s="14"/>
      <c r="G3978" s="69"/>
      <c r="H3978" s="69"/>
      <c r="I3978" s="135"/>
      <c r="J3978" s="136"/>
      <c r="K3978" s="137"/>
      <c r="L3978" s="137"/>
    </row>
    <row r="3979" spans="2:12">
      <c r="B3979" s="133"/>
      <c r="C3979" s="14"/>
      <c r="D3979" s="14"/>
      <c r="E3979" s="134"/>
      <c r="F3979" s="14"/>
      <c r="G3979" s="69"/>
      <c r="H3979" s="69"/>
      <c r="I3979" s="135"/>
      <c r="J3979" s="136"/>
      <c r="K3979" s="137"/>
      <c r="L3979" s="137"/>
    </row>
    <row r="3980" spans="2:12">
      <c r="B3980" s="133"/>
      <c r="C3980" s="14"/>
      <c r="D3980" s="14"/>
      <c r="E3980" s="134"/>
      <c r="F3980" s="14"/>
      <c r="G3980" s="69"/>
      <c r="H3980" s="69"/>
      <c r="I3980" s="135"/>
      <c r="J3980" s="136"/>
      <c r="K3980" s="137"/>
      <c r="L3980" s="137"/>
    </row>
    <row r="3981" spans="2:12">
      <c r="B3981" s="133"/>
      <c r="C3981" s="14"/>
      <c r="D3981" s="14"/>
      <c r="E3981" s="134"/>
      <c r="F3981" s="14"/>
      <c r="G3981" s="69"/>
      <c r="H3981" s="69"/>
      <c r="I3981" s="135"/>
      <c r="J3981" s="136"/>
      <c r="K3981" s="137"/>
      <c r="L3981" s="137"/>
    </row>
    <row r="3982" spans="2:12">
      <c r="B3982" s="133"/>
      <c r="C3982" s="14"/>
      <c r="D3982" s="14"/>
      <c r="E3982" s="134"/>
      <c r="F3982" s="14"/>
      <c r="G3982" s="69"/>
      <c r="H3982" s="69"/>
      <c r="I3982" s="135"/>
      <c r="J3982" s="136"/>
      <c r="K3982" s="137"/>
      <c r="L3982" s="137"/>
    </row>
    <row r="3983" spans="2:12">
      <c r="B3983" s="133"/>
      <c r="C3983" s="14"/>
      <c r="D3983" s="14"/>
      <c r="E3983" s="134"/>
      <c r="F3983" s="14"/>
      <c r="G3983" s="69"/>
      <c r="H3983" s="69"/>
      <c r="I3983" s="135"/>
      <c r="J3983" s="136"/>
      <c r="K3983" s="137"/>
      <c r="L3983" s="137"/>
    </row>
    <row r="3984" spans="2:12">
      <c r="B3984" s="133"/>
      <c r="C3984" s="14"/>
      <c r="D3984" s="14"/>
      <c r="E3984" s="134"/>
      <c r="F3984" s="14"/>
      <c r="G3984" s="69"/>
      <c r="H3984" s="69"/>
      <c r="I3984" s="135"/>
      <c r="J3984" s="136"/>
      <c r="K3984" s="137"/>
      <c r="L3984" s="137"/>
    </row>
    <row r="3985" spans="2:12">
      <c r="B3985" s="133"/>
      <c r="C3985" s="14"/>
      <c r="D3985" s="14"/>
      <c r="E3985" s="134"/>
      <c r="F3985" s="14"/>
      <c r="G3985" s="69"/>
      <c r="H3985" s="69"/>
      <c r="I3985" s="135"/>
      <c r="J3985" s="136"/>
      <c r="K3985" s="137"/>
      <c r="L3985" s="137"/>
    </row>
    <row r="3986" spans="2:12">
      <c r="B3986" s="133"/>
      <c r="C3986" s="14"/>
      <c r="D3986" s="14"/>
      <c r="E3986" s="134"/>
      <c r="F3986" s="14"/>
      <c r="G3986" s="69"/>
      <c r="H3986" s="69"/>
      <c r="I3986" s="135"/>
      <c r="J3986" s="136"/>
      <c r="K3986" s="137"/>
      <c r="L3986" s="137"/>
    </row>
    <row r="3987" spans="2:12">
      <c r="B3987" s="133"/>
      <c r="C3987" s="14"/>
      <c r="D3987" s="14"/>
      <c r="E3987" s="134"/>
      <c r="F3987" s="14"/>
      <c r="G3987" s="69"/>
      <c r="H3987" s="69"/>
      <c r="I3987" s="135"/>
      <c r="J3987" s="136"/>
      <c r="K3987" s="137"/>
      <c r="L3987" s="137"/>
    </row>
    <row r="3988" spans="2:12">
      <c r="B3988" s="133"/>
      <c r="C3988" s="14"/>
      <c r="D3988" s="14"/>
      <c r="E3988" s="134"/>
      <c r="F3988" s="14"/>
      <c r="G3988" s="69"/>
      <c r="H3988" s="69"/>
      <c r="I3988" s="135"/>
      <c r="J3988" s="136"/>
      <c r="K3988" s="137"/>
      <c r="L3988" s="137"/>
    </row>
    <row r="3989" spans="2:12">
      <c r="B3989" s="133"/>
      <c r="C3989" s="14"/>
      <c r="D3989" s="14"/>
      <c r="E3989" s="134"/>
      <c r="F3989" s="14"/>
      <c r="G3989" s="69"/>
      <c r="H3989" s="69"/>
      <c r="I3989" s="135"/>
      <c r="J3989" s="136"/>
      <c r="K3989" s="137"/>
      <c r="L3989" s="137"/>
    </row>
    <row r="3990" spans="2:12">
      <c r="B3990" s="133"/>
      <c r="C3990" s="14"/>
      <c r="D3990" s="14"/>
      <c r="E3990" s="134"/>
      <c r="F3990" s="14"/>
      <c r="G3990" s="69"/>
      <c r="H3990" s="69"/>
      <c r="I3990" s="135"/>
      <c r="J3990" s="136"/>
      <c r="K3990" s="137"/>
      <c r="L3990" s="137"/>
    </row>
    <row r="3991" spans="2:12">
      <c r="B3991" s="133"/>
      <c r="C3991" s="14"/>
      <c r="D3991" s="14"/>
      <c r="E3991" s="134"/>
      <c r="F3991" s="14"/>
      <c r="G3991" s="69"/>
      <c r="H3991" s="69"/>
      <c r="I3991" s="135"/>
      <c r="J3991" s="136"/>
      <c r="K3991" s="137"/>
      <c r="L3991" s="137"/>
    </row>
  </sheetData>
  <sheetProtection formatCells="0" formatColumns="0" formatRows="0" insertColumns="0" insertRows="0" insertHyperlinks="0" deleteColumns="0" deleteRows="0" sort="0" autoFilter="0" pivotTables="0"/>
  <autoFilter ref="B1:N1673" xr:uid="{00000000-0009-0000-0000-000001000000}"/>
  <phoneticPr fontId="10"/>
  <conditionalFormatting sqref="G7:H262">
    <cfRule type="expression" dxfId="246" priority="543" stopIfTrue="1">
      <formula>MOD(RAW(),2)=1</formula>
    </cfRule>
  </conditionalFormatting>
  <conditionalFormatting sqref="G263:H2566 G2568:H3991 H2567">
    <cfRule type="expression" dxfId="245" priority="10" stopIfTrue="1">
      <formula>MOD(RAW(),2)=1</formula>
    </cfRule>
  </conditionalFormatting>
  <conditionalFormatting sqref="G2567">
    <cfRule type="expression" dxfId="244" priority="1" stopIfTrue="1">
      <formula>MOD(RAW(),2)=1</formula>
    </cfRule>
  </conditionalFormatting>
  <pageMargins left="0.78700000000000003" right="0.78700000000000003" top="0.98399999999999999" bottom="0.98399999999999999" header="0.51200000000000001" footer="0.51200000000000001"/>
  <pageSetup paperSize="9" scale="14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M28"/>
  <sheetViews>
    <sheetView zoomScale="85" zoomScaleNormal="85" workbookViewId="0">
      <selection activeCell="F8" sqref="F8"/>
    </sheetView>
  </sheetViews>
  <sheetFormatPr defaultColWidth="9" defaultRowHeight="12.75"/>
  <cols>
    <col min="1" max="1" width="3.75" style="45" customWidth="1"/>
    <col min="2" max="2" width="38" style="45" bestFit="1" customWidth="1"/>
    <col min="3" max="3" width="18.25" style="45" bestFit="1" customWidth="1"/>
    <col min="4" max="4" width="20.25" style="45" bestFit="1" customWidth="1"/>
    <col min="5" max="5" width="23" style="38" customWidth="1"/>
    <col min="6" max="6" width="7.625" style="48" bestFit="1" customWidth="1"/>
    <col min="7" max="7" width="8.25" style="48" customWidth="1"/>
    <col min="8" max="8" width="6.375" style="45" bestFit="1" customWidth="1"/>
    <col min="9" max="9" width="20.5" style="45" customWidth="1"/>
    <col min="10" max="10" width="21.875" style="45" bestFit="1" customWidth="1"/>
    <col min="11" max="11" width="10.5" style="45" customWidth="1"/>
    <col min="12" max="12" width="7" style="45" customWidth="1"/>
    <col min="13" max="13" width="3.75" style="45" bestFit="1" customWidth="1"/>
    <col min="14" max="16384" width="9" style="45"/>
  </cols>
  <sheetData>
    <row r="2" spans="1:13">
      <c r="D2" s="46"/>
      <c r="E2" s="47"/>
    </row>
    <row r="3" spans="1:13">
      <c r="D3" s="46"/>
      <c r="E3" s="47"/>
      <c r="F3" s="49"/>
    </row>
    <row r="4" spans="1:13">
      <c r="D4" s="46"/>
      <c r="E4" s="47"/>
    </row>
    <row r="5" spans="1:13" ht="13.5" thickBot="1">
      <c r="D5" s="46"/>
      <c r="E5" s="47"/>
    </row>
    <row r="6" spans="1:13" ht="14.25">
      <c r="B6" s="45" t="s">
        <v>285</v>
      </c>
      <c r="C6" s="50" t="s">
        <v>267</v>
      </c>
      <c r="D6" s="51" t="s">
        <v>336</v>
      </c>
      <c r="F6" s="49" t="s">
        <v>288</v>
      </c>
    </row>
    <row r="7" spans="1:13">
      <c r="C7" s="52" t="s">
        <v>268</v>
      </c>
      <c r="D7" s="53" t="s">
        <v>337</v>
      </c>
      <c r="F7" s="49" t="s">
        <v>296</v>
      </c>
    </row>
    <row r="8" spans="1:13" ht="14.25">
      <c r="C8" s="52" t="s">
        <v>269</v>
      </c>
      <c r="D8" s="53" t="s">
        <v>339</v>
      </c>
      <c r="F8" s="49" t="s">
        <v>291</v>
      </c>
    </row>
    <row r="9" spans="1:13">
      <c r="C9" s="52" t="s">
        <v>270</v>
      </c>
      <c r="D9" s="53" t="s">
        <v>122</v>
      </c>
      <c r="E9" s="47"/>
      <c r="F9" s="49" t="s">
        <v>293</v>
      </c>
    </row>
    <row r="10" spans="1:13">
      <c r="C10" s="52" t="s">
        <v>271</v>
      </c>
      <c r="D10" s="53" t="s">
        <v>338</v>
      </c>
      <c r="E10" s="45"/>
      <c r="F10" s="49" t="s">
        <v>292</v>
      </c>
    </row>
    <row r="11" spans="1:13">
      <c r="C11" s="52" t="s">
        <v>272</v>
      </c>
      <c r="D11" s="53" t="s">
        <v>340</v>
      </c>
      <c r="E11" s="45"/>
    </row>
    <row r="12" spans="1:13">
      <c r="C12" s="52" t="s">
        <v>273</v>
      </c>
      <c r="D12" s="53" t="s">
        <v>341</v>
      </c>
      <c r="E12" s="45"/>
      <c r="H12" s="48"/>
      <c r="I12" s="48"/>
    </row>
    <row r="13" spans="1:13" ht="13.5" thickBot="1">
      <c r="C13" s="54" t="s">
        <v>274</v>
      </c>
      <c r="D13" s="55" t="s">
        <v>124</v>
      </c>
      <c r="H13" s="48"/>
      <c r="I13" s="48"/>
    </row>
    <row r="14" spans="1:13" ht="13.5" thickBot="1">
      <c r="H14" s="48"/>
      <c r="I14" s="48"/>
      <c r="K14" s="45" t="s">
        <v>283</v>
      </c>
      <c r="M14" s="56"/>
    </row>
    <row r="15" spans="1:13" ht="13.5" thickBot="1">
      <c r="A15" s="57"/>
      <c r="B15" s="58" t="s">
        <v>275</v>
      </c>
      <c r="C15" s="58" t="s">
        <v>276</v>
      </c>
      <c r="D15" s="58" t="s">
        <v>273</v>
      </c>
      <c r="E15" s="58" t="s">
        <v>277</v>
      </c>
      <c r="F15" s="59" t="s">
        <v>278</v>
      </c>
      <c r="G15" s="59" t="s">
        <v>290</v>
      </c>
      <c r="H15" s="59" t="s">
        <v>279</v>
      </c>
      <c r="I15" s="59" t="s">
        <v>280</v>
      </c>
      <c r="J15" s="59" t="s">
        <v>289</v>
      </c>
      <c r="K15" s="59" t="s">
        <v>286</v>
      </c>
      <c r="L15" s="59" t="s">
        <v>287</v>
      </c>
      <c r="M15" s="60"/>
    </row>
    <row r="16" spans="1:13">
      <c r="B16" s="45" t="s">
        <v>266</v>
      </c>
      <c r="C16" s="67" t="str">
        <f>VLOOKUP(B16,ROM_MAP!$C$1:$F$27535,4,FALSE)</f>
        <v>0x00000000</v>
      </c>
      <c r="D16" s="45" t="s">
        <v>121</v>
      </c>
      <c r="E16" s="45" t="s">
        <v>75</v>
      </c>
      <c r="F16" s="66" t="str">
        <f>"B"&amp;ROW(B23)</f>
        <v>B23</v>
      </c>
      <c r="G16" s="61">
        <v>2</v>
      </c>
      <c r="H16" s="48"/>
      <c r="I16" s="48">
        <v>10</v>
      </c>
      <c r="J16" s="48"/>
    </row>
    <row r="17" spans="1:13">
      <c r="B17" s="45" t="s">
        <v>319</v>
      </c>
      <c r="C17" s="67" t="str">
        <f>VLOOKUP(B17,ROM_MAP!$C$7:$F$27535,4,FALSE)</f>
        <v>0x00001400</v>
      </c>
      <c r="E17" s="45"/>
      <c r="K17" s="48"/>
      <c r="L17" s="48"/>
      <c r="M17" s="56"/>
    </row>
    <row r="18" spans="1:13" ht="15" thickBot="1">
      <c r="B18" s="62"/>
      <c r="E18" s="45"/>
      <c r="H18" s="48"/>
      <c r="I18" s="48"/>
      <c r="J18" s="48"/>
      <c r="K18" s="48"/>
      <c r="L18" s="48"/>
      <c r="M18" s="56"/>
    </row>
    <row r="19" spans="1:13" s="63" customFormat="1" ht="13.5" thickBot="1">
      <c r="B19" s="57" t="s">
        <v>297</v>
      </c>
      <c r="C19" s="58"/>
      <c r="D19" s="58"/>
      <c r="E19" s="58"/>
      <c r="F19" s="59"/>
      <c r="G19" s="59"/>
      <c r="H19" s="58"/>
      <c r="I19" s="58"/>
      <c r="J19" s="58"/>
      <c r="K19" s="58"/>
      <c r="L19" s="64"/>
    </row>
    <row r="22" spans="1:13">
      <c r="B22" s="45" t="s">
        <v>298</v>
      </c>
      <c r="D22" s="38"/>
      <c r="H22" s="48"/>
      <c r="I22" s="48"/>
    </row>
    <row r="23" spans="1:13">
      <c r="B23" s="45" t="s">
        <v>266</v>
      </c>
      <c r="C23" s="67" t="str">
        <f>VLOOKUP(B23,B16:C16,2,FALSE)</f>
        <v>0x00000000</v>
      </c>
      <c r="D23" s="65" t="s">
        <v>320</v>
      </c>
      <c r="E23" s="38" t="s">
        <v>123</v>
      </c>
      <c r="G23" s="48">
        <v>1</v>
      </c>
      <c r="H23" s="48">
        <v>1</v>
      </c>
      <c r="I23" s="48">
        <v>1</v>
      </c>
      <c r="J23" s="45">
        <v>1</v>
      </c>
    </row>
    <row r="24" spans="1:13">
      <c r="B24" s="45" t="s">
        <v>265</v>
      </c>
      <c r="C24" s="67" t="str">
        <f>"0x"&amp;DEC2HEX(HEX2DEC(REPLACE(C23,1,2,""))+512,8)</f>
        <v>0x00000200</v>
      </c>
      <c r="D24" s="38"/>
      <c r="H24" s="48"/>
      <c r="I24" s="48"/>
    </row>
    <row r="25" spans="1:13">
      <c r="D25" s="38"/>
      <c r="H25" s="48"/>
      <c r="I25" s="48"/>
    </row>
    <row r="26" spans="1:13">
      <c r="A26" s="70"/>
      <c r="B26" s="70"/>
      <c r="C26" s="70"/>
      <c r="D26" s="70"/>
    </row>
    <row r="27" spans="1:13">
      <c r="A27" s="70"/>
      <c r="B27" s="70"/>
      <c r="C27" s="70"/>
      <c r="D27" s="70"/>
    </row>
    <row r="28" spans="1:13">
      <c r="A28" s="70"/>
      <c r="B28" s="70"/>
      <c r="C28" s="70"/>
      <c r="D28" s="70"/>
    </row>
  </sheetData>
  <sheetProtection formatCells="0"/>
  <phoneticPr fontId="10"/>
  <conditionalFormatting sqref="G16:G20">
    <cfRule type="cellIs" dxfId="243" priority="373" stopIfTrue="1" operator="equal">
      <formula>1</formula>
    </cfRule>
    <cfRule type="cellIs" dxfId="242" priority="374" stopIfTrue="1" operator="equal">
      <formula>2</formula>
    </cfRule>
    <cfRule type="cellIs" dxfId="241" priority="375" stopIfTrue="1" operator="equal">
      <formula>3</formula>
    </cfRule>
  </conditionalFormatting>
  <conditionalFormatting sqref="G22:G25">
    <cfRule type="cellIs" dxfId="240" priority="376" stopIfTrue="1" operator="equal">
      <formula>1</formula>
    </cfRule>
    <cfRule type="cellIs" dxfId="239" priority="377" stopIfTrue="1" operator="equal">
      <formula>2</formula>
    </cfRule>
    <cfRule type="cellIs" dxfId="238" priority="378" stopIfTrue="1" operator="equal">
      <formula>3</formula>
    </cfRule>
  </conditionalFormatting>
  <pageMargins left="0.78700000000000003" right="0.78700000000000003" top="0.98399999999999999" bottom="0.98399999999999999" header="0.51200000000000001" footer="0.51200000000000001"/>
  <pageSetup paperSize="9" scale="44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Button 1">
              <controlPr defaultSize="0" print="0" autoFill="0" autoLine="0" autoPict="0" macro="[1]!ROM_HEAD_MAKE">
                <anchor moveWithCells="1" sizeWithCells="1">
                  <from>
                    <xdr:col>1</xdr:col>
                    <xdr:colOff>2438400</xdr:colOff>
                    <xdr:row>1</xdr:row>
                    <xdr:rowOff>0</xdr:rowOff>
                  </from>
                  <to>
                    <xdr:col>2</xdr:col>
                    <xdr:colOff>1371600</xdr:colOff>
                    <xdr:row>3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E529"/>
  <sheetViews>
    <sheetView tabSelected="1" topLeftCell="I3" zoomScale="85" zoomScaleNormal="85" workbookViewId="0">
      <selection activeCell="AQ6" sqref="AQ6"/>
    </sheetView>
  </sheetViews>
  <sheetFormatPr defaultColWidth="9" defaultRowHeight="11.25"/>
  <cols>
    <col min="1" max="1" width="2.375" style="108" customWidth="1"/>
    <col min="2" max="2" width="4.5" style="77" customWidth="1"/>
    <col min="3" max="19" width="2.625" style="77" customWidth="1"/>
    <col min="20" max="20" width="2.625" style="79" customWidth="1"/>
    <col min="21" max="21" width="2.625" style="81" customWidth="1"/>
    <col min="22" max="34" width="2.625" style="79" customWidth="1"/>
    <col min="35" max="46" width="9" style="79"/>
    <col min="47" max="50" width="9.5" style="79" bestFit="1" customWidth="1"/>
    <col min="51" max="16384" width="9" style="79"/>
  </cols>
  <sheetData>
    <row r="1" spans="1:56">
      <c r="A1" s="76" t="s">
        <v>349</v>
      </c>
      <c r="T1" s="78"/>
      <c r="U1" s="78"/>
      <c r="AP1" s="86"/>
    </row>
    <row r="2" spans="1:56">
      <c r="A2" s="80" t="s">
        <v>302</v>
      </c>
      <c r="AP2" s="87" t="str">
        <f>A1&amp;"Work領域"</f>
        <v>ikuzeWork領域</v>
      </c>
      <c r="BB2" s="82" t="s">
        <v>303</v>
      </c>
      <c r="BC2" s="83"/>
    </row>
    <row r="3" spans="1:56" s="83" customFormat="1">
      <c r="A3" s="82" t="s">
        <v>350</v>
      </c>
      <c r="AP3" s="88" t="str">
        <f>A3</f>
        <v>1.Center-weighted average 1 (Storage to ROM)</v>
      </c>
      <c r="BB3" s="85" t="s">
        <v>304</v>
      </c>
      <c r="BC3" s="85" t="s">
        <v>305</v>
      </c>
    </row>
    <row r="4" spans="1:56" s="83" customFormat="1">
      <c r="A4" s="82"/>
      <c r="C4" s="84">
        <v>0</v>
      </c>
      <c r="D4" s="84">
        <v>1</v>
      </c>
      <c r="E4" s="84">
        <v>2</v>
      </c>
      <c r="F4" s="84">
        <v>3</v>
      </c>
      <c r="G4" s="84">
        <v>4</v>
      </c>
      <c r="H4" s="84">
        <v>5</v>
      </c>
      <c r="I4" s="84">
        <v>6</v>
      </c>
      <c r="J4" s="84">
        <v>7</v>
      </c>
      <c r="K4" s="84">
        <v>8</v>
      </c>
      <c r="L4" s="84">
        <v>9</v>
      </c>
      <c r="M4" s="84">
        <v>10</v>
      </c>
      <c r="N4" s="84">
        <v>11</v>
      </c>
      <c r="O4" s="84">
        <v>12</v>
      </c>
      <c r="P4" s="84">
        <v>13</v>
      </c>
      <c r="Q4" s="84">
        <v>14</v>
      </c>
      <c r="R4" s="84">
        <v>15</v>
      </c>
      <c r="S4" s="84">
        <v>16</v>
      </c>
      <c r="T4" s="84">
        <v>17</v>
      </c>
      <c r="U4" s="84">
        <v>18</v>
      </c>
      <c r="V4" s="84">
        <v>19</v>
      </c>
      <c r="W4" s="84">
        <v>20</v>
      </c>
      <c r="X4" s="84">
        <v>21</v>
      </c>
      <c r="Y4" s="84">
        <v>22</v>
      </c>
      <c r="Z4" s="84">
        <v>23</v>
      </c>
      <c r="AA4" s="84">
        <v>24</v>
      </c>
      <c r="AB4" s="84">
        <v>25</v>
      </c>
      <c r="AC4" s="84">
        <v>26</v>
      </c>
      <c r="AD4" s="84">
        <v>27</v>
      </c>
      <c r="AE4" s="84">
        <v>28</v>
      </c>
      <c r="AF4" s="84">
        <v>29</v>
      </c>
      <c r="AG4" s="84">
        <v>30</v>
      </c>
      <c r="AH4" s="84">
        <v>31</v>
      </c>
      <c r="AP4" s="90"/>
      <c r="AQ4" s="91" t="str">
        <f>C4&amp;D4&amp;E4&amp;F4</f>
        <v>0123</v>
      </c>
      <c r="AR4" s="91" t="str">
        <f>G4&amp;H4&amp;I4&amp;J4</f>
        <v>4567</v>
      </c>
      <c r="AS4" s="91" t="str">
        <f>K4&amp;L4&amp;M4&amp;N4</f>
        <v>891011</v>
      </c>
      <c r="AT4" s="91" t="str">
        <f>O4&amp;P4&amp;Q4&amp;R4</f>
        <v>12131415</v>
      </c>
      <c r="AU4" s="83">
        <v>16171819</v>
      </c>
      <c r="AV4" s="83">
        <v>20212223</v>
      </c>
      <c r="AW4" s="83">
        <v>24252627</v>
      </c>
      <c r="AX4" s="83">
        <v>28293031</v>
      </c>
      <c r="BB4" s="121">
        <v>15</v>
      </c>
      <c r="BC4" s="121">
        <v>15</v>
      </c>
    </row>
    <row r="5" spans="1:56" s="83" customFormat="1" ht="14.1" customHeight="1">
      <c r="A5" s="82"/>
      <c r="B5" s="84">
        <v>0</v>
      </c>
      <c r="C5" s="85">
        <v>0</v>
      </c>
      <c r="D5" s="85">
        <v>0</v>
      </c>
      <c r="E5" s="85">
        <v>0</v>
      </c>
      <c r="F5" s="85">
        <v>0</v>
      </c>
      <c r="G5" s="85">
        <v>0</v>
      </c>
      <c r="H5" s="85">
        <v>0</v>
      </c>
      <c r="I5" s="85">
        <v>0</v>
      </c>
      <c r="J5" s="85">
        <v>0</v>
      </c>
      <c r="K5" s="85">
        <v>0</v>
      </c>
      <c r="L5" s="85">
        <v>0</v>
      </c>
      <c r="M5" s="85">
        <v>0</v>
      </c>
      <c r="N5" s="85">
        <v>0</v>
      </c>
      <c r="O5" s="85">
        <v>0</v>
      </c>
      <c r="P5" s="85">
        <v>0</v>
      </c>
      <c r="Q5" s="85">
        <v>0</v>
      </c>
      <c r="R5" s="85">
        <v>0</v>
      </c>
      <c r="S5" s="85">
        <v>0</v>
      </c>
      <c r="T5" s="85">
        <v>0</v>
      </c>
      <c r="U5" s="85">
        <v>0</v>
      </c>
      <c r="V5" s="85">
        <v>0</v>
      </c>
      <c r="W5" s="85">
        <v>0</v>
      </c>
      <c r="X5" s="85">
        <v>0</v>
      </c>
      <c r="Y5" s="85">
        <v>0</v>
      </c>
      <c r="Z5" s="85">
        <v>0</v>
      </c>
      <c r="AA5" s="85">
        <v>0</v>
      </c>
      <c r="AB5" s="85">
        <v>0</v>
      </c>
      <c r="AC5" s="85">
        <v>0</v>
      </c>
      <c r="AD5" s="85">
        <v>0</v>
      </c>
      <c r="AE5" s="85">
        <v>0</v>
      </c>
      <c r="AF5" s="85">
        <v>0</v>
      </c>
      <c r="AG5" s="85">
        <v>0</v>
      </c>
      <c r="AH5" s="85">
        <v>0</v>
      </c>
      <c r="AP5" s="92">
        <f t="shared" ref="AP5:AP36" si="0">B5</f>
        <v>0</v>
      </c>
      <c r="AQ5" s="91" t="str">
        <f t="shared" ref="AQ5:AQ36" si="1">DEC2HEX(C5)&amp;DEC2HEX(D5)&amp;DEC2HEX(E5)&amp;DEC2HEX(F5)</f>
        <v>0000</v>
      </c>
      <c r="AR5" s="91" t="str">
        <f t="shared" ref="AR5:AR36" si="2">DEC2HEX(G5)&amp;DEC2HEX(H5)&amp;DEC2HEX(I5)&amp;DEC2HEX(J5)</f>
        <v>0000</v>
      </c>
      <c r="AS5" s="91" t="str">
        <f t="shared" ref="AS5:AS36" si="3">DEC2HEX(K5)&amp;DEC2HEX(L5)&amp;DEC2HEX(M5)&amp;DEC2HEX(N5)</f>
        <v>0000</v>
      </c>
      <c r="AT5" s="91" t="str">
        <f t="shared" ref="AT5:AT36" si="4">DEC2HEX(O5)&amp;DEC2HEX(P5)&amp;DEC2HEX(Q5)&amp;DEC2HEX(R5)</f>
        <v>0000</v>
      </c>
      <c r="AU5" s="91" t="str">
        <f>DEC2HEX(S5)&amp;DEC2HEX(T5)&amp;DEC2HEX(U5)&amp;DEC2HEX(V5)</f>
        <v>0000</v>
      </c>
      <c r="AV5" s="91" t="str">
        <f>DEC2HEX(W5)&amp;DEC2HEX(X5)&amp;DEC2HEX(Y5)&amp;DEC2HEX(Z5)</f>
        <v>0000</v>
      </c>
      <c r="AW5" s="91" t="str">
        <f>DEC2HEX(AA5)&amp;DEC2HEX(AB5)&amp;DEC2HEX(AC5)&amp;DEC2HEX(AD5)</f>
        <v>0000</v>
      </c>
      <c r="AX5" s="91" t="str">
        <f>DEC2HEX(AE5)&amp;DEC2HEX(AF5)&amp;DEC2HEX(AG5)&amp;DEC2HEX(AH5)</f>
        <v>0000</v>
      </c>
      <c r="AY5" s="91"/>
      <c r="BB5" s="122">
        <v>13</v>
      </c>
      <c r="BC5" s="122">
        <v>13</v>
      </c>
      <c r="BD5" s="120"/>
    </row>
    <row r="6" spans="1:56" s="83" customFormat="1" ht="14.1" customHeight="1">
      <c r="A6" s="82"/>
      <c r="B6" s="84">
        <v>1</v>
      </c>
      <c r="C6" s="85">
        <v>0</v>
      </c>
      <c r="D6" s="85">
        <v>0</v>
      </c>
      <c r="E6" s="85">
        <v>0</v>
      </c>
      <c r="F6" s="85">
        <v>0</v>
      </c>
      <c r="G6" s="85">
        <v>0</v>
      </c>
      <c r="H6" s="85">
        <v>0</v>
      </c>
      <c r="I6" s="85">
        <v>0</v>
      </c>
      <c r="J6" s="85">
        <v>0</v>
      </c>
      <c r="K6" s="85">
        <v>0</v>
      </c>
      <c r="L6" s="85">
        <v>0</v>
      </c>
      <c r="M6" s="85">
        <v>0</v>
      </c>
      <c r="N6" s="85">
        <v>0</v>
      </c>
      <c r="O6" s="85">
        <v>1</v>
      </c>
      <c r="P6" s="85">
        <v>1</v>
      </c>
      <c r="Q6" s="85">
        <v>1</v>
      </c>
      <c r="R6" s="85">
        <v>1</v>
      </c>
      <c r="S6" s="85">
        <v>1</v>
      </c>
      <c r="T6" s="85">
        <v>1</v>
      </c>
      <c r="U6" s="85">
        <v>1</v>
      </c>
      <c r="V6" s="85">
        <v>1</v>
      </c>
      <c r="W6" s="85">
        <v>0</v>
      </c>
      <c r="X6" s="85">
        <v>0</v>
      </c>
      <c r="Y6" s="85">
        <v>0</v>
      </c>
      <c r="Z6" s="85">
        <v>0</v>
      </c>
      <c r="AA6" s="85">
        <v>0</v>
      </c>
      <c r="AB6" s="85">
        <v>0</v>
      </c>
      <c r="AC6" s="85">
        <v>0</v>
      </c>
      <c r="AD6" s="85">
        <v>0</v>
      </c>
      <c r="AE6" s="85">
        <v>0</v>
      </c>
      <c r="AF6" s="85">
        <v>0</v>
      </c>
      <c r="AG6" s="85">
        <v>0</v>
      </c>
      <c r="AH6" s="85">
        <v>0</v>
      </c>
      <c r="AP6" s="92">
        <f t="shared" si="0"/>
        <v>1</v>
      </c>
      <c r="AQ6" s="91" t="str">
        <f t="shared" si="1"/>
        <v>0000</v>
      </c>
      <c r="AR6" s="91" t="str">
        <f t="shared" si="2"/>
        <v>0000</v>
      </c>
      <c r="AS6" s="91" t="str">
        <f t="shared" si="3"/>
        <v>0000</v>
      </c>
      <c r="AT6" s="91" t="str">
        <f t="shared" si="4"/>
        <v>1111</v>
      </c>
      <c r="AU6" s="91" t="str">
        <f t="shared" ref="AU6:AU36" si="5">DEC2HEX(S6)&amp;DEC2HEX(T6)&amp;DEC2HEX(U6)&amp;DEC2HEX(V6)</f>
        <v>1111</v>
      </c>
      <c r="AV6" s="91" t="str">
        <f t="shared" ref="AV6:AV36" si="6">DEC2HEX(W6)&amp;DEC2HEX(X6)&amp;DEC2HEX(Y6)&amp;DEC2HEX(Z6)</f>
        <v>0000</v>
      </c>
      <c r="AW6" s="91" t="str">
        <f t="shared" ref="AW6:AW36" si="7">DEC2HEX(AA6)&amp;DEC2HEX(AB6)&amp;DEC2HEX(AC6)&amp;DEC2HEX(AD6)</f>
        <v>0000</v>
      </c>
      <c r="AX6" s="91" t="str">
        <f t="shared" ref="AX6:AX36" si="8">DEC2HEX(AE6)&amp;DEC2HEX(AF6)&amp;DEC2HEX(AG6)&amp;DEC2HEX(AH6)</f>
        <v>0000</v>
      </c>
      <c r="BB6" s="123">
        <v>11</v>
      </c>
      <c r="BC6" s="123">
        <v>11</v>
      </c>
    </row>
    <row r="7" spans="1:56" s="83" customFormat="1" ht="14.1" customHeight="1">
      <c r="A7" s="82"/>
      <c r="B7" s="84">
        <v>2</v>
      </c>
      <c r="C7" s="85">
        <v>0</v>
      </c>
      <c r="D7" s="85">
        <v>0</v>
      </c>
      <c r="E7" s="85">
        <v>0</v>
      </c>
      <c r="F7" s="85">
        <v>0</v>
      </c>
      <c r="G7" s="85">
        <v>0</v>
      </c>
      <c r="H7" s="85">
        <v>0</v>
      </c>
      <c r="I7" s="85">
        <v>0</v>
      </c>
      <c r="J7" s="85">
        <v>0</v>
      </c>
      <c r="K7" s="85">
        <v>0</v>
      </c>
      <c r="L7" s="85">
        <v>0</v>
      </c>
      <c r="M7" s="85">
        <v>1</v>
      </c>
      <c r="N7" s="85">
        <v>1</v>
      </c>
      <c r="O7" s="85">
        <v>1</v>
      </c>
      <c r="P7" s="85">
        <v>1</v>
      </c>
      <c r="Q7" s="85">
        <v>1</v>
      </c>
      <c r="R7" s="85">
        <v>1</v>
      </c>
      <c r="S7" s="85">
        <v>1</v>
      </c>
      <c r="T7" s="85">
        <v>1</v>
      </c>
      <c r="U7" s="85">
        <v>1</v>
      </c>
      <c r="V7" s="85">
        <v>1</v>
      </c>
      <c r="W7" s="85">
        <v>1</v>
      </c>
      <c r="X7" s="85">
        <v>1</v>
      </c>
      <c r="Y7" s="85">
        <v>0</v>
      </c>
      <c r="Z7" s="85">
        <v>0</v>
      </c>
      <c r="AA7" s="85">
        <v>0</v>
      </c>
      <c r="AB7" s="85">
        <v>0</v>
      </c>
      <c r="AC7" s="85">
        <v>0</v>
      </c>
      <c r="AD7" s="85">
        <v>0</v>
      </c>
      <c r="AE7" s="85">
        <v>0</v>
      </c>
      <c r="AF7" s="85">
        <v>0</v>
      </c>
      <c r="AG7" s="85">
        <v>0</v>
      </c>
      <c r="AH7" s="85">
        <v>0</v>
      </c>
      <c r="AP7" s="92">
        <f t="shared" si="0"/>
        <v>2</v>
      </c>
      <c r="AQ7" s="91" t="str">
        <f t="shared" si="1"/>
        <v>0000</v>
      </c>
      <c r="AR7" s="91" t="str">
        <f t="shared" si="2"/>
        <v>0000</v>
      </c>
      <c r="AS7" s="91" t="str">
        <f t="shared" si="3"/>
        <v>0011</v>
      </c>
      <c r="AT7" s="91" t="str">
        <f t="shared" si="4"/>
        <v>1111</v>
      </c>
      <c r="AU7" s="91" t="str">
        <f t="shared" si="5"/>
        <v>1111</v>
      </c>
      <c r="AV7" s="91" t="str">
        <f t="shared" si="6"/>
        <v>1100</v>
      </c>
      <c r="AW7" s="91" t="str">
        <f t="shared" si="7"/>
        <v>0000</v>
      </c>
      <c r="AX7" s="91" t="str">
        <f t="shared" si="8"/>
        <v>0000</v>
      </c>
      <c r="BB7" s="124">
        <v>8</v>
      </c>
      <c r="BC7" s="124">
        <v>8</v>
      </c>
    </row>
    <row r="8" spans="1:56" s="83" customFormat="1" ht="14.1" customHeight="1">
      <c r="A8" s="82"/>
      <c r="B8" s="84">
        <v>3</v>
      </c>
      <c r="C8" s="85">
        <v>0</v>
      </c>
      <c r="D8" s="85">
        <v>0</v>
      </c>
      <c r="E8" s="85">
        <v>0</v>
      </c>
      <c r="F8" s="85">
        <v>0</v>
      </c>
      <c r="G8" s="85">
        <v>0</v>
      </c>
      <c r="H8" s="85">
        <v>0</v>
      </c>
      <c r="I8" s="85">
        <v>0</v>
      </c>
      <c r="J8" s="85">
        <v>0</v>
      </c>
      <c r="K8" s="85">
        <v>1</v>
      </c>
      <c r="L8" s="85">
        <v>1</v>
      </c>
      <c r="M8" s="85">
        <v>1</v>
      </c>
      <c r="N8" s="85">
        <v>1</v>
      </c>
      <c r="O8" s="85">
        <v>1</v>
      </c>
      <c r="P8" s="85">
        <v>1</v>
      </c>
      <c r="Q8" s="85">
        <v>1</v>
      </c>
      <c r="R8" s="85">
        <v>1</v>
      </c>
      <c r="S8" s="85">
        <v>1</v>
      </c>
      <c r="T8" s="85">
        <v>1</v>
      </c>
      <c r="U8" s="85">
        <v>1</v>
      </c>
      <c r="V8" s="85">
        <v>1</v>
      </c>
      <c r="W8" s="85">
        <v>1</v>
      </c>
      <c r="X8" s="85">
        <v>1</v>
      </c>
      <c r="Y8" s="85">
        <v>1</v>
      </c>
      <c r="Z8" s="85">
        <v>1</v>
      </c>
      <c r="AA8" s="85">
        <v>0</v>
      </c>
      <c r="AB8" s="85">
        <v>0</v>
      </c>
      <c r="AC8" s="85">
        <v>0</v>
      </c>
      <c r="AD8" s="85">
        <v>0</v>
      </c>
      <c r="AE8" s="85">
        <v>0</v>
      </c>
      <c r="AF8" s="85">
        <v>0</v>
      </c>
      <c r="AG8" s="85">
        <v>0</v>
      </c>
      <c r="AH8" s="85">
        <v>0</v>
      </c>
      <c r="AP8" s="92">
        <f t="shared" si="0"/>
        <v>3</v>
      </c>
      <c r="AQ8" s="91" t="str">
        <f t="shared" si="1"/>
        <v>0000</v>
      </c>
      <c r="AR8" s="91" t="str">
        <f t="shared" si="2"/>
        <v>0000</v>
      </c>
      <c r="AS8" s="91" t="str">
        <f t="shared" si="3"/>
        <v>1111</v>
      </c>
      <c r="AT8" s="91" t="str">
        <f t="shared" si="4"/>
        <v>1111</v>
      </c>
      <c r="AU8" s="91" t="str">
        <f t="shared" si="5"/>
        <v>1111</v>
      </c>
      <c r="AV8" s="91" t="str">
        <f t="shared" si="6"/>
        <v>1111</v>
      </c>
      <c r="AW8" s="91" t="str">
        <f t="shared" si="7"/>
        <v>0000</v>
      </c>
      <c r="AX8" s="91" t="str">
        <f t="shared" si="8"/>
        <v>0000</v>
      </c>
      <c r="BB8" s="125">
        <v>6</v>
      </c>
      <c r="BC8" s="125">
        <v>6</v>
      </c>
    </row>
    <row r="9" spans="1:56" s="83" customFormat="1" ht="14.1" customHeight="1">
      <c r="A9" s="82"/>
      <c r="B9" s="84">
        <v>4</v>
      </c>
      <c r="C9" s="85">
        <v>0</v>
      </c>
      <c r="D9" s="85">
        <v>0</v>
      </c>
      <c r="E9" s="85">
        <v>0</v>
      </c>
      <c r="F9" s="85">
        <v>0</v>
      </c>
      <c r="G9" s="85">
        <v>0</v>
      </c>
      <c r="H9" s="85">
        <v>0</v>
      </c>
      <c r="I9" s="85">
        <v>1</v>
      </c>
      <c r="J9" s="85">
        <v>1</v>
      </c>
      <c r="K9" s="85">
        <v>1</v>
      </c>
      <c r="L9" s="85">
        <v>1</v>
      </c>
      <c r="M9" s="85">
        <v>1</v>
      </c>
      <c r="N9" s="85">
        <v>1</v>
      </c>
      <c r="O9" s="85">
        <v>2</v>
      </c>
      <c r="P9" s="85">
        <v>2</v>
      </c>
      <c r="Q9" s="85">
        <v>2</v>
      </c>
      <c r="R9" s="85">
        <v>2</v>
      </c>
      <c r="S9" s="85">
        <v>2</v>
      </c>
      <c r="T9" s="85">
        <v>2</v>
      </c>
      <c r="U9" s="85">
        <v>2</v>
      </c>
      <c r="V9" s="85">
        <v>2</v>
      </c>
      <c r="W9" s="85">
        <v>1</v>
      </c>
      <c r="X9" s="85">
        <v>1</v>
      </c>
      <c r="Y9" s="85">
        <v>1</v>
      </c>
      <c r="Z9" s="85">
        <v>1</v>
      </c>
      <c r="AA9" s="85">
        <v>1</v>
      </c>
      <c r="AB9" s="85">
        <v>1</v>
      </c>
      <c r="AC9" s="85">
        <v>0</v>
      </c>
      <c r="AD9" s="85">
        <v>0</v>
      </c>
      <c r="AE9" s="85">
        <v>0</v>
      </c>
      <c r="AF9" s="85">
        <v>0</v>
      </c>
      <c r="AG9" s="85">
        <v>0</v>
      </c>
      <c r="AH9" s="85">
        <v>0</v>
      </c>
      <c r="AP9" s="92">
        <f t="shared" si="0"/>
        <v>4</v>
      </c>
      <c r="AQ9" s="91" t="str">
        <f t="shared" si="1"/>
        <v>0000</v>
      </c>
      <c r="AR9" s="91" t="str">
        <f t="shared" si="2"/>
        <v>0011</v>
      </c>
      <c r="AS9" s="91" t="str">
        <f t="shared" si="3"/>
        <v>1111</v>
      </c>
      <c r="AT9" s="91" t="str">
        <f t="shared" si="4"/>
        <v>2222</v>
      </c>
      <c r="AU9" s="91" t="str">
        <f t="shared" si="5"/>
        <v>2222</v>
      </c>
      <c r="AV9" s="91" t="str">
        <f t="shared" si="6"/>
        <v>1111</v>
      </c>
      <c r="AW9" s="91" t="str">
        <f t="shared" si="7"/>
        <v>1100</v>
      </c>
      <c r="AX9" s="91" t="str">
        <f t="shared" si="8"/>
        <v>0000</v>
      </c>
      <c r="BB9" s="126">
        <v>4</v>
      </c>
      <c r="BC9" s="126">
        <v>4</v>
      </c>
    </row>
    <row r="10" spans="1:56" s="83" customFormat="1" ht="14.1" customHeight="1">
      <c r="A10" s="82"/>
      <c r="B10" s="84">
        <v>5</v>
      </c>
      <c r="C10" s="85">
        <v>0</v>
      </c>
      <c r="D10" s="85">
        <v>0</v>
      </c>
      <c r="E10" s="85">
        <v>0</v>
      </c>
      <c r="F10" s="85">
        <v>0</v>
      </c>
      <c r="G10" s="85">
        <v>0</v>
      </c>
      <c r="H10" s="85">
        <v>0</v>
      </c>
      <c r="I10" s="85">
        <v>1</v>
      </c>
      <c r="J10" s="85">
        <v>1</v>
      </c>
      <c r="K10" s="85">
        <v>1</v>
      </c>
      <c r="L10" s="85">
        <v>1</v>
      </c>
      <c r="M10" s="85">
        <v>2</v>
      </c>
      <c r="N10" s="85">
        <v>2</v>
      </c>
      <c r="O10" s="85">
        <v>2</v>
      </c>
      <c r="P10" s="85">
        <v>2</v>
      </c>
      <c r="Q10" s="85">
        <v>2</v>
      </c>
      <c r="R10" s="85">
        <v>2</v>
      </c>
      <c r="S10" s="85">
        <v>2</v>
      </c>
      <c r="T10" s="85">
        <v>2</v>
      </c>
      <c r="U10" s="85">
        <v>2</v>
      </c>
      <c r="V10" s="85">
        <v>2</v>
      </c>
      <c r="W10" s="85">
        <v>2</v>
      </c>
      <c r="X10" s="85">
        <v>2</v>
      </c>
      <c r="Y10" s="85">
        <v>1</v>
      </c>
      <c r="Z10" s="85">
        <v>1</v>
      </c>
      <c r="AA10" s="85">
        <v>1</v>
      </c>
      <c r="AB10" s="85">
        <v>1</v>
      </c>
      <c r="AC10" s="85">
        <v>0</v>
      </c>
      <c r="AD10" s="85">
        <v>0</v>
      </c>
      <c r="AE10" s="85">
        <v>0</v>
      </c>
      <c r="AF10" s="85">
        <v>0</v>
      </c>
      <c r="AG10" s="85">
        <v>0</v>
      </c>
      <c r="AH10" s="85">
        <v>0</v>
      </c>
      <c r="AP10" s="92">
        <f t="shared" si="0"/>
        <v>5</v>
      </c>
      <c r="AQ10" s="91" t="str">
        <f t="shared" si="1"/>
        <v>0000</v>
      </c>
      <c r="AR10" s="91" t="str">
        <f t="shared" si="2"/>
        <v>0011</v>
      </c>
      <c r="AS10" s="91" t="str">
        <f t="shared" si="3"/>
        <v>1122</v>
      </c>
      <c r="AT10" s="91" t="str">
        <f t="shared" si="4"/>
        <v>2222</v>
      </c>
      <c r="AU10" s="91" t="str">
        <f t="shared" si="5"/>
        <v>2222</v>
      </c>
      <c r="AV10" s="91" t="str">
        <f t="shared" si="6"/>
        <v>2211</v>
      </c>
      <c r="AW10" s="91" t="str">
        <f t="shared" si="7"/>
        <v>1100</v>
      </c>
      <c r="AX10" s="91" t="str">
        <f t="shared" si="8"/>
        <v>0000</v>
      </c>
      <c r="BB10" s="127">
        <v>2</v>
      </c>
      <c r="BC10" s="127">
        <v>3</v>
      </c>
    </row>
    <row r="11" spans="1:56" s="83" customFormat="1" ht="14.1" customHeight="1">
      <c r="A11" s="82"/>
      <c r="B11" s="84">
        <v>6</v>
      </c>
      <c r="C11" s="85">
        <v>0</v>
      </c>
      <c r="D11" s="85">
        <v>0</v>
      </c>
      <c r="E11" s="85">
        <v>0</v>
      </c>
      <c r="F11" s="85">
        <v>0</v>
      </c>
      <c r="G11" s="85">
        <v>1</v>
      </c>
      <c r="H11" s="85">
        <v>1</v>
      </c>
      <c r="I11" s="85">
        <v>1</v>
      </c>
      <c r="J11" s="85">
        <v>1</v>
      </c>
      <c r="K11" s="85">
        <v>2</v>
      </c>
      <c r="L11" s="85">
        <v>2</v>
      </c>
      <c r="M11" s="85">
        <v>2</v>
      </c>
      <c r="N11" s="85">
        <v>2</v>
      </c>
      <c r="O11" s="85">
        <v>2</v>
      </c>
      <c r="P11" s="85">
        <v>2</v>
      </c>
      <c r="Q11" s="85">
        <v>3</v>
      </c>
      <c r="R11" s="85">
        <v>3</v>
      </c>
      <c r="S11" s="85">
        <v>3</v>
      </c>
      <c r="T11" s="85">
        <v>3</v>
      </c>
      <c r="U11" s="85">
        <v>2</v>
      </c>
      <c r="V11" s="85">
        <v>2</v>
      </c>
      <c r="W11" s="85">
        <v>2</v>
      </c>
      <c r="X11" s="85">
        <v>2</v>
      </c>
      <c r="Y11" s="85">
        <v>2</v>
      </c>
      <c r="Z11" s="85">
        <v>2</v>
      </c>
      <c r="AA11" s="85">
        <v>1</v>
      </c>
      <c r="AB11" s="85">
        <v>1</v>
      </c>
      <c r="AC11" s="85">
        <v>1</v>
      </c>
      <c r="AD11" s="85">
        <v>1</v>
      </c>
      <c r="AE11" s="85">
        <v>0</v>
      </c>
      <c r="AF11" s="85">
        <v>0</v>
      </c>
      <c r="AG11" s="85">
        <v>0</v>
      </c>
      <c r="AH11" s="85">
        <v>0</v>
      </c>
      <c r="AP11" s="92">
        <f t="shared" si="0"/>
        <v>6</v>
      </c>
      <c r="AQ11" s="91" t="str">
        <f t="shared" si="1"/>
        <v>0000</v>
      </c>
      <c r="AR11" s="91" t="str">
        <f t="shared" si="2"/>
        <v>1111</v>
      </c>
      <c r="AS11" s="91" t="str">
        <f t="shared" si="3"/>
        <v>2222</v>
      </c>
      <c r="AT11" s="91" t="str">
        <f t="shared" si="4"/>
        <v>2233</v>
      </c>
      <c r="AU11" s="91" t="str">
        <f t="shared" si="5"/>
        <v>3322</v>
      </c>
      <c r="AV11" s="91" t="str">
        <f t="shared" si="6"/>
        <v>2222</v>
      </c>
      <c r="AW11" s="91" t="str">
        <f t="shared" si="7"/>
        <v>1111</v>
      </c>
      <c r="AX11" s="91" t="str">
        <f t="shared" si="8"/>
        <v>0000</v>
      </c>
      <c r="BB11" s="128">
        <v>1</v>
      </c>
      <c r="BC11" s="128">
        <v>1</v>
      </c>
    </row>
    <row r="12" spans="1:56" s="83" customFormat="1" ht="14.1" customHeight="1">
      <c r="A12" s="82"/>
      <c r="B12" s="84">
        <v>7</v>
      </c>
      <c r="C12" s="85">
        <v>0</v>
      </c>
      <c r="D12" s="85">
        <v>0</v>
      </c>
      <c r="E12" s="85">
        <v>0</v>
      </c>
      <c r="F12" s="85">
        <v>0</v>
      </c>
      <c r="G12" s="85">
        <v>1</v>
      </c>
      <c r="H12" s="85">
        <v>1</v>
      </c>
      <c r="I12" s="85">
        <v>1</v>
      </c>
      <c r="J12" s="85">
        <v>1</v>
      </c>
      <c r="K12" s="85">
        <v>2</v>
      </c>
      <c r="L12" s="85">
        <v>2</v>
      </c>
      <c r="M12" s="85">
        <v>2</v>
      </c>
      <c r="N12" s="85">
        <v>2</v>
      </c>
      <c r="O12" s="85">
        <v>3</v>
      </c>
      <c r="P12" s="85">
        <v>3</v>
      </c>
      <c r="Q12" s="85">
        <v>4</v>
      </c>
      <c r="R12" s="85">
        <v>4</v>
      </c>
      <c r="S12" s="85">
        <v>3</v>
      </c>
      <c r="T12" s="85">
        <v>3</v>
      </c>
      <c r="U12" s="85">
        <v>4</v>
      </c>
      <c r="V12" s="85">
        <v>4</v>
      </c>
      <c r="W12" s="85">
        <v>2</v>
      </c>
      <c r="X12" s="85">
        <v>2</v>
      </c>
      <c r="Y12" s="85">
        <v>2</v>
      </c>
      <c r="Z12" s="85">
        <v>2</v>
      </c>
      <c r="AA12" s="85">
        <v>1</v>
      </c>
      <c r="AB12" s="85">
        <v>1</v>
      </c>
      <c r="AC12" s="85">
        <v>1</v>
      </c>
      <c r="AD12" s="85">
        <v>1</v>
      </c>
      <c r="AE12" s="85">
        <v>0</v>
      </c>
      <c r="AF12" s="85">
        <v>0</v>
      </c>
      <c r="AG12" s="85">
        <v>0</v>
      </c>
      <c r="AH12" s="85">
        <v>0</v>
      </c>
      <c r="AP12" s="92">
        <f t="shared" si="0"/>
        <v>7</v>
      </c>
      <c r="AQ12" s="91" t="str">
        <f t="shared" si="1"/>
        <v>0000</v>
      </c>
      <c r="AR12" s="91" t="str">
        <f t="shared" si="2"/>
        <v>1111</v>
      </c>
      <c r="AS12" s="91" t="str">
        <f t="shared" si="3"/>
        <v>2222</v>
      </c>
      <c r="AT12" s="91" t="str">
        <f t="shared" si="4"/>
        <v>3344</v>
      </c>
      <c r="AU12" s="91" t="str">
        <f t="shared" si="5"/>
        <v>3344</v>
      </c>
      <c r="AV12" s="91" t="str">
        <f t="shared" si="6"/>
        <v>2222</v>
      </c>
      <c r="AW12" s="91" t="str">
        <f t="shared" si="7"/>
        <v>1111</v>
      </c>
      <c r="AX12" s="91" t="str">
        <f t="shared" si="8"/>
        <v>0000</v>
      </c>
    </row>
    <row r="13" spans="1:56" s="83" customFormat="1" ht="14.1" customHeight="1" thickBot="1">
      <c r="A13" s="82"/>
      <c r="B13" s="84">
        <v>8</v>
      </c>
      <c r="C13" s="85">
        <v>0</v>
      </c>
      <c r="D13" s="85">
        <v>0</v>
      </c>
      <c r="E13" s="85">
        <v>1</v>
      </c>
      <c r="F13" s="85">
        <v>1</v>
      </c>
      <c r="G13" s="85">
        <v>1</v>
      </c>
      <c r="H13" s="85">
        <v>1</v>
      </c>
      <c r="I13" s="85">
        <v>2</v>
      </c>
      <c r="J13" s="85">
        <v>2</v>
      </c>
      <c r="K13" s="85">
        <v>2</v>
      </c>
      <c r="L13" s="85">
        <v>2</v>
      </c>
      <c r="M13" s="85">
        <v>3</v>
      </c>
      <c r="N13" s="85">
        <v>3</v>
      </c>
      <c r="O13" s="85">
        <v>3</v>
      </c>
      <c r="P13" s="85">
        <v>3</v>
      </c>
      <c r="Q13" s="85">
        <v>4</v>
      </c>
      <c r="R13" s="85">
        <v>4</v>
      </c>
      <c r="S13" s="85">
        <v>4</v>
      </c>
      <c r="T13" s="85">
        <v>4</v>
      </c>
      <c r="U13" s="85">
        <v>3</v>
      </c>
      <c r="V13" s="85">
        <v>3</v>
      </c>
      <c r="W13" s="85">
        <v>3</v>
      </c>
      <c r="X13" s="85">
        <v>3</v>
      </c>
      <c r="Y13" s="85">
        <v>2</v>
      </c>
      <c r="Z13" s="85">
        <v>2</v>
      </c>
      <c r="AA13" s="85">
        <v>2</v>
      </c>
      <c r="AB13" s="85">
        <v>2</v>
      </c>
      <c r="AC13" s="85">
        <v>1</v>
      </c>
      <c r="AD13" s="85">
        <v>1</v>
      </c>
      <c r="AE13" s="85">
        <v>1</v>
      </c>
      <c r="AF13" s="85">
        <v>1</v>
      </c>
      <c r="AG13" s="85">
        <v>0</v>
      </c>
      <c r="AH13" s="85">
        <v>0</v>
      </c>
      <c r="AP13" s="92">
        <f t="shared" si="0"/>
        <v>8</v>
      </c>
      <c r="AQ13" s="91" t="str">
        <f t="shared" si="1"/>
        <v>0011</v>
      </c>
      <c r="AR13" s="91" t="str">
        <f t="shared" si="2"/>
        <v>1122</v>
      </c>
      <c r="AS13" s="91" t="str">
        <f t="shared" si="3"/>
        <v>2233</v>
      </c>
      <c r="AT13" s="91" t="str">
        <f t="shared" si="4"/>
        <v>3344</v>
      </c>
      <c r="AU13" s="91" t="str">
        <f t="shared" si="5"/>
        <v>4433</v>
      </c>
      <c r="AV13" s="91" t="str">
        <f t="shared" si="6"/>
        <v>3322</v>
      </c>
      <c r="AW13" s="91" t="str">
        <f t="shared" si="7"/>
        <v>2211</v>
      </c>
      <c r="AX13" s="91" t="str">
        <f t="shared" si="8"/>
        <v>1100</v>
      </c>
      <c r="BB13" s="82" t="s">
        <v>306</v>
      </c>
    </row>
    <row r="14" spans="1:56" s="83" customFormat="1" ht="14.1" customHeight="1" thickBot="1">
      <c r="A14" s="82"/>
      <c r="B14" s="84">
        <v>9</v>
      </c>
      <c r="C14" s="85">
        <v>0</v>
      </c>
      <c r="D14" s="85">
        <v>0</v>
      </c>
      <c r="E14" s="85">
        <v>1</v>
      </c>
      <c r="F14" s="85">
        <v>1</v>
      </c>
      <c r="G14" s="85">
        <v>1</v>
      </c>
      <c r="H14" s="85">
        <v>1</v>
      </c>
      <c r="I14" s="85">
        <v>2</v>
      </c>
      <c r="J14" s="85">
        <v>2</v>
      </c>
      <c r="K14" s="85">
        <v>3</v>
      </c>
      <c r="L14" s="85">
        <v>3</v>
      </c>
      <c r="M14" s="85">
        <v>3</v>
      </c>
      <c r="N14" s="85">
        <v>3</v>
      </c>
      <c r="O14" s="85">
        <v>4</v>
      </c>
      <c r="P14" s="85">
        <v>4</v>
      </c>
      <c r="Q14" s="85">
        <v>4</v>
      </c>
      <c r="R14" s="85">
        <v>4</v>
      </c>
      <c r="S14" s="85">
        <v>4</v>
      </c>
      <c r="T14" s="85">
        <v>4</v>
      </c>
      <c r="U14" s="85">
        <v>4</v>
      </c>
      <c r="V14" s="85">
        <v>4</v>
      </c>
      <c r="W14" s="85">
        <v>3</v>
      </c>
      <c r="X14" s="85">
        <v>3</v>
      </c>
      <c r="Y14" s="85">
        <v>3</v>
      </c>
      <c r="Z14" s="85">
        <v>3</v>
      </c>
      <c r="AA14" s="85">
        <v>2</v>
      </c>
      <c r="AB14" s="85">
        <v>2</v>
      </c>
      <c r="AC14" s="85">
        <v>1</v>
      </c>
      <c r="AD14" s="85">
        <v>1</v>
      </c>
      <c r="AE14" s="85">
        <v>1</v>
      </c>
      <c r="AF14" s="85">
        <v>1</v>
      </c>
      <c r="AG14" s="85">
        <v>0</v>
      </c>
      <c r="AH14" s="85">
        <v>0</v>
      </c>
      <c r="AP14" s="92">
        <f t="shared" si="0"/>
        <v>9</v>
      </c>
      <c r="AQ14" s="91" t="str">
        <f t="shared" si="1"/>
        <v>0011</v>
      </c>
      <c r="AR14" s="91" t="str">
        <f t="shared" si="2"/>
        <v>1122</v>
      </c>
      <c r="AS14" s="91" t="str">
        <f t="shared" si="3"/>
        <v>3333</v>
      </c>
      <c r="AT14" s="91" t="str">
        <f t="shared" si="4"/>
        <v>4444</v>
      </c>
      <c r="AU14" s="91" t="str">
        <f t="shared" si="5"/>
        <v>4444</v>
      </c>
      <c r="AV14" s="91" t="str">
        <f t="shared" si="6"/>
        <v>3333</v>
      </c>
      <c r="AW14" s="91" t="str">
        <f t="shared" si="7"/>
        <v>2211</v>
      </c>
      <c r="AX14" s="91" t="str">
        <f t="shared" si="8"/>
        <v>1100</v>
      </c>
      <c r="BB14" s="89" t="s">
        <v>307</v>
      </c>
      <c r="BC14" s="149" t="s">
        <v>308</v>
      </c>
      <c r="BD14" s="150"/>
    </row>
    <row r="15" spans="1:56" s="83" customFormat="1" ht="14.1" customHeight="1" thickTop="1">
      <c r="A15" s="82"/>
      <c r="B15" s="84">
        <v>10</v>
      </c>
      <c r="C15" s="85">
        <v>0</v>
      </c>
      <c r="D15" s="85">
        <v>0</v>
      </c>
      <c r="E15" s="85">
        <v>1</v>
      </c>
      <c r="F15" s="85">
        <v>1</v>
      </c>
      <c r="G15" s="85">
        <v>2</v>
      </c>
      <c r="H15" s="85">
        <v>2</v>
      </c>
      <c r="I15" s="85">
        <v>2</v>
      </c>
      <c r="J15" s="85">
        <v>2</v>
      </c>
      <c r="K15" s="85">
        <v>3</v>
      </c>
      <c r="L15" s="85">
        <v>3</v>
      </c>
      <c r="M15" s="85">
        <v>4</v>
      </c>
      <c r="N15" s="85">
        <v>4</v>
      </c>
      <c r="O15" s="85">
        <v>4</v>
      </c>
      <c r="P15" s="85">
        <v>4</v>
      </c>
      <c r="Q15" s="85">
        <v>5</v>
      </c>
      <c r="R15" s="85">
        <v>5</v>
      </c>
      <c r="S15" s="85">
        <v>5</v>
      </c>
      <c r="T15" s="85">
        <v>5</v>
      </c>
      <c r="U15" s="85">
        <v>4</v>
      </c>
      <c r="V15" s="85">
        <v>4</v>
      </c>
      <c r="W15" s="85">
        <v>4</v>
      </c>
      <c r="X15" s="85">
        <v>4</v>
      </c>
      <c r="Y15" s="85">
        <v>3</v>
      </c>
      <c r="Z15" s="85">
        <v>3</v>
      </c>
      <c r="AA15" s="85">
        <v>2</v>
      </c>
      <c r="AB15" s="85">
        <v>2</v>
      </c>
      <c r="AC15" s="85">
        <v>2</v>
      </c>
      <c r="AD15" s="85">
        <v>2</v>
      </c>
      <c r="AE15" s="85">
        <v>1</v>
      </c>
      <c r="AF15" s="85">
        <v>1</v>
      </c>
      <c r="AG15" s="85">
        <v>0</v>
      </c>
      <c r="AH15" s="85">
        <v>0</v>
      </c>
      <c r="AP15" s="92">
        <f t="shared" si="0"/>
        <v>10</v>
      </c>
      <c r="AQ15" s="91" t="str">
        <f t="shared" si="1"/>
        <v>0011</v>
      </c>
      <c r="AR15" s="91" t="str">
        <f t="shared" si="2"/>
        <v>2222</v>
      </c>
      <c r="AS15" s="91" t="str">
        <f t="shared" si="3"/>
        <v>3344</v>
      </c>
      <c r="AT15" s="91" t="str">
        <f t="shared" si="4"/>
        <v>4455</v>
      </c>
      <c r="AU15" s="91" t="str">
        <f t="shared" si="5"/>
        <v>5544</v>
      </c>
      <c r="AV15" s="91" t="str">
        <f t="shared" si="6"/>
        <v>4433</v>
      </c>
      <c r="AW15" s="91" t="str">
        <f t="shared" si="7"/>
        <v>2222</v>
      </c>
      <c r="AX15" s="91" t="str">
        <f t="shared" si="8"/>
        <v>1100</v>
      </c>
      <c r="BB15" s="93">
        <v>0</v>
      </c>
      <c r="BC15" s="151" t="s">
        <v>309</v>
      </c>
      <c r="BD15" s="152"/>
    </row>
    <row r="16" spans="1:56" s="83" customFormat="1" ht="14.1" customHeight="1">
      <c r="A16" s="82"/>
      <c r="B16" s="84">
        <v>11</v>
      </c>
      <c r="C16" s="85">
        <v>0</v>
      </c>
      <c r="D16" s="85">
        <v>0</v>
      </c>
      <c r="E16" s="85">
        <v>1</v>
      </c>
      <c r="F16" s="85">
        <v>1</v>
      </c>
      <c r="G16" s="85">
        <v>2</v>
      </c>
      <c r="H16" s="85">
        <v>2</v>
      </c>
      <c r="I16" s="85">
        <v>3</v>
      </c>
      <c r="J16" s="85">
        <v>3</v>
      </c>
      <c r="K16" s="85">
        <v>4</v>
      </c>
      <c r="L16" s="85">
        <v>4</v>
      </c>
      <c r="M16" s="85">
        <v>4</v>
      </c>
      <c r="N16" s="85">
        <v>4</v>
      </c>
      <c r="O16" s="85">
        <v>5</v>
      </c>
      <c r="P16" s="85">
        <v>5</v>
      </c>
      <c r="Q16" s="85">
        <v>5</v>
      </c>
      <c r="R16" s="85">
        <v>5</v>
      </c>
      <c r="S16" s="85">
        <v>5</v>
      </c>
      <c r="T16" s="85">
        <v>5</v>
      </c>
      <c r="U16" s="85">
        <v>5</v>
      </c>
      <c r="V16" s="85">
        <v>5</v>
      </c>
      <c r="W16" s="85">
        <v>4</v>
      </c>
      <c r="X16" s="85">
        <v>4</v>
      </c>
      <c r="Y16" s="85">
        <v>4</v>
      </c>
      <c r="Z16" s="85">
        <v>4</v>
      </c>
      <c r="AA16" s="85">
        <v>3</v>
      </c>
      <c r="AB16" s="85">
        <v>3</v>
      </c>
      <c r="AC16" s="85">
        <v>2</v>
      </c>
      <c r="AD16" s="85">
        <v>2</v>
      </c>
      <c r="AE16" s="85">
        <v>1</v>
      </c>
      <c r="AF16" s="85">
        <v>1</v>
      </c>
      <c r="AG16" s="85">
        <v>0</v>
      </c>
      <c r="AH16" s="85">
        <v>0</v>
      </c>
      <c r="AP16" s="92">
        <f t="shared" si="0"/>
        <v>11</v>
      </c>
      <c r="AQ16" s="91" t="str">
        <f t="shared" si="1"/>
        <v>0011</v>
      </c>
      <c r="AR16" s="91" t="str">
        <f t="shared" si="2"/>
        <v>2233</v>
      </c>
      <c r="AS16" s="91" t="str">
        <f t="shared" si="3"/>
        <v>4444</v>
      </c>
      <c r="AT16" s="91" t="str">
        <f t="shared" si="4"/>
        <v>5555</v>
      </c>
      <c r="AU16" s="91" t="str">
        <f t="shared" si="5"/>
        <v>5555</v>
      </c>
      <c r="AV16" s="91" t="str">
        <f t="shared" si="6"/>
        <v>4444</v>
      </c>
      <c r="AW16" s="91" t="str">
        <f t="shared" si="7"/>
        <v>3322</v>
      </c>
      <c r="AX16" s="91" t="str">
        <f t="shared" si="8"/>
        <v>1100</v>
      </c>
      <c r="BB16" s="94">
        <v>1</v>
      </c>
      <c r="BC16" s="153" t="s">
        <v>352</v>
      </c>
      <c r="BD16" s="154"/>
    </row>
    <row r="17" spans="1:57" s="83" customFormat="1" ht="14.1" customHeight="1">
      <c r="A17" s="82"/>
      <c r="B17" s="84">
        <v>12</v>
      </c>
      <c r="C17" s="85">
        <v>0</v>
      </c>
      <c r="D17" s="85">
        <v>0</v>
      </c>
      <c r="E17" s="85">
        <v>1</v>
      </c>
      <c r="F17" s="85">
        <v>1</v>
      </c>
      <c r="G17" s="85">
        <v>2</v>
      </c>
      <c r="H17" s="85">
        <v>2</v>
      </c>
      <c r="I17" s="85">
        <v>3</v>
      </c>
      <c r="J17" s="85">
        <v>3</v>
      </c>
      <c r="K17" s="85">
        <v>4</v>
      </c>
      <c r="L17" s="85">
        <v>4</v>
      </c>
      <c r="M17" s="85">
        <v>5</v>
      </c>
      <c r="N17" s="85">
        <v>5</v>
      </c>
      <c r="O17" s="85">
        <v>5</v>
      </c>
      <c r="P17" s="85">
        <v>5</v>
      </c>
      <c r="Q17" s="85">
        <v>5</v>
      </c>
      <c r="R17" s="85">
        <v>5</v>
      </c>
      <c r="S17" s="85">
        <v>5</v>
      </c>
      <c r="T17" s="85">
        <v>5</v>
      </c>
      <c r="U17" s="85">
        <v>5</v>
      </c>
      <c r="V17" s="85">
        <v>5</v>
      </c>
      <c r="W17" s="85">
        <v>5</v>
      </c>
      <c r="X17" s="85">
        <v>5</v>
      </c>
      <c r="Y17" s="85">
        <v>4</v>
      </c>
      <c r="Z17" s="85">
        <v>4</v>
      </c>
      <c r="AA17" s="85">
        <v>3</v>
      </c>
      <c r="AB17" s="85">
        <v>3</v>
      </c>
      <c r="AC17" s="85">
        <v>2</v>
      </c>
      <c r="AD17" s="85">
        <v>2</v>
      </c>
      <c r="AE17" s="85">
        <v>1</v>
      </c>
      <c r="AF17" s="85">
        <v>1</v>
      </c>
      <c r="AG17" s="85">
        <v>0</v>
      </c>
      <c r="AH17" s="85">
        <v>0</v>
      </c>
      <c r="AP17" s="92">
        <f t="shared" si="0"/>
        <v>12</v>
      </c>
      <c r="AQ17" s="91" t="str">
        <f t="shared" si="1"/>
        <v>0011</v>
      </c>
      <c r="AR17" s="91" t="str">
        <f t="shared" si="2"/>
        <v>2233</v>
      </c>
      <c r="AS17" s="91" t="str">
        <f t="shared" si="3"/>
        <v>4455</v>
      </c>
      <c r="AT17" s="91" t="str">
        <f t="shared" si="4"/>
        <v>5555</v>
      </c>
      <c r="AU17" s="91" t="str">
        <f t="shared" si="5"/>
        <v>5555</v>
      </c>
      <c r="AV17" s="91" t="str">
        <f t="shared" si="6"/>
        <v>5544</v>
      </c>
      <c r="AW17" s="91" t="str">
        <f t="shared" si="7"/>
        <v>3322</v>
      </c>
      <c r="AX17" s="91" t="str">
        <f t="shared" si="8"/>
        <v>1100</v>
      </c>
      <c r="BB17" s="95">
        <v>2</v>
      </c>
      <c r="BC17" s="155" t="s">
        <v>353</v>
      </c>
      <c r="BD17" s="156"/>
    </row>
    <row r="18" spans="1:57" s="83" customFormat="1" ht="14.1" customHeight="1">
      <c r="A18" s="82"/>
      <c r="B18" s="84">
        <v>13</v>
      </c>
      <c r="C18" s="85">
        <v>0</v>
      </c>
      <c r="D18" s="85">
        <v>0</v>
      </c>
      <c r="E18" s="85">
        <v>1</v>
      </c>
      <c r="F18" s="85">
        <v>1</v>
      </c>
      <c r="G18" s="85">
        <v>2</v>
      </c>
      <c r="H18" s="85">
        <v>2</v>
      </c>
      <c r="I18" s="85">
        <v>3</v>
      </c>
      <c r="J18" s="85">
        <v>3</v>
      </c>
      <c r="K18" s="85">
        <v>4</v>
      </c>
      <c r="L18" s="85">
        <v>4</v>
      </c>
      <c r="M18" s="85">
        <v>5</v>
      </c>
      <c r="N18" s="85">
        <v>5</v>
      </c>
      <c r="O18" s="85">
        <v>5</v>
      </c>
      <c r="P18" s="85">
        <v>5</v>
      </c>
      <c r="Q18" s="85">
        <v>5</v>
      </c>
      <c r="R18" s="85">
        <v>5</v>
      </c>
      <c r="S18" s="85">
        <v>5</v>
      </c>
      <c r="T18" s="85">
        <v>5</v>
      </c>
      <c r="U18" s="85">
        <v>5</v>
      </c>
      <c r="V18" s="85">
        <v>5</v>
      </c>
      <c r="W18" s="85">
        <v>5</v>
      </c>
      <c r="X18" s="85">
        <v>5</v>
      </c>
      <c r="Y18" s="85">
        <v>4</v>
      </c>
      <c r="Z18" s="85">
        <v>4</v>
      </c>
      <c r="AA18" s="85">
        <v>3</v>
      </c>
      <c r="AB18" s="85">
        <v>3</v>
      </c>
      <c r="AC18" s="85">
        <v>2</v>
      </c>
      <c r="AD18" s="85">
        <v>2</v>
      </c>
      <c r="AE18" s="85">
        <v>1</v>
      </c>
      <c r="AF18" s="85">
        <v>1</v>
      </c>
      <c r="AG18" s="85">
        <v>0</v>
      </c>
      <c r="AH18" s="85">
        <v>0</v>
      </c>
      <c r="AP18" s="92">
        <f t="shared" si="0"/>
        <v>13</v>
      </c>
      <c r="AQ18" s="91" t="str">
        <f t="shared" si="1"/>
        <v>0011</v>
      </c>
      <c r="AR18" s="91" t="str">
        <f t="shared" si="2"/>
        <v>2233</v>
      </c>
      <c r="AS18" s="91" t="str">
        <f t="shared" si="3"/>
        <v>4455</v>
      </c>
      <c r="AT18" s="91" t="str">
        <f t="shared" si="4"/>
        <v>5555</v>
      </c>
      <c r="AU18" s="91" t="str">
        <f t="shared" si="5"/>
        <v>5555</v>
      </c>
      <c r="AV18" s="91" t="str">
        <f t="shared" si="6"/>
        <v>5544</v>
      </c>
      <c r="AW18" s="91" t="str">
        <f t="shared" si="7"/>
        <v>3322</v>
      </c>
      <c r="AX18" s="91" t="str">
        <f t="shared" si="8"/>
        <v>1100</v>
      </c>
      <c r="BB18" s="96">
        <v>3</v>
      </c>
      <c r="BC18" s="157" t="s">
        <v>354</v>
      </c>
      <c r="BD18" s="158"/>
    </row>
    <row r="19" spans="1:57" s="83" customFormat="1" ht="14.1" customHeight="1">
      <c r="A19" s="82"/>
      <c r="B19" s="84">
        <v>14</v>
      </c>
      <c r="C19" s="85">
        <v>0</v>
      </c>
      <c r="D19" s="85">
        <v>0</v>
      </c>
      <c r="E19" s="85">
        <v>1</v>
      </c>
      <c r="F19" s="85">
        <v>1</v>
      </c>
      <c r="G19" s="85">
        <v>2</v>
      </c>
      <c r="H19" s="85">
        <v>2</v>
      </c>
      <c r="I19" s="85">
        <v>3</v>
      </c>
      <c r="J19" s="85">
        <v>3</v>
      </c>
      <c r="K19" s="85">
        <v>4</v>
      </c>
      <c r="L19" s="85">
        <v>4</v>
      </c>
      <c r="M19" s="85">
        <v>5</v>
      </c>
      <c r="N19" s="85">
        <v>5</v>
      </c>
      <c r="O19" s="85">
        <v>5</v>
      </c>
      <c r="P19" s="85">
        <v>5</v>
      </c>
      <c r="Q19" s="85">
        <v>5</v>
      </c>
      <c r="R19" s="85">
        <v>5</v>
      </c>
      <c r="S19" s="85">
        <v>5</v>
      </c>
      <c r="T19" s="85">
        <v>5</v>
      </c>
      <c r="U19" s="85">
        <v>5</v>
      </c>
      <c r="V19" s="85">
        <v>5</v>
      </c>
      <c r="W19" s="85">
        <v>5</v>
      </c>
      <c r="X19" s="85">
        <v>5</v>
      </c>
      <c r="Y19" s="85">
        <v>4</v>
      </c>
      <c r="Z19" s="85">
        <v>4</v>
      </c>
      <c r="AA19" s="85">
        <v>4</v>
      </c>
      <c r="AB19" s="85">
        <v>4</v>
      </c>
      <c r="AC19" s="85">
        <v>2</v>
      </c>
      <c r="AD19" s="85">
        <v>2</v>
      </c>
      <c r="AE19" s="85">
        <v>1</v>
      </c>
      <c r="AF19" s="85">
        <v>1</v>
      </c>
      <c r="AG19" s="85">
        <v>0</v>
      </c>
      <c r="AH19" s="85">
        <v>0</v>
      </c>
      <c r="AP19" s="92">
        <f t="shared" si="0"/>
        <v>14</v>
      </c>
      <c r="AQ19" s="91" t="str">
        <f t="shared" si="1"/>
        <v>0011</v>
      </c>
      <c r="AR19" s="91" t="str">
        <f t="shared" si="2"/>
        <v>2233</v>
      </c>
      <c r="AS19" s="91" t="str">
        <f t="shared" si="3"/>
        <v>4455</v>
      </c>
      <c r="AT19" s="91" t="str">
        <f t="shared" si="4"/>
        <v>5555</v>
      </c>
      <c r="AU19" s="91" t="str">
        <f t="shared" si="5"/>
        <v>5555</v>
      </c>
      <c r="AV19" s="91" t="str">
        <f t="shared" si="6"/>
        <v>5544</v>
      </c>
      <c r="AW19" s="91" t="str">
        <f t="shared" si="7"/>
        <v>4422</v>
      </c>
      <c r="AX19" s="91" t="str">
        <f t="shared" si="8"/>
        <v>1100</v>
      </c>
      <c r="BB19" s="97">
        <v>4</v>
      </c>
      <c r="BC19" s="159" t="s">
        <v>355</v>
      </c>
      <c r="BD19" s="160"/>
    </row>
    <row r="20" spans="1:57" s="83" customFormat="1" ht="14.1" customHeight="1">
      <c r="A20" s="82"/>
      <c r="B20" s="84">
        <v>15</v>
      </c>
      <c r="C20" s="85">
        <v>0</v>
      </c>
      <c r="D20" s="85">
        <v>0</v>
      </c>
      <c r="E20" s="85">
        <v>1</v>
      </c>
      <c r="F20" s="85">
        <v>1</v>
      </c>
      <c r="G20" s="85">
        <v>2</v>
      </c>
      <c r="H20" s="85">
        <v>2</v>
      </c>
      <c r="I20" s="85">
        <v>4</v>
      </c>
      <c r="J20" s="85">
        <v>4</v>
      </c>
      <c r="K20" s="85">
        <v>4</v>
      </c>
      <c r="L20" s="85">
        <v>4</v>
      </c>
      <c r="M20" s="85">
        <v>5</v>
      </c>
      <c r="N20" s="85">
        <v>5</v>
      </c>
      <c r="O20" s="85">
        <v>5</v>
      </c>
      <c r="P20" s="85">
        <v>5</v>
      </c>
      <c r="Q20" s="85">
        <v>5</v>
      </c>
      <c r="R20" s="85">
        <v>5</v>
      </c>
      <c r="S20" s="85">
        <v>5</v>
      </c>
      <c r="T20" s="85">
        <v>5</v>
      </c>
      <c r="U20" s="85">
        <v>5</v>
      </c>
      <c r="V20" s="85">
        <v>5</v>
      </c>
      <c r="W20" s="85">
        <v>5</v>
      </c>
      <c r="X20" s="85">
        <v>5</v>
      </c>
      <c r="Y20" s="85">
        <v>4</v>
      </c>
      <c r="Z20" s="85">
        <v>4</v>
      </c>
      <c r="AA20" s="85">
        <v>3</v>
      </c>
      <c r="AB20" s="85">
        <v>3</v>
      </c>
      <c r="AC20" s="85">
        <v>2</v>
      </c>
      <c r="AD20" s="85">
        <v>2</v>
      </c>
      <c r="AE20" s="85">
        <v>1</v>
      </c>
      <c r="AF20" s="85">
        <v>1</v>
      </c>
      <c r="AG20" s="85">
        <v>0</v>
      </c>
      <c r="AH20" s="85">
        <v>0</v>
      </c>
      <c r="AP20" s="92">
        <f t="shared" si="0"/>
        <v>15</v>
      </c>
      <c r="AQ20" s="91" t="str">
        <f t="shared" si="1"/>
        <v>0011</v>
      </c>
      <c r="AR20" s="91" t="str">
        <f t="shared" si="2"/>
        <v>2244</v>
      </c>
      <c r="AS20" s="91" t="str">
        <f t="shared" si="3"/>
        <v>4455</v>
      </c>
      <c r="AT20" s="91" t="str">
        <f t="shared" si="4"/>
        <v>5555</v>
      </c>
      <c r="AU20" s="91" t="str">
        <f t="shared" si="5"/>
        <v>5555</v>
      </c>
      <c r="AV20" s="91" t="str">
        <f t="shared" si="6"/>
        <v>5544</v>
      </c>
      <c r="AW20" s="91" t="str">
        <f t="shared" si="7"/>
        <v>3322</v>
      </c>
      <c r="AX20" s="91" t="str">
        <f t="shared" si="8"/>
        <v>1100</v>
      </c>
      <c r="BB20" s="96">
        <v>5</v>
      </c>
      <c r="BC20" s="157" t="s">
        <v>356</v>
      </c>
      <c r="BD20" s="158"/>
    </row>
    <row r="21" spans="1:57" s="83" customFormat="1" ht="14.1" customHeight="1">
      <c r="A21" s="82"/>
      <c r="B21" s="84">
        <v>16</v>
      </c>
      <c r="C21" s="85">
        <v>0</v>
      </c>
      <c r="D21" s="85">
        <v>0</v>
      </c>
      <c r="E21" s="85">
        <v>1</v>
      </c>
      <c r="F21" s="85">
        <v>1</v>
      </c>
      <c r="G21" s="85">
        <v>2</v>
      </c>
      <c r="H21" s="85">
        <v>2</v>
      </c>
      <c r="I21" s="85">
        <v>3</v>
      </c>
      <c r="J21" s="85">
        <v>3</v>
      </c>
      <c r="K21" s="85">
        <v>4</v>
      </c>
      <c r="L21" s="85">
        <v>4</v>
      </c>
      <c r="M21" s="85">
        <v>5</v>
      </c>
      <c r="N21" s="85">
        <v>5</v>
      </c>
      <c r="O21" s="85">
        <v>5</v>
      </c>
      <c r="P21" s="85">
        <v>5</v>
      </c>
      <c r="Q21" s="85">
        <v>5</v>
      </c>
      <c r="R21" s="85">
        <v>5</v>
      </c>
      <c r="S21" s="85">
        <v>5</v>
      </c>
      <c r="T21" s="85">
        <v>5</v>
      </c>
      <c r="U21" s="85">
        <v>5</v>
      </c>
      <c r="V21" s="85">
        <v>5</v>
      </c>
      <c r="W21" s="85">
        <v>5</v>
      </c>
      <c r="X21" s="85">
        <v>5</v>
      </c>
      <c r="Y21" s="85">
        <v>4</v>
      </c>
      <c r="Z21" s="85">
        <v>4</v>
      </c>
      <c r="AA21" s="85">
        <v>4</v>
      </c>
      <c r="AB21" s="85">
        <v>4</v>
      </c>
      <c r="AC21" s="85">
        <v>2</v>
      </c>
      <c r="AD21" s="85">
        <v>2</v>
      </c>
      <c r="AE21" s="85">
        <v>1</v>
      </c>
      <c r="AF21" s="85">
        <v>1</v>
      </c>
      <c r="AG21" s="85">
        <v>0</v>
      </c>
      <c r="AH21" s="85">
        <v>0</v>
      </c>
      <c r="AP21" s="92">
        <f t="shared" si="0"/>
        <v>16</v>
      </c>
      <c r="AQ21" s="91" t="str">
        <f t="shared" si="1"/>
        <v>0011</v>
      </c>
      <c r="AR21" s="91" t="str">
        <f t="shared" si="2"/>
        <v>2233</v>
      </c>
      <c r="AS21" s="91" t="str">
        <f t="shared" si="3"/>
        <v>4455</v>
      </c>
      <c r="AT21" s="91" t="str">
        <f t="shared" si="4"/>
        <v>5555</v>
      </c>
      <c r="AU21" s="91" t="str">
        <f t="shared" si="5"/>
        <v>5555</v>
      </c>
      <c r="AV21" s="91" t="str">
        <f t="shared" si="6"/>
        <v>5544</v>
      </c>
      <c r="AW21" s="91" t="str">
        <f t="shared" si="7"/>
        <v>4422</v>
      </c>
      <c r="AX21" s="91" t="str">
        <f t="shared" si="8"/>
        <v>1100</v>
      </c>
      <c r="BB21" s="98">
        <v>6</v>
      </c>
      <c r="BC21" s="161" t="s">
        <v>357</v>
      </c>
      <c r="BD21" s="162"/>
    </row>
    <row r="22" spans="1:57" s="83" customFormat="1" ht="14.1" customHeight="1">
      <c r="A22" s="82"/>
      <c r="B22" s="84">
        <v>17</v>
      </c>
      <c r="C22" s="85">
        <v>0</v>
      </c>
      <c r="D22" s="85">
        <v>0</v>
      </c>
      <c r="E22" s="85">
        <v>1</v>
      </c>
      <c r="F22" s="85">
        <v>1</v>
      </c>
      <c r="G22" s="85">
        <v>2</v>
      </c>
      <c r="H22" s="85">
        <v>2</v>
      </c>
      <c r="I22" s="85">
        <v>4</v>
      </c>
      <c r="J22" s="85">
        <v>4</v>
      </c>
      <c r="K22" s="85">
        <v>4</v>
      </c>
      <c r="L22" s="85">
        <v>4</v>
      </c>
      <c r="M22" s="85">
        <v>5</v>
      </c>
      <c r="N22" s="85">
        <v>5</v>
      </c>
      <c r="O22" s="85">
        <v>5</v>
      </c>
      <c r="P22" s="85">
        <v>5</v>
      </c>
      <c r="Q22" s="85">
        <v>5</v>
      </c>
      <c r="R22" s="85">
        <v>5</v>
      </c>
      <c r="S22" s="85">
        <v>5</v>
      </c>
      <c r="T22" s="85">
        <v>5</v>
      </c>
      <c r="U22" s="85">
        <v>5</v>
      </c>
      <c r="V22" s="85">
        <v>5</v>
      </c>
      <c r="W22" s="85">
        <v>5</v>
      </c>
      <c r="X22" s="85">
        <v>5</v>
      </c>
      <c r="Y22" s="85">
        <v>4</v>
      </c>
      <c r="Z22" s="85">
        <v>4</v>
      </c>
      <c r="AA22" s="85">
        <v>3</v>
      </c>
      <c r="AB22" s="85">
        <v>3</v>
      </c>
      <c r="AC22" s="85">
        <v>2</v>
      </c>
      <c r="AD22" s="85">
        <v>2</v>
      </c>
      <c r="AE22" s="85">
        <v>1</v>
      </c>
      <c r="AF22" s="85">
        <v>1</v>
      </c>
      <c r="AG22" s="85">
        <v>0</v>
      </c>
      <c r="AH22" s="85">
        <v>0</v>
      </c>
      <c r="AP22" s="92">
        <f t="shared" si="0"/>
        <v>17</v>
      </c>
      <c r="AQ22" s="91" t="str">
        <f t="shared" si="1"/>
        <v>0011</v>
      </c>
      <c r="AR22" s="91" t="str">
        <f t="shared" si="2"/>
        <v>2244</v>
      </c>
      <c r="AS22" s="91" t="str">
        <f t="shared" si="3"/>
        <v>4455</v>
      </c>
      <c r="AT22" s="91" t="str">
        <f t="shared" si="4"/>
        <v>5555</v>
      </c>
      <c r="AU22" s="91" t="str">
        <f t="shared" si="5"/>
        <v>5555</v>
      </c>
      <c r="AV22" s="91" t="str">
        <f t="shared" si="6"/>
        <v>5544</v>
      </c>
      <c r="AW22" s="91" t="str">
        <f t="shared" si="7"/>
        <v>3322</v>
      </c>
      <c r="AX22" s="91" t="str">
        <f t="shared" si="8"/>
        <v>1100</v>
      </c>
      <c r="BB22" s="96">
        <v>7</v>
      </c>
      <c r="BC22" s="157" t="s">
        <v>358</v>
      </c>
      <c r="BD22" s="158"/>
    </row>
    <row r="23" spans="1:57" s="83" customFormat="1" ht="14.1" customHeight="1">
      <c r="A23" s="82"/>
      <c r="B23" s="84">
        <v>18</v>
      </c>
      <c r="C23" s="85">
        <v>0</v>
      </c>
      <c r="D23" s="85">
        <v>0</v>
      </c>
      <c r="E23" s="85">
        <v>1</v>
      </c>
      <c r="F23" s="85">
        <v>1</v>
      </c>
      <c r="G23" s="85">
        <v>2</v>
      </c>
      <c r="H23" s="85">
        <v>2</v>
      </c>
      <c r="I23" s="85">
        <v>3</v>
      </c>
      <c r="J23" s="85">
        <v>3</v>
      </c>
      <c r="K23" s="85">
        <v>4</v>
      </c>
      <c r="L23" s="85">
        <v>4</v>
      </c>
      <c r="M23" s="85">
        <v>5</v>
      </c>
      <c r="N23" s="85">
        <v>5</v>
      </c>
      <c r="O23" s="85">
        <v>5</v>
      </c>
      <c r="P23" s="85">
        <v>5</v>
      </c>
      <c r="Q23" s="85">
        <v>5</v>
      </c>
      <c r="R23" s="85">
        <v>5</v>
      </c>
      <c r="S23" s="85">
        <v>5</v>
      </c>
      <c r="T23" s="85">
        <v>5</v>
      </c>
      <c r="U23" s="85">
        <v>5</v>
      </c>
      <c r="V23" s="85">
        <v>5</v>
      </c>
      <c r="W23" s="85">
        <v>5</v>
      </c>
      <c r="X23" s="85">
        <v>5</v>
      </c>
      <c r="Y23" s="85">
        <v>4</v>
      </c>
      <c r="Z23" s="85">
        <v>4</v>
      </c>
      <c r="AA23" s="85">
        <v>3</v>
      </c>
      <c r="AB23" s="85">
        <v>3</v>
      </c>
      <c r="AC23" s="85">
        <v>2</v>
      </c>
      <c r="AD23" s="85">
        <v>2</v>
      </c>
      <c r="AE23" s="85">
        <v>1</v>
      </c>
      <c r="AF23" s="85">
        <v>1</v>
      </c>
      <c r="AG23" s="85">
        <v>0</v>
      </c>
      <c r="AH23" s="85">
        <v>0</v>
      </c>
      <c r="AP23" s="92">
        <f t="shared" si="0"/>
        <v>18</v>
      </c>
      <c r="AQ23" s="91" t="str">
        <f t="shared" si="1"/>
        <v>0011</v>
      </c>
      <c r="AR23" s="91" t="str">
        <f t="shared" si="2"/>
        <v>2233</v>
      </c>
      <c r="AS23" s="91" t="str">
        <f t="shared" si="3"/>
        <v>4455</v>
      </c>
      <c r="AT23" s="91" t="str">
        <f t="shared" si="4"/>
        <v>5555</v>
      </c>
      <c r="AU23" s="91" t="str">
        <f t="shared" si="5"/>
        <v>5555</v>
      </c>
      <c r="AV23" s="91" t="str">
        <f t="shared" si="6"/>
        <v>5544</v>
      </c>
      <c r="AW23" s="91" t="str">
        <f t="shared" si="7"/>
        <v>3322</v>
      </c>
      <c r="AX23" s="91" t="str">
        <f t="shared" si="8"/>
        <v>1100</v>
      </c>
      <c r="BB23" s="99">
        <v>8</v>
      </c>
      <c r="BC23" s="163" t="s">
        <v>359</v>
      </c>
      <c r="BD23" s="164"/>
    </row>
    <row r="24" spans="1:57" s="83" customFormat="1" ht="14.1" customHeight="1">
      <c r="A24" s="82"/>
      <c r="B24" s="84">
        <v>19</v>
      </c>
      <c r="C24" s="85">
        <v>0</v>
      </c>
      <c r="D24" s="85">
        <v>0</v>
      </c>
      <c r="E24" s="85">
        <v>1</v>
      </c>
      <c r="F24" s="85">
        <v>1</v>
      </c>
      <c r="G24" s="85">
        <v>2</v>
      </c>
      <c r="H24" s="85">
        <v>2</v>
      </c>
      <c r="I24" s="85">
        <v>3</v>
      </c>
      <c r="J24" s="85">
        <v>3</v>
      </c>
      <c r="K24" s="85">
        <v>4</v>
      </c>
      <c r="L24" s="85">
        <v>4</v>
      </c>
      <c r="M24" s="85">
        <v>5</v>
      </c>
      <c r="N24" s="85">
        <v>5</v>
      </c>
      <c r="O24" s="85">
        <v>5</v>
      </c>
      <c r="P24" s="85">
        <v>5</v>
      </c>
      <c r="Q24" s="85">
        <v>5</v>
      </c>
      <c r="R24" s="85">
        <v>5</v>
      </c>
      <c r="S24" s="85">
        <v>5</v>
      </c>
      <c r="T24" s="85">
        <v>5</v>
      </c>
      <c r="U24" s="85">
        <v>5</v>
      </c>
      <c r="V24" s="85">
        <v>5</v>
      </c>
      <c r="W24" s="85">
        <v>5</v>
      </c>
      <c r="X24" s="85">
        <v>5</v>
      </c>
      <c r="Y24" s="85">
        <v>4</v>
      </c>
      <c r="Z24" s="85">
        <v>4</v>
      </c>
      <c r="AA24" s="85">
        <v>3</v>
      </c>
      <c r="AB24" s="85">
        <v>3</v>
      </c>
      <c r="AC24" s="85">
        <v>2</v>
      </c>
      <c r="AD24" s="85">
        <v>2</v>
      </c>
      <c r="AE24" s="85">
        <v>1</v>
      </c>
      <c r="AF24" s="85">
        <v>1</v>
      </c>
      <c r="AG24" s="85">
        <v>0</v>
      </c>
      <c r="AH24" s="85">
        <v>0</v>
      </c>
      <c r="AP24" s="92">
        <f t="shared" si="0"/>
        <v>19</v>
      </c>
      <c r="AQ24" s="91" t="str">
        <f t="shared" si="1"/>
        <v>0011</v>
      </c>
      <c r="AR24" s="91" t="str">
        <f t="shared" si="2"/>
        <v>2233</v>
      </c>
      <c r="AS24" s="91" t="str">
        <f t="shared" si="3"/>
        <v>4455</v>
      </c>
      <c r="AT24" s="91" t="str">
        <f t="shared" si="4"/>
        <v>5555</v>
      </c>
      <c r="AU24" s="91" t="str">
        <f t="shared" si="5"/>
        <v>5555</v>
      </c>
      <c r="AV24" s="91" t="str">
        <f t="shared" si="6"/>
        <v>5544</v>
      </c>
      <c r="AW24" s="91" t="str">
        <f t="shared" si="7"/>
        <v>3322</v>
      </c>
      <c r="AX24" s="91" t="str">
        <f t="shared" si="8"/>
        <v>1100</v>
      </c>
      <c r="BB24" s="96">
        <v>9</v>
      </c>
      <c r="BC24" s="157" t="s">
        <v>360</v>
      </c>
      <c r="BD24" s="158"/>
    </row>
    <row r="25" spans="1:57" s="83" customFormat="1" ht="14.1" customHeight="1">
      <c r="A25" s="82"/>
      <c r="B25" s="84">
        <v>20</v>
      </c>
      <c r="C25" s="85">
        <v>0</v>
      </c>
      <c r="D25" s="85">
        <v>0</v>
      </c>
      <c r="E25" s="85">
        <v>1</v>
      </c>
      <c r="F25" s="85">
        <v>1</v>
      </c>
      <c r="G25" s="85">
        <v>2</v>
      </c>
      <c r="H25" s="85">
        <v>2</v>
      </c>
      <c r="I25" s="85">
        <v>3</v>
      </c>
      <c r="J25" s="85">
        <v>3</v>
      </c>
      <c r="K25" s="85">
        <v>4</v>
      </c>
      <c r="L25" s="85">
        <v>4</v>
      </c>
      <c r="M25" s="85">
        <v>4</v>
      </c>
      <c r="N25" s="85">
        <v>4</v>
      </c>
      <c r="O25" s="85">
        <v>5</v>
      </c>
      <c r="P25" s="85">
        <v>5</v>
      </c>
      <c r="Q25" s="85">
        <v>5</v>
      </c>
      <c r="R25" s="85">
        <v>5</v>
      </c>
      <c r="S25" s="85">
        <v>5</v>
      </c>
      <c r="T25" s="85">
        <v>5</v>
      </c>
      <c r="U25" s="85">
        <v>5</v>
      </c>
      <c r="V25" s="85">
        <v>5</v>
      </c>
      <c r="W25" s="85">
        <v>4</v>
      </c>
      <c r="X25" s="85">
        <v>4</v>
      </c>
      <c r="Y25" s="85">
        <v>4</v>
      </c>
      <c r="Z25" s="85">
        <v>4</v>
      </c>
      <c r="AA25" s="85">
        <v>3</v>
      </c>
      <c r="AB25" s="85">
        <v>3</v>
      </c>
      <c r="AC25" s="85">
        <v>2</v>
      </c>
      <c r="AD25" s="85">
        <v>2</v>
      </c>
      <c r="AE25" s="85">
        <v>1</v>
      </c>
      <c r="AF25" s="85">
        <v>1</v>
      </c>
      <c r="AG25" s="85">
        <v>0</v>
      </c>
      <c r="AH25" s="85">
        <v>0</v>
      </c>
      <c r="AP25" s="92">
        <f t="shared" si="0"/>
        <v>20</v>
      </c>
      <c r="AQ25" s="91" t="str">
        <f t="shared" si="1"/>
        <v>0011</v>
      </c>
      <c r="AR25" s="91" t="str">
        <f t="shared" si="2"/>
        <v>2233</v>
      </c>
      <c r="AS25" s="91" t="str">
        <f t="shared" si="3"/>
        <v>4444</v>
      </c>
      <c r="AT25" s="91" t="str">
        <f t="shared" si="4"/>
        <v>5555</v>
      </c>
      <c r="AU25" s="91" t="str">
        <f t="shared" si="5"/>
        <v>5555</v>
      </c>
      <c r="AV25" s="91" t="str">
        <f t="shared" si="6"/>
        <v>4444</v>
      </c>
      <c r="AW25" s="91" t="str">
        <f t="shared" si="7"/>
        <v>3322</v>
      </c>
      <c r="AX25" s="91" t="str">
        <f t="shared" si="8"/>
        <v>1100</v>
      </c>
      <c r="BB25" s="100">
        <v>10</v>
      </c>
      <c r="BC25" s="169" t="s">
        <v>361</v>
      </c>
      <c r="BD25" s="170"/>
    </row>
    <row r="26" spans="1:57" s="83" customFormat="1" ht="14.1" customHeight="1">
      <c r="A26" s="82"/>
      <c r="B26" s="84">
        <v>21</v>
      </c>
      <c r="C26" s="85">
        <v>0</v>
      </c>
      <c r="D26" s="85">
        <v>0</v>
      </c>
      <c r="E26" s="85">
        <v>1</v>
      </c>
      <c r="F26" s="85">
        <v>1</v>
      </c>
      <c r="G26" s="85">
        <v>2</v>
      </c>
      <c r="H26" s="85">
        <v>2</v>
      </c>
      <c r="I26" s="85">
        <v>2</v>
      </c>
      <c r="J26" s="85">
        <v>2</v>
      </c>
      <c r="K26" s="85">
        <v>3</v>
      </c>
      <c r="L26" s="85">
        <v>3</v>
      </c>
      <c r="M26" s="85">
        <v>4</v>
      </c>
      <c r="N26" s="85">
        <v>4</v>
      </c>
      <c r="O26" s="85">
        <v>4</v>
      </c>
      <c r="P26" s="85">
        <v>4</v>
      </c>
      <c r="Q26" s="85">
        <v>5</v>
      </c>
      <c r="R26" s="85">
        <v>5</v>
      </c>
      <c r="S26" s="85">
        <v>5</v>
      </c>
      <c r="T26" s="85">
        <v>5</v>
      </c>
      <c r="U26" s="85">
        <v>4</v>
      </c>
      <c r="V26" s="85">
        <v>4</v>
      </c>
      <c r="W26" s="85">
        <v>4</v>
      </c>
      <c r="X26" s="85">
        <v>4</v>
      </c>
      <c r="Y26" s="85">
        <v>3</v>
      </c>
      <c r="Z26" s="85">
        <v>3</v>
      </c>
      <c r="AA26" s="85">
        <v>2</v>
      </c>
      <c r="AB26" s="85">
        <v>2</v>
      </c>
      <c r="AC26" s="85">
        <v>2</v>
      </c>
      <c r="AD26" s="85">
        <v>2</v>
      </c>
      <c r="AE26" s="85">
        <v>1</v>
      </c>
      <c r="AF26" s="85">
        <v>1</v>
      </c>
      <c r="AG26" s="85">
        <v>0</v>
      </c>
      <c r="AH26" s="85">
        <v>0</v>
      </c>
      <c r="AP26" s="92">
        <f t="shared" si="0"/>
        <v>21</v>
      </c>
      <c r="AQ26" s="91" t="str">
        <f t="shared" si="1"/>
        <v>0011</v>
      </c>
      <c r="AR26" s="91" t="str">
        <f t="shared" si="2"/>
        <v>2222</v>
      </c>
      <c r="AS26" s="91" t="str">
        <f t="shared" si="3"/>
        <v>3344</v>
      </c>
      <c r="AT26" s="91" t="str">
        <f t="shared" si="4"/>
        <v>4455</v>
      </c>
      <c r="AU26" s="91" t="str">
        <f t="shared" si="5"/>
        <v>5544</v>
      </c>
      <c r="AV26" s="91" t="str">
        <f t="shared" si="6"/>
        <v>4433</v>
      </c>
      <c r="AW26" s="91" t="str">
        <f t="shared" si="7"/>
        <v>2222</v>
      </c>
      <c r="AX26" s="91" t="str">
        <f t="shared" si="8"/>
        <v>1100</v>
      </c>
      <c r="BB26" s="96">
        <v>11</v>
      </c>
      <c r="BC26" s="157" t="s">
        <v>362</v>
      </c>
      <c r="BD26" s="158"/>
    </row>
    <row r="27" spans="1:57" s="83" customFormat="1" ht="14.1" customHeight="1">
      <c r="A27" s="82"/>
      <c r="B27" s="84">
        <v>22</v>
      </c>
      <c r="C27" s="85">
        <v>0</v>
      </c>
      <c r="D27" s="85">
        <v>0</v>
      </c>
      <c r="E27" s="85">
        <v>1</v>
      </c>
      <c r="F27" s="85">
        <v>1</v>
      </c>
      <c r="G27" s="85">
        <v>1</v>
      </c>
      <c r="H27" s="85">
        <v>1</v>
      </c>
      <c r="I27" s="85">
        <v>2</v>
      </c>
      <c r="J27" s="85">
        <v>2</v>
      </c>
      <c r="K27" s="85">
        <v>3</v>
      </c>
      <c r="L27" s="85">
        <v>3</v>
      </c>
      <c r="M27" s="85">
        <v>3</v>
      </c>
      <c r="N27" s="85">
        <v>3</v>
      </c>
      <c r="O27" s="85">
        <v>4</v>
      </c>
      <c r="P27" s="85">
        <v>4</v>
      </c>
      <c r="Q27" s="85">
        <v>4</v>
      </c>
      <c r="R27" s="85">
        <v>4</v>
      </c>
      <c r="S27" s="85">
        <v>4</v>
      </c>
      <c r="T27" s="85">
        <v>4</v>
      </c>
      <c r="U27" s="85">
        <v>4</v>
      </c>
      <c r="V27" s="85">
        <v>4</v>
      </c>
      <c r="W27" s="85">
        <v>3</v>
      </c>
      <c r="X27" s="85">
        <v>3</v>
      </c>
      <c r="Y27" s="85">
        <v>3</v>
      </c>
      <c r="Z27" s="85">
        <v>3</v>
      </c>
      <c r="AA27" s="85">
        <v>2</v>
      </c>
      <c r="AB27" s="85">
        <v>2</v>
      </c>
      <c r="AC27" s="85">
        <v>1</v>
      </c>
      <c r="AD27" s="85">
        <v>1</v>
      </c>
      <c r="AE27" s="85">
        <v>1</v>
      </c>
      <c r="AF27" s="85">
        <v>1</v>
      </c>
      <c r="AG27" s="85">
        <v>0</v>
      </c>
      <c r="AH27" s="85">
        <v>0</v>
      </c>
      <c r="AP27" s="92">
        <f t="shared" si="0"/>
        <v>22</v>
      </c>
      <c r="AQ27" s="91" t="str">
        <f t="shared" si="1"/>
        <v>0011</v>
      </c>
      <c r="AR27" s="91" t="str">
        <f t="shared" si="2"/>
        <v>1122</v>
      </c>
      <c r="AS27" s="91" t="str">
        <f t="shared" si="3"/>
        <v>3333</v>
      </c>
      <c r="AT27" s="91" t="str">
        <f t="shared" si="4"/>
        <v>4444</v>
      </c>
      <c r="AU27" s="91" t="str">
        <f t="shared" si="5"/>
        <v>4444</v>
      </c>
      <c r="AV27" s="91" t="str">
        <f t="shared" si="6"/>
        <v>3333</v>
      </c>
      <c r="AW27" s="91" t="str">
        <f t="shared" si="7"/>
        <v>2211</v>
      </c>
      <c r="AX27" s="91" t="str">
        <f t="shared" si="8"/>
        <v>1100</v>
      </c>
      <c r="BB27" s="101">
        <v>12</v>
      </c>
      <c r="BC27" s="171" t="s">
        <v>363</v>
      </c>
      <c r="BD27" s="172"/>
    </row>
    <row r="28" spans="1:57" s="83" customFormat="1" ht="14.1" customHeight="1">
      <c r="A28" s="82"/>
      <c r="B28" s="84">
        <v>23</v>
      </c>
      <c r="C28" s="85">
        <v>0</v>
      </c>
      <c r="D28" s="85">
        <v>0</v>
      </c>
      <c r="E28" s="85">
        <v>0</v>
      </c>
      <c r="F28" s="85">
        <v>0</v>
      </c>
      <c r="G28" s="85">
        <v>1</v>
      </c>
      <c r="H28" s="85">
        <v>1</v>
      </c>
      <c r="I28" s="85">
        <v>2</v>
      </c>
      <c r="J28" s="85">
        <v>2</v>
      </c>
      <c r="K28" s="85">
        <v>2</v>
      </c>
      <c r="L28" s="85">
        <v>2</v>
      </c>
      <c r="M28" s="85">
        <v>3</v>
      </c>
      <c r="N28" s="85">
        <v>3</v>
      </c>
      <c r="O28" s="85">
        <v>3</v>
      </c>
      <c r="P28" s="85">
        <v>3</v>
      </c>
      <c r="Q28" s="85">
        <v>4</v>
      </c>
      <c r="R28" s="85">
        <v>4</v>
      </c>
      <c r="S28" s="85">
        <v>4</v>
      </c>
      <c r="T28" s="85">
        <v>4</v>
      </c>
      <c r="U28" s="85">
        <v>3</v>
      </c>
      <c r="V28" s="85">
        <v>3</v>
      </c>
      <c r="W28" s="85">
        <v>3</v>
      </c>
      <c r="X28" s="85">
        <v>3</v>
      </c>
      <c r="Y28" s="85">
        <v>2</v>
      </c>
      <c r="Z28" s="85">
        <v>2</v>
      </c>
      <c r="AA28" s="85">
        <v>2</v>
      </c>
      <c r="AB28" s="85">
        <v>2</v>
      </c>
      <c r="AC28" s="85">
        <v>1</v>
      </c>
      <c r="AD28" s="85">
        <v>1</v>
      </c>
      <c r="AE28" s="85">
        <v>1</v>
      </c>
      <c r="AF28" s="85">
        <v>1</v>
      </c>
      <c r="AG28" s="85">
        <v>0</v>
      </c>
      <c r="AH28" s="85">
        <v>0</v>
      </c>
      <c r="AP28" s="92">
        <f t="shared" si="0"/>
        <v>23</v>
      </c>
      <c r="AQ28" s="91" t="str">
        <f t="shared" si="1"/>
        <v>0000</v>
      </c>
      <c r="AR28" s="91" t="str">
        <f t="shared" si="2"/>
        <v>1122</v>
      </c>
      <c r="AS28" s="91" t="str">
        <f t="shared" si="3"/>
        <v>2233</v>
      </c>
      <c r="AT28" s="91" t="str">
        <f t="shared" si="4"/>
        <v>3344</v>
      </c>
      <c r="AU28" s="91" t="str">
        <f t="shared" si="5"/>
        <v>4433</v>
      </c>
      <c r="AV28" s="91" t="str">
        <f t="shared" si="6"/>
        <v>3322</v>
      </c>
      <c r="AW28" s="91" t="str">
        <f t="shared" si="7"/>
        <v>2211</v>
      </c>
      <c r="AX28" s="91" t="str">
        <f t="shared" si="8"/>
        <v>1100</v>
      </c>
      <c r="BB28" s="102">
        <v>13</v>
      </c>
      <c r="BC28" s="157" t="s">
        <v>364</v>
      </c>
      <c r="BD28" s="158"/>
    </row>
    <row r="29" spans="1:57" s="83" customFormat="1" ht="14.1" customHeight="1">
      <c r="A29" s="82"/>
      <c r="B29" s="84">
        <v>24</v>
      </c>
      <c r="C29" s="85">
        <v>0</v>
      </c>
      <c r="D29" s="85">
        <v>0</v>
      </c>
      <c r="E29" s="85">
        <v>0</v>
      </c>
      <c r="F29" s="85">
        <v>0</v>
      </c>
      <c r="G29" s="85">
        <v>1</v>
      </c>
      <c r="H29" s="85">
        <v>1</v>
      </c>
      <c r="I29" s="85">
        <v>1</v>
      </c>
      <c r="J29" s="85">
        <v>1</v>
      </c>
      <c r="K29" s="85">
        <v>2</v>
      </c>
      <c r="L29" s="85">
        <v>2</v>
      </c>
      <c r="M29" s="85">
        <v>2</v>
      </c>
      <c r="N29" s="85">
        <v>2</v>
      </c>
      <c r="O29" s="85">
        <v>4</v>
      </c>
      <c r="P29" s="85">
        <v>4</v>
      </c>
      <c r="Q29" s="85">
        <v>3</v>
      </c>
      <c r="R29" s="85">
        <v>3</v>
      </c>
      <c r="S29" s="85">
        <v>4</v>
      </c>
      <c r="T29" s="85">
        <v>4</v>
      </c>
      <c r="U29" s="85">
        <v>3</v>
      </c>
      <c r="V29" s="85">
        <v>3</v>
      </c>
      <c r="W29" s="85">
        <v>2</v>
      </c>
      <c r="X29" s="85">
        <v>2</v>
      </c>
      <c r="Y29" s="85">
        <v>2</v>
      </c>
      <c r="Z29" s="85">
        <v>2</v>
      </c>
      <c r="AA29" s="85">
        <v>1</v>
      </c>
      <c r="AB29" s="85">
        <v>1</v>
      </c>
      <c r="AC29" s="85">
        <v>1</v>
      </c>
      <c r="AD29" s="85">
        <v>1</v>
      </c>
      <c r="AE29" s="85">
        <v>0</v>
      </c>
      <c r="AF29" s="85">
        <v>0</v>
      </c>
      <c r="AG29" s="85">
        <v>0</v>
      </c>
      <c r="AH29" s="85">
        <v>0</v>
      </c>
      <c r="AP29" s="92">
        <f t="shared" si="0"/>
        <v>24</v>
      </c>
      <c r="AQ29" s="91" t="str">
        <f t="shared" si="1"/>
        <v>0000</v>
      </c>
      <c r="AR29" s="91" t="str">
        <f t="shared" si="2"/>
        <v>1111</v>
      </c>
      <c r="AS29" s="91" t="str">
        <f t="shared" si="3"/>
        <v>2222</v>
      </c>
      <c r="AT29" s="91" t="str">
        <f t="shared" si="4"/>
        <v>4433</v>
      </c>
      <c r="AU29" s="91" t="str">
        <f t="shared" si="5"/>
        <v>4433</v>
      </c>
      <c r="AV29" s="91" t="str">
        <f t="shared" si="6"/>
        <v>2222</v>
      </c>
      <c r="AW29" s="91" t="str">
        <f t="shared" si="7"/>
        <v>1111</v>
      </c>
      <c r="AX29" s="91" t="str">
        <f t="shared" si="8"/>
        <v>0000</v>
      </c>
      <c r="BB29" s="103">
        <v>14</v>
      </c>
      <c r="BC29" s="165" t="s">
        <v>365</v>
      </c>
      <c r="BD29" s="166"/>
    </row>
    <row r="30" spans="1:57" s="83" customFormat="1" ht="14.1" customHeight="1" thickBot="1">
      <c r="A30" s="82"/>
      <c r="B30" s="84">
        <v>25</v>
      </c>
      <c r="C30" s="85">
        <v>0</v>
      </c>
      <c r="D30" s="85">
        <v>0</v>
      </c>
      <c r="E30" s="85">
        <v>0</v>
      </c>
      <c r="F30" s="85">
        <v>0</v>
      </c>
      <c r="G30" s="85">
        <v>1</v>
      </c>
      <c r="H30" s="85">
        <v>1</v>
      </c>
      <c r="I30" s="85">
        <v>1</v>
      </c>
      <c r="J30" s="85">
        <v>1</v>
      </c>
      <c r="K30" s="85">
        <v>2</v>
      </c>
      <c r="L30" s="85">
        <v>2</v>
      </c>
      <c r="M30" s="85">
        <v>2</v>
      </c>
      <c r="N30" s="85">
        <v>2</v>
      </c>
      <c r="O30" s="85">
        <v>2</v>
      </c>
      <c r="P30" s="85">
        <v>2</v>
      </c>
      <c r="Q30" s="85">
        <v>3</v>
      </c>
      <c r="R30" s="85">
        <v>3</v>
      </c>
      <c r="S30" s="85">
        <v>3</v>
      </c>
      <c r="T30" s="85">
        <v>3</v>
      </c>
      <c r="U30" s="85">
        <v>2</v>
      </c>
      <c r="V30" s="85">
        <v>2</v>
      </c>
      <c r="W30" s="85">
        <v>2</v>
      </c>
      <c r="X30" s="85">
        <v>2</v>
      </c>
      <c r="Y30" s="85">
        <v>2</v>
      </c>
      <c r="Z30" s="85">
        <v>2</v>
      </c>
      <c r="AA30" s="85">
        <v>1</v>
      </c>
      <c r="AB30" s="85">
        <v>1</v>
      </c>
      <c r="AC30" s="85">
        <v>1</v>
      </c>
      <c r="AD30" s="85">
        <v>1</v>
      </c>
      <c r="AE30" s="85">
        <v>0</v>
      </c>
      <c r="AF30" s="85">
        <v>0</v>
      </c>
      <c r="AG30" s="85">
        <v>0</v>
      </c>
      <c r="AH30" s="85">
        <v>0</v>
      </c>
      <c r="AP30" s="92">
        <f t="shared" si="0"/>
        <v>25</v>
      </c>
      <c r="AQ30" s="91" t="str">
        <f t="shared" si="1"/>
        <v>0000</v>
      </c>
      <c r="AR30" s="91" t="str">
        <f t="shared" si="2"/>
        <v>1111</v>
      </c>
      <c r="AS30" s="91" t="str">
        <f t="shared" si="3"/>
        <v>2222</v>
      </c>
      <c r="AT30" s="91" t="str">
        <f t="shared" si="4"/>
        <v>2233</v>
      </c>
      <c r="AU30" s="91" t="str">
        <f t="shared" si="5"/>
        <v>3322</v>
      </c>
      <c r="AV30" s="91" t="str">
        <f t="shared" si="6"/>
        <v>2222</v>
      </c>
      <c r="AW30" s="91" t="str">
        <f t="shared" si="7"/>
        <v>1111</v>
      </c>
      <c r="AX30" s="91" t="str">
        <f t="shared" si="8"/>
        <v>0000</v>
      </c>
      <c r="BB30" s="104">
        <v>15</v>
      </c>
      <c r="BC30" s="167" t="s">
        <v>366</v>
      </c>
      <c r="BD30" s="168"/>
    </row>
    <row r="31" spans="1:57" s="83" customFormat="1" ht="14.1" customHeight="1">
      <c r="A31" s="82"/>
      <c r="B31" s="84">
        <v>26</v>
      </c>
      <c r="C31" s="85">
        <v>0</v>
      </c>
      <c r="D31" s="85">
        <v>0</v>
      </c>
      <c r="E31" s="85">
        <v>0</v>
      </c>
      <c r="F31" s="85">
        <v>0</v>
      </c>
      <c r="G31" s="85">
        <v>0</v>
      </c>
      <c r="H31" s="85">
        <v>0</v>
      </c>
      <c r="I31" s="85">
        <v>1</v>
      </c>
      <c r="J31" s="85">
        <v>1</v>
      </c>
      <c r="K31" s="85">
        <v>1</v>
      </c>
      <c r="L31" s="85">
        <v>1</v>
      </c>
      <c r="M31" s="85">
        <v>2</v>
      </c>
      <c r="N31" s="85">
        <v>2</v>
      </c>
      <c r="O31" s="85">
        <v>2</v>
      </c>
      <c r="P31" s="85">
        <v>2</v>
      </c>
      <c r="Q31" s="85">
        <v>2</v>
      </c>
      <c r="R31" s="85">
        <v>2</v>
      </c>
      <c r="S31" s="85">
        <v>2</v>
      </c>
      <c r="T31" s="85">
        <v>2</v>
      </c>
      <c r="U31" s="85">
        <v>2</v>
      </c>
      <c r="V31" s="85">
        <v>2</v>
      </c>
      <c r="W31" s="85">
        <v>2</v>
      </c>
      <c r="X31" s="85">
        <v>2</v>
      </c>
      <c r="Y31" s="85">
        <v>1</v>
      </c>
      <c r="Z31" s="85">
        <v>1</v>
      </c>
      <c r="AA31" s="85">
        <v>1</v>
      </c>
      <c r="AB31" s="85">
        <v>1</v>
      </c>
      <c r="AC31" s="85">
        <v>0</v>
      </c>
      <c r="AD31" s="85">
        <v>0</v>
      </c>
      <c r="AE31" s="85">
        <v>0</v>
      </c>
      <c r="AF31" s="85">
        <v>0</v>
      </c>
      <c r="AG31" s="85">
        <v>0</v>
      </c>
      <c r="AH31" s="85">
        <v>0</v>
      </c>
      <c r="AP31" s="92">
        <f t="shared" si="0"/>
        <v>26</v>
      </c>
      <c r="AQ31" s="91" t="str">
        <f t="shared" si="1"/>
        <v>0000</v>
      </c>
      <c r="AR31" s="91" t="str">
        <f t="shared" si="2"/>
        <v>0011</v>
      </c>
      <c r="AS31" s="91" t="str">
        <f t="shared" si="3"/>
        <v>1122</v>
      </c>
      <c r="AT31" s="91" t="str">
        <f t="shared" si="4"/>
        <v>2222</v>
      </c>
      <c r="AU31" s="91" t="str">
        <f t="shared" si="5"/>
        <v>2222</v>
      </c>
      <c r="AV31" s="91" t="str">
        <f t="shared" si="6"/>
        <v>2211</v>
      </c>
      <c r="AW31" s="91" t="str">
        <f t="shared" si="7"/>
        <v>1100</v>
      </c>
      <c r="AX31" s="91" t="str">
        <f t="shared" si="8"/>
        <v>0000</v>
      </c>
      <c r="BB31" s="79"/>
      <c r="BC31" s="79"/>
      <c r="BD31" s="79"/>
      <c r="BE31" s="79"/>
    </row>
    <row r="32" spans="1:57" s="83" customFormat="1" ht="14.1" customHeight="1">
      <c r="A32" s="82"/>
      <c r="B32" s="84">
        <v>27</v>
      </c>
      <c r="C32" s="85">
        <v>0</v>
      </c>
      <c r="D32" s="85">
        <v>0</v>
      </c>
      <c r="E32" s="85">
        <v>0</v>
      </c>
      <c r="F32" s="85">
        <v>0</v>
      </c>
      <c r="G32" s="85">
        <v>0</v>
      </c>
      <c r="H32" s="85">
        <v>0</v>
      </c>
      <c r="I32" s="85">
        <v>1</v>
      </c>
      <c r="J32" s="85">
        <v>1</v>
      </c>
      <c r="K32" s="85">
        <v>1</v>
      </c>
      <c r="L32" s="85">
        <v>1</v>
      </c>
      <c r="M32" s="85">
        <v>1</v>
      </c>
      <c r="N32" s="85">
        <v>1</v>
      </c>
      <c r="O32" s="85">
        <v>2</v>
      </c>
      <c r="P32" s="85">
        <v>2</v>
      </c>
      <c r="Q32" s="85">
        <v>2</v>
      </c>
      <c r="R32" s="85">
        <v>2</v>
      </c>
      <c r="S32" s="85">
        <v>2</v>
      </c>
      <c r="T32" s="85">
        <v>2</v>
      </c>
      <c r="U32" s="85">
        <v>2</v>
      </c>
      <c r="V32" s="85">
        <v>2</v>
      </c>
      <c r="W32" s="85">
        <v>1</v>
      </c>
      <c r="X32" s="85">
        <v>1</v>
      </c>
      <c r="Y32" s="85">
        <v>1</v>
      </c>
      <c r="Z32" s="85">
        <v>1</v>
      </c>
      <c r="AA32" s="85">
        <v>0</v>
      </c>
      <c r="AB32" s="85">
        <v>0</v>
      </c>
      <c r="AC32" s="85">
        <v>0</v>
      </c>
      <c r="AD32" s="85">
        <v>0</v>
      </c>
      <c r="AE32" s="85">
        <v>0</v>
      </c>
      <c r="AF32" s="85">
        <v>0</v>
      </c>
      <c r="AG32" s="85">
        <v>0</v>
      </c>
      <c r="AH32" s="85">
        <v>0</v>
      </c>
      <c r="AP32" s="92">
        <f t="shared" si="0"/>
        <v>27</v>
      </c>
      <c r="AQ32" s="91" t="str">
        <f t="shared" si="1"/>
        <v>0000</v>
      </c>
      <c r="AR32" s="91" t="str">
        <f t="shared" si="2"/>
        <v>0011</v>
      </c>
      <c r="AS32" s="91" t="str">
        <f t="shared" si="3"/>
        <v>1111</v>
      </c>
      <c r="AT32" s="91" t="str">
        <f t="shared" si="4"/>
        <v>2222</v>
      </c>
      <c r="AU32" s="91" t="str">
        <f t="shared" si="5"/>
        <v>2222</v>
      </c>
      <c r="AV32" s="91" t="str">
        <f t="shared" si="6"/>
        <v>1111</v>
      </c>
      <c r="AW32" s="91" t="str">
        <f t="shared" si="7"/>
        <v>0000</v>
      </c>
      <c r="AX32" s="91" t="str">
        <f t="shared" si="8"/>
        <v>0000</v>
      </c>
      <c r="BB32" s="105" t="s">
        <v>367</v>
      </c>
      <c r="BC32" s="79"/>
      <c r="BD32" s="79"/>
      <c r="BE32" s="79"/>
    </row>
    <row r="33" spans="1:57" s="83" customFormat="1" ht="14.1" customHeight="1">
      <c r="A33" s="82"/>
      <c r="B33" s="84">
        <v>28</v>
      </c>
      <c r="C33" s="85">
        <v>0</v>
      </c>
      <c r="D33" s="85">
        <v>0</v>
      </c>
      <c r="E33" s="85">
        <v>0</v>
      </c>
      <c r="F33" s="85">
        <v>0</v>
      </c>
      <c r="G33" s="85">
        <v>0</v>
      </c>
      <c r="H33" s="85">
        <v>0</v>
      </c>
      <c r="I33" s="85">
        <v>0</v>
      </c>
      <c r="J33" s="85">
        <v>0</v>
      </c>
      <c r="K33" s="85">
        <v>1</v>
      </c>
      <c r="L33" s="85">
        <v>1</v>
      </c>
      <c r="M33" s="85">
        <v>1</v>
      </c>
      <c r="N33" s="85">
        <v>1</v>
      </c>
      <c r="O33" s="85">
        <v>1</v>
      </c>
      <c r="P33" s="85">
        <v>1</v>
      </c>
      <c r="Q33" s="85">
        <v>1</v>
      </c>
      <c r="R33" s="85">
        <v>1</v>
      </c>
      <c r="S33" s="85">
        <v>1</v>
      </c>
      <c r="T33" s="85">
        <v>1</v>
      </c>
      <c r="U33" s="85">
        <v>1</v>
      </c>
      <c r="V33" s="85">
        <v>1</v>
      </c>
      <c r="W33" s="85">
        <v>1</v>
      </c>
      <c r="X33" s="85">
        <v>1</v>
      </c>
      <c r="Y33" s="85">
        <v>1</v>
      </c>
      <c r="Z33" s="85">
        <v>1</v>
      </c>
      <c r="AA33" s="85">
        <v>0</v>
      </c>
      <c r="AB33" s="85">
        <v>0</v>
      </c>
      <c r="AC33" s="85">
        <v>0</v>
      </c>
      <c r="AD33" s="85">
        <v>0</v>
      </c>
      <c r="AE33" s="85">
        <v>0</v>
      </c>
      <c r="AF33" s="85">
        <v>0</v>
      </c>
      <c r="AG33" s="85">
        <v>0</v>
      </c>
      <c r="AH33" s="85">
        <v>0</v>
      </c>
      <c r="AP33" s="92">
        <f t="shared" si="0"/>
        <v>28</v>
      </c>
      <c r="AQ33" s="91" t="str">
        <f t="shared" si="1"/>
        <v>0000</v>
      </c>
      <c r="AR33" s="91" t="str">
        <f t="shared" si="2"/>
        <v>0000</v>
      </c>
      <c r="AS33" s="91" t="str">
        <f t="shared" si="3"/>
        <v>1111</v>
      </c>
      <c r="AT33" s="91" t="str">
        <f t="shared" si="4"/>
        <v>1111</v>
      </c>
      <c r="AU33" s="91" t="str">
        <f t="shared" si="5"/>
        <v>1111</v>
      </c>
      <c r="AV33" s="91" t="str">
        <f t="shared" si="6"/>
        <v>1111</v>
      </c>
      <c r="AW33" s="91" t="str">
        <f t="shared" si="7"/>
        <v>0000</v>
      </c>
      <c r="AX33" s="91" t="str">
        <f t="shared" si="8"/>
        <v>0000</v>
      </c>
      <c r="BB33" s="105" t="s">
        <v>333</v>
      </c>
      <c r="BC33" s="79"/>
      <c r="BD33" s="79"/>
      <c r="BE33" s="79"/>
    </row>
    <row r="34" spans="1:57" s="83" customFormat="1" ht="14.1" customHeight="1">
      <c r="A34" s="82"/>
      <c r="B34" s="84">
        <v>29</v>
      </c>
      <c r="C34" s="85">
        <v>0</v>
      </c>
      <c r="D34" s="85">
        <v>0</v>
      </c>
      <c r="E34" s="85">
        <v>0</v>
      </c>
      <c r="F34" s="85">
        <v>0</v>
      </c>
      <c r="G34" s="85">
        <v>0</v>
      </c>
      <c r="H34" s="85">
        <v>0</v>
      </c>
      <c r="I34" s="85">
        <v>0</v>
      </c>
      <c r="J34" s="85">
        <v>0</v>
      </c>
      <c r="K34" s="85">
        <v>0</v>
      </c>
      <c r="L34" s="85">
        <v>0</v>
      </c>
      <c r="M34" s="85">
        <v>1</v>
      </c>
      <c r="N34" s="85">
        <v>1</v>
      </c>
      <c r="O34" s="85">
        <v>1</v>
      </c>
      <c r="P34" s="85">
        <v>1</v>
      </c>
      <c r="Q34" s="85">
        <v>1</v>
      </c>
      <c r="R34" s="85">
        <v>1</v>
      </c>
      <c r="S34" s="85">
        <v>1</v>
      </c>
      <c r="T34" s="85">
        <v>1</v>
      </c>
      <c r="U34" s="85">
        <v>1</v>
      </c>
      <c r="V34" s="85">
        <v>1</v>
      </c>
      <c r="W34" s="85">
        <v>1</v>
      </c>
      <c r="X34" s="85">
        <v>1</v>
      </c>
      <c r="Y34" s="85">
        <v>0</v>
      </c>
      <c r="Z34" s="85">
        <v>0</v>
      </c>
      <c r="AA34" s="85">
        <v>0</v>
      </c>
      <c r="AB34" s="85">
        <v>0</v>
      </c>
      <c r="AC34" s="85">
        <v>0</v>
      </c>
      <c r="AD34" s="85">
        <v>0</v>
      </c>
      <c r="AE34" s="85">
        <v>0</v>
      </c>
      <c r="AF34" s="85">
        <v>0</v>
      </c>
      <c r="AG34" s="85">
        <v>0</v>
      </c>
      <c r="AH34" s="85">
        <v>0</v>
      </c>
      <c r="AP34" s="92">
        <f t="shared" si="0"/>
        <v>29</v>
      </c>
      <c r="AQ34" s="91" t="str">
        <f t="shared" si="1"/>
        <v>0000</v>
      </c>
      <c r="AR34" s="91" t="str">
        <f t="shared" si="2"/>
        <v>0000</v>
      </c>
      <c r="AS34" s="91" t="str">
        <f t="shared" si="3"/>
        <v>0011</v>
      </c>
      <c r="AT34" s="91" t="str">
        <f t="shared" si="4"/>
        <v>1111</v>
      </c>
      <c r="AU34" s="91" t="str">
        <f t="shared" si="5"/>
        <v>1111</v>
      </c>
      <c r="AV34" s="91" t="str">
        <f t="shared" si="6"/>
        <v>1100</v>
      </c>
      <c r="AW34" s="91" t="str">
        <f t="shared" si="7"/>
        <v>0000</v>
      </c>
      <c r="AX34" s="91" t="str">
        <f t="shared" si="8"/>
        <v>0000</v>
      </c>
      <c r="BB34" s="105" t="s">
        <v>368</v>
      </c>
      <c r="BC34" s="79"/>
      <c r="BD34" s="79"/>
      <c r="BE34" s="79"/>
    </row>
    <row r="35" spans="1:57" s="83" customFormat="1" ht="14.1" customHeight="1">
      <c r="A35" s="82"/>
      <c r="B35" s="84">
        <v>30</v>
      </c>
      <c r="C35" s="85">
        <v>0</v>
      </c>
      <c r="D35" s="85">
        <v>0</v>
      </c>
      <c r="E35" s="85">
        <v>0</v>
      </c>
      <c r="F35" s="85">
        <v>0</v>
      </c>
      <c r="G35" s="85">
        <v>0</v>
      </c>
      <c r="H35" s="85">
        <v>0</v>
      </c>
      <c r="I35" s="85">
        <v>0</v>
      </c>
      <c r="J35" s="85">
        <v>0</v>
      </c>
      <c r="K35" s="85">
        <v>0</v>
      </c>
      <c r="L35" s="85">
        <v>0</v>
      </c>
      <c r="M35" s="85">
        <v>0</v>
      </c>
      <c r="N35" s="85">
        <v>0</v>
      </c>
      <c r="O35" s="85">
        <v>1</v>
      </c>
      <c r="P35" s="85">
        <v>1</v>
      </c>
      <c r="Q35" s="85">
        <v>1</v>
      </c>
      <c r="R35" s="85">
        <v>1</v>
      </c>
      <c r="S35" s="85">
        <v>1</v>
      </c>
      <c r="T35" s="85">
        <v>1</v>
      </c>
      <c r="U35" s="85">
        <v>1</v>
      </c>
      <c r="V35" s="85">
        <v>1</v>
      </c>
      <c r="W35" s="85">
        <v>0</v>
      </c>
      <c r="X35" s="85">
        <v>0</v>
      </c>
      <c r="Y35" s="85">
        <v>0</v>
      </c>
      <c r="Z35" s="85">
        <v>0</v>
      </c>
      <c r="AA35" s="85">
        <v>0</v>
      </c>
      <c r="AB35" s="85">
        <v>0</v>
      </c>
      <c r="AC35" s="85">
        <v>0</v>
      </c>
      <c r="AD35" s="85">
        <v>0</v>
      </c>
      <c r="AE35" s="85">
        <v>0</v>
      </c>
      <c r="AF35" s="85">
        <v>0</v>
      </c>
      <c r="AG35" s="85">
        <v>0</v>
      </c>
      <c r="AH35" s="85">
        <v>0</v>
      </c>
      <c r="AP35" s="92">
        <f t="shared" si="0"/>
        <v>30</v>
      </c>
      <c r="AQ35" s="91" t="str">
        <f t="shared" si="1"/>
        <v>0000</v>
      </c>
      <c r="AR35" s="91" t="str">
        <f t="shared" si="2"/>
        <v>0000</v>
      </c>
      <c r="AS35" s="91" t="str">
        <f t="shared" si="3"/>
        <v>0000</v>
      </c>
      <c r="AT35" s="91" t="str">
        <f t="shared" si="4"/>
        <v>1111</v>
      </c>
      <c r="AU35" s="91" t="str">
        <f t="shared" si="5"/>
        <v>1111</v>
      </c>
      <c r="AV35" s="91" t="str">
        <f t="shared" si="6"/>
        <v>0000</v>
      </c>
      <c r="AW35" s="91" t="str">
        <f t="shared" si="7"/>
        <v>0000</v>
      </c>
      <c r="AX35" s="91" t="str">
        <f t="shared" si="8"/>
        <v>0000</v>
      </c>
      <c r="BB35" s="105" t="s">
        <v>369</v>
      </c>
      <c r="BC35" s="79"/>
      <c r="BD35" s="79"/>
      <c r="BE35" s="79"/>
    </row>
    <row r="36" spans="1:57" s="83" customFormat="1" ht="14.1" customHeight="1">
      <c r="A36" s="82"/>
      <c r="B36" s="84">
        <v>31</v>
      </c>
      <c r="C36" s="85">
        <v>0</v>
      </c>
      <c r="D36" s="85">
        <v>0</v>
      </c>
      <c r="E36" s="85">
        <v>0</v>
      </c>
      <c r="F36" s="85">
        <v>0</v>
      </c>
      <c r="G36" s="85">
        <v>0</v>
      </c>
      <c r="H36" s="85">
        <v>0</v>
      </c>
      <c r="I36" s="85">
        <v>0</v>
      </c>
      <c r="J36" s="85">
        <v>0</v>
      </c>
      <c r="K36" s="85">
        <v>0</v>
      </c>
      <c r="L36" s="85">
        <v>0</v>
      </c>
      <c r="M36" s="85">
        <v>0</v>
      </c>
      <c r="N36" s="85">
        <v>0</v>
      </c>
      <c r="O36" s="85">
        <v>0</v>
      </c>
      <c r="P36" s="85">
        <v>0</v>
      </c>
      <c r="Q36" s="85">
        <v>0</v>
      </c>
      <c r="R36" s="85">
        <v>0</v>
      </c>
      <c r="S36" s="85">
        <v>0</v>
      </c>
      <c r="T36" s="85">
        <v>0</v>
      </c>
      <c r="U36" s="85">
        <v>0</v>
      </c>
      <c r="V36" s="85">
        <v>0</v>
      </c>
      <c r="W36" s="85">
        <v>0</v>
      </c>
      <c r="X36" s="85">
        <v>0</v>
      </c>
      <c r="Y36" s="85">
        <v>0</v>
      </c>
      <c r="Z36" s="85">
        <v>0</v>
      </c>
      <c r="AA36" s="85">
        <v>0</v>
      </c>
      <c r="AB36" s="85">
        <v>0</v>
      </c>
      <c r="AC36" s="85">
        <v>0</v>
      </c>
      <c r="AD36" s="85">
        <v>0</v>
      </c>
      <c r="AE36" s="85">
        <v>0</v>
      </c>
      <c r="AF36" s="85">
        <v>0</v>
      </c>
      <c r="AG36" s="85">
        <v>0</v>
      </c>
      <c r="AH36" s="85">
        <v>0</v>
      </c>
      <c r="AP36" s="92">
        <f t="shared" si="0"/>
        <v>31</v>
      </c>
      <c r="AQ36" s="91" t="str">
        <f t="shared" si="1"/>
        <v>0000</v>
      </c>
      <c r="AR36" s="91" t="str">
        <f t="shared" si="2"/>
        <v>0000</v>
      </c>
      <c r="AS36" s="91" t="str">
        <f t="shared" si="3"/>
        <v>0000</v>
      </c>
      <c r="AT36" s="91" t="str">
        <f t="shared" si="4"/>
        <v>0000</v>
      </c>
      <c r="AU36" s="91" t="str">
        <f t="shared" si="5"/>
        <v>0000</v>
      </c>
      <c r="AV36" s="91" t="str">
        <f t="shared" si="6"/>
        <v>0000</v>
      </c>
      <c r="AW36" s="91" t="str">
        <f t="shared" si="7"/>
        <v>0000</v>
      </c>
      <c r="AX36" s="91" t="str">
        <f t="shared" si="8"/>
        <v>0000</v>
      </c>
      <c r="AY36" s="79"/>
    </row>
    <row r="37" spans="1:57" s="83" customFormat="1">
      <c r="A37" s="82"/>
      <c r="AE37" s="79"/>
      <c r="AF37" s="79"/>
      <c r="AP37" s="90"/>
      <c r="AU37" s="91"/>
      <c r="AV37" s="91"/>
      <c r="AW37" s="91"/>
      <c r="AX37" s="91"/>
      <c r="AY37" s="79"/>
    </row>
    <row r="38" spans="1:57" s="83" customFormat="1">
      <c r="A38" s="82"/>
      <c r="AP38" s="90"/>
      <c r="AU38" s="91"/>
      <c r="AV38" s="91"/>
      <c r="AW38" s="91"/>
      <c r="AX38" s="91"/>
    </row>
    <row r="39" spans="1:57" s="83" customFormat="1">
      <c r="A39" s="82" t="s">
        <v>351</v>
      </c>
      <c r="AP39" s="88" t="str">
        <f>A39</f>
        <v>2.All block integral (Storage to ROM)</v>
      </c>
      <c r="AU39" s="91"/>
      <c r="AV39" s="91"/>
      <c r="AW39" s="91"/>
      <c r="AX39" s="91"/>
    </row>
    <row r="40" spans="1:57" s="83" customFormat="1">
      <c r="A40" s="82"/>
      <c r="C40" s="84">
        <v>0</v>
      </c>
      <c r="D40" s="84">
        <v>1</v>
      </c>
      <c r="E40" s="84">
        <v>2</v>
      </c>
      <c r="F40" s="84">
        <v>3</v>
      </c>
      <c r="G40" s="84">
        <v>4</v>
      </c>
      <c r="H40" s="84">
        <v>5</v>
      </c>
      <c r="I40" s="84">
        <v>6</v>
      </c>
      <c r="J40" s="84">
        <v>7</v>
      </c>
      <c r="K40" s="84">
        <v>8</v>
      </c>
      <c r="L40" s="84">
        <v>9</v>
      </c>
      <c r="M40" s="84">
        <v>10</v>
      </c>
      <c r="N40" s="84">
        <v>11</v>
      </c>
      <c r="O40" s="84">
        <v>12</v>
      </c>
      <c r="P40" s="84">
        <v>13</v>
      </c>
      <c r="Q40" s="84">
        <v>14</v>
      </c>
      <c r="R40" s="84">
        <v>15</v>
      </c>
      <c r="S40" s="84">
        <v>16</v>
      </c>
      <c r="T40" s="84">
        <v>17</v>
      </c>
      <c r="U40" s="84">
        <v>18</v>
      </c>
      <c r="V40" s="84">
        <v>19</v>
      </c>
      <c r="W40" s="84">
        <v>20</v>
      </c>
      <c r="X40" s="84">
        <v>21</v>
      </c>
      <c r="Y40" s="84">
        <v>22</v>
      </c>
      <c r="Z40" s="84">
        <v>23</v>
      </c>
      <c r="AA40" s="84">
        <v>24</v>
      </c>
      <c r="AB40" s="84">
        <v>25</v>
      </c>
      <c r="AC40" s="84">
        <v>26</v>
      </c>
      <c r="AD40" s="84">
        <v>27</v>
      </c>
      <c r="AE40" s="84">
        <v>28</v>
      </c>
      <c r="AF40" s="84">
        <v>29</v>
      </c>
      <c r="AG40" s="84">
        <v>30</v>
      </c>
      <c r="AH40" s="84">
        <v>31</v>
      </c>
      <c r="AP40" s="90"/>
      <c r="AQ40" s="91" t="str">
        <f>C40&amp;D40&amp;E40&amp;F40</f>
        <v>0123</v>
      </c>
      <c r="AR40" s="91" t="str">
        <f>G40&amp;H40&amp;I40&amp;J40</f>
        <v>4567</v>
      </c>
      <c r="AS40" s="91" t="str">
        <f>K40&amp;L40&amp;M40&amp;N40</f>
        <v>891011</v>
      </c>
      <c r="AT40" s="91" t="str">
        <f>O40&amp;P40&amp;Q40&amp;R40</f>
        <v>12131415</v>
      </c>
      <c r="AU40" s="83">
        <v>16171819</v>
      </c>
      <c r="AV40" s="83">
        <v>20212223</v>
      </c>
      <c r="AW40" s="83">
        <v>24252627</v>
      </c>
      <c r="AX40" s="83">
        <v>28293031</v>
      </c>
    </row>
    <row r="41" spans="1:57" s="83" customFormat="1" ht="14.1" customHeight="1">
      <c r="A41" s="82"/>
      <c r="B41" s="84">
        <v>0</v>
      </c>
      <c r="C41" s="85">
        <v>2</v>
      </c>
      <c r="D41" s="85">
        <v>2</v>
      </c>
      <c r="E41" s="85">
        <v>2</v>
      </c>
      <c r="F41" s="85">
        <v>2</v>
      </c>
      <c r="G41" s="85">
        <v>2</v>
      </c>
      <c r="H41" s="85">
        <v>2</v>
      </c>
      <c r="I41" s="85">
        <v>2</v>
      </c>
      <c r="J41" s="85">
        <v>2</v>
      </c>
      <c r="K41" s="85">
        <v>2</v>
      </c>
      <c r="L41" s="85">
        <v>2</v>
      </c>
      <c r="M41" s="85">
        <v>2</v>
      </c>
      <c r="N41" s="85">
        <v>2</v>
      </c>
      <c r="O41" s="85">
        <v>2</v>
      </c>
      <c r="P41" s="85">
        <v>2</v>
      </c>
      <c r="Q41" s="85">
        <v>2</v>
      </c>
      <c r="R41" s="85">
        <v>2</v>
      </c>
      <c r="S41" s="85">
        <v>2</v>
      </c>
      <c r="T41" s="85">
        <v>2</v>
      </c>
      <c r="U41" s="85">
        <v>2</v>
      </c>
      <c r="V41" s="85">
        <v>2</v>
      </c>
      <c r="W41" s="85">
        <v>2</v>
      </c>
      <c r="X41" s="85">
        <v>2</v>
      </c>
      <c r="Y41" s="85">
        <v>2</v>
      </c>
      <c r="Z41" s="85">
        <v>2</v>
      </c>
      <c r="AA41" s="85">
        <v>2</v>
      </c>
      <c r="AB41" s="85">
        <v>2</v>
      </c>
      <c r="AC41" s="85">
        <v>2</v>
      </c>
      <c r="AD41" s="85">
        <v>2</v>
      </c>
      <c r="AE41" s="85">
        <v>2</v>
      </c>
      <c r="AF41" s="85">
        <v>2</v>
      </c>
      <c r="AG41" s="85">
        <v>2</v>
      </c>
      <c r="AH41" s="85">
        <v>2</v>
      </c>
      <c r="AP41" s="92">
        <f t="shared" ref="AP41:AP72" si="9">B41</f>
        <v>0</v>
      </c>
      <c r="AQ41" s="91" t="str">
        <f t="shared" ref="AQ41:AQ72" si="10">DEC2HEX(C41)&amp;DEC2HEX(D41)&amp;DEC2HEX(E41)&amp;DEC2HEX(F41)</f>
        <v>2222</v>
      </c>
      <c r="AR41" s="91" t="str">
        <f t="shared" ref="AR41:AR72" si="11">DEC2HEX(G41)&amp;DEC2HEX(H41)&amp;DEC2HEX(I41)&amp;DEC2HEX(J41)</f>
        <v>2222</v>
      </c>
      <c r="AS41" s="91" t="str">
        <f t="shared" ref="AS41:AS72" si="12">DEC2HEX(K41)&amp;DEC2HEX(L41)&amp;DEC2HEX(M41)&amp;DEC2HEX(N41)</f>
        <v>2222</v>
      </c>
      <c r="AT41" s="91" t="str">
        <f t="shared" ref="AT41:AT72" si="13">DEC2HEX(O41)&amp;DEC2HEX(P41)&amp;DEC2HEX(Q41)&amp;DEC2HEX(R41)</f>
        <v>2222</v>
      </c>
      <c r="AU41" s="91" t="str">
        <f t="shared" ref="AU41:AU72" si="14">DEC2HEX(S41)&amp;DEC2HEX(T41)&amp;DEC2HEX(U41)&amp;DEC2HEX(V41)</f>
        <v>2222</v>
      </c>
      <c r="AV41" s="91" t="str">
        <f t="shared" ref="AV41:AV72" si="15">DEC2HEX(W41)&amp;DEC2HEX(X41)&amp;DEC2HEX(Y41)&amp;DEC2HEX(Z41)</f>
        <v>2222</v>
      </c>
      <c r="AW41" s="91" t="str">
        <f t="shared" ref="AW41:AW72" si="16">DEC2HEX(AA41)&amp;DEC2HEX(AB41)&amp;DEC2HEX(AC41)&amp;DEC2HEX(AD41)</f>
        <v>2222</v>
      </c>
      <c r="AX41" s="91" t="str">
        <f t="shared" ref="AX41:AX72" si="17">DEC2HEX(AE41)&amp;DEC2HEX(AF41)&amp;DEC2HEX(AG41)&amp;DEC2HEX(AH41)</f>
        <v>2222</v>
      </c>
    </row>
    <row r="42" spans="1:57" s="83" customFormat="1" ht="14.1" customHeight="1">
      <c r="A42" s="82"/>
      <c r="B42" s="84">
        <v>1</v>
      </c>
      <c r="C42" s="85">
        <v>2</v>
      </c>
      <c r="D42" s="85">
        <v>2</v>
      </c>
      <c r="E42" s="85">
        <v>2</v>
      </c>
      <c r="F42" s="85">
        <v>2</v>
      </c>
      <c r="G42" s="85">
        <v>2</v>
      </c>
      <c r="H42" s="85">
        <v>2</v>
      </c>
      <c r="I42" s="85">
        <v>2</v>
      </c>
      <c r="J42" s="85">
        <v>2</v>
      </c>
      <c r="K42" s="85">
        <v>2</v>
      </c>
      <c r="L42" s="85">
        <v>2</v>
      </c>
      <c r="M42" s="85">
        <v>2</v>
      </c>
      <c r="N42" s="85">
        <v>2</v>
      </c>
      <c r="O42" s="85">
        <v>2</v>
      </c>
      <c r="P42" s="85">
        <v>2</v>
      </c>
      <c r="Q42" s="85">
        <v>2</v>
      </c>
      <c r="R42" s="85">
        <v>2</v>
      </c>
      <c r="S42" s="85">
        <v>2</v>
      </c>
      <c r="T42" s="85">
        <v>2</v>
      </c>
      <c r="U42" s="85">
        <v>2</v>
      </c>
      <c r="V42" s="85">
        <v>2</v>
      </c>
      <c r="W42" s="85">
        <v>2</v>
      </c>
      <c r="X42" s="85">
        <v>2</v>
      </c>
      <c r="Y42" s="85">
        <v>2</v>
      </c>
      <c r="Z42" s="85">
        <v>2</v>
      </c>
      <c r="AA42" s="85">
        <v>2</v>
      </c>
      <c r="AB42" s="85">
        <v>2</v>
      </c>
      <c r="AC42" s="85">
        <v>2</v>
      </c>
      <c r="AD42" s="85">
        <v>2</v>
      </c>
      <c r="AE42" s="85">
        <v>2</v>
      </c>
      <c r="AF42" s="85">
        <v>2</v>
      </c>
      <c r="AG42" s="85">
        <v>2</v>
      </c>
      <c r="AH42" s="85">
        <v>2</v>
      </c>
      <c r="AP42" s="92">
        <f t="shared" si="9"/>
        <v>1</v>
      </c>
      <c r="AQ42" s="91" t="str">
        <f t="shared" si="10"/>
        <v>2222</v>
      </c>
      <c r="AR42" s="91" t="str">
        <f t="shared" si="11"/>
        <v>2222</v>
      </c>
      <c r="AS42" s="91" t="str">
        <f t="shared" si="12"/>
        <v>2222</v>
      </c>
      <c r="AT42" s="91" t="str">
        <f t="shared" si="13"/>
        <v>2222</v>
      </c>
      <c r="AU42" s="91" t="str">
        <f t="shared" si="14"/>
        <v>2222</v>
      </c>
      <c r="AV42" s="91" t="str">
        <f t="shared" si="15"/>
        <v>2222</v>
      </c>
      <c r="AW42" s="91" t="str">
        <f t="shared" si="16"/>
        <v>2222</v>
      </c>
      <c r="AX42" s="91" t="str">
        <f t="shared" si="17"/>
        <v>2222</v>
      </c>
    </row>
    <row r="43" spans="1:57" s="83" customFormat="1" ht="14.1" customHeight="1">
      <c r="A43" s="82"/>
      <c r="B43" s="84">
        <v>2</v>
      </c>
      <c r="C43" s="85">
        <v>2</v>
      </c>
      <c r="D43" s="85">
        <v>2</v>
      </c>
      <c r="E43" s="85">
        <v>2</v>
      </c>
      <c r="F43" s="85">
        <v>2</v>
      </c>
      <c r="G43" s="85">
        <v>2</v>
      </c>
      <c r="H43" s="85">
        <v>2</v>
      </c>
      <c r="I43" s="85">
        <v>2</v>
      </c>
      <c r="J43" s="85">
        <v>2</v>
      </c>
      <c r="K43" s="85">
        <v>2</v>
      </c>
      <c r="L43" s="85">
        <v>2</v>
      </c>
      <c r="M43" s="85">
        <v>2</v>
      </c>
      <c r="N43" s="85">
        <v>2</v>
      </c>
      <c r="O43" s="85">
        <v>2</v>
      </c>
      <c r="P43" s="85">
        <v>2</v>
      </c>
      <c r="Q43" s="85">
        <v>2</v>
      </c>
      <c r="R43" s="85">
        <v>2</v>
      </c>
      <c r="S43" s="85">
        <v>2</v>
      </c>
      <c r="T43" s="85">
        <v>2</v>
      </c>
      <c r="U43" s="85">
        <v>2</v>
      </c>
      <c r="V43" s="85">
        <v>2</v>
      </c>
      <c r="W43" s="85">
        <v>2</v>
      </c>
      <c r="X43" s="85">
        <v>2</v>
      </c>
      <c r="Y43" s="85">
        <v>2</v>
      </c>
      <c r="Z43" s="85">
        <v>2</v>
      </c>
      <c r="AA43" s="85">
        <v>2</v>
      </c>
      <c r="AB43" s="85">
        <v>2</v>
      </c>
      <c r="AC43" s="85">
        <v>2</v>
      </c>
      <c r="AD43" s="85">
        <v>2</v>
      </c>
      <c r="AE43" s="85">
        <v>2</v>
      </c>
      <c r="AF43" s="85">
        <v>2</v>
      </c>
      <c r="AG43" s="85">
        <v>2</v>
      </c>
      <c r="AH43" s="85">
        <v>2</v>
      </c>
      <c r="AP43" s="92">
        <f t="shared" si="9"/>
        <v>2</v>
      </c>
      <c r="AQ43" s="91" t="str">
        <f t="shared" si="10"/>
        <v>2222</v>
      </c>
      <c r="AR43" s="91" t="str">
        <f t="shared" si="11"/>
        <v>2222</v>
      </c>
      <c r="AS43" s="91" t="str">
        <f t="shared" si="12"/>
        <v>2222</v>
      </c>
      <c r="AT43" s="91" t="str">
        <f t="shared" si="13"/>
        <v>2222</v>
      </c>
      <c r="AU43" s="91" t="str">
        <f t="shared" si="14"/>
        <v>2222</v>
      </c>
      <c r="AV43" s="91" t="str">
        <f t="shared" si="15"/>
        <v>2222</v>
      </c>
      <c r="AW43" s="91" t="str">
        <f t="shared" si="16"/>
        <v>2222</v>
      </c>
      <c r="AX43" s="91" t="str">
        <f t="shared" si="17"/>
        <v>2222</v>
      </c>
    </row>
    <row r="44" spans="1:57" s="83" customFormat="1" ht="14.1" customHeight="1">
      <c r="A44" s="82"/>
      <c r="B44" s="84">
        <v>3</v>
      </c>
      <c r="C44" s="85">
        <v>2</v>
      </c>
      <c r="D44" s="85">
        <v>2</v>
      </c>
      <c r="E44" s="85">
        <v>2</v>
      </c>
      <c r="F44" s="85">
        <v>2</v>
      </c>
      <c r="G44" s="85">
        <v>2</v>
      </c>
      <c r="H44" s="85">
        <v>2</v>
      </c>
      <c r="I44" s="85">
        <v>2</v>
      </c>
      <c r="J44" s="85">
        <v>2</v>
      </c>
      <c r="K44" s="85">
        <v>2</v>
      </c>
      <c r="L44" s="85">
        <v>2</v>
      </c>
      <c r="M44" s="85">
        <v>2</v>
      </c>
      <c r="N44" s="85">
        <v>2</v>
      </c>
      <c r="O44" s="85">
        <v>2</v>
      </c>
      <c r="P44" s="85">
        <v>2</v>
      </c>
      <c r="Q44" s="85">
        <v>2</v>
      </c>
      <c r="R44" s="85">
        <v>2</v>
      </c>
      <c r="S44" s="85">
        <v>2</v>
      </c>
      <c r="T44" s="85">
        <v>2</v>
      </c>
      <c r="U44" s="85">
        <v>2</v>
      </c>
      <c r="V44" s="85">
        <v>2</v>
      </c>
      <c r="W44" s="85">
        <v>2</v>
      </c>
      <c r="X44" s="85">
        <v>2</v>
      </c>
      <c r="Y44" s="85">
        <v>2</v>
      </c>
      <c r="Z44" s="85">
        <v>2</v>
      </c>
      <c r="AA44" s="85">
        <v>2</v>
      </c>
      <c r="AB44" s="85">
        <v>2</v>
      </c>
      <c r="AC44" s="85">
        <v>2</v>
      </c>
      <c r="AD44" s="85">
        <v>2</v>
      </c>
      <c r="AE44" s="85">
        <v>2</v>
      </c>
      <c r="AF44" s="85">
        <v>2</v>
      </c>
      <c r="AG44" s="85">
        <v>2</v>
      </c>
      <c r="AH44" s="85">
        <v>2</v>
      </c>
      <c r="AP44" s="92">
        <f t="shared" si="9"/>
        <v>3</v>
      </c>
      <c r="AQ44" s="91" t="str">
        <f t="shared" si="10"/>
        <v>2222</v>
      </c>
      <c r="AR44" s="91" t="str">
        <f t="shared" si="11"/>
        <v>2222</v>
      </c>
      <c r="AS44" s="91" t="str">
        <f t="shared" si="12"/>
        <v>2222</v>
      </c>
      <c r="AT44" s="91" t="str">
        <f t="shared" si="13"/>
        <v>2222</v>
      </c>
      <c r="AU44" s="91" t="str">
        <f t="shared" si="14"/>
        <v>2222</v>
      </c>
      <c r="AV44" s="91" t="str">
        <f t="shared" si="15"/>
        <v>2222</v>
      </c>
      <c r="AW44" s="91" t="str">
        <f t="shared" si="16"/>
        <v>2222</v>
      </c>
      <c r="AX44" s="91" t="str">
        <f t="shared" si="17"/>
        <v>2222</v>
      </c>
    </row>
    <row r="45" spans="1:57" s="83" customFormat="1" ht="14.1" customHeight="1">
      <c r="A45" s="82"/>
      <c r="B45" s="84">
        <v>4</v>
      </c>
      <c r="C45" s="85">
        <v>2</v>
      </c>
      <c r="D45" s="85">
        <v>2</v>
      </c>
      <c r="E45" s="85">
        <v>2</v>
      </c>
      <c r="F45" s="85">
        <v>2</v>
      </c>
      <c r="G45" s="85">
        <v>2</v>
      </c>
      <c r="H45" s="85">
        <v>2</v>
      </c>
      <c r="I45" s="85">
        <v>2</v>
      </c>
      <c r="J45" s="85">
        <v>2</v>
      </c>
      <c r="K45" s="85">
        <v>2</v>
      </c>
      <c r="L45" s="85">
        <v>2</v>
      </c>
      <c r="M45" s="85">
        <v>2</v>
      </c>
      <c r="N45" s="85">
        <v>2</v>
      </c>
      <c r="O45" s="85">
        <v>2</v>
      </c>
      <c r="P45" s="85">
        <v>2</v>
      </c>
      <c r="Q45" s="85">
        <v>2</v>
      </c>
      <c r="R45" s="85">
        <v>2</v>
      </c>
      <c r="S45" s="85">
        <v>2</v>
      </c>
      <c r="T45" s="85">
        <v>2</v>
      </c>
      <c r="U45" s="85">
        <v>2</v>
      </c>
      <c r="V45" s="85">
        <v>2</v>
      </c>
      <c r="W45" s="85">
        <v>2</v>
      </c>
      <c r="X45" s="85">
        <v>2</v>
      </c>
      <c r="Y45" s="85">
        <v>2</v>
      </c>
      <c r="Z45" s="85">
        <v>2</v>
      </c>
      <c r="AA45" s="85">
        <v>2</v>
      </c>
      <c r="AB45" s="85">
        <v>2</v>
      </c>
      <c r="AC45" s="85">
        <v>2</v>
      </c>
      <c r="AD45" s="85">
        <v>2</v>
      </c>
      <c r="AE45" s="85">
        <v>2</v>
      </c>
      <c r="AF45" s="85">
        <v>2</v>
      </c>
      <c r="AG45" s="85">
        <v>2</v>
      </c>
      <c r="AH45" s="85">
        <v>2</v>
      </c>
      <c r="AP45" s="92">
        <f t="shared" si="9"/>
        <v>4</v>
      </c>
      <c r="AQ45" s="91" t="str">
        <f t="shared" si="10"/>
        <v>2222</v>
      </c>
      <c r="AR45" s="91" t="str">
        <f t="shared" si="11"/>
        <v>2222</v>
      </c>
      <c r="AS45" s="91" t="str">
        <f t="shared" si="12"/>
        <v>2222</v>
      </c>
      <c r="AT45" s="91" t="str">
        <f t="shared" si="13"/>
        <v>2222</v>
      </c>
      <c r="AU45" s="91" t="str">
        <f t="shared" si="14"/>
        <v>2222</v>
      </c>
      <c r="AV45" s="91" t="str">
        <f t="shared" si="15"/>
        <v>2222</v>
      </c>
      <c r="AW45" s="91" t="str">
        <f t="shared" si="16"/>
        <v>2222</v>
      </c>
      <c r="AX45" s="91" t="str">
        <f t="shared" si="17"/>
        <v>2222</v>
      </c>
    </row>
    <row r="46" spans="1:57" s="83" customFormat="1" ht="14.1" customHeight="1">
      <c r="A46" s="82"/>
      <c r="B46" s="84">
        <v>5</v>
      </c>
      <c r="C46" s="85">
        <v>2</v>
      </c>
      <c r="D46" s="85">
        <v>2</v>
      </c>
      <c r="E46" s="85">
        <v>2</v>
      </c>
      <c r="F46" s="85">
        <v>2</v>
      </c>
      <c r="G46" s="85">
        <v>2</v>
      </c>
      <c r="H46" s="85">
        <v>2</v>
      </c>
      <c r="I46" s="85">
        <v>2</v>
      </c>
      <c r="J46" s="85">
        <v>2</v>
      </c>
      <c r="K46" s="85">
        <v>2</v>
      </c>
      <c r="L46" s="85">
        <v>2</v>
      </c>
      <c r="M46" s="85">
        <v>2</v>
      </c>
      <c r="N46" s="85">
        <v>2</v>
      </c>
      <c r="O46" s="85">
        <v>2</v>
      </c>
      <c r="P46" s="85">
        <v>2</v>
      </c>
      <c r="Q46" s="85">
        <v>2</v>
      </c>
      <c r="R46" s="85">
        <v>2</v>
      </c>
      <c r="S46" s="85">
        <v>2</v>
      </c>
      <c r="T46" s="85">
        <v>2</v>
      </c>
      <c r="U46" s="85">
        <v>2</v>
      </c>
      <c r="V46" s="85">
        <v>2</v>
      </c>
      <c r="W46" s="85">
        <v>2</v>
      </c>
      <c r="X46" s="85">
        <v>2</v>
      </c>
      <c r="Y46" s="85">
        <v>2</v>
      </c>
      <c r="Z46" s="85">
        <v>2</v>
      </c>
      <c r="AA46" s="85">
        <v>2</v>
      </c>
      <c r="AB46" s="85">
        <v>2</v>
      </c>
      <c r="AC46" s="85">
        <v>2</v>
      </c>
      <c r="AD46" s="85">
        <v>2</v>
      </c>
      <c r="AE46" s="85">
        <v>2</v>
      </c>
      <c r="AF46" s="85">
        <v>2</v>
      </c>
      <c r="AG46" s="85">
        <v>2</v>
      </c>
      <c r="AH46" s="85">
        <v>2</v>
      </c>
      <c r="AP46" s="92">
        <f t="shared" si="9"/>
        <v>5</v>
      </c>
      <c r="AQ46" s="91" t="str">
        <f t="shared" si="10"/>
        <v>2222</v>
      </c>
      <c r="AR46" s="91" t="str">
        <f t="shared" si="11"/>
        <v>2222</v>
      </c>
      <c r="AS46" s="91" t="str">
        <f t="shared" si="12"/>
        <v>2222</v>
      </c>
      <c r="AT46" s="91" t="str">
        <f t="shared" si="13"/>
        <v>2222</v>
      </c>
      <c r="AU46" s="91" t="str">
        <f t="shared" si="14"/>
        <v>2222</v>
      </c>
      <c r="AV46" s="91" t="str">
        <f t="shared" si="15"/>
        <v>2222</v>
      </c>
      <c r="AW46" s="91" t="str">
        <f t="shared" si="16"/>
        <v>2222</v>
      </c>
      <c r="AX46" s="91" t="str">
        <f t="shared" si="17"/>
        <v>2222</v>
      </c>
    </row>
    <row r="47" spans="1:57" s="83" customFormat="1" ht="14.1" customHeight="1">
      <c r="A47" s="82"/>
      <c r="B47" s="84">
        <v>6</v>
      </c>
      <c r="C47" s="85">
        <v>2</v>
      </c>
      <c r="D47" s="85">
        <v>2</v>
      </c>
      <c r="E47" s="85">
        <v>2</v>
      </c>
      <c r="F47" s="85">
        <v>2</v>
      </c>
      <c r="G47" s="85">
        <v>2</v>
      </c>
      <c r="H47" s="85">
        <v>2</v>
      </c>
      <c r="I47" s="85">
        <v>2</v>
      </c>
      <c r="J47" s="85">
        <v>2</v>
      </c>
      <c r="K47" s="85">
        <v>2</v>
      </c>
      <c r="L47" s="85">
        <v>2</v>
      </c>
      <c r="M47" s="85">
        <v>2</v>
      </c>
      <c r="N47" s="85">
        <v>2</v>
      </c>
      <c r="O47" s="85">
        <v>2</v>
      </c>
      <c r="P47" s="85">
        <v>2</v>
      </c>
      <c r="Q47" s="85">
        <v>2</v>
      </c>
      <c r="R47" s="85">
        <v>2</v>
      </c>
      <c r="S47" s="85">
        <v>2</v>
      </c>
      <c r="T47" s="85">
        <v>2</v>
      </c>
      <c r="U47" s="85">
        <v>2</v>
      </c>
      <c r="V47" s="85">
        <v>2</v>
      </c>
      <c r="W47" s="85">
        <v>2</v>
      </c>
      <c r="X47" s="85">
        <v>2</v>
      </c>
      <c r="Y47" s="85">
        <v>2</v>
      </c>
      <c r="Z47" s="85">
        <v>2</v>
      </c>
      <c r="AA47" s="85">
        <v>2</v>
      </c>
      <c r="AB47" s="85">
        <v>2</v>
      </c>
      <c r="AC47" s="85">
        <v>2</v>
      </c>
      <c r="AD47" s="85">
        <v>2</v>
      </c>
      <c r="AE47" s="85">
        <v>2</v>
      </c>
      <c r="AF47" s="85">
        <v>2</v>
      </c>
      <c r="AG47" s="85">
        <v>2</v>
      </c>
      <c r="AH47" s="85">
        <v>2</v>
      </c>
      <c r="AP47" s="92">
        <f t="shared" si="9"/>
        <v>6</v>
      </c>
      <c r="AQ47" s="91" t="str">
        <f t="shared" si="10"/>
        <v>2222</v>
      </c>
      <c r="AR47" s="91" t="str">
        <f t="shared" si="11"/>
        <v>2222</v>
      </c>
      <c r="AS47" s="91" t="str">
        <f t="shared" si="12"/>
        <v>2222</v>
      </c>
      <c r="AT47" s="91" t="str">
        <f t="shared" si="13"/>
        <v>2222</v>
      </c>
      <c r="AU47" s="91" t="str">
        <f t="shared" si="14"/>
        <v>2222</v>
      </c>
      <c r="AV47" s="91" t="str">
        <f t="shared" si="15"/>
        <v>2222</v>
      </c>
      <c r="AW47" s="91" t="str">
        <f t="shared" si="16"/>
        <v>2222</v>
      </c>
      <c r="AX47" s="91" t="str">
        <f t="shared" si="17"/>
        <v>2222</v>
      </c>
    </row>
    <row r="48" spans="1:57" s="83" customFormat="1" ht="14.1" customHeight="1">
      <c r="A48" s="82"/>
      <c r="B48" s="84">
        <v>7</v>
      </c>
      <c r="C48" s="85">
        <v>2</v>
      </c>
      <c r="D48" s="85">
        <v>2</v>
      </c>
      <c r="E48" s="85">
        <v>2</v>
      </c>
      <c r="F48" s="85">
        <v>2</v>
      </c>
      <c r="G48" s="85">
        <v>2</v>
      </c>
      <c r="H48" s="85">
        <v>2</v>
      </c>
      <c r="I48" s="85">
        <v>2</v>
      </c>
      <c r="J48" s="85">
        <v>2</v>
      </c>
      <c r="K48" s="85">
        <v>2</v>
      </c>
      <c r="L48" s="85">
        <v>2</v>
      </c>
      <c r="M48" s="85">
        <v>2</v>
      </c>
      <c r="N48" s="85">
        <v>2</v>
      </c>
      <c r="O48" s="85">
        <v>2</v>
      </c>
      <c r="P48" s="85">
        <v>2</v>
      </c>
      <c r="Q48" s="85">
        <v>2</v>
      </c>
      <c r="R48" s="85">
        <v>2</v>
      </c>
      <c r="S48" s="85">
        <v>2</v>
      </c>
      <c r="T48" s="85">
        <v>2</v>
      </c>
      <c r="U48" s="85">
        <v>2</v>
      </c>
      <c r="V48" s="85">
        <v>2</v>
      </c>
      <c r="W48" s="85">
        <v>2</v>
      </c>
      <c r="X48" s="85">
        <v>2</v>
      </c>
      <c r="Y48" s="85">
        <v>2</v>
      </c>
      <c r="Z48" s="85">
        <v>2</v>
      </c>
      <c r="AA48" s="85">
        <v>2</v>
      </c>
      <c r="AB48" s="85">
        <v>2</v>
      </c>
      <c r="AC48" s="85">
        <v>2</v>
      </c>
      <c r="AD48" s="85">
        <v>2</v>
      </c>
      <c r="AE48" s="85">
        <v>2</v>
      </c>
      <c r="AF48" s="85">
        <v>2</v>
      </c>
      <c r="AG48" s="85">
        <v>2</v>
      </c>
      <c r="AH48" s="85">
        <v>2</v>
      </c>
      <c r="AP48" s="92">
        <f t="shared" si="9"/>
        <v>7</v>
      </c>
      <c r="AQ48" s="91" t="str">
        <f t="shared" si="10"/>
        <v>2222</v>
      </c>
      <c r="AR48" s="91" t="str">
        <f t="shared" si="11"/>
        <v>2222</v>
      </c>
      <c r="AS48" s="91" t="str">
        <f t="shared" si="12"/>
        <v>2222</v>
      </c>
      <c r="AT48" s="91" t="str">
        <f t="shared" si="13"/>
        <v>2222</v>
      </c>
      <c r="AU48" s="91" t="str">
        <f t="shared" si="14"/>
        <v>2222</v>
      </c>
      <c r="AV48" s="91" t="str">
        <f t="shared" si="15"/>
        <v>2222</v>
      </c>
      <c r="AW48" s="91" t="str">
        <f t="shared" si="16"/>
        <v>2222</v>
      </c>
      <c r="AX48" s="91" t="str">
        <f t="shared" si="17"/>
        <v>2222</v>
      </c>
    </row>
    <row r="49" spans="1:50" s="83" customFormat="1" ht="14.1" customHeight="1">
      <c r="A49" s="82"/>
      <c r="B49" s="84">
        <v>8</v>
      </c>
      <c r="C49" s="85">
        <v>2</v>
      </c>
      <c r="D49" s="85">
        <v>2</v>
      </c>
      <c r="E49" s="85">
        <v>2</v>
      </c>
      <c r="F49" s="85">
        <v>2</v>
      </c>
      <c r="G49" s="85">
        <v>2</v>
      </c>
      <c r="H49" s="85">
        <v>2</v>
      </c>
      <c r="I49" s="85">
        <v>2</v>
      </c>
      <c r="J49" s="85">
        <v>2</v>
      </c>
      <c r="K49" s="85">
        <v>2</v>
      </c>
      <c r="L49" s="85">
        <v>2</v>
      </c>
      <c r="M49" s="85">
        <v>2</v>
      </c>
      <c r="N49" s="85">
        <v>2</v>
      </c>
      <c r="O49" s="85">
        <v>2</v>
      </c>
      <c r="P49" s="85">
        <v>2</v>
      </c>
      <c r="Q49" s="85">
        <v>2</v>
      </c>
      <c r="R49" s="85">
        <v>2</v>
      </c>
      <c r="S49" s="85">
        <v>2</v>
      </c>
      <c r="T49" s="85">
        <v>2</v>
      </c>
      <c r="U49" s="85">
        <v>2</v>
      </c>
      <c r="V49" s="85">
        <v>2</v>
      </c>
      <c r="W49" s="85">
        <v>2</v>
      </c>
      <c r="X49" s="85">
        <v>2</v>
      </c>
      <c r="Y49" s="85">
        <v>2</v>
      </c>
      <c r="Z49" s="85">
        <v>2</v>
      </c>
      <c r="AA49" s="85">
        <v>2</v>
      </c>
      <c r="AB49" s="85">
        <v>2</v>
      </c>
      <c r="AC49" s="85">
        <v>2</v>
      </c>
      <c r="AD49" s="85">
        <v>2</v>
      </c>
      <c r="AE49" s="85">
        <v>2</v>
      </c>
      <c r="AF49" s="85">
        <v>2</v>
      </c>
      <c r="AG49" s="85">
        <v>2</v>
      </c>
      <c r="AH49" s="85">
        <v>2</v>
      </c>
      <c r="AP49" s="92">
        <f t="shared" si="9"/>
        <v>8</v>
      </c>
      <c r="AQ49" s="91" t="str">
        <f t="shared" si="10"/>
        <v>2222</v>
      </c>
      <c r="AR49" s="91" t="str">
        <f t="shared" si="11"/>
        <v>2222</v>
      </c>
      <c r="AS49" s="91" t="str">
        <f t="shared" si="12"/>
        <v>2222</v>
      </c>
      <c r="AT49" s="91" t="str">
        <f t="shared" si="13"/>
        <v>2222</v>
      </c>
      <c r="AU49" s="91" t="str">
        <f t="shared" si="14"/>
        <v>2222</v>
      </c>
      <c r="AV49" s="91" t="str">
        <f t="shared" si="15"/>
        <v>2222</v>
      </c>
      <c r="AW49" s="91" t="str">
        <f t="shared" si="16"/>
        <v>2222</v>
      </c>
      <c r="AX49" s="91" t="str">
        <f t="shared" si="17"/>
        <v>2222</v>
      </c>
    </row>
    <row r="50" spans="1:50" s="83" customFormat="1" ht="14.1" customHeight="1">
      <c r="A50" s="82"/>
      <c r="B50" s="84">
        <v>9</v>
      </c>
      <c r="C50" s="85">
        <v>2</v>
      </c>
      <c r="D50" s="85">
        <v>2</v>
      </c>
      <c r="E50" s="85">
        <v>2</v>
      </c>
      <c r="F50" s="85">
        <v>2</v>
      </c>
      <c r="G50" s="85">
        <v>2</v>
      </c>
      <c r="H50" s="85">
        <v>2</v>
      </c>
      <c r="I50" s="85">
        <v>2</v>
      </c>
      <c r="J50" s="85">
        <v>2</v>
      </c>
      <c r="K50" s="85">
        <v>2</v>
      </c>
      <c r="L50" s="85">
        <v>2</v>
      </c>
      <c r="M50" s="85">
        <v>2</v>
      </c>
      <c r="N50" s="85">
        <v>2</v>
      </c>
      <c r="O50" s="85">
        <v>2</v>
      </c>
      <c r="P50" s="85">
        <v>2</v>
      </c>
      <c r="Q50" s="85">
        <v>2</v>
      </c>
      <c r="R50" s="85">
        <v>2</v>
      </c>
      <c r="S50" s="85">
        <v>2</v>
      </c>
      <c r="T50" s="85">
        <v>2</v>
      </c>
      <c r="U50" s="85">
        <v>2</v>
      </c>
      <c r="V50" s="85">
        <v>2</v>
      </c>
      <c r="W50" s="85">
        <v>2</v>
      </c>
      <c r="X50" s="85">
        <v>2</v>
      </c>
      <c r="Y50" s="85">
        <v>2</v>
      </c>
      <c r="Z50" s="85">
        <v>2</v>
      </c>
      <c r="AA50" s="85">
        <v>2</v>
      </c>
      <c r="AB50" s="85">
        <v>2</v>
      </c>
      <c r="AC50" s="85">
        <v>2</v>
      </c>
      <c r="AD50" s="85">
        <v>2</v>
      </c>
      <c r="AE50" s="85">
        <v>2</v>
      </c>
      <c r="AF50" s="85">
        <v>2</v>
      </c>
      <c r="AG50" s="85">
        <v>2</v>
      </c>
      <c r="AH50" s="85">
        <v>2</v>
      </c>
      <c r="AP50" s="92">
        <f t="shared" si="9"/>
        <v>9</v>
      </c>
      <c r="AQ50" s="91" t="str">
        <f t="shared" si="10"/>
        <v>2222</v>
      </c>
      <c r="AR50" s="91" t="str">
        <f t="shared" si="11"/>
        <v>2222</v>
      </c>
      <c r="AS50" s="91" t="str">
        <f t="shared" si="12"/>
        <v>2222</v>
      </c>
      <c r="AT50" s="91" t="str">
        <f t="shared" si="13"/>
        <v>2222</v>
      </c>
      <c r="AU50" s="91" t="str">
        <f t="shared" si="14"/>
        <v>2222</v>
      </c>
      <c r="AV50" s="91" t="str">
        <f t="shared" si="15"/>
        <v>2222</v>
      </c>
      <c r="AW50" s="91" t="str">
        <f t="shared" si="16"/>
        <v>2222</v>
      </c>
      <c r="AX50" s="91" t="str">
        <f t="shared" si="17"/>
        <v>2222</v>
      </c>
    </row>
    <row r="51" spans="1:50" s="83" customFormat="1" ht="14.1" customHeight="1">
      <c r="A51" s="82"/>
      <c r="B51" s="84">
        <v>10</v>
      </c>
      <c r="C51" s="85">
        <v>2</v>
      </c>
      <c r="D51" s="85">
        <v>2</v>
      </c>
      <c r="E51" s="85">
        <v>2</v>
      </c>
      <c r="F51" s="85">
        <v>2</v>
      </c>
      <c r="G51" s="85">
        <v>2</v>
      </c>
      <c r="H51" s="85">
        <v>2</v>
      </c>
      <c r="I51" s="85">
        <v>2</v>
      </c>
      <c r="J51" s="85">
        <v>2</v>
      </c>
      <c r="K51" s="85">
        <v>2</v>
      </c>
      <c r="L51" s="85">
        <v>2</v>
      </c>
      <c r="M51" s="85">
        <v>2</v>
      </c>
      <c r="N51" s="85">
        <v>2</v>
      </c>
      <c r="O51" s="85">
        <v>2</v>
      </c>
      <c r="P51" s="85">
        <v>2</v>
      </c>
      <c r="Q51" s="85">
        <v>2</v>
      </c>
      <c r="R51" s="85">
        <v>2</v>
      </c>
      <c r="S51" s="85">
        <v>2</v>
      </c>
      <c r="T51" s="85">
        <v>2</v>
      </c>
      <c r="U51" s="85">
        <v>2</v>
      </c>
      <c r="V51" s="85">
        <v>2</v>
      </c>
      <c r="W51" s="85">
        <v>2</v>
      </c>
      <c r="X51" s="85">
        <v>2</v>
      </c>
      <c r="Y51" s="85">
        <v>2</v>
      </c>
      <c r="Z51" s="85">
        <v>2</v>
      </c>
      <c r="AA51" s="85">
        <v>2</v>
      </c>
      <c r="AB51" s="85">
        <v>2</v>
      </c>
      <c r="AC51" s="85">
        <v>2</v>
      </c>
      <c r="AD51" s="85">
        <v>2</v>
      </c>
      <c r="AE51" s="85">
        <v>2</v>
      </c>
      <c r="AF51" s="85">
        <v>2</v>
      </c>
      <c r="AG51" s="85">
        <v>2</v>
      </c>
      <c r="AH51" s="85">
        <v>2</v>
      </c>
      <c r="AP51" s="92">
        <f t="shared" si="9"/>
        <v>10</v>
      </c>
      <c r="AQ51" s="91" t="str">
        <f t="shared" si="10"/>
        <v>2222</v>
      </c>
      <c r="AR51" s="91" t="str">
        <f t="shared" si="11"/>
        <v>2222</v>
      </c>
      <c r="AS51" s="91" t="str">
        <f t="shared" si="12"/>
        <v>2222</v>
      </c>
      <c r="AT51" s="91" t="str">
        <f t="shared" si="13"/>
        <v>2222</v>
      </c>
      <c r="AU51" s="91" t="str">
        <f t="shared" si="14"/>
        <v>2222</v>
      </c>
      <c r="AV51" s="91" t="str">
        <f t="shared" si="15"/>
        <v>2222</v>
      </c>
      <c r="AW51" s="91" t="str">
        <f t="shared" si="16"/>
        <v>2222</v>
      </c>
      <c r="AX51" s="91" t="str">
        <f t="shared" si="17"/>
        <v>2222</v>
      </c>
    </row>
    <row r="52" spans="1:50" s="83" customFormat="1" ht="14.1" customHeight="1">
      <c r="A52" s="82"/>
      <c r="B52" s="84">
        <v>11</v>
      </c>
      <c r="C52" s="85">
        <v>2</v>
      </c>
      <c r="D52" s="85">
        <v>2</v>
      </c>
      <c r="E52" s="85">
        <v>2</v>
      </c>
      <c r="F52" s="85">
        <v>2</v>
      </c>
      <c r="G52" s="85">
        <v>2</v>
      </c>
      <c r="H52" s="85">
        <v>2</v>
      </c>
      <c r="I52" s="85">
        <v>2</v>
      </c>
      <c r="J52" s="85">
        <v>2</v>
      </c>
      <c r="K52" s="85">
        <v>2</v>
      </c>
      <c r="L52" s="85">
        <v>2</v>
      </c>
      <c r="M52" s="85">
        <v>2</v>
      </c>
      <c r="N52" s="85">
        <v>2</v>
      </c>
      <c r="O52" s="85">
        <v>2</v>
      </c>
      <c r="P52" s="85">
        <v>2</v>
      </c>
      <c r="Q52" s="85">
        <v>2</v>
      </c>
      <c r="R52" s="85">
        <v>2</v>
      </c>
      <c r="S52" s="85">
        <v>2</v>
      </c>
      <c r="T52" s="85">
        <v>2</v>
      </c>
      <c r="U52" s="85">
        <v>2</v>
      </c>
      <c r="V52" s="85">
        <v>2</v>
      </c>
      <c r="W52" s="85">
        <v>2</v>
      </c>
      <c r="X52" s="85">
        <v>2</v>
      </c>
      <c r="Y52" s="85">
        <v>2</v>
      </c>
      <c r="Z52" s="85">
        <v>2</v>
      </c>
      <c r="AA52" s="85">
        <v>2</v>
      </c>
      <c r="AB52" s="85">
        <v>2</v>
      </c>
      <c r="AC52" s="85">
        <v>2</v>
      </c>
      <c r="AD52" s="85">
        <v>2</v>
      </c>
      <c r="AE52" s="85">
        <v>2</v>
      </c>
      <c r="AF52" s="85">
        <v>2</v>
      </c>
      <c r="AG52" s="85">
        <v>2</v>
      </c>
      <c r="AH52" s="85">
        <v>2</v>
      </c>
      <c r="AP52" s="92">
        <f t="shared" si="9"/>
        <v>11</v>
      </c>
      <c r="AQ52" s="91" t="str">
        <f t="shared" si="10"/>
        <v>2222</v>
      </c>
      <c r="AR52" s="91" t="str">
        <f t="shared" si="11"/>
        <v>2222</v>
      </c>
      <c r="AS52" s="91" t="str">
        <f t="shared" si="12"/>
        <v>2222</v>
      </c>
      <c r="AT52" s="91" t="str">
        <f t="shared" si="13"/>
        <v>2222</v>
      </c>
      <c r="AU52" s="91" t="str">
        <f t="shared" si="14"/>
        <v>2222</v>
      </c>
      <c r="AV52" s="91" t="str">
        <f t="shared" si="15"/>
        <v>2222</v>
      </c>
      <c r="AW52" s="91" t="str">
        <f t="shared" si="16"/>
        <v>2222</v>
      </c>
      <c r="AX52" s="91" t="str">
        <f t="shared" si="17"/>
        <v>2222</v>
      </c>
    </row>
    <row r="53" spans="1:50" s="83" customFormat="1" ht="14.1" customHeight="1">
      <c r="A53" s="82"/>
      <c r="B53" s="84">
        <v>12</v>
      </c>
      <c r="C53" s="85">
        <v>2</v>
      </c>
      <c r="D53" s="85">
        <v>2</v>
      </c>
      <c r="E53" s="85">
        <v>2</v>
      </c>
      <c r="F53" s="85">
        <v>2</v>
      </c>
      <c r="G53" s="85">
        <v>2</v>
      </c>
      <c r="H53" s="85">
        <v>2</v>
      </c>
      <c r="I53" s="85">
        <v>2</v>
      </c>
      <c r="J53" s="85">
        <v>2</v>
      </c>
      <c r="K53" s="85">
        <v>2</v>
      </c>
      <c r="L53" s="85">
        <v>2</v>
      </c>
      <c r="M53" s="85">
        <v>2</v>
      </c>
      <c r="N53" s="85">
        <v>2</v>
      </c>
      <c r="O53" s="85">
        <v>2</v>
      </c>
      <c r="P53" s="85">
        <v>2</v>
      </c>
      <c r="Q53" s="85">
        <v>2</v>
      </c>
      <c r="R53" s="85">
        <v>2</v>
      </c>
      <c r="S53" s="85">
        <v>2</v>
      </c>
      <c r="T53" s="85">
        <v>2</v>
      </c>
      <c r="U53" s="85">
        <v>2</v>
      </c>
      <c r="V53" s="85">
        <v>2</v>
      </c>
      <c r="W53" s="85">
        <v>2</v>
      </c>
      <c r="X53" s="85">
        <v>2</v>
      </c>
      <c r="Y53" s="85">
        <v>2</v>
      </c>
      <c r="Z53" s="85">
        <v>2</v>
      </c>
      <c r="AA53" s="85">
        <v>2</v>
      </c>
      <c r="AB53" s="85">
        <v>2</v>
      </c>
      <c r="AC53" s="85">
        <v>2</v>
      </c>
      <c r="AD53" s="85">
        <v>2</v>
      </c>
      <c r="AE53" s="85">
        <v>2</v>
      </c>
      <c r="AF53" s="85">
        <v>2</v>
      </c>
      <c r="AG53" s="85">
        <v>2</v>
      </c>
      <c r="AH53" s="85">
        <v>2</v>
      </c>
      <c r="AP53" s="92">
        <f t="shared" si="9"/>
        <v>12</v>
      </c>
      <c r="AQ53" s="91" t="str">
        <f t="shared" si="10"/>
        <v>2222</v>
      </c>
      <c r="AR53" s="91" t="str">
        <f t="shared" si="11"/>
        <v>2222</v>
      </c>
      <c r="AS53" s="91" t="str">
        <f t="shared" si="12"/>
        <v>2222</v>
      </c>
      <c r="AT53" s="91" t="str">
        <f t="shared" si="13"/>
        <v>2222</v>
      </c>
      <c r="AU53" s="91" t="str">
        <f t="shared" si="14"/>
        <v>2222</v>
      </c>
      <c r="AV53" s="91" t="str">
        <f t="shared" si="15"/>
        <v>2222</v>
      </c>
      <c r="AW53" s="91" t="str">
        <f t="shared" si="16"/>
        <v>2222</v>
      </c>
      <c r="AX53" s="91" t="str">
        <f t="shared" si="17"/>
        <v>2222</v>
      </c>
    </row>
    <row r="54" spans="1:50" s="83" customFormat="1" ht="14.1" customHeight="1">
      <c r="A54" s="82"/>
      <c r="B54" s="84">
        <v>13</v>
      </c>
      <c r="C54" s="85">
        <v>2</v>
      </c>
      <c r="D54" s="85">
        <v>2</v>
      </c>
      <c r="E54" s="85">
        <v>2</v>
      </c>
      <c r="F54" s="85">
        <v>2</v>
      </c>
      <c r="G54" s="85">
        <v>2</v>
      </c>
      <c r="H54" s="85">
        <v>2</v>
      </c>
      <c r="I54" s="85">
        <v>2</v>
      </c>
      <c r="J54" s="85">
        <v>2</v>
      </c>
      <c r="K54" s="85">
        <v>2</v>
      </c>
      <c r="L54" s="85">
        <v>2</v>
      </c>
      <c r="M54" s="85">
        <v>2</v>
      </c>
      <c r="N54" s="85">
        <v>2</v>
      </c>
      <c r="O54" s="85">
        <v>2</v>
      </c>
      <c r="P54" s="85">
        <v>2</v>
      </c>
      <c r="Q54" s="85">
        <v>2</v>
      </c>
      <c r="R54" s="85">
        <v>2</v>
      </c>
      <c r="S54" s="85">
        <v>2</v>
      </c>
      <c r="T54" s="85">
        <v>2</v>
      </c>
      <c r="U54" s="85">
        <v>2</v>
      </c>
      <c r="V54" s="85">
        <v>2</v>
      </c>
      <c r="W54" s="85">
        <v>2</v>
      </c>
      <c r="X54" s="85">
        <v>2</v>
      </c>
      <c r="Y54" s="85">
        <v>2</v>
      </c>
      <c r="Z54" s="85">
        <v>2</v>
      </c>
      <c r="AA54" s="85">
        <v>2</v>
      </c>
      <c r="AB54" s="85">
        <v>2</v>
      </c>
      <c r="AC54" s="85">
        <v>2</v>
      </c>
      <c r="AD54" s="85">
        <v>2</v>
      </c>
      <c r="AE54" s="85">
        <v>2</v>
      </c>
      <c r="AF54" s="85">
        <v>2</v>
      </c>
      <c r="AG54" s="85">
        <v>2</v>
      </c>
      <c r="AH54" s="85">
        <v>2</v>
      </c>
      <c r="AP54" s="92">
        <f t="shared" si="9"/>
        <v>13</v>
      </c>
      <c r="AQ54" s="91" t="str">
        <f t="shared" si="10"/>
        <v>2222</v>
      </c>
      <c r="AR54" s="91" t="str">
        <f t="shared" si="11"/>
        <v>2222</v>
      </c>
      <c r="AS54" s="91" t="str">
        <f t="shared" si="12"/>
        <v>2222</v>
      </c>
      <c r="AT54" s="91" t="str">
        <f t="shared" si="13"/>
        <v>2222</v>
      </c>
      <c r="AU54" s="91" t="str">
        <f t="shared" si="14"/>
        <v>2222</v>
      </c>
      <c r="AV54" s="91" t="str">
        <f t="shared" si="15"/>
        <v>2222</v>
      </c>
      <c r="AW54" s="91" t="str">
        <f t="shared" si="16"/>
        <v>2222</v>
      </c>
      <c r="AX54" s="91" t="str">
        <f t="shared" si="17"/>
        <v>2222</v>
      </c>
    </row>
    <row r="55" spans="1:50" s="83" customFormat="1" ht="14.1" customHeight="1">
      <c r="A55" s="82"/>
      <c r="B55" s="84">
        <v>14</v>
      </c>
      <c r="C55" s="85">
        <v>2</v>
      </c>
      <c r="D55" s="85">
        <v>2</v>
      </c>
      <c r="E55" s="85">
        <v>2</v>
      </c>
      <c r="F55" s="85">
        <v>2</v>
      </c>
      <c r="G55" s="85">
        <v>2</v>
      </c>
      <c r="H55" s="85">
        <v>2</v>
      </c>
      <c r="I55" s="85">
        <v>2</v>
      </c>
      <c r="J55" s="85">
        <v>2</v>
      </c>
      <c r="K55" s="85">
        <v>2</v>
      </c>
      <c r="L55" s="85">
        <v>2</v>
      </c>
      <c r="M55" s="85">
        <v>2</v>
      </c>
      <c r="N55" s="85">
        <v>2</v>
      </c>
      <c r="O55" s="85">
        <v>2</v>
      </c>
      <c r="P55" s="85">
        <v>2</v>
      </c>
      <c r="Q55" s="85">
        <v>2</v>
      </c>
      <c r="R55" s="85">
        <v>2</v>
      </c>
      <c r="S55" s="85">
        <v>2</v>
      </c>
      <c r="T55" s="85">
        <v>2</v>
      </c>
      <c r="U55" s="85">
        <v>2</v>
      </c>
      <c r="V55" s="85">
        <v>2</v>
      </c>
      <c r="W55" s="85">
        <v>2</v>
      </c>
      <c r="X55" s="85">
        <v>2</v>
      </c>
      <c r="Y55" s="85">
        <v>2</v>
      </c>
      <c r="Z55" s="85">
        <v>2</v>
      </c>
      <c r="AA55" s="85">
        <v>2</v>
      </c>
      <c r="AB55" s="85">
        <v>2</v>
      </c>
      <c r="AC55" s="85">
        <v>2</v>
      </c>
      <c r="AD55" s="85">
        <v>2</v>
      </c>
      <c r="AE55" s="85">
        <v>2</v>
      </c>
      <c r="AF55" s="85">
        <v>2</v>
      </c>
      <c r="AG55" s="85">
        <v>2</v>
      </c>
      <c r="AH55" s="85">
        <v>2</v>
      </c>
      <c r="AP55" s="92">
        <f t="shared" si="9"/>
        <v>14</v>
      </c>
      <c r="AQ55" s="91" t="str">
        <f t="shared" si="10"/>
        <v>2222</v>
      </c>
      <c r="AR55" s="91" t="str">
        <f t="shared" si="11"/>
        <v>2222</v>
      </c>
      <c r="AS55" s="91" t="str">
        <f t="shared" si="12"/>
        <v>2222</v>
      </c>
      <c r="AT55" s="91" t="str">
        <f t="shared" si="13"/>
        <v>2222</v>
      </c>
      <c r="AU55" s="91" t="str">
        <f t="shared" si="14"/>
        <v>2222</v>
      </c>
      <c r="AV55" s="91" t="str">
        <f t="shared" si="15"/>
        <v>2222</v>
      </c>
      <c r="AW55" s="91" t="str">
        <f t="shared" si="16"/>
        <v>2222</v>
      </c>
      <c r="AX55" s="91" t="str">
        <f t="shared" si="17"/>
        <v>2222</v>
      </c>
    </row>
    <row r="56" spans="1:50" s="83" customFormat="1" ht="14.1" customHeight="1">
      <c r="A56" s="82"/>
      <c r="B56" s="84">
        <v>15</v>
      </c>
      <c r="C56" s="85">
        <v>2</v>
      </c>
      <c r="D56" s="85">
        <v>2</v>
      </c>
      <c r="E56" s="85">
        <v>2</v>
      </c>
      <c r="F56" s="85">
        <v>2</v>
      </c>
      <c r="G56" s="85">
        <v>2</v>
      </c>
      <c r="H56" s="85">
        <v>2</v>
      </c>
      <c r="I56" s="85">
        <v>2</v>
      </c>
      <c r="J56" s="85">
        <v>2</v>
      </c>
      <c r="K56" s="85">
        <v>2</v>
      </c>
      <c r="L56" s="85">
        <v>2</v>
      </c>
      <c r="M56" s="85">
        <v>2</v>
      </c>
      <c r="N56" s="85">
        <v>2</v>
      </c>
      <c r="O56" s="85">
        <v>2</v>
      </c>
      <c r="P56" s="85">
        <v>2</v>
      </c>
      <c r="Q56" s="85">
        <v>2</v>
      </c>
      <c r="R56" s="85">
        <v>2</v>
      </c>
      <c r="S56" s="85">
        <v>2</v>
      </c>
      <c r="T56" s="85">
        <v>2</v>
      </c>
      <c r="U56" s="85">
        <v>2</v>
      </c>
      <c r="V56" s="85">
        <v>2</v>
      </c>
      <c r="W56" s="85">
        <v>2</v>
      </c>
      <c r="X56" s="85">
        <v>2</v>
      </c>
      <c r="Y56" s="85">
        <v>2</v>
      </c>
      <c r="Z56" s="85">
        <v>2</v>
      </c>
      <c r="AA56" s="85">
        <v>2</v>
      </c>
      <c r="AB56" s="85">
        <v>2</v>
      </c>
      <c r="AC56" s="85">
        <v>2</v>
      </c>
      <c r="AD56" s="85">
        <v>2</v>
      </c>
      <c r="AE56" s="85">
        <v>2</v>
      </c>
      <c r="AF56" s="85">
        <v>2</v>
      </c>
      <c r="AG56" s="85">
        <v>2</v>
      </c>
      <c r="AH56" s="85">
        <v>2</v>
      </c>
      <c r="AP56" s="92">
        <f t="shared" si="9"/>
        <v>15</v>
      </c>
      <c r="AQ56" s="91" t="str">
        <f t="shared" si="10"/>
        <v>2222</v>
      </c>
      <c r="AR56" s="91" t="str">
        <f t="shared" si="11"/>
        <v>2222</v>
      </c>
      <c r="AS56" s="91" t="str">
        <f t="shared" si="12"/>
        <v>2222</v>
      </c>
      <c r="AT56" s="91" t="str">
        <f t="shared" si="13"/>
        <v>2222</v>
      </c>
      <c r="AU56" s="91" t="str">
        <f t="shared" si="14"/>
        <v>2222</v>
      </c>
      <c r="AV56" s="91" t="str">
        <f t="shared" si="15"/>
        <v>2222</v>
      </c>
      <c r="AW56" s="91" t="str">
        <f t="shared" si="16"/>
        <v>2222</v>
      </c>
      <c r="AX56" s="91" t="str">
        <f t="shared" si="17"/>
        <v>2222</v>
      </c>
    </row>
    <row r="57" spans="1:50" s="83" customFormat="1" ht="14.1" customHeight="1">
      <c r="A57" s="82"/>
      <c r="B57" s="84">
        <v>16</v>
      </c>
      <c r="C57" s="85">
        <v>2</v>
      </c>
      <c r="D57" s="85">
        <v>2</v>
      </c>
      <c r="E57" s="85">
        <v>2</v>
      </c>
      <c r="F57" s="85">
        <v>2</v>
      </c>
      <c r="G57" s="85">
        <v>2</v>
      </c>
      <c r="H57" s="85">
        <v>2</v>
      </c>
      <c r="I57" s="85">
        <v>2</v>
      </c>
      <c r="J57" s="85">
        <v>2</v>
      </c>
      <c r="K57" s="85">
        <v>2</v>
      </c>
      <c r="L57" s="85">
        <v>2</v>
      </c>
      <c r="M57" s="85">
        <v>2</v>
      </c>
      <c r="N57" s="85">
        <v>2</v>
      </c>
      <c r="O57" s="85">
        <v>2</v>
      </c>
      <c r="P57" s="85">
        <v>2</v>
      </c>
      <c r="Q57" s="85">
        <v>2</v>
      </c>
      <c r="R57" s="85">
        <v>2</v>
      </c>
      <c r="S57" s="85">
        <v>2</v>
      </c>
      <c r="T57" s="85">
        <v>2</v>
      </c>
      <c r="U57" s="85">
        <v>2</v>
      </c>
      <c r="V57" s="85">
        <v>2</v>
      </c>
      <c r="W57" s="85">
        <v>2</v>
      </c>
      <c r="X57" s="85">
        <v>2</v>
      </c>
      <c r="Y57" s="85">
        <v>2</v>
      </c>
      <c r="Z57" s="85">
        <v>2</v>
      </c>
      <c r="AA57" s="85">
        <v>2</v>
      </c>
      <c r="AB57" s="85">
        <v>2</v>
      </c>
      <c r="AC57" s="85">
        <v>2</v>
      </c>
      <c r="AD57" s="85">
        <v>2</v>
      </c>
      <c r="AE57" s="85">
        <v>2</v>
      </c>
      <c r="AF57" s="85">
        <v>2</v>
      </c>
      <c r="AG57" s="85">
        <v>2</v>
      </c>
      <c r="AH57" s="85">
        <v>2</v>
      </c>
      <c r="AP57" s="92">
        <f t="shared" si="9"/>
        <v>16</v>
      </c>
      <c r="AQ57" s="91" t="str">
        <f t="shared" si="10"/>
        <v>2222</v>
      </c>
      <c r="AR57" s="91" t="str">
        <f t="shared" si="11"/>
        <v>2222</v>
      </c>
      <c r="AS57" s="91" t="str">
        <f t="shared" si="12"/>
        <v>2222</v>
      </c>
      <c r="AT57" s="91" t="str">
        <f t="shared" si="13"/>
        <v>2222</v>
      </c>
      <c r="AU57" s="91" t="str">
        <f t="shared" si="14"/>
        <v>2222</v>
      </c>
      <c r="AV57" s="91" t="str">
        <f t="shared" si="15"/>
        <v>2222</v>
      </c>
      <c r="AW57" s="91" t="str">
        <f t="shared" si="16"/>
        <v>2222</v>
      </c>
      <c r="AX57" s="91" t="str">
        <f t="shared" si="17"/>
        <v>2222</v>
      </c>
    </row>
    <row r="58" spans="1:50" s="83" customFormat="1" ht="14.1" customHeight="1">
      <c r="A58" s="82"/>
      <c r="B58" s="84">
        <v>17</v>
      </c>
      <c r="C58" s="85">
        <v>2</v>
      </c>
      <c r="D58" s="85">
        <v>2</v>
      </c>
      <c r="E58" s="85">
        <v>2</v>
      </c>
      <c r="F58" s="85">
        <v>2</v>
      </c>
      <c r="G58" s="85">
        <v>2</v>
      </c>
      <c r="H58" s="85">
        <v>2</v>
      </c>
      <c r="I58" s="85">
        <v>2</v>
      </c>
      <c r="J58" s="85">
        <v>2</v>
      </c>
      <c r="K58" s="85">
        <v>2</v>
      </c>
      <c r="L58" s="85">
        <v>2</v>
      </c>
      <c r="M58" s="85">
        <v>2</v>
      </c>
      <c r="N58" s="85">
        <v>2</v>
      </c>
      <c r="O58" s="85">
        <v>2</v>
      </c>
      <c r="P58" s="85">
        <v>2</v>
      </c>
      <c r="Q58" s="85">
        <v>2</v>
      </c>
      <c r="R58" s="85">
        <v>2</v>
      </c>
      <c r="S58" s="85">
        <v>2</v>
      </c>
      <c r="T58" s="85">
        <v>2</v>
      </c>
      <c r="U58" s="85">
        <v>2</v>
      </c>
      <c r="V58" s="85">
        <v>2</v>
      </c>
      <c r="W58" s="85">
        <v>2</v>
      </c>
      <c r="X58" s="85">
        <v>2</v>
      </c>
      <c r="Y58" s="85">
        <v>2</v>
      </c>
      <c r="Z58" s="85">
        <v>2</v>
      </c>
      <c r="AA58" s="85">
        <v>2</v>
      </c>
      <c r="AB58" s="85">
        <v>2</v>
      </c>
      <c r="AC58" s="85">
        <v>2</v>
      </c>
      <c r="AD58" s="85">
        <v>2</v>
      </c>
      <c r="AE58" s="85">
        <v>2</v>
      </c>
      <c r="AF58" s="85">
        <v>2</v>
      </c>
      <c r="AG58" s="85">
        <v>2</v>
      </c>
      <c r="AH58" s="85">
        <v>2</v>
      </c>
      <c r="AP58" s="92">
        <f t="shared" si="9"/>
        <v>17</v>
      </c>
      <c r="AQ58" s="91" t="str">
        <f t="shared" si="10"/>
        <v>2222</v>
      </c>
      <c r="AR58" s="91" t="str">
        <f t="shared" si="11"/>
        <v>2222</v>
      </c>
      <c r="AS58" s="91" t="str">
        <f t="shared" si="12"/>
        <v>2222</v>
      </c>
      <c r="AT58" s="91" t="str">
        <f t="shared" si="13"/>
        <v>2222</v>
      </c>
      <c r="AU58" s="91" t="str">
        <f t="shared" si="14"/>
        <v>2222</v>
      </c>
      <c r="AV58" s="91" t="str">
        <f t="shared" si="15"/>
        <v>2222</v>
      </c>
      <c r="AW58" s="91" t="str">
        <f t="shared" si="16"/>
        <v>2222</v>
      </c>
      <c r="AX58" s="91" t="str">
        <f t="shared" si="17"/>
        <v>2222</v>
      </c>
    </row>
    <row r="59" spans="1:50" s="83" customFormat="1" ht="14.1" customHeight="1">
      <c r="A59" s="82"/>
      <c r="B59" s="84">
        <v>18</v>
      </c>
      <c r="C59" s="85">
        <v>2</v>
      </c>
      <c r="D59" s="85">
        <v>2</v>
      </c>
      <c r="E59" s="85">
        <v>2</v>
      </c>
      <c r="F59" s="85">
        <v>2</v>
      </c>
      <c r="G59" s="85">
        <v>2</v>
      </c>
      <c r="H59" s="85">
        <v>2</v>
      </c>
      <c r="I59" s="85">
        <v>2</v>
      </c>
      <c r="J59" s="85">
        <v>2</v>
      </c>
      <c r="K59" s="85">
        <v>2</v>
      </c>
      <c r="L59" s="85">
        <v>2</v>
      </c>
      <c r="M59" s="85">
        <v>2</v>
      </c>
      <c r="N59" s="85">
        <v>2</v>
      </c>
      <c r="O59" s="85">
        <v>2</v>
      </c>
      <c r="P59" s="85">
        <v>2</v>
      </c>
      <c r="Q59" s="85">
        <v>2</v>
      </c>
      <c r="R59" s="85">
        <v>2</v>
      </c>
      <c r="S59" s="85">
        <v>2</v>
      </c>
      <c r="T59" s="85">
        <v>2</v>
      </c>
      <c r="U59" s="85">
        <v>2</v>
      </c>
      <c r="V59" s="85">
        <v>2</v>
      </c>
      <c r="W59" s="85">
        <v>2</v>
      </c>
      <c r="X59" s="85">
        <v>2</v>
      </c>
      <c r="Y59" s="85">
        <v>2</v>
      </c>
      <c r="Z59" s="85">
        <v>2</v>
      </c>
      <c r="AA59" s="85">
        <v>2</v>
      </c>
      <c r="AB59" s="85">
        <v>2</v>
      </c>
      <c r="AC59" s="85">
        <v>2</v>
      </c>
      <c r="AD59" s="85">
        <v>2</v>
      </c>
      <c r="AE59" s="85">
        <v>2</v>
      </c>
      <c r="AF59" s="85">
        <v>2</v>
      </c>
      <c r="AG59" s="85">
        <v>2</v>
      </c>
      <c r="AH59" s="85">
        <v>2</v>
      </c>
      <c r="AP59" s="92">
        <f t="shared" si="9"/>
        <v>18</v>
      </c>
      <c r="AQ59" s="91" t="str">
        <f t="shared" si="10"/>
        <v>2222</v>
      </c>
      <c r="AR59" s="91" t="str">
        <f t="shared" si="11"/>
        <v>2222</v>
      </c>
      <c r="AS59" s="91" t="str">
        <f t="shared" si="12"/>
        <v>2222</v>
      </c>
      <c r="AT59" s="91" t="str">
        <f t="shared" si="13"/>
        <v>2222</v>
      </c>
      <c r="AU59" s="91" t="str">
        <f t="shared" si="14"/>
        <v>2222</v>
      </c>
      <c r="AV59" s="91" t="str">
        <f t="shared" si="15"/>
        <v>2222</v>
      </c>
      <c r="AW59" s="91" t="str">
        <f t="shared" si="16"/>
        <v>2222</v>
      </c>
      <c r="AX59" s="91" t="str">
        <f t="shared" si="17"/>
        <v>2222</v>
      </c>
    </row>
    <row r="60" spans="1:50" s="83" customFormat="1" ht="14.1" customHeight="1">
      <c r="A60" s="82"/>
      <c r="B60" s="84">
        <v>19</v>
      </c>
      <c r="C60" s="85">
        <v>2</v>
      </c>
      <c r="D60" s="85">
        <v>2</v>
      </c>
      <c r="E60" s="85">
        <v>2</v>
      </c>
      <c r="F60" s="85">
        <v>2</v>
      </c>
      <c r="G60" s="85">
        <v>2</v>
      </c>
      <c r="H60" s="85">
        <v>2</v>
      </c>
      <c r="I60" s="85">
        <v>2</v>
      </c>
      <c r="J60" s="85">
        <v>2</v>
      </c>
      <c r="K60" s="85">
        <v>2</v>
      </c>
      <c r="L60" s="85">
        <v>2</v>
      </c>
      <c r="M60" s="85">
        <v>2</v>
      </c>
      <c r="N60" s="85">
        <v>2</v>
      </c>
      <c r="O60" s="85">
        <v>2</v>
      </c>
      <c r="P60" s="85">
        <v>2</v>
      </c>
      <c r="Q60" s="85">
        <v>2</v>
      </c>
      <c r="R60" s="85">
        <v>2</v>
      </c>
      <c r="S60" s="85">
        <v>2</v>
      </c>
      <c r="T60" s="85">
        <v>2</v>
      </c>
      <c r="U60" s="85">
        <v>2</v>
      </c>
      <c r="V60" s="85">
        <v>2</v>
      </c>
      <c r="W60" s="85">
        <v>2</v>
      </c>
      <c r="X60" s="85">
        <v>2</v>
      </c>
      <c r="Y60" s="85">
        <v>2</v>
      </c>
      <c r="Z60" s="85">
        <v>2</v>
      </c>
      <c r="AA60" s="85">
        <v>2</v>
      </c>
      <c r="AB60" s="85">
        <v>2</v>
      </c>
      <c r="AC60" s="85">
        <v>2</v>
      </c>
      <c r="AD60" s="85">
        <v>2</v>
      </c>
      <c r="AE60" s="85">
        <v>2</v>
      </c>
      <c r="AF60" s="85">
        <v>2</v>
      </c>
      <c r="AG60" s="85">
        <v>2</v>
      </c>
      <c r="AH60" s="85">
        <v>2</v>
      </c>
      <c r="AP60" s="92">
        <f t="shared" si="9"/>
        <v>19</v>
      </c>
      <c r="AQ60" s="91" t="str">
        <f t="shared" si="10"/>
        <v>2222</v>
      </c>
      <c r="AR60" s="91" t="str">
        <f t="shared" si="11"/>
        <v>2222</v>
      </c>
      <c r="AS60" s="91" t="str">
        <f t="shared" si="12"/>
        <v>2222</v>
      </c>
      <c r="AT60" s="91" t="str">
        <f t="shared" si="13"/>
        <v>2222</v>
      </c>
      <c r="AU60" s="91" t="str">
        <f t="shared" si="14"/>
        <v>2222</v>
      </c>
      <c r="AV60" s="91" t="str">
        <f t="shared" si="15"/>
        <v>2222</v>
      </c>
      <c r="AW60" s="91" t="str">
        <f t="shared" si="16"/>
        <v>2222</v>
      </c>
      <c r="AX60" s="91" t="str">
        <f t="shared" si="17"/>
        <v>2222</v>
      </c>
    </row>
    <row r="61" spans="1:50" s="83" customFormat="1" ht="14.1" customHeight="1">
      <c r="A61" s="82"/>
      <c r="B61" s="84">
        <v>20</v>
      </c>
      <c r="C61" s="85">
        <v>2</v>
      </c>
      <c r="D61" s="85">
        <v>2</v>
      </c>
      <c r="E61" s="85">
        <v>2</v>
      </c>
      <c r="F61" s="85">
        <v>2</v>
      </c>
      <c r="G61" s="85">
        <v>2</v>
      </c>
      <c r="H61" s="85">
        <v>2</v>
      </c>
      <c r="I61" s="85">
        <v>2</v>
      </c>
      <c r="J61" s="85">
        <v>2</v>
      </c>
      <c r="K61" s="85">
        <v>2</v>
      </c>
      <c r="L61" s="85">
        <v>2</v>
      </c>
      <c r="M61" s="85">
        <v>2</v>
      </c>
      <c r="N61" s="85">
        <v>2</v>
      </c>
      <c r="O61" s="85">
        <v>2</v>
      </c>
      <c r="P61" s="85">
        <v>2</v>
      </c>
      <c r="Q61" s="85">
        <v>2</v>
      </c>
      <c r="R61" s="85">
        <v>2</v>
      </c>
      <c r="S61" s="85">
        <v>2</v>
      </c>
      <c r="T61" s="85">
        <v>2</v>
      </c>
      <c r="U61" s="85">
        <v>2</v>
      </c>
      <c r="V61" s="85">
        <v>2</v>
      </c>
      <c r="W61" s="85">
        <v>2</v>
      </c>
      <c r="X61" s="85">
        <v>2</v>
      </c>
      <c r="Y61" s="85">
        <v>2</v>
      </c>
      <c r="Z61" s="85">
        <v>2</v>
      </c>
      <c r="AA61" s="85">
        <v>2</v>
      </c>
      <c r="AB61" s="85">
        <v>2</v>
      </c>
      <c r="AC61" s="85">
        <v>2</v>
      </c>
      <c r="AD61" s="85">
        <v>2</v>
      </c>
      <c r="AE61" s="85">
        <v>2</v>
      </c>
      <c r="AF61" s="85">
        <v>2</v>
      </c>
      <c r="AG61" s="85">
        <v>2</v>
      </c>
      <c r="AH61" s="85">
        <v>2</v>
      </c>
      <c r="AP61" s="92">
        <f t="shared" si="9"/>
        <v>20</v>
      </c>
      <c r="AQ61" s="91" t="str">
        <f t="shared" si="10"/>
        <v>2222</v>
      </c>
      <c r="AR61" s="91" t="str">
        <f t="shared" si="11"/>
        <v>2222</v>
      </c>
      <c r="AS61" s="91" t="str">
        <f t="shared" si="12"/>
        <v>2222</v>
      </c>
      <c r="AT61" s="91" t="str">
        <f t="shared" si="13"/>
        <v>2222</v>
      </c>
      <c r="AU61" s="91" t="str">
        <f t="shared" si="14"/>
        <v>2222</v>
      </c>
      <c r="AV61" s="91" t="str">
        <f t="shared" si="15"/>
        <v>2222</v>
      </c>
      <c r="AW61" s="91" t="str">
        <f t="shared" si="16"/>
        <v>2222</v>
      </c>
      <c r="AX61" s="91" t="str">
        <f t="shared" si="17"/>
        <v>2222</v>
      </c>
    </row>
    <row r="62" spans="1:50" s="83" customFormat="1" ht="14.1" customHeight="1">
      <c r="A62" s="82"/>
      <c r="B62" s="84">
        <v>21</v>
      </c>
      <c r="C62" s="85">
        <v>2</v>
      </c>
      <c r="D62" s="85">
        <v>2</v>
      </c>
      <c r="E62" s="85">
        <v>2</v>
      </c>
      <c r="F62" s="85">
        <v>2</v>
      </c>
      <c r="G62" s="85">
        <v>2</v>
      </c>
      <c r="H62" s="85">
        <v>2</v>
      </c>
      <c r="I62" s="85">
        <v>2</v>
      </c>
      <c r="J62" s="85">
        <v>2</v>
      </c>
      <c r="K62" s="85">
        <v>2</v>
      </c>
      <c r="L62" s="85">
        <v>2</v>
      </c>
      <c r="M62" s="85">
        <v>2</v>
      </c>
      <c r="N62" s="85">
        <v>2</v>
      </c>
      <c r="O62" s="85">
        <v>2</v>
      </c>
      <c r="P62" s="85">
        <v>2</v>
      </c>
      <c r="Q62" s="85">
        <v>2</v>
      </c>
      <c r="R62" s="85">
        <v>2</v>
      </c>
      <c r="S62" s="85">
        <v>2</v>
      </c>
      <c r="T62" s="85">
        <v>2</v>
      </c>
      <c r="U62" s="85">
        <v>2</v>
      </c>
      <c r="V62" s="85">
        <v>2</v>
      </c>
      <c r="W62" s="85">
        <v>2</v>
      </c>
      <c r="X62" s="85">
        <v>2</v>
      </c>
      <c r="Y62" s="85">
        <v>2</v>
      </c>
      <c r="Z62" s="85">
        <v>2</v>
      </c>
      <c r="AA62" s="85">
        <v>2</v>
      </c>
      <c r="AB62" s="85">
        <v>2</v>
      </c>
      <c r="AC62" s="85">
        <v>2</v>
      </c>
      <c r="AD62" s="85">
        <v>2</v>
      </c>
      <c r="AE62" s="85">
        <v>2</v>
      </c>
      <c r="AF62" s="85">
        <v>2</v>
      </c>
      <c r="AG62" s="85">
        <v>2</v>
      </c>
      <c r="AH62" s="85">
        <v>2</v>
      </c>
      <c r="AP62" s="92">
        <f t="shared" si="9"/>
        <v>21</v>
      </c>
      <c r="AQ62" s="91" t="str">
        <f t="shared" si="10"/>
        <v>2222</v>
      </c>
      <c r="AR62" s="91" t="str">
        <f t="shared" si="11"/>
        <v>2222</v>
      </c>
      <c r="AS62" s="91" t="str">
        <f t="shared" si="12"/>
        <v>2222</v>
      </c>
      <c r="AT62" s="91" t="str">
        <f t="shared" si="13"/>
        <v>2222</v>
      </c>
      <c r="AU62" s="91" t="str">
        <f t="shared" si="14"/>
        <v>2222</v>
      </c>
      <c r="AV62" s="91" t="str">
        <f t="shared" si="15"/>
        <v>2222</v>
      </c>
      <c r="AW62" s="91" t="str">
        <f t="shared" si="16"/>
        <v>2222</v>
      </c>
      <c r="AX62" s="91" t="str">
        <f t="shared" si="17"/>
        <v>2222</v>
      </c>
    </row>
    <row r="63" spans="1:50" s="83" customFormat="1" ht="14.1" customHeight="1">
      <c r="A63" s="82"/>
      <c r="B63" s="84">
        <v>22</v>
      </c>
      <c r="C63" s="85">
        <v>2</v>
      </c>
      <c r="D63" s="85">
        <v>2</v>
      </c>
      <c r="E63" s="85">
        <v>2</v>
      </c>
      <c r="F63" s="85">
        <v>2</v>
      </c>
      <c r="G63" s="85">
        <v>2</v>
      </c>
      <c r="H63" s="85">
        <v>2</v>
      </c>
      <c r="I63" s="85">
        <v>2</v>
      </c>
      <c r="J63" s="85">
        <v>2</v>
      </c>
      <c r="K63" s="85">
        <v>2</v>
      </c>
      <c r="L63" s="85">
        <v>2</v>
      </c>
      <c r="M63" s="85">
        <v>2</v>
      </c>
      <c r="N63" s="85">
        <v>2</v>
      </c>
      <c r="O63" s="85">
        <v>2</v>
      </c>
      <c r="P63" s="85">
        <v>2</v>
      </c>
      <c r="Q63" s="85">
        <v>2</v>
      </c>
      <c r="R63" s="85">
        <v>2</v>
      </c>
      <c r="S63" s="85">
        <v>2</v>
      </c>
      <c r="T63" s="85">
        <v>2</v>
      </c>
      <c r="U63" s="85">
        <v>2</v>
      </c>
      <c r="V63" s="85">
        <v>2</v>
      </c>
      <c r="W63" s="85">
        <v>2</v>
      </c>
      <c r="X63" s="85">
        <v>2</v>
      </c>
      <c r="Y63" s="85">
        <v>2</v>
      </c>
      <c r="Z63" s="85">
        <v>2</v>
      </c>
      <c r="AA63" s="85">
        <v>2</v>
      </c>
      <c r="AB63" s="85">
        <v>2</v>
      </c>
      <c r="AC63" s="85">
        <v>2</v>
      </c>
      <c r="AD63" s="85">
        <v>2</v>
      </c>
      <c r="AE63" s="85">
        <v>2</v>
      </c>
      <c r="AF63" s="85">
        <v>2</v>
      </c>
      <c r="AG63" s="85">
        <v>2</v>
      </c>
      <c r="AH63" s="85">
        <v>2</v>
      </c>
      <c r="AP63" s="92">
        <f t="shared" si="9"/>
        <v>22</v>
      </c>
      <c r="AQ63" s="91" t="str">
        <f t="shared" si="10"/>
        <v>2222</v>
      </c>
      <c r="AR63" s="91" t="str">
        <f t="shared" si="11"/>
        <v>2222</v>
      </c>
      <c r="AS63" s="91" t="str">
        <f t="shared" si="12"/>
        <v>2222</v>
      </c>
      <c r="AT63" s="91" t="str">
        <f t="shared" si="13"/>
        <v>2222</v>
      </c>
      <c r="AU63" s="91" t="str">
        <f t="shared" si="14"/>
        <v>2222</v>
      </c>
      <c r="AV63" s="91" t="str">
        <f t="shared" si="15"/>
        <v>2222</v>
      </c>
      <c r="AW63" s="91" t="str">
        <f t="shared" si="16"/>
        <v>2222</v>
      </c>
      <c r="AX63" s="91" t="str">
        <f t="shared" si="17"/>
        <v>2222</v>
      </c>
    </row>
    <row r="64" spans="1:50" s="83" customFormat="1" ht="14.1" customHeight="1">
      <c r="A64" s="82"/>
      <c r="B64" s="84">
        <v>23</v>
      </c>
      <c r="C64" s="85">
        <v>2</v>
      </c>
      <c r="D64" s="85">
        <v>2</v>
      </c>
      <c r="E64" s="85">
        <v>2</v>
      </c>
      <c r="F64" s="85">
        <v>2</v>
      </c>
      <c r="G64" s="85">
        <v>2</v>
      </c>
      <c r="H64" s="85">
        <v>2</v>
      </c>
      <c r="I64" s="85">
        <v>2</v>
      </c>
      <c r="J64" s="85">
        <v>2</v>
      </c>
      <c r="K64" s="85">
        <v>2</v>
      </c>
      <c r="L64" s="85">
        <v>2</v>
      </c>
      <c r="M64" s="85">
        <v>2</v>
      </c>
      <c r="N64" s="85">
        <v>2</v>
      </c>
      <c r="O64" s="85">
        <v>2</v>
      </c>
      <c r="P64" s="85">
        <v>2</v>
      </c>
      <c r="Q64" s="85">
        <v>2</v>
      </c>
      <c r="R64" s="85">
        <v>2</v>
      </c>
      <c r="S64" s="85">
        <v>2</v>
      </c>
      <c r="T64" s="85">
        <v>2</v>
      </c>
      <c r="U64" s="85">
        <v>2</v>
      </c>
      <c r="V64" s="85">
        <v>2</v>
      </c>
      <c r="W64" s="85">
        <v>2</v>
      </c>
      <c r="X64" s="85">
        <v>2</v>
      </c>
      <c r="Y64" s="85">
        <v>2</v>
      </c>
      <c r="Z64" s="85">
        <v>2</v>
      </c>
      <c r="AA64" s="85">
        <v>2</v>
      </c>
      <c r="AB64" s="85">
        <v>2</v>
      </c>
      <c r="AC64" s="85">
        <v>2</v>
      </c>
      <c r="AD64" s="85">
        <v>2</v>
      </c>
      <c r="AE64" s="85">
        <v>2</v>
      </c>
      <c r="AF64" s="85">
        <v>2</v>
      </c>
      <c r="AG64" s="85">
        <v>2</v>
      </c>
      <c r="AH64" s="85">
        <v>2</v>
      </c>
      <c r="AP64" s="92">
        <f t="shared" si="9"/>
        <v>23</v>
      </c>
      <c r="AQ64" s="91" t="str">
        <f t="shared" si="10"/>
        <v>2222</v>
      </c>
      <c r="AR64" s="91" t="str">
        <f t="shared" si="11"/>
        <v>2222</v>
      </c>
      <c r="AS64" s="91" t="str">
        <f t="shared" si="12"/>
        <v>2222</v>
      </c>
      <c r="AT64" s="91" t="str">
        <f t="shared" si="13"/>
        <v>2222</v>
      </c>
      <c r="AU64" s="91" t="str">
        <f t="shared" si="14"/>
        <v>2222</v>
      </c>
      <c r="AV64" s="91" t="str">
        <f t="shared" si="15"/>
        <v>2222</v>
      </c>
      <c r="AW64" s="91" t="str">
        <f t="shared" si="16"/>
        <v>2222</v>
      </c>
      <c r="AX64" s="91" t="str">
        <f t="shared" si="17"/>
        <v>2222</v>
      </c>
    </row>
    <row r="65" spans="1:50" s="83" customFormat="1" ht="14.1" customHeight="1">
      <c r="A65" s="82"/>
      <c r="B65" s="84">
        <v>24</v>
      </c>
      <c r="C65" s="85">
        <v>2</v>
      </c>
      <c r="D65" s="85">
        <v>2</v>
      </c>
      <c r="E65" s="85">
        <v>2</v>
      </c>
      <c r="F65" s="85">
        <v>2</v>
      </c>
      <c r="G65" s="85">
        <v>2</v>
      </c>
      <c r="H65" s="85">
        <v>2</v>
      </c>
      <c r="I65" s="85">
        <v>2</v>
      </c>
      <c r="J65" s="85">
        <v>2</v>
      </c>
      <c r="K65" s="85">
        <v>2</v>
      </c>
      <c r="L65" s="85">
        <v>2</v>
      </c>
      <c r="M65" s="85">
        <v>2</v>
      </c>
      <c r="N65" s="85">
        <v>2</v>
      </c>
      <c r="O65" s="85">
        <v>2</v>
      </c>
      <c r="P65" s="85">
        <v>2</v>
      </c>
      <c r="Q65" s="85">
        <v>2</v>
      </c>
      <c r="R65" s="85">
        <v>2</v>
      </c>
      <c r="S65" s="85">
        <v>2</v>
      </c>
      <c r="T65" s="85">
        <v>2</v>
      </c>
      <c r="U65" s="85">
        <v>2</v>
      </c>
      <c r="V65" s="85">
        <v>2</v>
      </c>
      <c r="W65" s="85">
        <v>2</v>
      </c>
      <c r="X65" s="85">
        <v>2</v>
      </c>
      <c r="Y65" s="85">
        <v>2</v>
      </c>
      <c r="Z65" s="85">
        <v>2</v>
      </c>
      <c r="AA65" s="85">
        <v>2</v>
      </c>
      <c r="AB65" s="85">
        <v>2</v>
      </c>
      <c r="AC65" s="85">
        <v>2</v>
      </c>
      <c r="AD65" s="85">
        <v>2</v>
      </c>
      <c r="AE65" s="85">
        <v>2</v>
      </c>
      <c r="AF65" s="85">
        <v>2</v>
      </c>
      <c r="AG65" s="85">
        <v>2</v>
      </c>
      <c r="AH65" s="85">
        <v>2</v>
      </c>
      <c r="AP65" s="92">
        <f t="shared" si="9"/>
        <v>24</v>
      </c>
      <c r="AQ65" s="91" t="str">
        <f t="shared" si="10"/>
        <v>2222</v>
      </c>
      <c r="AR65" s="91" t="str">
        <f t="shared" si="11"/>
        <v>2222</v>
      </c>
      <c r="AS65" s="91" t="str">
        <f t="shared" si="12"/>
        <v>2222</v>
      </c>
      <c r="AT65" s="91" t="str">
        <f t="shared" si="13"/>
        <v>2222</v>
      </c>
      <c r="AU65" s="91" t="str">
        <f t="shared" si="14"/>
        <v>2222</v>
      </c>
      <c r="AV65" s="91" t="str">
        <f t="shared" si="15"/>
        <v>2222</v>
      </c>
      <c r="AW65" s="91" t="str">
        <f t="shared" si="16"/>
        <v>2222</v>
      </c>
      <c r="AX65" s="91" t="str">
        <f t="shared" si="17"/>
        <v>2222</v>
      </c>
    </row>
    <row r="66" spans="1:50" s="83" customFormat="1" ht="14.1" customHeight="1">
      <c r="A66" s="82"/>
      <c r="B66" s="84">
        <v>25</v>
      </c>
      <c r="C66" s="85">
        <v>2</v>
      </c>
      <c r="D66" s="85">
        <v>2</v>
      </c>
      <c r="E66" s="85">
        <v>2</v>
      </c>
      <c r="F66" s="85">
        <v>2</v>
      </c>
      <c r="G66" s="85">
        <v>2</v>
      </c>
      <c r="H66" s="85">
        <v>2</v>
      </c>
      <c r="I66" s="85">
        <v>2</v>
      </c>
      <c r="J66" s="85">
        <v>2</v>
      </c>
      <c r="K66" s="85">
        <v>2</v>
      </c>
      <c r="L66" s="85">
        <v>2</v>
      </c>
      <c r="M66" s="85">
        <v>2</v>
      </c>
      <c r="N66" s="85">
        <v>2</v>
      </c>
      <c r="O66" s="85">
        <v>2</v>
      </c>
      <c r="P66" s="85">
        <v>2</v>
      </c>
      <c r="Q66" s="85">
        <v>2</v>
      </c>
      <c r="R66" s="85">
        <v>2</v>
      </c>
      <c r="S66" s="85">
        <v>2</v>
      </c>
      <c r="T66" s="85">
        <v>2</v>
      </c>
      <c r="U66" s="85">
        <v>2</v>
      </c>
      <c r="V66" s="85">
        <v>2</v>
      </c>
      <c r="W66" s="85">
        <v>2</v>
      </c>
      <c r="X66" s="85">
        <v>2</v>
      </c>
      <c r="Y66" s="85">
        <v>2</v>
      </c>
      <c r="Z66" s="85">
        <v>2</v>
      </c>
      <c r="AA66" s="85">
        <v>2</v>
      </c>
      <c r="AB66" s="85">
        <v>2</v>
      </c>
      <c r="AC66" s="85">
        <v>2</v>
      </c>
      <c r="AD66" s="85">
        <v>2</v>
      </c>
      <c r="AE66" s="85">
        <v>2</v>
      </c>
      <c r="AF66" s="85">
        <v>2</v>
      </c>
      <c r="AG66" s="85">
        <v>2</v>
      </c>
      <c r="AH66" s="85">
        <v>2</v>
      </c>
      <c r="AP66" s="92">
        <f t="shared" si="9"/>
        <v>25</v>
      </c>
      <c r="AQ66" s="91" t="str">
        <f t="shared" si="10"/>
        <v>2222</v>
      </c>
      <c r="AR66" s="91" t="str">
        <f t="shared" si="11"/>
        <v>2222</v>
      </c>
      <c r="AS66" s="91" t="str">
        <f t="shared" si="12"/>
        <v>2222</v>
      </c>
      <c r="AT66" s="91" t="str">
        <f t="shared" si="13"/>
        <v>2222</v>
      </c>
      <c r="AU66" s="91" t="str">
        <f t="shared" si="14"/>
        <v>2222</v>
      </c>
      <c r="AV66" s="91" t="str">
        <f t="shared" si="15"/>
        <v>2222</v>
      </c>
      <c r="AW66" s="91" t="str">
        <f t="shared" si="16"/>
        <v>2222</v>
      </c>
      <c r="AX66" s="91" t="str">
        <f t="shared" si="17"/>
        <v>2222</v>
      </c>
    </row>
    <row r="67" spans="1:50" s="83" customFormat="1" ht="14.1" customHeight="1">
      <c r="A67" s="82"/>
      <c r="B67" s="84">
        <v>26</v>
      </c>
      <c r="C67" s="85">
        <v>2</v>
      </c>
      <c r="D67" s="85">
        <v>2</v>
      </c>
      <c r="E67" s="85">
        <v>2</v>
      </c>
      <c r="F67" s="85">
        <v>2</v>
      </c>
      <c r="G67" s="85">
        <v>2</v>
      </c>
      <c r="H67" s="85">
        <v>2</v>
      </c>
      <c r="I67" s="85">
        <v>2</v>
      </c>
      <c r="J67" s="85">
        <v>2</v>
      </c>
      <c r="K67" s="85">
        <v>2</v>
      </c>
      <c r="L67" s="85">
        <v>2</v>
      </c>
      <c r="M67" s="85">
        <v>2</v>
      </c>
      <c r="N67" s="85">
        <v>2</v>
      </c>
      <c r="O67" s="85">
        <v>2</v>
      </c>
      <c r="P67" s="85">
        <v>2</v>
      </c>
      <c r="Q67" s="85">
        <v>2</v>
      </c>
      <c r="R67" s="85">
        <v>2</v>
      </c>
      <c r="S67" s="85">
        <v>2</v>
      </c>
      <c r="T67" s="85">
        <v>2</v>
      </c>
      <c r="U67" s="85">
        <v>2</v>
      </c>
      <c r="V67" s="85">
        <v>2</v>
      </c>
      <c r="W67" s="85">
        <v>2</v>
      </c>
      <c r="X67" s="85">
        <v>2</v>
      </c>
      <c r="Y67" s="85">
        <v>2</v>
      </c>
      <c r="Z67" s="85">
        <v>2</v>
      </c>
      <c r="AA67" s="85">
        <v>2</v>
      </c>
      <c r="AB67" s="85">
        <v>2</v>
      </c>
      <c r="AC67" s="85">
        <v>2</v>
      </c>
      <c r="AD67" s="85">
        <v>2</v>
      </c>
      <c r="AE67" s="85">
        <v>2</v>
      </c>
      <c r="AF67" s="85">
        <v>2</v>
      </c>
      <c r="AG67" s="85">
        <v>2</v>
      </c>
      <c r="AH67" s="85">
        <v>2</v>
      </c>
      <c r="AP67" s="92">
        <f t="shared" si="9"/>
        <v>26</v>
      </c>
      <c r="AQ67" s="91" t="str">
        <f t="shared" si="10"/>
        <v>2222</v>
      </c>
      <c r="AR67" s="91" t="str">
        <f t="shared" si="11"/>
        <v>2222</v>
      </c>
      <c r="AS67" s="91" t="str">
        <f t="shared" si="12"/>
        <v>2222</v>
      </c>
      <c r="AT67" s="91" t="str">
        <f t="shared" si="13"/>
        <v>2222</v>
      </c>
      <c r="AU67" s="91" t="str">
        <f t="shared" si="14"/>
        <v>2222</v>
      </c>
      <c r="AV67" s="91" t="str">
        <f t="shared" si="15"/>
        <v>2222</v>
      </c>
      <c r="AW67" s="91" t="str">
        <f t="shared" si="16"/>
        <v>2222</v>
      </c>
      <c r="AX67" s="91" t="str">
        <f t="shared" si="17"/>
        <v>2222</v>
      </c>
    </row>
    <row r="68" spans="1:50" s="83" customFormat="1" ht="14.1" customHeight="1">
      <c r="A68" s="82"/>
      <c r="B68" s="84">
        <v>27</v>
      </c>
      <c r="C68" s="85">
        <v>2</v>
      </c>
      <c r="D68" s="85">
        <v>2</v>
      </c>
      <c r="E68" s="85">
        <v>2</v>
      </c>
      <c r="F68" s="85">
        <v>2</v>
      </c>
      <c r="G68" s="85">
        <v>2</v>
      </c>
      <c r="H68" s="85">
        <v>2</v>
      </c>
      <c r="I68" s="85">
        <v>2</v>
      </c>
      <c r="J68" s="85">
        <v>2</v>
      </c>
      <c r="K68" s="85">
        <v>2</v>
      </c>
      <c r="L68" s="85">
        <v>2</v>
      </c>
      <c r="M68" s="85">
        <v>2</v>
      </c>
      <c r="N68" s="85">
        <v>2</v>
      </c>
      <c r="O68" s="85">
        <v>2</v>
      </c>
      <c r="P68" s="85">
        <v>2</v>
      </c>
      <c r="Q68" s="85">
        <v>2</v>
      </c>
      <c r="R68" s="85">
        <v>2</v>
      </c>
      <c r="S68" s="85">
        <v>2</v>
      </c>
      <c r="T68" s="85">
        <v>2</v>
      </c>
      <c r="U68" s="85">
        <v>2</v>
      </c>
      <c r="V68" s="85">
        <v>2</v>
      </c>
      <c r="W68" s="85">
        <v>2</v>
      </c>
      <c r="X68" s="85">
        <v>2</v>
      </c>
      <c r="Y68" s="85">
        <v>2</v>
      </c>
      <c r="Z68" s="85">
        <v>2</v>
      </c>
      <c r="AA68" s="85">
        <v>2</v>
      </c>
      <c r="AB68" s="85">
        <v>2</v>
      </c>
      <c r="AC68" s="85">
        <v>2</v>
      </c>
      <c r="AD68" s="85">
        <v>2</v>
      </c>
      <c r="AE68" s="85">
        <v>2</v>
      </c>
      <c r="AF68" s="85">
        <v>2</v>
      </c>
      <c r="AG68" s="85">
        <v>2</v>
      </c>
      <c r="AH68" s="85">
        <v>2</v>
      </c>
      <c r="AP68" s="92">
        <f t="shared" si="9"/>
        <v>27</v>
      </c>
      <c r="AQ68" s="91" t="str">
        <f t="shared" si="10"/>
        <v>2222</v>
      </c>
      <c r="AR68" s="91" t="str">
        <f t="shared" si="11"/>
        <v>2222</v>
      </c>
      <c r="AS68" s="91" t="str">
        <f t="shared" si="12"/>
        <v>2222</v>
      </c>
      <c r="AT68" s="91" t="str">
        <f t="shared" si="13"/>
        <v>2222</v>
      </c>
      <c r="AU68" s="91" t="str">
        <f t="shared" si="14"/>
        <v>2222</v>
      </c>
      <c r="AV68" s="91" t="str">
        <f t="shared" si="15"/>
        <v>2222</v>
      </c>
      <c r="AW68" s="91" t="str">
        <f t="shared" si="16"/>
        <v>2222</v>
      </c>
      <c r="AX68" s="91" t="str">
        <f t="shared" si="17"/>
        <v>2222</v>
      </c>
    </row>
    <row r="69" spans="1:50" s="83" customFormat="1" ht="14.1" customHeight="1">
      <c r="A69" s="82"/>
      <c r="B69" s="84">
        <v>28</v>
      </c>
      <c r="C69" s="85">
        <v>2</v>
      </c>
      <c r="D69" s="85">
        <v>2</v>
      </c>
      <c r="E69" s="85">
        <v>2</v>
      </c>
      <c r="F69" s="85">
        <v>2</v>
      </c>
      <c r="G69" s="85">
        <v>2</v>
      </c>
      <c r="H69" s="85">
        <v>2</v>
      </c>
      <c r="I69" s="85">
        <v>2</v>
      </c>
      <c r="J69" s="85">
        <v>2</v>
      </c>
      <c r="K69" s="85">
        <v>2</v>
      </c>
      <c r="L69" s="85">
        <v>2</v>
      </c>
      <c r="M69" s="85">
        <v>2</v>
      </c>
      <c r="N69" s="85">
        <v>2</v>
      </c>
      <c r="O69" s="85">
        <v>2</v>
      </c>
      <c r="P69" s="85">
        <v>2</v>
      </c>
      <c r="Q69" s="85">
        <v>2</v>
      </c>
      <c r="R69" s="85">
        <v>2</v>
      </c>
      <c r="S69" s="85">
        <v>2</v>
      </c>
      <c r="T69" s="85">
        <v>2</v>
      </c>
      <c r="U69" s="85">
        <v>2</v>
      </c>
      <c r="V69" s="85">
        <v>2</v>
      </c>
      <c r="W69" s="85">
        <v>2</v>
      </c>
      <c r="X69" s="85">
        <v>2</v>
      </c>
      <c r="Y69" s="85">
        <v>2</v>
      </c>
      <c r="Z69" s="85">
        <v>2</v>
      </c>
      <c r="AA69" s="85">
        <v>2</v>
      </c>
      <c r="AB69" s="85">
        <v>2</v>
      </c>
      <c r="AC69" s="85">
        <v>2</v>
      </c>
      <c r="AD69" s="85">
        <v>2</v>
      </c>
      <c r="AE69" s="85">
        <v>2</v>
      </c>
      <c r="AF69" s="85">
        <v>2</v>
      </c>
      <c r="AG69" s="85">
        <v>2</v>
      </c>
      <c r="AH69" s="85">
        <v>2</v>
      </c>
      <c r="AP69" s="92">
        <f t="shared" si="9"/>
        <v>28</v>
      </c>
      <c r="AQ69" s="91" t="str">
        <f t="shared" si="10"/>
        <v>2222</v>
      </c>
      <c r="AR69" s="91" t="str">
        <f t="shared" si="11"/>
        <v>2222</v>
      </c>
      <c r="AS69" s="91" t="str">
        <f t="shared" si="12"/>
        <v>2222</v>
      </c>
      <c r="AT69" s="91" t="str">
        <f t="shared" si="13"/>
        <v>2222</v>
      </c>
      <c r="AU69" s="91" t="str">
        <f t="shared" si="14"/>
        <v>2222</v>
      </c>
      <c r="AV69" s="91" t="str">
        <f t="shared" si="15"/>
        <v>2222</v>
      </c>
      <c r="AW69" s="91" t="str">
        <f t="shared" si="16"/>
        <v>2222</v>
      </c>
      <c r="AX69" s="91" t="str">
        <f t="shared" si="17"/>
        <v>2222</v>
      </c>
    </row>
    <row r="70" spans="1:50" s="83" customFormat="1" ht="14.1" customHeight="1">
      <c r="A70" s="82"/>
      <c r="B70" s="84">
        <v>29</v>
      </c>
      <c r="C70" s="85">
        <v>2</v>
      </c>
      <c r="D70" s="85">
        <v>2</v>
      </c>
      <c r="E70" s="85">
        <v>2</v>
      </c>
      <c r="F70" s="85">
        <v>2</v>
      </c>
      <c r="G70" s="85">
        <v>2</v>
      </c>
      <c r="H70" s="85">
        <v>2</v>
      </c>
      <c r="I70" s="85">
        <v>2</v>
      </c>
      <c r="J70" s="85">
        <v>2</v>
      </c>
      <c r="K70" s="85">
        <v>2</v>
      </c>
      <c r="L70" s="85">
        <v>2</v>
      </c>
      <c r="M70" s="85">
        <v>2</v>
      </c>
      <c r="N70" s="85">
        <v>2</v>
      </c>
      <c r="O70" s="85">
        <v>2</v>
      </c>
      <c r="P70" s="85">
        <v>2</v>
      </c>
      <c r="Q70" s="85">
        <v>2</v>
      </c>
      <c r="R70" s="85">
        <v>2</v>
      </c>
      <c r="S70" s="85">
        <v>2</v>
      </c>
      <c r="T70" s="85">
        <v>2</v>
      </c>
      <c r="U70" s="85">
        <v>2</v>
      </c>
      <c r="V70" s="85">
        <v>2</v>
      </c>
      <c r="W70" s="85">
        <v>2</v>
      </c>
      <c r="X70" s="85">
        <v>2</v>
      </c>
      <c r="Y70" s="85">
        <v>2</v>
      </c>
      <c r="Z70" s="85">
        <v>2</v>
      </c>
      <c r="AA70" s="85">
        <v>2</v>
      </c>
      <c r="AB70" s="85">
        <v>2</v>
      </c>
      <c r="AC70" s="85">
        <v>2</v>
      </c>
      <c r="AD70" s="85">
        <v>2</v>
      </c>
      <c r="AE70" s="85">
        <v>2</v>
      </c>
      <c r="AF70" s="85">
        <v>2</v>
      </c>
      <c r="AG70" s="85">
        <v>2</v>
      </c>
      <c r="AH70" s="85">
        <v>2</v>
      </c>
      <c r="AP70" s="92">
        <f t="shared" si="9"/>
        <v>29</v>
      </c>
      <c r="AQ70" s="91" t="str">
        <f t="shared" si="10"/>
        <v>2222</v>
      </c>
      <c r="AR70" s="91" t="str">
        <f t="shared" si="11"/>
        <v>2222</v>
      </c>
      <c r="AS70" s="91" t="str">
        <f t="shared" si="12"/>
        <v>2222</v>
      </c>
      <c r="AT70" s="91" t="str">
        <f t="shared" si="13"/>
        <v>2222</v>
      </c>
      <c r="AU70" s="91" t="str">
        <f t="shared" si="14"/>
        <v>2222</v>
      </c>
      <c r="AV70" s="91" t="str">
        <f t="shared" si="15"/>
        <v>2222</v>
      </c>
      <c r="AW70" s="91" t="str">
        <f t="shared" si="16"/>
        <v>2222</v>
      </c>
      <c r="AX70" s="91" t="str">
        <f t="shared" si="17"/>
        <v>2222</v>
      </c>
    </row>
    <row r="71" spans="1:50" s="83" customFormat="1" ht="14.1" customHeight="1">
      <c r="A71" s="82"/>
      <c r="B71" s="84">
        <v>30</v>
      </c>
      <c r="C71" s="85">
        <v>2</v>
      </c>
      <c r="D71" s="85">
        <v>2</v>
      </c>
      <c r="E71" s="85">
        <v>2</v>
      </c>
      <c r="F71" s="85">
        <v>2</v>
      </c>
      <c r="G71" s="85">
        <v>2</v>
      </c>
      <c r="H71" s="85">
        <v>2</v>
      </c>
      <c r="I71" s="85">
        <v>2</v>
      </c>
      <c r="J71" s="85">
        <v>2</v>
      </c>
      <c r="K71" s="85">
        <v>2</v>
      </c>
      <c r="L71" s="85">
        <v>2</v>
      </c>
      <c r="M71" s="85">
        <v>2</v>
      </c>
      <c r="N71" s="85">
        <v>2</v>
      </c>
      <c r="O71" s="85">
        <v>2</v>
      </c>
      <c r="P71" s="85">
        <v>2</v>
      </c>
      <c r="Q71" s="85">
        <v>2</v>
      </c>
      <c r="R71" s="85">
        <v>2</v>
      </c>
      <c r="S71" s="85">
        <v>2</v>
      </c>
      <c r="T71" s="85">
        <v>2</v>
      </c>
      <c r="U71" s="85">
        <v>2</v>
      </c>
      <c r="V71" s="85">
        <v>2</v>
      </c>
      <c r="W71" s="85">
        <v>2</v>
      </c>
      <c r="X71" s="85">
        <v>2</v>
      </c>
      <c r="Y71" s="85">
        <v>2</v>
      </c>
      <c r="Z71" s="85">
        <v>2</v>
      </c>
      <c r="AA71" s="85">
        <v>2</v>
      </c>
      <c r="AB71" s="85">
        <v>2</v>
      </c>
      <c r="AC71" s="85">
        <v>2</v>
      </c>
      <c r="AD71" s="85">
        <v>2</v>
      </c>
      <c r="AE71" s="85">
        <v>2</v>
      </c>
      <c r="AF71" s="85">
        <v>2</v>
      </c>
      <c r="AG71" s="85">
        <v>2</v>
      </c>
      <c r="AH71" s="85">
        <v>2</v>
      </c>
      <c r="AP71" s="92">
        <f t="shared" si="9"/>
        <v>30</v>
      </c>
      <c r="AQ71" s="91" t="str">
        <f t="shared" si="10"/>
        <v>2222</v>
      </c>
      <c r="AR71" s="91" t="str">
        <f t="shared" si="11"/>
        <v>2222</v>
      </c>
      <c r="AS71" s="91" t="str">
        <f t="shared" si="12"/>
        <v>2222</v>
      </c>
      <c r="AT71" s="91" t="str">
        <f t="shared" si="13"/>
        <v>2222</v>
      </c>
      <c r="AU71" s="91" t="str">
        <f t="shared" si="14"/>
        <v>2222</v>
      </c>
      <c r="AV71" s="91" t="str">
        <f t="shared" si="15"/>
        <v>2222</v>
      </c>
      <c r="AW71" s="91" t="str">
        <f t="shared" si="16"/>
        <v>2222</v>
      </c>
      <c r="AX71" s="91" t="str">
        <f t="shared" si="17"/>
        <v>2222</v>
      </c>
    </row>
    <row r="72" spans="1:50" s="83" customFormat="1" ht="14.1" customHeight="1">
      <c r="A72" s="82"/>
      <c r="B72" s="84">
        <v>31</v>
      </c>
      <c r="C72" s="85">
        <v>2</v>
      </c>
      <c r="D72" s="85">
        <v>2</v>
      </c>
      <c r="E72" s="85">
        <v>2</v>
      </c>
      <c r="F72" s="85">
        <v>2</v>
      </c>
      <c r="G72" s="85">
        <v>2</v>
      </c>
      <c r="H72" s="85">
        <v>2</v>
      </c>
      <c r="I72" s="85">
        <v>2</v>
      </c>
      <c r="J72" s="85">
        <v>2</v>
      </c>
      <c r="K72" s="85">
        <v>2</v>
      </c>
      <c r="L72" s="85">
        <v>2</v>
      </c>
      <c r="M72" s="85">
        <v>2</v>
      </c>
      <c r="N72" s="85">
        <v>2</v>
      </c>
      <c r="O72" s="85">
        <v>2</v>
      </c>
      <c r="P72" s="85">
        <v>2</v>
      </c>
      <c r="Q72" s="85">
        <v>2</v>
      </c>
      <c r="R72" s="85">
        <v>2</v>
      </c>
      <c r="S72" s="85">
        <v>2</v>
      </c>
      <c r="T72" s="85">
        <v>2</v>
      </c>
      <c r="U72" s="85">
        <v>2</v>
      </c>
      <c r="V72" s="85">
        <v>2</v>
      </c>
      <c r="W72" s="85">
        <v>2</v>
      </c>
      <c r="X72" s="85">
        <v>2</v>
      </c>
      <c r="Y72" s="85">
        <v>2</v>
      </c>
      <c r="Z72" s="85">
        <v>2</v>
      </c>
      <c r="AA72" s="85">
        <v>2</v>
      </c>
      <c r="AB72" s="85">
        <v>2</v>
      </c>
      <c r="AC72" s="85">
        <v>2</v>
      </c>
      <c r="AD72" s="85">
        <v>2</v>
      </c>
      <c r="AE72" s="85">
        <v>2</v>
      </c>
      <c r="AF72" s="85">
        <v>2</v>
      </c>
      <c r="AG72" s="85">
        <v>2</v>
      </c>
      <c r="AH72" s="85">
        <v>2</v>
      </c>
      <c r="AP72" s="92">
        <f t="shared" si="9"/>
        <v>31</v>
      </c>
      <c r="AQ72" s="91" t="str">
        <f t="shared" si="10"/>
        <v>2222</v>
      </c>
      <c r="AR72" s="91" t="str">
        <f t="shared" si="11"/>
        <v>2222</v>
      </c>
      <c r="AS72" s="91" t="str">
        <f t="shared" si="12"/>
        <v>2222</v>
      </c>
      <c r="AT72" s="91" t="str">
        <f t="shared" si="13"/>
        <v>2222</v>
      </c>
      <c r="AU72" s="91" t="str">
        <f t="shared" si="14"/>
        <v>2222</v>
      </c>
      <c r="AV72" s="91" t="str">
        <f t="shared" si="15"/>
        <v>2222</v>
      </c>
      <c r="AW72" s="91" t="str">
        <f t="shared" si="16"/>
        <v>2222</v>
      </c>
      <c r="AX72" s="91" t="str">
        <f t="shared" si="17"/>
        <v>2222</v>
      </c>
    </row>
    <row r="73" spans="1:50" s="83" customFormat="1">
      <c r="A73" s="82"/>
      <c r="AP73" s="90"/>
      <c r="AU73" s="91"/>
      <c r="AV73" s="91"/>
      <c r="AW73" s="91"/>
      <c r="AX73" s="91"/>
    </row>
    <row r="74" spans="1:50" s="83" customFormat="1">
      <c r="A74" s="82"/>
      <c r="AP74" s="90"/>
      <c r="AU74" s="91"/>
      <c r="AV74" s="91"/>
      <c r="AW74" s="91"/>
      <c r="AX74" s="91"/>
    </row>
    <row r="75" spans="1:50" s="83" customFormat="1">
      <c r="A75" s="82" t="s">
        <v>310</v>
      </c>
      <c r="AP75" s="88" t="str">
        <f>A75</f>
        <v>3.Center-weighted average 2(Storage to ROM)</v>
      </c>
      <c r="AU75" s="91"/>
      <c r="AV75" s="91"/>
      <c r="AW75" s="91"/>
      <c r="AX75" s="91"/>
    </row>
    <row r="76" spans="1:50" s="83" customFormat="1">
      <c r="A76" s="82"/>
      <c r="C76" s="84">
        <v>0</v>
      </c>
      <c r="D76" s="84">
        <v>1</v>
      </c>
      <c r="E76" s="84">
        <v>2</v>
      </c>
      <c r="F76" s="84">
        <v>3</v>
      </c>
      <c r="G76" s="84">
        <v>4</v>
      </c>
      <c r="H76" s="84">
        <v>5</v>
      </c>
      <c r="I76" s="84">
        <v>6</v>
      </c>
      <c r="J76" s="84">
        <v>7</v>
      </c>
      <c r="K76" s="84">
        <v>8</v>
      </c>
      <c r="L76" s="84">
        <v>9</v>
      </c>
      <c r="M76" s="84">
        <v>10</v>
      </c>
      <c r="N76" s="84">
        <v>11</v>
      </c>
      <c r="O76" s="84">
        <v>12</v>
      </c>
      <c r="P76" s="84">
        <v>13</v>
      </c>
      <c r="Q76" s="84">
        <v>14</v>
      </c>
      <c r="R76" s="84">
        <v>15</v>
      </c>
      <c r="S76" s="84">
        <v>16</v>
      </c>
      <c r="T76" s="84">
        <v>17</v>
      </c>
      <c r="U76" s="84">
        <v>18</v>
      </c>
      <c r="V76" s="84">
        <v>19</v>
      </c>
      <c r="W76" s="84">
        <v>20</v>
      </c>
      <c r="X76" s="84">
        <v>21</v>
      </c>
      <c r="Y76" s="84">
        <v>22</v>
      </c>
      <c r="Z76" s="84">
        <v>23</v>
      </c>
      <c r="AA76" s="84">
        <v>24</v>
      </c>
      <c r="AB76" s="84">
        <v>25</v>
      </c>
      <c r="AC76" s="84">
        <v>26</v>
      </c>
      <c r="AD76" s="84">
        <v>27</v>
      </c>
      <c r="AE76" s="84">
        <v>28</v>
      </c>
      <c r="AF76" s="84">
        <v>29</v>
      </c>
      <c r="AG76" s="84">
        <v>30</v>
      </c>
      <c r="AH76" s="84">
        <v>31</v>
      </c>
      <c r="AP76" s="90"/>
      <c r="AQ76" s="91" t="str">
        <f>C76&amp;D76&amp;E76&amp;F76</f>
        <v>0123</v>
      </c>
      <c r="AR76" s="91" t="str">
        <f>G76&amp;H76&amp;I76&amp;J76</f>
        <v>4567</v>
      </c>
      <c r="AS76" s="91" t="str">
        <f>K76&amp;L76&amp;M76&amp;N76</f>
        <v>891011</v>
      </c>
      <c r="AT76" s="91" t="str">
        <f>O76&amp;P76&amp;Q76&amp;R76</f>
        <v>12131415</v>
      </c>
      <c r="AU76" s="83">
        <v>16171819</v>
      </c>
      <c r="AV76" s="83">
        <v>20212223</v>
      </c>
      <c r="AW76" s="83">
        <v>24252627</v>
      </c>
      <c r="AX76" s="83">
        <v>28293031</v>
      </c>
    </row>
    <row r="77" spans="1:50" s="83" customFormat="1" ht="14.1" customHeight="1">
      <c r="A77" s="82"/>
      <c r="B77" s="84">
        <v>0</v>
      </c>
      <c r="C77" s="85">
        <v>0</v>
      </c>
      <c r="D77" s="85">
        <v>0</v>
      </c>
      <c r="E77" s="85">
        <v>0</v>
      </c>
      <c r="F77" s="85">
        <v>0</v>
      </c>
      <c r="G77" s="85">
        <v>0</v>
      </c>
      <c r="H77" s="85">
        <v>0</v>
      </c>
      <c r="I77" s="85">
        <v>0</v>
      </c>
      <c r="J77" s="85">
        <v>0</v>
      </c>
      <c r="K77" s="85">
        <v>0</v>
      </c>
      <c r="L77" s="85">
        <v>0</v>
      </c>
      <c r="M77" s="85">
        <v>0</v>
      </c>
      <c r="N77" s="85">
        <v>0</v>
      </c>
      <c r="O77" s="85">
        <v>0</v>
      </c>
      <c r="P77" s="85">
        <v>0</v>
      </c>
      <c r="Q77" s="85">
        <v>0</v>
      </c>
      <c r="R77" s="85">
        <v>0</v>
      </c>
      <c r="S77" s="85">
        <v>0</v>
      </c>
      <c r="T77" s="85">
        <v>0</v>
      </c>
      <c r="U77" s="85">
        <v>0</v>
      </c>
      <c r="V77" s="85">
        <v>0</v>
      </c>
      <c r="W77" s="85">
        <v>0</v>
      </c>
      <c r="X77" s="85">
        <v>0</v>
      </c>
      <c r="Y77" s="85">
        <v>0</v>
      </c>
      <c r="Z77" s="85">
        <v>0</v>
      </c>
      <c r="AA77" s="85">
        <v>0</v>
      </c>
      <c r="AB77" s="85">
        <v>0</v>
      </c>
      <c r="AC77" s="85">
        <v>0</v>
      </c>
      <c r="AD77" s="85">
        <v>0</v>
      </c>
      <c r="AE77" s="85">
        <v>0</v>
      </c>
      <c r="AF77" s="85">
        <v>0</v>
      </c>
      <c r="AG77" s="85">
        <v>0</v>
      </c>
      <c r="AH77" s="85">
        <v>0</v>
      </c>
      <c r="AP77" s="92">
        <f t="shared" ref="AP77:AP108" si="18">B77</f>
        <v>0</v>
      </c>
      <c r="AQ77" s="91" t="str">
        <f t="shared" ref="AQ77:AQ108" si="19">DEC2HEX(C77)&amp;DEC2HEX(D77)&amp;DEC2HEX(E77)&amp;DEC2HEX(F77)</f>
        <v>0000</v>
      </c>
      <c r="AR77" s="91" t="str">
        <f t="shared" ref="AR77:AR108" si="20">DEC2HEX(G77)&amp;DEC2HEX(H77)&amp;DEC2HEX(I77)&amp;DEC2HEX(J77)</f>
        <v>0000</v>
      </c>
      <c r="AS77" s="91" t="str">
        <f t="shared" ref="AS77:AS108" si="21">DEC2HEX(K77)&amp;DEC2HEX(L77)&amp;DEC2HEX(M77)&amp;DEC2HEX(N77)</f>
        <v>0000</v>
      </c>
      <c r="AT77" s="91" t="str">
        <f t="shared" ref="AT77:AT108" si="22">DEC2HEX(O77)&amp;DEC2HEX(P77)&amp;DEC2HEX(Q77)&amp;DEC2HEX(R77)</f>
        <v>0000</v>
      </c>
      <c r="AU77" s="91" t="str">
        <f t="shared" ref="AU77:AU136" si="23">DEC2HEX(S77)&amp;DEC2HEX(T77)&amp;DEC2HEX(U77)&amp;DEC2HEX(V77)</f>
        <v>0000</v>
      </c>
      <c r="AV77" s="91" t="str">
        <f t="shared" ref="AV77:AV136" si="24">DEC2HEX(W77)&amp;DEC2HEX(X77)&amp;DEC2HEX(Y77)&amp;DEC2HEX(Z77)</f>
        <v>0000</v>
      </c>
      <c r="AW77" s="91" t="str">
        <f t="shared" ref="AW77:AW136" si="25">DEC2HEX(AA77)&amp;DEC2HEX(AB77)&amp;DEC2HEX(AC77)&amp;DEC2HEX(AD77)</f>
        <v>0000</v>
      </c>
      <c r="AX77" s="91" t="str">
        <f t="shared" ref="AX77:AX136" si="26">DEC2HEX(AE77)&amp;DEC2HEX(AF77)&amp;DEC2HEX(AG77)&amp;DEC2HEX(AH77)</f>
        <v>0000</v>
      </c>
    </row>
    <row r="78" spans="1:50" s="83" customFormat="1" ht="14.1" customHeight="1">
      <c r="A78" s="82"/>
      <c r="B78" s="84">
        <v>1</v>
      </c>
      <c r="C78" s="85">
        <v>0</v>
      </c>
      <c r="D78" s="85">
        <v>0</v>
      </c>
      <c r="E78" s="85">
        <v>0</v>
      </c>
      <c r="F78" s="85">
        <v>0</v>
      </c>
      <c r="G78" s="85">
        <v>0</v>
      </c>
      <c r="H78" s="85">
        <v>0</v>
      </c>
      <c r="I78" s="85">
        <v>0</v>
      </c>
      <c r="J78" s="85">
        <v>0</v>
      </c>
      <c r="K78" s="85">
        <v>0</v>
      </c>
      <c r="L78" s="85">
        <v>0</v>
      </c>
      <c r="M78" s="85">
        <v>0</v>
      </c>
      <c r="N78" s="85">
        <v>0</v>
      </c>
      <c r="O78" s="85">
        <v>0</v>
      </c>
      <c r="P78" s="85">
        <v>0</v>
      </c>
      <c r="Q78" s="85">
        <v>0</v>
      </c>
      <c r="R78" s="85">
        <v>0</v>
      </c>
      <c r="S78" s="85">
        <v>0</v>
      </c>
      <c r="T78" s="85">
        <v>0</v>
      </c>
      <c r="U78" s="85">
        <v>0</v>
      </c>
      <c r="V78" s="85">
        <v>0</v>
      </c>
      <c r="W78" s="85">
        <v>0</v>
      </c>
      <c r="X78" s="85">
        <v>0</v>
      </c>
      <c r="Y78" s="85">
        <v>0</v>
      </c>
      <c r="Z78" s="85">
        <v>0</v>
      </c>
      <c r="AA78" s="85">
        <v>0</v>
      </c>
      <c r="AB78" s="85">
        <v>0</v>
      </c>
      <c r="AC78" s="85">
        <v>0</v>
      </c>
      <c r="AD78" s="85">
        <v>0</v>
      </c>
      <c r="AE78" s="85">
        <v>0</v>
      </c>
      <c r="AF78" s="85">
        <v>0</v>
      </c>
      <c r="AG78" s="85">
        <v>0</v>
      </c>
      <c r="AH78" s="85">
        <v>0</v>
      </c>
      <c r="AP78" s="92">
        <f t="shared" si="18"/>
        <v>1</v>
      </c>
      <c r="AQ78" s="91" t="str">
        <f t="shared" si="19"/>
        <v>0000</v>
      </c>
      <c r="AR78" s="91" t="str">
        <f t="shared" si="20"/>
        <v>0000</v>
      </c>
      <c r="AS78" s="91" t="str">
        <f t="shared" si="21"/>
        <v>0000</v>
      </c>
      <c r="AT78" s="91" t="str">
        <f t="shared" si="22"/>
        <v>0000</v>
      </c>
      <c r="AU78" s="91" t="str">
        <f t="shared" si="23"/>
        <v>0000</v>
      </c>
      <c r="AV78" s="91" t="str">
        <f t="shared" si="24"/>
        <v>0000</v>
      </c>
      <c r="AW78" s="91" t="str">
        <f t="shared" si="25"/>
        <v>0000</v>
      </c>
      <c r="AX78" s="91" t="str">
        <f t="shared" si="26"/>
        <v>0000</v>
      </c>
    </row>
    <row r="79" spans="1:50" s="83" customFormat="1" ht="14.1" customHeight="1">
      <c r="A79" s="82"/>
      <c r="B79" s="84">
        <v>2</v>
      </c>
      <c r="C79" s="85">
        <v>0</v>
      </c>
      <c r="D79" s="85">
        <v>0</v>
      </c>
      <c r="E79" s="85">
        <v>0</v>
      </c>
      <c r="F79" s="85">
        <v>0</v>
      </c>
      <c r="G79" s="85">
        <v>0</v>
      </c>
      <c r="H79" s="85">
        <v>0</v>
      </c>
      <c r="I79" s="85">
        <v>0</v>
      </c>
      <c r="J79" s="85">
        <v>0</v>
      </c>
      <c r="K79" s="85">
        <v>0</v>
      </c>
      <c r="L79" s="85">
        <v>0</v>
      </c>
      <c r="M79" s="85">
        <v>0</v>
      </c>
      <c r="N79" s="85">
        <v>0</v>
      </c>
      <c r="O79" s="85">
        <v>0</v>
      </c>
      <c r="P79" s="85">
        <v>0</v>
      </c>
      <c r="Q79" s="85">
        <v>0</v>
      </c>
      <c r="R79" s="85">
        <v>0</v>
      </c>
      <c r="S79" s="85">
        <v>0</v>
      </c>
      <c r="T79" s="85">
        <v>0</v>
      </c>
      <c r="U79" s="85">
        <v>0</v>
      </c>
      <c r="V79" s="85">
        <v>0</v>
      </c>
      <c r="W79" s="85">
        <v>0</v>
      </c>
      <c r="X79" s="85">
        <v>0</v>
      </c>
      <c r="Y79" s="85">
        <v>0</v>
      </c>
      <c r="Z79" s="85">
        <v>0</v>
      </c>
      <c r="AA79" s="85">
        <v>0</v>
      </c>
      <c r="AB79" s="85">
        <v>0</v>
      </c>
      <c r="AC79" s="85">
        <v>0</v>
      </c>
      <c r="AD79" s="85">
        <v>0</v>
      </c>
      <c r="AE79" s="85">
        <v>0</v>
      </c>
      <c r="AF79" s="85">
        <v>0</v>
      </c>
      <c r="AG79" s="85">
        <v>0</v>
      </c>
      <c r="AH79" s="85">
        <v>0</v>
      </c>
      <c r="AP79" s="92">
        <f t="shared" si="18"/>
        <v>2</v>
      </c>
      <c r="AQ79" s="91" t="str">
        <f t="shared" si="19"/>
        <v>0000</v>
      </c>
      <c r="AR79" s="91" t="str">
        <f t="shared" si="20"/>
        <v>0000</v>
      </c>
      <c r="AS79" s="91" t="str">
        <f t="shared" si="21"/>
        <v>0000</v>
      </c>
      <c r="AT79" s="91" t="str">
        <f t="shared" si="22"/>
        <v>0000</v>
      </c>
      <c r="AU79" s="91" t="str">
        <f t="shared" si="23"/>
        <v>0000</v>
      </c>
      <c r="AV79" s="91" t="str">
        <f t="shared" si="24"/>
        <v>0000</v>
      </c>
      <c r="AW79" s="91" t="str">
        <f t="shared" si="25"/>
        <v>0000</v>
      </c>
      <c r="AX79" s="91" t="str">
        <f t="shared" si="26"/>
        <v>0000</v>
      </c>
    </row>
    <row r="80" spans="1:50" s="83" customFormat="1" ht="14.1" customHeight="1">
      <c r="A80" s="82"/>
      <c r="B80" s="84">
        <v>3</v>
      </c>
      <c r="C80" s="85">
        <v>0</v>
      </c>
      <c r="D80" s="85">
        <v>0</v>
      </c>
      <c r="E80" s="85">
        <v>0</v>
      </c>
      <c r="F80" s="85">
        <v>0</v>
      </c>
      <c r="G80" s="85">
        <v>0</v>
      </c>
      <c r="H80" s="85">
        <v>0</v>
      </c>
      <c r="I80" s="85">
        <v>0</v>
      </c>
      <c r="J80" s="85">
        <v>0</v>
      </c>
      <c r="K80" s="85">
        <v>0</v>
      </c>
      <c r="L80" s="85">
        <v>0</v>
      </c>
      <c r="M80" s="85">
        <v>0</v>
      </c>
      <c r="N80" s="85">
        <v>0</v>
      </c>
      <c r="O80" s="85">
        <v>0</v>
      </c>
      <c r="P80" s="85">
        <v>0</v>
      </c>
      <c r="Q80" s="85">
        <v>0</v>
      </c>
      <c r="R80" s="85">
        <v>0</v>
      </c>
      <c r="S80" s="85">
        <v>0</v>
      </c>
      <c r="T80" s="85">
        <v>0</v>
      </c>
      <c r="U80" s="85">
        <v>0</v>
      </c>
      <c r="V80" s="85">
        <v>0</v>
      </c>
      <c r="W80" s="85">
        <v>0</v>
      </c>
      <c r="X80" s="85">
        <v>0</v>
      </c>
      <c r="Y80" s="85">
        <v>0</v>
      </c>
      <c r="Z80" s="85">
        <v>0</v>
      </c>
      <c r="AA80" s="85">
        <v>0</v>
      </c>
      <c r="AB80" s="85">
        <v>0</v>
      </c>
      <c r="AC80" s="85">
        <v>0</v>
      </c>
      <c r="AD80" s="85">
        <v>0</v>
      </c>
      <c r="AE80" s="85">
        <v>0</v>
      </c>
      <c r="AF80" s="85">
        <v>0</v>
      </c>
      <c r="AG80" s="85">
        <v>0</v>
      </c>
      <c r="AH80" s="85">
        <v>0</v>
      </c>
      <c r="AP80" s="92">
        <f t="shared" si="18"/>
        <v>3</v>
      </c>
      <c r="AQ80" s="91" t="str">
        <f t="shared" si="19"/>
        <v>0000</v>
      </c>
      <c r="AR80" s="91" t="str">
        <f t="shared" si="20"/>
        <v>0000</v>
      </c>
      <c r="AS80" s="91" t="str">
        <f t="shared" si="21"/>
        <v>0000</v>
      </c>
      <c r="AT80" s="91" t="str">
        <f t="shared" si="22"/>
        <v>0000</v>
      </c>
      <c r="AU80" s="91" t="str">
        <f t="shared" si="23"/>
        <v>0000</v>
      </c>
      <c r="AV80" s="91" t="str">
        <f t="shared" si="24"/>
        <v>0000</v>
      </c>
      <c r="AW80" s="91" t="str">
        <f t="shared" si="25"/>
        <v>0000</v>
      </c>
      <c r="AX80" s="91" t="str">
        <f t="shared" si="26"/>
        <v>0000</v>
      </c>
    </row>
    <row r="81" spans="1:50" s="83" customFormat="1" ht="14.1" customHeight="1">
      <c r="A81" s="82"/>
      <c r="B81" s="84">
        <v>4</v>
      </c>
      <c r="C81" s="85">
        <v>0</v>
      </c>
      <c r="D81" s="85">
        <v>0</v>
      </c>
      <c r="E81" s="85">
        <v>0</v>
      </c>
      <c r="F81" s="85">
        <v>0</v>
      </c>
      <c r="G81" s="85">
        <v>0</v>
      </c>
      <c r="H81" s="85">
        <v>0</v>
      </c>
      <c r="I81" s="85">
        <v>0</v>
      </c>
      <c r="J81" s="85">
        <v>0</v>
      </c>
      <c r="K81" s="85">
        <v>0</v>
      </c>
      <c r="L81" s="85">
        <v>0</v>
      </c>
      <c r="M81" s="85">
        <v>0</v>
      </c>
      <c r="N81" s="85">
        <v>0</v>
      </c>
      <c r="O81" s="85">
        <v>2</v>
      </c>
      <c r="P81" s="85">
        <v>2</v>
      </c>
      <c r="Q81" s="85">
        <v>2</v>
      </c>
      <c r="R81" s="85">
        <v>2</v>
      </c>
      <c r="S81" s="85">
        <v>2</v>
      </c>
      <c r="T81" s="85">
        <v>2</v>
      </c>
      <c r="U81" s="85">
        <v>2</v>
      </c>
      <c r="V81" s="85">
        <v>2</v>
      </c>
      <c r="W81" s="85">
        <v>0</v>
      </c>
      <c r="X81" s="85">
        <v>0</v>
      </c>
      <c r="Y81" s="85">
        <v>0</v>
      </c>
      <c r="Z81" s="85">
        <v>0</v>
      </c>
      <c r="AA81" s="85">
        <v>0</v>
      </c>
      <c r="AB81" s="85">
        <v>0</v>
      </c>
      <c r="AC81" s="85">
        <v>0</v>
      </c>
      <c r="AD81" s="85">
        <v>0</v>
      </c>
      <c r="AE81" s="85">
        <v>0</v>
      </c>
      <c r="AF81" s="85">
        <v>0</v>
      </c>
      <c r="AG81" s="85">
        <v>0</v>
      </c>
      <c r="AH81" s="85">
        <v>0</v>
      </c>
      <c r="AP81" s="92">
        <f t="shared" si="18"/>
        <v>4</v>
      </c>
      <c r="AQ81" s="91" t="str">
        <f t="shared" si="19"/>
        <v>0000</v>
      </c>
      <c r="AR81" s="91" t="str">
        <f t="shared" si="20"/>
        <v>0000</v>
      </c>
      <c r="AS81" s="91" t="str">
        <f t="shared" si="21"/>
        <v>0000</v>
      </c>
      <c r="AT81" s="91" t="str">
        <f t="shared" si="22"/>
        <v>2222</v>
      </c>
      <c r="AU81" s="91" t="str">
        <f t="shared" si="23"/>
        <v>2222</v>
      </c>
      <c r="AV81" s="91" t="str">
        <f t="shared" si="24"/>
        <v>0000</v>
      </c>
      <c r="AW81" s="91" t="str">
        <f t="shared" si="25"/>
        <v>0000</v>
      </c>
      <c r="AX81" s="91" t="str">
        <f t="shared" si="26"/>
        <v>0000</v>
      </c>
    </row>
    <row r="82" spans="1:50" s="83" customFormat="1" ht="14.1" customHeight="1">
      <c r="A82" s="82"/>
      <c r="B82" s="84">
        <v>5</v>
      </c>
      <c r="C82" s="85">
        <v>0</v>
      </c>
      <c r="D82" s="85">
        <v>0</v>
      </c>
      <c r="E82" s="85">
        <v>0</v>
      </c>
      <c r="F82" s="85">
        <v>0</v>
      </c>
      <c r="G82" s="85">
        <v>0</v>
      </c>
      <c r="H82" s="85">
        <v>0</v>
      </c>
      <c r="I82" s="85">
        <v>0</v>
      </c>
      <c r="J82" s="85">
        <v>0</v>
      </c>
      <c r="K82" s="85">
        <v>0</v>
      </c>
      <c r="L82" s="85">
        <v>0</v>
      </c>
      <c r="M82" s="85">
        <v>0</v>
      </c>
      <c r="N82" s="85">
        <v>0</v>
      </c>
      <c r="O82" s="85">
        <v>2</v>
      </c>
      <c r="P82" s="85">
        <v>2</v>
      </c>
      <c r="Q82" s="85">
        <v>2</v>
      </c>
      <c r="R82" s="85">
        <v>2</v>
      </c>
      <c r="S82" s="85">
        <v>2</v>
      </c>
      <c r="T82" s="85">
        <v>2</v>
      </c>
      <c r="U82" s="85">
        <v>2</v>
      </c>
      <c r="V82" s="85">
        <v>2</v>
      </c>
      <c r="W82" s="85">
        <v>0</v>
      </c>
      <c r="X82" s="85">
        <v>0</v>
      </c>
      <c r="Y82" s="85">
        <v>0</v>
      </c>
      <c r="Z82" s="85">
        <v>0</v>
      </c>
      <c r="AA82" s="85">
        <v>0</v>
      </c>
      <c r="AB82" s="85">
        <v>0</v>
      </c>
      <c r="AC82" s="85">
        <v>0</v>
      </c>
      <c r="AD82" s="85">
        <v>0</v>
      </c>
      <c r="AE82" s="85">
        <v>0</v>
      </c>
      <c r="AF82" s="85">
        <v>0</v>
      </c>
      <c r="AG82" s="85">
        <v>0</v>
      </c>
      <c r="AH82" s="85">
        <v>0</v>
      </c>
      <c r="AP82" s="92">
        <f t="shared" si="18"/>
        <v>5</v>
      </c>
      <c r="AQ82" s="91" t="str">
        <f t="shared" si="19"/>
        <v>0000</v>
      </c>
      <c r="AR82" s="91" t="str">
        <f t="shared" si="20"/>
        <v>0000</v>
      </c>
      <c r="AS82" s="91" t="str">
        <f t="shared" si="21"/>
        <v>0000</v>
      </c>
      <c r="AT82" s="91" t="str">
        <f t="shared" si="22"/>
        <v>2222</v>
      </c>
      <c r="AU82" s="91" t="str">
        <f t="shared" si="23"/>
        <v>2222</v>
      </c>
      <c r="AV82" s="91" t="str">
        <f t="shared" si="24"/>
        <v>0000</v>
      </c>
      <c r="AW82" s="91" t="str">
        <f t="shared" si="25"/>
        <v>0000</v>
      </c>
      <c r="AX82" s="91" t="str">
        <f t="shared" si="26"/>
        <v>0000</v>
      </c>
    </row>
    <row r="83" spans="1:50" s="83" customFormat="1" ht="14.1" customHeight="1">
      <c r="A83" s="82"/>
      <c r="B83" s="84">
        <v>6</v>
      </c>
      <c r="C83" s="85">
        <v>0</v>
      </c>
      <c r="D83" s="85">
        <v>0</v>
      </c>
      <c r="E83" s="85">
        <v>0</v>
      </c>
      <c r="F83" s="85">
        <v>0</v>
      </c>
      <c r="G83" s="85">
        <v>0</v>
      </c>
      <c r="H83" s="85">
        <v>0</v>
      </c>
      <c r="I83" s="85">
        <v>0</v>
      </c>
      <c r="J83" s="85">
        <v>0</v>
      </c>
      <c r="K83" s="85">
        <v>2</v>
      </c>
      <c r="L83" s="85">
        <v>2</v>
      </c>
      <c r="M83" s="85">
        <v>2</v>
      </c>
      <c r="N83" s="85">
        <v>2</v>
      </c>
      <c r="O83" s="85">
        <v>2</v>
      </c>
      <c r="P83" s="85">
        <v>2</v>
      </c>
      <c r="Q83" s="85">
        <v>3</v>
      </c>
      <c r="R83" s="85">
        <v>3</v>
      </c>
      <c r="S83" s="85">
        <v>3</v>
      </c>
      <c r="T83" s="85">
        <v>3</v>
      </c>
      <c r="U83" s="85">
        <v>2</v>
      </c>
      <c r="V83" s="85">
        <v>2</v>
      </c>
      <c r="W83" s="85">
        <v>2</v>
      </c>
      <c r="X83" s="85">
        <v>2</v>
      </c>
      <c r="Y83" s="85">
        <v>2</v>
      </c>
      <c r="Z83" s="85">
        <v>2</v>
      </c>
      <c r="AA83" s="85">
        <v>0</v>
      </c>
      <c r="AB83" s="85">
        <v>0</v>
      </c>
      <c r="AC83" s="85">
        <v>0</v>
      </c>
      <c r="AD83" s="85">
        <v>0</v>
      </c>
      <c r="AE83" s="85">
        <v>0</v>
      </c>
      <c r="AF83" s="85">
        <v>0</v>
      </c>
      <c r="AG83" s="85">
        <v>0</v>
      </c>
      <c r="AH83" s="85">
        <v>0</v>
      </c>
      <c r="AP83" s="92">
        <f t="shared" si="18"/>
        <v>6</v>
      </c>
      <c r="AQ83" s="91" t="str">
        <f t="shared" si="19"/>
        <v>0000</v>
      </c>
      <c r="AR83" s="91" t="str">
        <f t="shared" si="20"/>
        <v>0000</v>
      </c>
      <c r="AS83" s="91" t="str">
        <f t="shared" si="21"/>
        <v>2222</v>
      </c>
      <c r="AT83" s="91" t="str">
        <f t="shared" si="22"/>
        <v>2233</v>
      </c>
      <c r="AU83" s="91" t="str">
        <f t="shared" si="23"/>
        <v>3322</v>
      </c>
      <c r="AV83" s="91" t="str">
        <f t="shared" si="24"/>
        <v>2222</v>
      </c>
      <c r="AW83" s="91" t="str">
        <f t="shared" si="25"/>
        <v>0000</v>
      </c>
      <c r="AX83" s="91" t="str">
        <f t="shared" si="26"/>
        <v>0000</v>
      </c>
    </row>
    <row r="84" spans="1:50" s="83" customFormat="1" ht="14.1" customHeight="1">
      <c r="A84" s="82"/>
      <c r="B84" s="84">
        <v>7</v>
      </c>
      <c r="C84" s="85">
        <v>0</v>
      </c>
      <c r="D84" s="85">
        <v>0</v>
      </c>
      <c r="E84" s="85">
        <v>0</v>
      </c>
      <c r="F84" s="85">
        <v>0</v>
      </c>
      <c r="G84" s="85">
        <v>0</v>
      </c>
      <c r="H84" s="85">
        <v>0</v>
      </c>
      <c r="I84" s="85">
        <v>0</v>
      </c>
      <c r="J84" s="85">
        <v>0</v>
      </c>
      <c r="K84" s="85">
        <v>2</v>
      </c>
      <c r="L84" s="85">
        <v>2</v>
      </c>
      <c r="M84" s="85">
        <v>2</v>
      </c>
      <c r="N84" s="85">
        <v>2</v>
      </c>
      <c r="O84" s="85">
        <v>2</v>
      </c>
      <c r="P84" s="85">
        <v>2</v>
      </c>
      <c r="Q84" s="85">
        <v>3</v>
      </c>
      <c r="R84" s="85">
        <v>3</v>
      </c>
      <c r="S84" s="85">
        <v>3</v>
      </c>
      <c r="T84" s="85">
        <v>3</v>
      </c>
      <c r="U84" s="85">
        <v>2</v>
      </c>
      <c r="V84" s="85">
        <v>2</v>
      </c>
      <c r="W84" s="85">
        <v>2</v>
      </c>
      <c r="X84" s="85">
        <v>2</v>
      </c>
      <c r="Y84" s="85">
        <v>2</v>
      </c>
      <c r="Z84" s="85">
        <v>2</v>
      </c>
      <c r="AA84" s="85">
        <v>0</v>
      </c>
      <c r="AB84" s="85">
        <v>0</v>
      </c>
      <c r="AC84" s="85">
        <v>0</v>
      </c>
      <c r="AD84" s="85">
        <v>0</v>
      </c>
      <c r="AE84" s="85">
        <v>0</v>
      </c>
      <c r="AF84" s="85">
        <v>0</v>
      </c>
      <c r="AG84" s="85">
        <v>0</v>
      </c>
      <c r="AH84" s="85">
        <v>0</v>
      </c>
      <c r="AP84" s="92">
        <f t="shared" si="18"/>
        <v>7</v>
      </c>
      <c r="AQ84" s="91" t="str">
        <f t="shared" si="19"/>
        <v>0000</v>
      </c>
      <c r="AR84" s="91" t="str">
        <f t="shared" si="20"/>
        <v>0000</v>
      </c>
      <c r="AS84" s="91" t="str">
        <f t="shared" si="21"/>
        <v>2222</v>
      </c>
      <c r="AT84" s="91" t="str">
        <f t="shared" si="22"/>
        <v>2233</v>
      </c>
      <c r="AU84" s="91" t="str">
        <f t="shared" si="23"/>
        <v>3322</v>
      </c>
      <c r="AV84" s="91" t="str">
        <f t="shared" si="24"/>
        <v>2222</v>
      </c>
      <c r="AW84" s="91" t="str">
        <f t="shared" si="25"/>
        <v>0000</v>
      </c>
      <c r="AX84" s="91" t="str">
        <f t="shared" si="26"/>
        <v>0000</v>
      </c>
    </row>
    <row r="85" spans="1:50" s="83" customFormat="1" ht="14.1" customHeight="1">
      <c r="A85" s="82"/>
      <c r="B85" s="84">
        <v>8</v>
      </c>
      <c r="C85" s="85">
        <v>0</v>
      </c>
      <c r="D85" s="85">
        <v>0</v>
      </c>
      <c r="E85" s="85">
        <v>0</v>
      </c>
      <c r="F85" s="85">
        <v>0</v>
      </c>
      <c r="G85" s="85">
        <v>0</v>
      </c>
      <c r="H85" s="85">
        <v>0</v>
      </c>
      <c r="I85" s="85">
        <v>2</v>
      </c>
      <c r="J85" s="85">
        <v>2</v>
      </c>
      <c r="K85" s="85">
        <v>2</v>
      </c>
      <c r="L85" s="85">
        <v>2</v>
      </c>
      <c r="M85" s="85">
        <v>3</v>
      </c>
      <c r="N85" s="85">
        <v>3</v>
      </c>
      <c r="O85" s="85">
        <v>3</v>
      </c>
      <c r="P85" s="85">
        <v>3</v>
      </c>
      <c r="Q85" s="85">
        <v>4</v>
      </c>
      <c r="R85" s="85">
        <v>4</v>
      </c>
      <c r="S85" s="85">
        <v>4</v>
      </c>
      <c r="T85" s="85">
        <v>4</v>
      </c>
      <c r="U85" s="85">
        <v>3</v>
      </c>
      <c r="V85" s="85">
        <v>3</v>
      </c>
      <c r="W85" s="85">
        <v>3</v>
      </c>
      <c r="X85" s="85">
        <v>3</v>
      </c>
      <c r="Y85" s="85">
        <v>2</v>
      </c>
      <c r="Z85" s="85">
        <v>2</v>
      </c>
      <c r="AA85" s="85">
        <v>2</v>
      </c>
      <c r="AB85" s="85">
        <v>2</v>
      </c>
      <c r="AC85" s="85">
        <v>0</v>
      </c>
      <c r="AD85" s="85">
        <v>0</v>
      </c>
      <c r="AE85" s="85">
        <v>0</v>
      </c>
      <c r="AF85" s="85">
        <v>0</v>
      </c>
      <c r="AG85" s="85">
        <v>0</v>
      </c>
      <c r="AH85" s="85">
        <v>0</v>
      </c>
      <c r="AP85" s="92">
        <f t="shared" si="18"/>
        <v>8</v>
      </c>
      <c r="AQ85" s="91" t="str">
        <f t="shared" si="19"/>
        <v>0000</v>
      </c>
      <c r="AR85" s="91" t="str">
        <f t="shared" si="20"/>
        <v>0022</v>
      </c>
      <c r="AS85" s="91" t="str">
        <f t="shared" si="21"/>
        <v>2233</v>
      </c>
      <c r="AT85" s="91" t="str">
        <f t="shared" si="22"/>
        <v>3344</v>
      </c>
      <c r="AU85" s="91" t="str">
        <f t="shared" si="23"/>
        <v>4433</v>
      </c>
      <c r="AV85" s="91" t="str">
        <f t="shared" si="24"/>
        <v>3322</v>
      </c>
      <c r="AW85" s="91" t="str">
        <f t="shared" si="25"/>
        <v>2200</v>
      </c>
      <c r="AX85" s="91" t="str">
        <f t="shared" si="26"/>
        <v>0000</v>
      </c>
    </row>
    <row r="86" spans="1:50" s="83" customFormat="1" ht="14.1" customHeight="1">
      <c r="A86" s="82"/>
      <c r="B86" s="84">
        <v>9</v>
      </c>
      <c r="C86" s="85">
        <v>0</v>
      </c>
      <c r="D86" s="85">
        <v>0</v>
      </c>
      <c r="E86" s="85">
        <v>0</v>
      </c>
      <c r="F86" s="85">
        <v>0</v>
      </c>
      <c r="G86" s="85">
        <v>0</v>
      </c>
      <c r="H86" s="85">
        <v>0</v>
      </c>
      <c r="I86" s="85">
        <v>2</v>
      </c>
      <c r="J86" s="85">
        <v>2</v>
      </c>
      <c r="K86" s="85">
        <v>2</v>
      </c>
      <c r="L86" s="85">
        <v>2</v>
      </c>
      <c r="M86" s="85">
        <v>3</v>
      </c>
      <c r="N86" s="85">
        <v>3</v>
      </c>
      <c r="O86" s="85">
        <v>3</v>
      </c>
      <c r="P86" s="85">
        <v>3</v>
      </c>
      <c r="Q86" s="85">
        <v>4</v>
      </c>
      <c r="R86" s="85">
        <v>4</v>
      </c>
      <c r="S86" s="85">
        <v>4</v>
      </c>
      <c r="T86" s="85">
        <v>4</v>
      </c>
      <c r="U86" s="85">
        <v>3</v>
      </c>
      <c r="V86" s="85">
        <v>3</v>
      </c>
      <c r="W86" s="85">
        <v>3</v>
      </c>
      <c r="X86" s="85">
        <v>3</v>
      </c>
      <c r="Y86" s="85">
        <v>2</v>
      </c>
      <c r="Z86" s="85">
        <v>2</v>
      </c>
      <c r="AA86" s="85">
        <v>2</v>
      </c>
      <c r="AB86" s="85">
        <v>2</v>
      </c>
      <c r="AC86" s="85">
        <v>0</v>
      </c>
      <c r="AD86" s="85">
        <v>0</v>
      </c>
      <c r="AE86" s="85">
        <v>0</v>
      </c>
      <c r="AF86" s="85">
        <v>0</v>
      </c>
      <c r="AG86" s="85">
        <v>0</v>
      </c>
      <c r="AH86" s="85">
        <v>0</v>
      </c>
      <c r="AP86" s="92">
        <f t="shared" si="18"/>
        <v>9</v>
      </c>
      <c r="AQ86" s="91" t="str">
        <f t="shared" si="19"/>
        <v>0000</v>
      </c>
      <c r="AR86" s="91" t="str">
        <f t="shared" si="20"/>
        <v>0022</v>
      </c>
      <c r="AS86" s="91" t="str">
        <f t="shared" si="21"/>
        <v>2233</v>
      </c>
      <c r="AT86" s="91" t="str">
        <f t="shared" si="22"/>
        <v>3344</v>
      </c>
      <c r="AU86" s="91" t="str">
        <f t="shared" si="23"/>
        <v>4433</v>
      </c>
      <c r="AV86" s="91" t="str">
        <f t="shared" si="24"/>
        <v>3322</v>
      </c>
      <c r="AW86" s="91" t="str">
        <f t="shared" si="25"/>
        <v>2200</v>
      </c>
      <c r="AX86" s="91" t="str">
        <f t="shared" si="26"/>
        <v>0000</v>
      </c>
    </row>
    <row r="87" spans="1:50" s="83" customFormat="1" ht="14.1" customHeight="1">
      <c r="A87" s="82"/>
      <c r="B87" s="84">
        <v>10</v>
      </c>
      <c r="C87" s="85">
        <v>0</v>
      </c>
      <c r="D87" s="85">
        <v>0</v>
      </c>
      <c r="E87" s="85">
        <v>0</v>
      </c>
      <c r="F87" s="85">
        <v>0</v>
      </c>
      <c r="G87" s="85">
        <v>0</v>
      </c>
      <c r="H87" s="85">
        <v>0</v>
      </c>
      <c r="I87" s="85">
        <v>2</v>
      </c>
      <c r="J87" s="85">
        <v>2</v>
      </c>
      <c r="K87" s="85">
        <v>3</v>
      </c>
      <c r="L87" s="85">
        <v>3</v>
      </c>
      <c r="M87" s="85">
        <v>4</v>
      </c>
      <c r="N87" s="85">
        <v>4</v>
      </c>
      <c r="O87" s="85">
        <v>4</v>
      </c>
      <c r="P87" s="85">
        <v>4</v>
      </c>
      <c r="Q87" s="85">
        <v>5</v>
      </c>
      <c r="R87" s="85">
        <v>5</v>
      </c>
      <c r="S87" s="85">
        <v>5</v>
      </c>
      <c r="T87" s="85">
        <v>5</v>
      </c>
      <c r="U87" s="85">
        <v>4</v>
      </c>
      <c r="V87" s="85">
        <v>4</v>
      </c>
      <c r="W87" s="85">
        <v>4</v>
      </c>
      <c r="X87" s="85">
        <v>4</v>
      </c>
      <c r="Y87" s="85">
        <v>3</v>
      </c>
      <c r="Z87" s="85">
        <v>3</v>
      </c>
      <c r="AA87" s="85">
        <v>2</v>
      </c>
      <c r="AB87" s="85">
        <v>2</v>
      </c>
      <c r="AC87" s="85">
        <v>0</v>
      </c>
      <c r="AD87" s="85">
        <v>0</v>
      </c>
      <c r="AE87" s="85">
        <v>0</v>
      </c>
      <c r="AF87" s="85">
        <v>0</v>
      </c>
      <c r="AG87" s="85">
        <v>0</v>
      </c>
      <c r="AH87" s="85">
        <v>0</v>
      </c>
      <c r="AP87" s="92">
        <f t="shared" si="18"/>
        <v>10</v>
      </c>
      <c r="AQ87" s="91" t="str">
        <f t="shared" si="19"/>
        <v>0000</v>
      </c>
      <c r="AR87" s="91" t="str">
        <f t="shared" si="20"/>
        <v>0022</v>
      </c>
      <c r="AS87" s="91" t="str">
        <f t="shared" si="21"/>
        <v>3344</v>
      </c>
      <c r="AT87" s="91" t="str">
        <f t="shared" si="22"/>
        <v>4455</v>
      </c>
      <c r="AU87" s="91" t="str">
        <f t="shared" si="23"/>
        <v>5544</v>
      </c>
      <c r="AV87" s="91" t="str">
        <f t="shared" si="24"/>
        <v>4433</v>
      </c>
      <c r="AW87" s="91" t="str">
        <f t="shared" si="25"/>
        <v>2200</v>
      </c>
      <c r="AX87" s="91" t="str">
        <f t="shared" si="26"/>
        <v>0000</v>
      </c>
    </row>
    <row r="88" spans="1:50" s="83" customFormat="1" ht="14.1" customHeight="1">
      <c r="A88" s="82"/>
      <c r="B88" s="84">
        <v>11</v>
      </c>
      <c r="C88" s="85">
        <v>0</v>
      </c>
      <c r="D88" s="85">
        <v>0</v>
      </c>
      <c r="E88" s="85">
        <v>0</v>
      </c>
      <c r="F88" s="85">
        <v>0</v>
      </c>
      <c r="G88" s="85">
        <v>2</v>
      </c>
      <c r="H88" s="85">
        <v>2</v>
      </c>
      <c r="I88" s="85">
        <v>2</v>
      </c>
      <c r="J88" s="85">
        <v>2</v>
      </c>
      <c r="K88" s="85">
        <v>3</v>
      </c>
      <c r="L88" s="85">
        <v>3</v>
      </c>
      <c r="M88" s="85">
        <v>4</v>
      </c>
      <c r="N88" s="85">
        <v>4</v>
      </c>
      <c r="O88" s="85">
        <v>4</v>
      </c>
      <c r="P88" s="85">
        <v>4</v>
      </c>
      <c r="Q88" s="85">
        <v>5</v>
      </c>
      <c r="R88" s="85">
        <v>5</v>
      </c>
      <c r="S88" s="85">
        <v>5</v>
      </c>
      <c r="T88" s="85">
        <v>5</v>
      </c>
      <c r="U88" s="85">
        <v>4</v>
      </c>
      <c r="V88" s="85">
        <v>4</v>
      </c>
      <c r="W88" s="85">
        <v>4</v>
      </c>
      <c r="X88" s="85">
        <v>4</v>
      </c>
      <c r="Y88" s="85">
        <v>3</v>
      </c>
      <c r="Z88" s="85">
        <v>3</v>
      </c>
      <c r="AA88" s="85">
        <v>2</v>
      </c>
      <c r="AB88" s="85">
        <v>2</v>
      </c>
      <c r="AC88" s="85">
        <v>0</v>
      </c>
      <c r="AD88" s="85">
        <v>0</v>
      </c>
      <c r="AE88" s="85">
        <v>0</v>
      </c>
      <c r="AF88" s="85">
        <v>0</v>
      </c>
      <c r="AG88" s="85">
        <v>0</v>
      </c>
      <c r="AH88" s="85">
        <v>0</v>
      </c>
      <c r="AP88" s="92">
        <f t="shared" si="18"/>
        <v>11</v>
      </c>
      <c r="AQ88" s="91" t="str">
        <f t="shared" si="19"/>
        <v>0000</v>
      </c>
      <c r="AR88" s="91" t="str">
        <f t="shared" si="20"/>
        <v>2222</v>
      </c>
      <c r="AS88" s="91" t="str">
        <f t="shared" si="21"/>
        <v>3344</v>
      </c>
      <c r="AT88" s="91" t="str">
        <f t="shared" si="22"/>
        <v>4455</v>
      </c>
      <c r="AU88" s="91" t="str">
        <f t="shared" si="23"/>
        <v>5544</v>
      </c>
      <c r="AV88" s="91" t="str">
        <f t="shared" si="24"/>
        <v>4433</v>
      </c>
      <c r="AW88" s="91" t="str">
        <f t="shared" si="25"/>
        <v>2200</v>
      </c>
      <c r="AX88" s="91" t="str">
        <f t="shared" si="26"/>
        <v>0000</v>
      </c>
    </row>
    <row r="89" spans="1:50" s="83" customFormat="1" ht="14.1" customHeight="1">
      <c r="A89" s="82"/>
      <c r="B89" s="84">
        <v>12</v>
      </c>
      <c r="C89" s="85">
        <v>0</v>
      </c>
      <c r="D89" s="85">
        <v>0</v>
      </c>
      <c r="E89" s="85">
        <v>0</v>
      </c>
      <c r="F89" s="85">
        <v>0</v>
      </c>
      <c r="G89" s="85">
        <v>2</v>
      </c>
      <c r="H89" s="85">
        <v>2</v>
      </c>
      <c r="I89" s="85">
        <v>3</v>
      </c>
      <c r="J89" s="85">
        <v>3</v>
      </c>
      <c r="K89" s="85">
        <v>3</v>
      </c>
      <c r="L89" s="85">
        <v>3</v>
      </c>
      <c r="M89" s="85">
        <v>4</v>
      </c>
      <c r="N89" s="85">
        <v>4</v>
      </c>
      <c r="O89" s="85">
        <v>13</v>
      </c>
      <c r="P89" s="85">
        <v>13</v>
      </c>
      <c r="Q89" s="85">
        <v>13</v>
      </c>
      <c r="R89" s="85">
        <v>13</v>
      </c>
      <c r="S89" s="85">
        <v>13</v>
      </c>
      <c r="T89" s="85">
        <v>13</v>
      </c>
      <c r="U89" s="85">
        <v>13</v>
      </c>
      <c r="V89" s="85">
        <v>13</v>
      </c>
      <c r="W89" s="85">
        <v>4</v>
      </c>
      <c r="X89" s="85">
        <v>4</v>
      </c>
      <c r="Y89" s="85">
        <v>3</v>
      </c>
      <c r="Z89" s="85">
        <v>3</v>
      </c>
      <c r="AA89" s="85">
        <v>3</v>
      </c>
      <c r="AB89" s="85">
        <v>3</v>
      </c>
      <c r="AC89" s="85">
        <v>2</v>
      </c>
      <c r="AD89" s="85">
        <v>2</v>
      </c>
      <c r="AE89" s="85">
        <v>0</v>
      </c>
      <c r="AF89" s="85">
        <v>0</v>
      </c>
      <c r="AG89" s="85">
        <v>0</v>
      </c>
      <c r="AH89" s="85">
        <v>0</v>
      </c>
      <c r="AP89" s="92">
        <f t="shared" si="18"/>
        <v>12</v>
      </c>
      <c r="AQ89" s="91" t="str">
        <f t="shared" si="19"/>
        <v>0000</v>
      </c>
      <c r="AR89" s="91" t="str">
        <f t="shared" si="20"/>
        <v>2233</v>
      </c>
      <c r="AS89" s="91" t="str">
        <f t="shared" si="21"/>
        <v>3344</v>
      </c>
      <c r="AT89" s="91" t="str">
        <f t="shared" si="22"/>
        <v>DDDD</v>
      </c>
      <c r="AU89" s="91" t="str">
        <f t="shared" si="23"/>
        <v>DDDD</v>
      </c>
      <c r="AV89" s="91" t="str">
        <f t="shared" si="24"/>
        <v>4433</v>
      </c>
      <c r="AW89" s="91" t="str">
        <f t="shared" si="25"/>
        <v>3322</v>
      </c>
      <c r="AX89" s="91" t="str">
        <f t="shared" si="26"/>
        <v>0000</v>
      </c>
    </row>
    <row r="90" spans="1:50" s="83" customFormat="1" ht="14.1" customHeight="1">
      <c r="A90" s="82"/>
      <c r="B90" s="84">
        <v>13</v>
      </c>
      <c r="C90" s="85">
        <v>0</v>
      </c>
      <c r="D90" s="85">
        <v>0</v>
      </c>
      <c r="E90" s="85">
        <v>0</v>
      </c>
      <c r="F90" s="85">
        <v>0</v>
      </c>
      <c r="G90" s="85">
        <v>2</v>
      </c>
      <c r="H90" s="85">
        <v>2</v>
      </c>
      <c r="I90" s="85">
        <v>3</v>
      </c>
      <c r="J90" s="85">
        <v>3</v>
      </c>
      <c r="K90" s="85">
        <v>3</v>
      </c>
      <c r="L90" s="85">
        <v>3</v>
      </c>
      <c r="M90" s="85">
        <v>4</v>
      </c>
      <c r="N90" s="85">
        <v>4</v>
      </c>
      <c r="O90" s="85">
        <v>13</v>
      </c>
      <c r="P90" s="85">
        <v>13</v>
      </c>
      <c r="Q90" s="85">
        <v>13</v>
      </c>
      <c r="R90" s="85">
        <v>13</v>
      </c>
      <c r="S90" s="85">
        <v>13</v>
      </c>
      <c r="T90" s="85">
        <v>13</v>
      </c>
      <c r="U90" s="85">
        <v>13</v>
      </c>
      <c r="V90" s="85">
        <v>13</v>
      </c>
      <c r="W90" s="85">
        <v>4</v>
      </c>
      <c r="X90" s="85">
        <v>4</v>
      </c>
      <c r="Y90" s="85">
        <v>3</v>
      </c>
      <c r="Z90" s="85">
        <v>3</v>
      </c>
      <c r="AA90" s="85">
        <v>3</v>
      </c>
      <c r="AB90" s="85">
        <v>3</v>
      </c>
      <c r="AC90" s="85">
        <v>2</v>
      </c>
      <c r="AD90" s="85">
        <v>2</v>
      </c>
      <c r="AE90" s="85">
        <v>0</v>
      </c>
      <c r="AF90" s="85">
        <v>0</v>
      </c>
      <c r="AG90" s="85">
        <v>0</v>
      </c>
      <c r="AH90" s="85">
        <v>0</v>
      </c>
      <c r="AP90" s="92">
        <f t="shared" si="18"/>
        <v>13</v>
      </c>
      <c r="AQ90" s="91" t="str">
        <f t="shared" si="19"/>
        <v>0000</v>
      </c>
      <c r="AR90" s="91" t="str">
        <f t="shared" si="20"/>
        <v>2233</v>
      </c>
      <c r="AS90" s="91" t="str">
        <f t="shared" si="21"/>
        <v>3344</v>
      </c>
      <c r="AT90" s="91" t="str">
        <f t="shared" si="22"/>
        <v>DDDD</v>
      </c>
      <c r="AU90" s="91" t="str">
        <f t="shared" si="23"/>
        <v>DDDD</v>
      </c>
      <c r="AV90" s="91" t="str">
        <f t="shared" si="24"/>
        <v>4433</v>
      </c>
      <c r="AW90" s="91" t="str">
        <f t="shared" si="25"/>
        <v>3322</v>
      </c>
      <c r="AX90" s="91" t="str">
        <f t="shared" si="26"/>
        <v>0000</v>
      </c>
    </row>
    <row r="91" spans="1:50" s="83" customFormat="1" ht="14.1" customHeight="1">
      <c r="A91" s="82"/>
      <c r="B91" s="84">
        <v>14</v>
      </c>
      <c r="C91" s="85">
        <v>0</v>
      </c>
      <c r="D91" s="85">
        <v>0</v>
      </c>
      <c r="E91" s="85">
        <v>0</v>
      </c>
      <c r="F91" s="85">
        <v>0</v>
      </c>
      <c r="G91" s="85">
        <v>2</v>
      </c>
      <c r="H91" s="85">
        <v>2</v>
      </c>
      <c r="I91" s="85">
        <v>3</v>
      </c>
      <c r="J91" s="85">
        <v>3</v>
      </c>
      <c r="K91" s="85">
        <v>4</v>
      </c>
      <c r="L91" s="85">
        <v>4</v>
      </c>
      <c r="M91" s="85">
        <v>5</v>
      </c>
      <c r="N91" s="85">
        <v>5</v>
      </c>
      <c r="O91" s="85">
        <v>13</v>
      </c>
      <c r="P91" s="85">
        <v>13</v>
      </c>
      <c r="Q91" s="85">
        <v>13</v>
      </c>
      <c r="R91" s="85">
        <v>13</v>
      </c>
      <c r="S91" s="85">
        <v>13</v>
      </c>
      <c r="T91" s="85">
        <v>13</v>
      </c>
      <c r="U91" s="85">
        <v>13</v>
      </c>
      <c r="V91" s="85">
        <v>13</v>
      </c>
      <c r="W91" s="85">
        <v>5</v>
      </c>
      <c r="X91" s="85">
        <v>5</v>
      </c>
      <c r="Y91" s="85">
        <v>4</v>
      </c>
      <c r="Z91" s="85">
        <v>4</v>
      </c>
      <c r="AA91" s="85">
        <v>3</v>
      </c>
      <c r="AB91" s="85">
        <v>3</v>
      </c>
      <c r="AC91" s="85">
        <v>2</v>
      </c>
      <c r="AD91" s="85">
        <v>2</v>
      </c>
      <c r="AE91" s="85">
        <v>0</v>
      </c>
      <c r="AF91" s="85">
        <v>0</v>
      </c>
      <c r="AG91" s="85">
        <v>0</v>
      </c>
      <c r="AH91" s="85">
        <v>0</v>
      </c>
      <c r="AP91" s="92">
        <f t="shared" si="18"/>
        <v>14</v>
      </c>
      <c r="AQ91" s="91" t="str">
        <f t="shared" si="19"/>
        <v>0000</v>
      </c>
      <c r="AR91" s="91" t="str">
        <f t="shared" si="20"/>
        <v>2233</v>
      </c>
      <c r="AS91" s="91" t="str">
        <f t="shared" si="21"/>
        <v>4455</v>
      </c>
      <c r="AT91" s="91" t="str">
        <f t="shared" si="22"/>
        <v>DDDD</v>
      </c>
      <c r="AU91" s="91" t="str">
        <f t="shared" si="23"/>
        <v>DDDD</v>
      </c>
      <c r="AV91" s="91" t="str">
        <f t="shared" si="24"/>
        <v>5544</v>
      </c>
      <c r="AW91" s="91" t="str">
        <f t="shared" si="25"/>
        <v>3322</v>
      </c>
      <c r="AX91" s="91" t="str">
        <f t="shared" si="26"/>
        <v>0000</v>
      </c>
    </row>
    <row r="92" spans="1:50" s="83" customFormat="1" ht="14.1" customHeight="1">
      <c r="A92" s="82"/>
      <c r="B92" s="84">
        <v>15</v>
      </c>
      <c r="C92" s="85">
        <v>0</v>
      </c>
      <c r="D92" s="85">
        <v>0</v>
      </c>
      <c r="E92" s="85">
        <v>0</v>
      </c>
      <c r="F92" s="85">
        <v>0</v>
      </c>
      <c r="G92" s="85">
        <v>2</v>
      </c>
      <c r="H92" s="85">
        <v>2</v>
      </c>
      <c r="I92" s="85">
        <v>3</v>
      </c>
      <c r="J92" s="85">
        <v>3</v>
      </c>
      <c r="K92" s="85">
        <v>4</v>
      </c>
      <c r="L92" s="85">
        <v>4</v>
      </c>
      <c r="M92" s="85">
        <v>5</v>
      </c>
      <c r="N92" s="85">
        <v>5</v>
      </c>
      <c r="O92" s="85">
        <v>13</v>
      </c>
      <c r="P92" s="85">
        <v>13</v>
      </c>
      <c r="Q92" s="85">
        <v>13</v>
      </c>
      <c r="R92" s="85">
        <v>13</v>
      </c>
      <c r="S92" s="85">
        <v>13</v>
      </c>
      <c r="T92" s="85">
        <v>13</v>
      </c>
      <c r="U92" s="85">
        <v>13</v>
      </c>
      <c r="V92" s="85">
        <v>13</v>
      </c>
      <c r="W92" s="85">
        <v>5</v>
      </c>
      <c r="X92" s="85">
        <v>5</v>
      </c>
      <c r="Y92" s="85">
        <v>4</v>
      </c>
      <c r="Z92" s="85">
        <v>4</v>
      </c>
      <c r="AA92" s="85">
        <v>3</v>
      </c>
      <c r="AB92" s="85">
        <v>3</v>
      </c>
      <c r="AC92" s="85">
        <v>2</v>
      </c>
      <c r="AD92" s="85">
        <v>2</v>
      </c>
      <c r="AE92" s="85">
        <v>0</v>
      </c>
      <c r="AF92" s="85">
        <v>0</v>
      </c>
      <c r="AG92" s="85">
        <v>0</v>
      </c>
      <c r="AH92" s="85">
        <v>0</v>
      </c>
      <c r="AP92" s="92">
        <f t="shared" si="18"/>
        <v>15</v>
      </c>
      <c r="AQ92" s="91" t="str">
        <f t="shared" si="19"/>
        <v>0000</v>
      </c>
      <c r="AR92" s="91" t="str">
        <f t="shared" si="20"/>
        <v>2233</v>
      </c>
      <c r="AS92" s="91" t="str">
        <f t="shared" si="21"/>
        <v>4455</v>
      </c>
      <c r="AT92" s="91" t="str">
        <f t="shared" si="22"/>
        <v>DDDD</v>
      </c>
      <c r="AU92" s="91" t="str">
        <f t="shared" si="23"/>
        <v>DDDD</v>
      </c>
      <c r="AV92" s="91" t="str">
        <f t="shared" si="24"/>
        <v>5544</v>
      </c>
      <c r="AW92" s="91" t="str">
        <f t="shared" si="25"/>
        <v>3322</v>
      </c>
      <c r="AX92" s="91" t="str">
        <f t="shared" si="26"/>
        <v>0000</v>
      </c>
    </row>
    <row r="93" spans="1:50" s="83" customFormat="1" ht="14.1" customHeight="1">
      <c r="A93" s="82"/>
      <c r="B93" s="84">
        <v>16</v>
      </c>
      <c r="C93" s="85">
        <v>0</v>
      </c>
      <c r="D93" s="85">
        <v>0</v>
      </c>
      <c r="E93" s="85">
        <v>0</v>
      </c>
      <c r="F93" s="85">
        <v>0</v>
      </c>
      <c r="G93" s="85">
        <v>2</v>
      </c>
      <c r="H93" s="85">
        <v>2</v>
      </c>
      <c r="I93" s="85">
        <v>3</v>
      </c>
      <c r="J93" s="85">
        <v>3</v>
      </c>
      <c r="K93" s="85">
        <v>4</v>
      </c>
      <c r="L93" s="85">
        <v>4</v>
      </c>
      <c r="M93" s="85">
        <v>5</v>
      </c>
      <c r="N93" s="85">
        <v>5</v>
      </c>
      <c r="O93" s="85">
        <v>13</v>
      </c>
      <c r="P93" s="85">
        <v>13</v>
      </c>
      <c r="Q93" s="85">
        <v>13</v>
      </c>
      <c r="R93" s="85">
        <v>13</v>
      </c>
      <c r="S93" s="85">
        <v>13</v>
      </c>
      <c r="T93" s="85">
        <v>13</v>
      </c>
      <c r="U93" s="85">
        <v>13</v>
      </c>
      <c r="V93" s="85">
        <v>13</v>
      </c>
      <c r="W93" s="85">
        <v>5</v>
      </c>
      <c r="X93" s="85">
        <v>5</v>
      </c>
      <c r="Y93" s="85">
        <v>4</v>
      </c>
      <c r="Z93" s="85">
        <v>4</v>
      </c>
      <c r="AA93" s="85">
        <v>3</v>
      </c>
      <c r="AB93" s="85">
        <v>3</v>
      </c>
      <c r="AC93" s="85">
        <v>2</v>
      </c>
      <c r="AD93" s="85">
        <v>2</v>
      </c>
      <c r="AE93" s="85">
        <v>0</v>
      </c>
      <c r="AF93" s="85">
        <v>0</v>
      </c>
      <c r="AG93" s="85">
        <v>0</v>
      </c>
      <c r="AH93" s="85">
        <v>0</v>
      </c>
      <c r="AP93" s="92">
        <f t="shared" si="18"/>
        <v>16</v>
      </c>
      <c r="AQ93" s="91" t="str">
        <f t="shared" si="19"/>
        <v>0000</v>
      </c>
      <c r="AR93" s="91" t="str">
        <f t="shared" si="20"/>
        <v>2233</v>
      </c>
      <c r="AS93" s="91" t="str">
        <f t="shared" si="21"/>
        <v>4455</v>
      </c>
      <c r="AT93" s="91" t="str">
        <f t="shared" si="22"/>
        <v>DDDD</v>
      </c>
      <c r="AU93" s="91" t="str">
        <f t="shared" si="23"/>
        <v>DDDD</v>
      </c>
      <c r="AV93" s="91" t="str">
        <f t="shared" si="24"/>
        <v>5544</v>
      </c>
      <c r="AW93" s="91" t="str">
        <f t="shared" si="25"/>
        <v>3322</v>
      </c>
      <c r="AX93" s="91" t="str">
        <f t="shared" si="26"/>
        <v>0000</v>
      </c>
    </row>
    <row r="94" spans="1:50" s="83" customFormat="1" ht="14.1" customHeight="1">
      <c r="A94" s="82"/>
      <c r="B94" s="84">
        <v>17</v>
      </c>
      <c r="C94" s="85">
        <v>0</v>
      </c>
      <c r="D94" s="85">
        <v>0</v>
      </c>
      <c r="E94" s="85">
        <v>0</v>
      </c>
      <c r="F94" s="85">
        <v>0</v>
      </c>
      <c r="G94" s="85">
        <v>2</v>
      </c>
      <c r="H94" s="85">
        <v>2</v>
      </c>
      <c r="I94" s="85">
        <v>3</v>
      </c>
      <c r="J94" s="85">
        <v>3</v>
      </c>
      <c r="K94" s="85">
        <v>4</v>
      </c>
      <c r="L94" s="85">
        <v>4</v>
      </c>
      <c r="M94" s="85">
        <v>5</v>
      </c>
      <c r="N94" s="85">
        <v>5</v>
      </c>
      <c r="O94" s="85">
        <v>13</v>
      </c>
      <c r="P94" s="85">
        <v>13</v>
      </c>
      <c r="Q94" s="85">
        <v>13</v>
      </c>
      <c r="R94" s="85">
        <v>13</v>
      </c>
      <c r="S94" s="85">
        <v>13</v>
      </c>
      <c r="T94" s="85">
        <v>13</v>
      </c>
      <c r="U94" s="85">
        <v>13</v>
      </c>
      <c r="V94" s="85">
        <v>13</v>
      </c>
      <c r="W94" s="85">
        <v>5</v>
      </c>
      <c r="X94" s="85">
        <v>5</v>
      </c>
      <c r="Y94" s="85">
        <v>4</v>
      </c>
      <c r="Z94" s="85">
        <v>4</v>
      </c>
      <c r="AA94" s="85">
        <v>3</v>
      </c>
      <c r="AB94" s="85">
        <v>3</v>
      </c>
      <c r="AC94" s="85">
        <v>2</v>
      </c>
      <c r="AD94" s="85">
        <v>2</v>
      </c>
      <c r="AE94" s="85">
        <v>0</v>
      </c>
      <c r="AF94" s="85">
        <v>0</v>
      </c>
      <c r="AG94" s="85">
        <v>0</v>
      </c>
      <c r="AH94" s="85">
        <v>0</v>
      </c>
      <c r="AP94" s="92">
        <f t="shared" si="18"/>
        <v>17</v>
      </c>
      <c r="AQ94" s="91" t="str">
        <f t="shared" si="19"/>
        <v>0000</v>
      </c>
      <c r="AR94" s="91" t="str">
        <f t="shared" si="20"/>
        <v>2233</v>
      </c>
      <c r="AS94" s="91" t="str">
        <f t="shared" si="21"/>
        <v>4455</v>
      </c>
      <c r="AT94" s="91" t="str">
        <f t="shared" si="22"/>
        <v>DDDD</v>
      </c>
      <c r="AU94" s="91" t="str">
        <f t="shared" si="23"/>
        <v>DDDD</v>
      </c>
      <c r="AV94" s="91" t="str">
        <f t="shared" si="24"/>
        <v>5544</v>
      </c>
      <c r="AW94" s="91" t="str">
        <f t="shared" si="25"/>
        <v>3322</v>
      </c>
      <c r="AX94" s="91" t="str">
        <f t="shared" si="26"/>
        <v>0000</v>
      </c>
    </row>
    <row r="95" spans="1:50" s="83" customFormat="1" ht="14.1" customHeight="1">
      <c r="A95" s="82"/>
      <c r="B95" s="84">
        <v>18</v>
      </c>
      <c r="C95" s="85">
        <v>0</v>
      </c>
      <c r="D95" s="85">
        <v>0</v>
      </c>
      <c r="E95" s="85">
        <v>0</v>
      </c>
      <c r="F95" s="85">
        <v>0</v>
      </c>
      <c r="G95" s="85">
        <v>2</v>
      </c>
      <c r="H95" s="85">
        <v>2</v>
      </c>
      <c r="I95" s="85">
        <v>3</v>
      </c>
      <c r="J95" s="85">
        <v>3</v>
      </c>
      <c r="K95" s="85">
        <v>3</v>
      </c>
      <c r="L95" s="85">
        <v>3</v>
      </c>
      <c r="M95" s="85">
        <v>4</v>
      </c>
      <c r="N95" s="85">
        <v>4</v>
      </c>
      <c r="O95" s="85">
        <v>6</v>
      </c>
      <c r="P95" s="85">
        <v>6</v>
      </c>
      <c r="Q95" s="85">
        <v>6</v>
      </c>
      <c r="R95" s="85">
        <v>6</v>
      </c>
      <c r="S95" s="85">
        <v>6</v>
      </c>
      <c r="T95" s="85">
        <v>6</v>
      </c>
      <c r="U95" s="85">
        <v>6</v>
      </c>
      <c r="V95" s="85">
        <v>6</v>
      </c>
      <c r="W95" s="85">
        <v>4</v>
      </c>
      <c r="X95" s="85">
        <v>4</v>
      </c>
      <c r="Y95" s="85">
        <v>3</v>
      </c>
      <c r="Z95" s="85">
        <v>3</v>
      </c>
      <c r="AA95" s="85">
        <v>3</v>
      </c>
      <c r="AB95" s="85">
        <v>3</v>
      </c>
      <c r="AC95" s="85">
        <v>2</v>
      </c>
      <c r="AD95" s="85">
        <v>2</v>
      </c>
      <c r="AE95" s="85">
        <v>0</v>
      </c>
      <c r="AF95" s="85">
        <v>0</v>
      </c>
      <c r="AG95" s="85">
        <v>0</v>
      </c>
      <c r="AH95" s="85">
        <v>0</v>
      </c>
      <c r="AP95" s="92">
        <f t="shared" si="18"/>
        <v>18</v>
      </c>
      <c r="AQ95" s="91" t="str">
        <f t="shared" si="19"/>
        <v>0000</v>
      </c>
      <c r="AR95" s="91" t="str">
        <f t="shared" si="20"/>
        <v>2233</v>
      </c>
      <c r="AS95" s="91" t="str">
        <f t="shared" si="21"/>
        <v>3344</v>
      </c>
      <c r="AT95" s="91" t="str">
        <f t="shared" si="22"/>
        <v>6666</v>
      </c>
      <c r="AU95" s="91" t="str">
        <f t="shared" si="23"/>
        <v>6666</v>
      </c>
      <c r="AV95" s="91" t="str">
        <f t="shared" si="24"/>
        <v>4433</v>
      </c>
      <c r="AW95" s="91" t="str">
        <f t="shared" si="25"/>
        <v>3322</v>
      </c>
      <c r="AX95" s="91" t="str">
        <f t="shared" si="26"/>
        <v>0000</v>
      </c>
    </row>
    <row r="96" spans="1:50" s="83" customFormat="1" ht="14.1" customHeight="1">
      <c r="A96" s="82"/>
      <c r="B96" s="84">
        <v>19</v>
      </c>
      <c r="C96" s="85">
        <v>0</v>
      </c>
      <c r="D96" s="85">
        <v>0</v>
      </c>
      <c r="E96" s="85">
        <v>0</v>
      </c>
      <c r="F96" s="85">
        <v>0</v>
      </c>
      <c r="G96" s="85">
        <v>2</v>
      </c>
      <c r="H96" s="85">
        <v>2</v>
      </c>
      <c r="I96" s="85">
        <v>3</v>
      </c>
      <c r="J96" s="85">
        <v>3</v>
      </c>
      <c r="K96" s="85">
        <v>3</v>
      </c>
      <c r="L96" s="85">
        <v>3</v>
      </c>
      <c r="M96" s="85">
        <v>4</v>
      </c>
      <c r="N96" s="85">
        <v>4</v>
      </c>
      <c r="O96" s="85">
        <v>6</v>
      </c>
      <c r="P96" s="85">
        <v>6</v>
      </c>
      <c r="Q96" s="85">
        <v>6</v>
      </c>
      <c r="R96" s="85">
        <v>6</v>
      </c>
      <c r="S96" s="85">
        <v>6</v>
      </c>
      <c r="T96" s="85">
        <v>6</v>
      </c>
      <c r="U96" s="85">
        <v>6</v>
      </c>
      <c r="V96" s="85">
        <v>6</v>
      </c>
      <c r="W96" s="85">
        <v>4</v>
      </c>
      <c r="X96" s="85">
        <v>4</v>
      </c>
      <c r="Y96" s="85">
        <v>3</v>
      </c>
      <c r="Z96" s="85">
        <v>3</v>
      </c>
      <c r="AA96" s="85">
        <v>3</v>
      </c>
      <c r="AB96" s="85">
        <v>3</v>
      </c>
      <c r="AC96" s="85">
        <v>2</v>
      </c>
      <c r="AD96" s="85">
        <v>2</v>
      </c>
      <c r="AE96" s="85">
        <v>0</v>
      </c>
      <c r="AF96" s="85">
        <v>0</v>
      </c>
      <c r="AG96" s="85">
        <v>0</v>
      </c>
      <c r="AH96" s="85">
        <v>0</v>
      </c>
      <c r="AP96" s="92">
        <f t="shared" si="18"/>
        <v>19</v>
      </c>
      <c r="AQ96" s="91" t="str">
        <f t="shared" si="19"/>
        <v>0000</v>
      </c>
      <c r="AR96" s="91" t="str">
        <f t="shared" si="20"/>
        <v>2233</v>
      </c>
      <c r="AS96" s="91" t="str">
        <f t="shared" si="21"/>
        <v>3344</v>
      </c>
      <c r="AT96" s="91" t="str">
        <f t="shared" si="22"/>
        <v>6666</v>
      </c>
      <c r="AU96" s="91" t="str">
        <f t="shared" si="23"/>
        <v>6666</v>
      </c>
      <c r="AV96" s="91" t="str">
        <f t="shared" si="24"/>
        <v>4433</v>
      </c>
      <c r="AW96" s="91" t="str">
        <f t="shared" si="25"/>
        <v>3322</v>
      </c>
      <c r="AX96" s="91" t="str">
        <f t="shared" si="26"/>
        <v>0000</v>
      </c>
    </row>
    <row r="97" spans="1:50" s="83" customFormat="1" ht="14.1" customHeight="1">
      <c r="A97" s="82"/>
      <c r="B97" s="84">
        <v>20</v>
      </c>
      <c r="C97" s="85">
        <v>0</v>
      </c>
      <c r="D97" s="85">
        <v>0</v>
      </c>
      <c r="E97" s="85">
        <v>0</v>
      </c>
      <c r="F97" s="85">
        <v>0</v>
      </c>
      <c r="G97" s="85">
        <v>0</v>
      </c>
      <c r="H97" s="85">
        <v>0</v>
      </c>
      <c r="I97" s="85">
        <v>2</v>
      </c>
      <c r="J97" s="85">
        <v>2</v>
      </c>
      <c r="K97" s="85">
        <v>3</v>
      </c>
      <c r="L97" s="85">
        <v>3</v>
      </c>
      <c r="M97" s="85">
        <v>4</v>
      </c>
      <c r="N97" s="85">
        <v>4</v>
      </c>
      <c r="O97" s="85">
        <v>5</v>
      </c>
      <c r="P97" s="85">
        <v>5</v>
      </c>
      <c r="Q97" s="85">
        <v>5</v>
      </c>
      <c r="R97" s="85">
        <v>5</v>
      </c>
      <c r="S97" s="85">
        <v>5</v>
      </c>
      <c r="T97" s="85">
        <v>5</v>
      </c>
      <c r="U97" s="85">
        <v>5</v>
      </c>
      <c r="V97" s="85">
        <v>5</v>
      </c>
      <c r="W97" s="85">
        <v>4</v>
      </c>
      <c r="X97" s="85">
        <v>4</v>
      </c>
      <c r="Y97" s="85">
        <v>3</v>
      </c>
      <c r="Z97" s="85">
        <v>3</v>
      </c>
      <c r="AA97" s="85">
        <v>2</v>
      </c>
      <c r="AB97" s="85">
        <v>2</v>
      </c>
      <c r="AC97" s="85">
        <v>0</v>
      </c>
      <c r="AD97" s="85">
        <v>0</v>
      </c>
      <c r="AE97" s="85">
        <v>0</v>
      </c>
      <c r="AF97" s="85">
        <v>0</v>
      </c>
      <c r="AG97" s="85">
        <v>0</v>
      </c>
      <c r="AH97" s="85">
        <v>0</v>
      </c>
      <c r="AP97" s="92">
        <f t="shared" si="18"/>
        <v>20</v>
      </c>
      <c r="AQ97" s="91" t="str">
        <f t="shared" si="19"/>
        <v>0000</v>
      </c>
      <c r="AR97" s="91" t="str">
        <f t="shared" si="20"/>
        <v>0022</v>
      </c>
      <c r="AS97" s="91" t="str">
        <f t="shared" si="21"/>
        <v>3344</v>
      </c>
      <c r="AT97" s="91" t="str">
        <f t="shared" si="22"/>
        <v>5555</v>
      </c>
      <c r="AU97" s="91" t="str">
        <f t="shared" si="23"/>
        <v>5555</v>
      </c>
      <c r="AV97" s="91" t="str">
        <f t="shared" si="24"/>
        <v>4433</v>
      </c>
      <c r="AW97" s="91" t="str">
        <f t="shared" si="25"/>
        <v>2200</v>
      </c>
      <c r="AX97" s="91" t="str">
        <f t="shared" si="26"/>
        <v>0000</v>
      </c>
    </row>
    <row r="98" spans="1:50" s="83" customFormat="1" ht="14.1" customHeight="1">
      <c r="A98" s="82"/>
      <c r="B98" s="84">
        <v>21</v>
      </c>
      <c r="C98" s="85">
        <v>0</v>
      </c>
      <c r="D98" s="85">
        <v>0</v>
      </c>
      <c r="E98" s="85">
        <v>0</v>
      </c>
      <c r="F98" s="85">
        <v>0</v>
      </c>
      <c r="G98" s="85">
        <v>0</v>
      </c>
      <c r="H98" s="85">
        <v>0</v>
      </c>
      <c r="I98" s="85">
        <v>2</v>
      </c>
      <c r="J98" s="85">
        <v>2</v>
      </c>
      <c r="K98" s="85">
        <v>3</v>
      </c>
      <c r="L98" s="85">
        <v>3</v>
      </c>
      <c r="M98" s="85">
        <v>4</v>
      </c>
      <c r="N98" s="85">
        <v>4</v>
      </c>
      <c r="O98" s="85">
        <v>5</v>
      </c>
      <c r="P98" s="85">
        <v>5</v>
      </c>
      <c r="Q98" s="85">
        <v>5</v>
      </c>
      <c r="R98" s="85">
        <v>5</v>
      </c>
      <c r="S98" s="85">
        <v>5</v>
      </c>
      <c r="T98" s="85">
        <v>5</v>
      </c>
      <c r="U98" s="85">
        <v>5</v>
      </c>
      <c r="V98" s="85">
        <v>5</v>
      </c>
      <c r="W98" s="85">
        <v>4</v>
      </c>
      <c r="X98" s="85">
        <v>4</v>
      </c>
      <c r="Y98" s="85">
        <v>3</v>
      </c>
      <c r="Z98" s="85">
        <v>3</v>
      </c>
      <c r="AA98" s="85">
        <v>2</v>
      </c>
      <c r="AB98" s="85">
        <v>2</v>
      </c>
      <c r="AC98" s="85">
        <v>0</v>
      </c>
      <c r="AD98" s="85">
        <v>0</v>
      </c>
      <c r="AE98" s="85">
        <v>0</v>
      </c>
      <c r="AF98" s="85">
        <v>0</v>
      </c>
      <c r="AG98" s="85">
        <v>0</v>
      </c>
      <c r="AH98" s="85">
        <v>0</v>
      </c>
      <c r="AP98" s="92">
        <f t="shared" si="18"/>
        <v>21</v>
      </c>
      <c r="AQ98" s="91" t="str">
        <f t="shared" si="19"/>
        <v>0000</v>
      </c>
      <c r="AR98" s="91" t="str">
        <f t="shared" si="20"/>
        <v>0022</v>
      </c>
      <c r="AS98" s="91" t="str">
        <f t="shared" si="21"/>
        <v>3344</v>
      </c>
      <c r="AT98" s="91" t="str">
        <f t="shared" si="22"/>
        <v>5555</v>
      </c>
      <c r="AU98" s="91" t="str">
        <f t="shared" si="23"/>
        <v>5555</v>
      </c>
      <c r="AV98" s="91" t="str">
        <f t="shared" si="24"/>
        <v>4433</v>
      </c>
      <c r="AW98" s="91" t="str">
        <f t="shared" si="25"/>
        <v>2200</v>
      </c>
      <c r="AX98" s="91" t="str">
        <f t="shared" si="26"/>
        <v>0000</v>
      </c>
    </row>
    <row r="99" spans="1:50" s="83" customFormat="1" ht="14.1" customHeight="1">
      <c r="A99" s="82"/>
      <c r="B99" s="84">
        <v>22</v>
      </c>
      <c r="C99" s="85">
        <v>0</v>
      </c>
      <c r="D99" s="85">
        <v>0</v>
      </c>
      <c r="E99" s="85">
        <v>0</v>
      </c>
      <c r="F99" s="85">
        <v>0</v>
      </c>
      <c r="G99" s="85">
        <v>0</v>
      </c>
      <c r="H99" s="85">
        <v>0</v>
      </c>
      <c r="I99" s="85">
        <v>2</v>
      </c>
      <c r="J99" s="85">
        <v>2</v>
      </c>
      <c r="K99" s="85">
        <v>3</v>
      </c>
      <c r="L99" s="85">
        <v>3</v>
      </c>
      <c r="M99" s="85">
        <v>3</v>
      </c>
      <c r="N99" s="85">
        <v>3</v>
      </c>
      <c r="O99" s="85">
        <v>4</v>
      </c>
      <c r="P99" s="85">
        <v>4</v>
      </c>
      <c r="Q99" s="85">
        <v>4</v>
      </c>
      <c r="R99" s="85">
        <v>4</v>
      </c>
      <c r="S99" s="85">
        <v>4</v>
      </c>
      <c r="T99" s="85">
        <v>4</v>
      </c>
      <c r="U99" s="85">
        <v>4</v>
      </c>
      <c r="V99" s="85">
        <v>4</v>
      </c>
      <c r="W99" s="85">
        <v>3</v>
      </c>
      <c r="X99" s="85">
        <v>3</v>
      </c>
      <c r="Y99" s="85">
        <v>3</v>
      </c>
      <c r="Z99" s="85">
        <v>3</v>
      </c>
      <c r="AA99" s="85">
        <v>2</v>
      </c>
      <c r="AB99" s="85">
        <v>2</v>
      </c>
      <c r="AC99" s="85">
        <v>0</v>
      </c>
      <c r="AD99" s="85">
        <v>0</v>
      </c>
      <c r="AE99" s="85">
        <v>0</v>
      </c>
      <c r="AF99" s="85">
        <v>0</v>
      </c>
      <c r="AG99" s="85">
        <v>0</v>
      </c>
      <c r="AH99" s="85">
        <v>0</v>
      </c>
      <c r="AP99" s="92">
        <f t="shared" si="18"/>
        <v>22</v>
      </c>
      <c r="AQ99" s="91" t="str">
        <f t="shared" si="19"/>
        <v>0000</v>
      </c>
      <c r="AR99" s="91" t="str">
        <f t="shared" si="20"/>
        <v>0022</v>
      </c>
      <c r="AS99" s="91" t="str">
        <f t="shared" si="21"/>
        <v>3333</v>
      </c>
      <c r="AT99" s="91" t="str">
        <f t="shared" si="22"/>
        <v>4444</v>
      </c>
      <c r="AU99" s="91" t="str">
        <f t="shared" si="23"/>
        <v>4444</v>
      </c>
      <c r="AV99" s="91" t="str">
        <f t="shared" si="24"/>
        <v>3333</v>
      </c>
      <c r="AW99" s="91" t="str">
        <f t="shared" si="25"/>
        <v>2200</v>
      </c>
      <c r="AX99" s="91" t="str">
        <f t="shared" si="26"/>
        <v>0000</v>
      </c>
    </row>
    <row r="100" spans="1:50" s="83" customFormat="1" ht="14.1" customHeight="1">
      <c r="A100" s="82"/>
      <c r="B100" s="84">
        <v>23</v>
      </c>
      <c r="C100" s="85">
        <v>0</v>
      </c>
      <c r="D100" s="85">
        <v>0</v>
      </c>
      <c r="E100" s="85">
        <v>0</v>
      </c>
      <c r="F100" s="85">
        <v>0</v>
      </c>
      <c r="G100" s="85">
        <v>0</v>
      </c>
      <c r="H100" s="85">
        <v>0</v>
      </c>
      <c r="I100" s="85">
        <v>2</v>
      </c>
      <c r="J100" s="85">
        <v>2</v>
      </c>
      <c r="K100" s="85">
        <v>3</v>
      </c>
      <c r="L100" s="85">
        <v>3</v>
      </c>
      <c r="M100" s="85">
        <v>3</v>
      </c>
      <c r="N100" s="85">
        <v>3</v>
      </c>
      <c r="O100" s="85">
        <v>4</v>
      </c>
      <c r="P100" s="85">
        <v>4</v>
      </c>
      <c r="Q100" s="85">
        <v>4</v>
      </c>
      <c r="R100" s="85">
        <v>4</v>
      </c>
      <c r="S100" s="85">
        <v>4</v>
      </c>
      <c r="T100" s="85">
        <v>4</v>
      </c>
      <c r="U100" s="85">
        <v>4</v>
      </c>
      <c r="V100" s="85">
        <v>4</v>
      </c>
      <c r="W100" s="85">
        <v>3</v>
      </c>
      <c r="X100" s="85">
        <v>3</v>
      </c>
      <c r="Y100" s="85">
        <v>3</v>
      </c>
      <c r="Z100" s="85">
        <v>3</v>
      </c>
      <c r="AA100" s="85">
        <v>2</v>
      </c>
      <c r="AB100" s="85">
        <v>2</v>
      </c>
      <c r="AC100" s="85">
        <v>0</v>
      </c>
      <c r="AD100" s="85">
        <v>0</v>
      </c>
      <c r="AE100" s="85">
        <v>0</v>
      </c>
      <c r="AF100" s="85">
        <v>0</v>
      </c>
      <c r="AG100" s="85">
        <v>0</v>
      </c>
      <c r="AH100" s="85">
        <v>0</v>
      </c>
      <c r="AP100" s="92">
        <f t="shared" si="18"/>
        <v>23</v>
      </c>
      <c r="AQ100" s="91" t="str">
        <f t="shared" si="19"/>
        <v>0000</v>
      </c>
      <c r="AR100" s="91" t="str">
        <f t="shared" si="20"/>
        <v>0022</v>
      </c>
      <c r="AS100" s="91" t="str">
        <f t="shared" si="21"/>
        <v>3333</v>
      </c>
      <c r="AT100" s="91" t="str">
        <f t="shared" si="22"/>
        <v>4444</v>
      </c>
      <c r="AU100" s="91" t="str">
        <f t="shared" si="23"/>
        <v>4444</v>
      </c>
      <c r="AV100" s="91" t="str">
        <f t="shared" si="24"/>
        <v>3333</v>
      </c>
      <c r="AW100" s="91" t="str">
        <f t="shared" si="25"/>
        <v>2200</v>
      </c>
      <c r="AX100" s="91" t="str">
        <f t="shared" si="26"/>
        <v>0000</v>
      </c>
    </row>
    <row r="101" spans="1:50" s="83" customFormat="1" ht="14.1" customHeight="1">
      <c r="A101" s="82"/>
      <c r="B101" s="84">
        <v>24</v>
      </c>
      <c r="C101" s="85">
        <v>0</v>
      </c>
      <c r="D101" s="85">
        <v>0</v>
      </c>
      <c r="E101" s="85">
        <v>0</v>
      </c>
      <c r="F101" s="85">
        <v>0</v>
      </c>
      <c r="G101" s="85">
        <v>0</v>
      </c>
      <c r="H101" s="85">
        <v>0</v>
      </c>
      <c r="I101" s="85">
        <v>2</v>
      </c>
      <c r="J101" s="85">
        <v>2</v>
      </c>
      <c r="K101" s="85">
        <v>2</v>
      </c>
      <c r="L101" s="85">
        <v>2</v>
      </c>
      <c r="M101" s="85">
        <v>3</v>
      </c>
      <c r="N101" s="85">
        <v>3</v>
      </c>
      <c r="O101" s="85">
        <v>3</v>
      </c>
      <c r="P101" s="85">
        <v>3</v>
      </c>
      <c r="Q101" s="85">
        <v>3</v>
      </c>
      <c r="R101" s="85">
        <v>3</v>
      </c>
      <c r="S101" s="85">
        <v>3</v>
      </c>
      <c r="T101" s="85">
        <v>3</v>
      </c>
      <c r="U101" s="85">
        <v>3</v>
      </c>
      <c r="V101" s="85">
        <v>3</v>
      </c>
      <c r="W101" s="85">
        <v>3</v>
      </c>
      <c r="X101" s="85">
        <v>3</v>
      </c>
      <c r="Y101" s="85">
        <v>2</v>
      </c>
      <c r="Z101" s="85">
        <v>2</v>
      </c>
      <c r="AA101" s="85">
        <v>2</v>
      </c>
      <c r="AB101" s="85">
        <v>2</v>
      </c>
      <c r="AC101" s="85">
        <v>0</v>
      </c>
      <c r="AD101" s="85">
        <v>0</v>
      </c>
      <c r="AE101" s="85">
        <v>0</v>
      </c>
      <c r="AF101" s="85">
        <v>0</v>
      </c>
      <c r="AG101" s="85">
        <v>0</v>
      </c>
      <c r="AH101" s="85">
        <v>0</v>
      </c>
      <c r="AP101" s="92">
        <f t="shared" si="18"/>
        <v>24</v>
      </c>
      <c r="AQ101" s="91" t="str">
        <f t="shared" si="19"/>
        <v>0000</v>
      </c>
      <c r="AR101" s="91" t="str">
        <f t="shared" si="20"/>
        <v>0022</v>
      </c>
      <c r="AS101" s="91" t="str">
        <f t="shared" si="21"/>
        <v>2233</v>
      </c>
      <c r="AT101" s="91" t="str">
        <f t="shared" si="22"/>
        <v>3333</v>
      </c>
      <c r="AU101" s="91" t="str">
        <f t="shared" si="23"/>
        <v>3333</v>
      </c>
      <c r="AV101" s="91" t="str">
        <f t="shared" si="24"/>
        <v>3322</v>
      </c>
      <c r="AW101" s="91" t="str">
        <f t="shared" si="25"/>
        <v>2200</v>
      </c>
      <c r="AX101" s="91" t="str">
        <f t="shared" si="26"/>
        <v>0000</v>
      </c>
    </row>
    <row r="102" spans="1:50" s="83" customFormat="1" ht="14.1" customHeight="1">
      <c r="A102" s="82"/>
      <c r="B102" s="84">
        <v>25</v>
      </c>
      <c r="C102" s="85">
        <v>0</v>
      </c>
      <c r="D102" s="85">
        <v>0</v>
      </c>
      <c r="E102" s="85">
        <v>0</v>
      </c>
      <c r="F102" s="85">
        <v>0</v>
      </c>
      <c r="G102" s="85">
        <v>0</v>
      </c>
      <c r="H102" s="85">
        <v>0</v>
      </c>
      <c r="I102" s="85">
        <v>2</v>
      </c>
      <c r="J102" s="85">
        <v>2</v>
      </c>
      <c r="K102" s="85">
        <v>2</v>
      </c>
      <c r="L102" s="85">
        <v>2</v>
      </c>
      <c r="M102" s="85">
        <v>3</v>
      </c>
      <c r="N102" s="85">
        <v>3</v>
      </c>
      <c r="O102" s="85">
        <v>3</v>
      </c>
      <c r="P102" s="85">
        <v>3</v>
      </c>
      <c r="Q102" s="85">
        <v>3</v>
      </c>
      <c r="R102" s="85">
        <v>3</v>
      </c>
      <c r="S102" s="85">
        <v>3</v>
      </c>
      <c r="T102" s="85">
        <v>3</v>
      </c>
      <c r="U102" s="85">
        <v>3</v>
      </c>
      <c r="V102" s="85">
        <v>3</v>
      </c>
      <c r="W102" s="85">
        <v>3</v>
      </c>
      <c r="X102" s="85">
        <v>3</v>
      </c>
      <c r="Y102" s="85">
        <v>2</v>
      </c>
      <c r="Z102" s="85">
        <v>2</v>
      </c>
      <c r="AA102" s="85">
        <v>2</v>
      </c>
      <c r="AB102" s="85">
        <v>2</v>
      </c>
      <c r="AC102" s="85">
        <v>0</v>
      </c>
      <c r="AD102" s="85">
        <v>0</v>
      </c>
      <c r="AE102" s="85">
        <v>0</v>
      </c>
      <c r="AF102" s="85">
        <v>0</v>
      </c>
      <c r="AG102" s="85">
        <v>0</v>
      </c>
      <c r="AH102" s="85">
        <v>0</v>
      </c>
      <c r="AP102" s="92">
        <f t="shared" si="18"/>
        <v>25</v>
      </c>
      <c r="AQ102" s="91" t="str">
        <f t="shared" si="19"/>
        <v>0000</v>
      </c>
      <c r="AR102" s="91" t="str">
        <f t="shared" si="20"/>
        <v>0022</v>
      </c>
      <c r="AS102" s="91" t="str">
        <f t="shared" si="21"/>
        <v>2233</v>
      </c>
      <c r="AT102" s="91" t="str">
        <f t="shared" si="22"/>
        <v>3333</v>
      </c>
      <c r="AU102" s="91" t="str">
        <f t="shared" si="23"/>
        <v>3333</v>
      </c>
      <c r="AV102" s="91" t="str">
        <f t="shared" si="24"/>
        <v>3322</v>
      </c>
      <c r="AW102" s="91" t="str">
        <f t="shared" si="25"/>
        <v>2200</v>
      </c>
      <c r="AX102" s="91" t="str">
        <f t="shared" si="26"/>
        <v>0000</v>
      </c>
    </row>
    <row r="103" spans="1:50" s="83" customFormat="1" ht="14.1" customHeight="1">
      <c r="A103" s="82"/>
      <c r="B103" s="84">
        <v>26</v>
      </c>
      <c r="C103" s="85">
        <v>0</v>
      </c>
      <c r="D103" s="85">
        <v>0</v>
      </c>
      <c r="E103" s="85">
        <v>0</v>
      </c>
      <c r="F103" s="85">
        <v>0</v>
      </c>
      <c r="G103" s="85">
        <v>0</v>
      </c>
      <c r="H103" s="85">
        <v>0</v>
      </c>
      <c r="I103" s="85">
        <v>0</v>
      </c>
      <c r="J103" s="85">
        <v>0</v>
      </c>
      <c r="K103" s="85">
        <v>0</v>
      </c>
      <c r="L103" s="85">
        <v>0</v>
      </c>
      <c r="M103" s="85">
        <v>0</v>
      </c>
      <c r="N103" s="85">
        <v>0</v>
      </c>
      <c r="O103" s="85">
        <v>2</v>
      </c>
      <c r="P103" s="85">
        <v>2</v>
      </c>
      <c r="Q103" s="85">
        <v>2</v>
      </c>
      <c r="R103" s="85">
        <v>2</v>
      </c>
      <c r="S103" s="85">
        <v>2</v>
      </c>
      <c r="T103" s="85">
        <v>2</v>
      </c>
      <c r="U103" s="85">
        <v>2</v>
      </c>
      <c r="V103" s="85">
        <v>2</v>
      </c>
      <c r="W103" s="85">
        <v>0</v>
      </c>
      <c r="X103" s="85">
        <v>0</v>
      </c>
      <c r="Y103" s="85">
        <v>0</v>
      </c>
      <c r="Z103" s="85">
        <v>0</v>
      </c>
      <c r="AA103" s="85">
        <v>0</v>
      </c>
      <c r="AB103" s="85">
        <v>0</v>
      </c>
      <c r="AC103" s="85">
        <v>0</v>
      </c>
      <c r="AD103" s="85">
        <v>0</v>
      </c>
      <c r="AE103" s="85">
        <v>0</v>
      </c>
      <c r="AF103" s="85">
        <v>0</v>
      </c>
      <c r="AG103" s="85">
        <v>0</v>
      </c>
      <c r="AH103" s="85">
        <v>0</v>
      </c>
      <c r="AP103" s="92">
        <f t="shared" si="18"/>
        <v>26</v>
      </c>
      <c r="AQ103" s="91" t="str">
        <f t="shared" si="19"/>
        <v>0000</v>
      </c>
      <c r="AR103" s="91" t="str">
        <f t="shared" si="20"/>
        <v>0000</v>
      </c>
      <c r="AS103" s="91" t="str">
        <f t="shared" si="21"/>
        <v>0000</v>
      </c>
      <c r="AT103" s="91" t="str">
        <f t="shared" si="22"/>
        <v>2222</v>
      </c>
      <c r="AU103" s="91" t="str">
        <f t="shared" si="23"/>
        <v>2222</v>
      </c>
      <c r="AV103" s="91" t="str">
        <f t="shared" si="24"/>
        <v>0000</v>
      </c>
      <c r="AW103" s="91" t="str">
        <f t="shared" si="25"/>
        <v>0000</v>
      </c>
      <c r="AX103" s="91" t="str">
        <f t="shared" si="26"/>
        <v>0000</v>
      </c>
    </row>
    <row r="104" spans="1:50" s="83" customFormat="1" ht="14.1" customHeight="1">
      <c r="A104" s="82"/>
      <c r="B104" s="84">
        <v>27</v>
      </c>
      <c r="C104" s="85">
        <v>0</v>
      </c>
      <c r="D104" s="85">
        <v>0</v>
      </c>
      <c r="E104" s="85">
        <v>0</v>
      </c>
      <c r="F104" s="85">
        <v>0</v>
      </c>
      <c r="G104" s="85">
        <v>0</v>
      </c>
      <c r="H104" s="85">
        <v>0</v>
      </c>
      <c r="I104" s="85">
        <v>0</v>
      </c>
      <c r="J104" s="85">
        <v>0</v>
      </c>
      <c r="K104" s="85">
        <v>0</v>
      </c>
      <c r="L104" s="85">
        <v>0</v>
      </c>
      <c r="M104" s="85">
        <v>0</v>
      </c>
      <c r="N104" s="85">
        <v>0</v>
      </c>
      <c r="O104" s="85">
        <v>2</v>
      </c>
      <c r="P104" s="85">
        <v>2</v>
      </c>
      <c r="Q104" s="85">
        <v>2</v>
      </c>
      <c r="R104" s="85">
        <v>2</v>
      </c>
      <c r="S104" s="85">
        <v>2</v>
      </c>
      <c r="T104" s="85">
        <v>2</v>
      </c>
      <c r="U104" s="85">
        <v>2</v>
      </c>
      <c r="V104" s="85">
        <v>2</v>
      </c>
      <c r="W104" s="85">
        <v>0</v>
      </c>
      <c r="X104" s="85">
        <v>0</v>
      </c>
      <c r="Y104" s="85">
        <v>0</v>
      </c>
      <c r="Z104" s="85">
        <v>0</v>
      </c>
      <c r="AA104" s="85">
        <v>0</v>
      </c>
      <c r="AB104" s="85">
        <v>0</v>
      </c>
      <c r="AC104" s="85">
        <v>0</v>
      </c>
      <c r="AD104" s="85">
        <v>0</v>
      </c>
      <c r="AE104" s="85">
        <v>0</v>
      </c>
      <c r="AF104" s="85">
        <v>0</v>
      </c>
      <c r="AG104" s="85">
        <v>0</v>
      </c>
      <c r="AH104" s="85">
        <v>0</v>
      </c>
      <c r="AP104" s="92">
        <f t="shared" si="18"/>
        <v>27</v>
      </c>
      <c r="AQ104" s="91" t="str">
        <f t="shared" si="19"/>
        <v>0000</v>
      </c>
      <c r="AR104" s="91" t="str">
        <f t="shared" si="20"/>
        <v>0000</v>
      </c>
      <c r="AS104" s="91" t="str">
        <f t="shared" si="21"/>
        <v>0000</v>
      </c>
      <c r="AT104" s="91" t="str">
        <f t="shared" si="22"/>
        <v>2222</v>
      </c>
      <c r="AU104" s="91" t="str">
        <f t="shared" si="23"/>
        <v>2222</v>
      </c>
      <c r="AV104" s="91" t="str">
        <f t="shared" si="24"/>
        <v>0000</v>
      </c>
      <c r="AW104" s="91" t="str">
        <f t="shared" si="25"/>
        <v>0000</v>
      </c>
      <c r="AX104" s="91" t="str">
        <f t="shared" si="26"/>
        <v>0000</v>
      </c>
    </row>
    <row r="105" spans="1:50" s="83" customFormat="1" ht="14.1" customHeight="1">
      <c r="A105" s="82"/>
      <c r="B105" s="84">
        <v>28</v>
      </c>
      <c r="C105" s="85">
        <v>0</v>
      </c>
      <c r="D105" s="85">
        <v>0</v>
      </c>
      <c r="E105" s="85">
        <v>0</v>
      </c>
      <c r="F105" s="85">
        <v>0</v>
      </c>
      <c r="G105" s="85">
        <v>0</v>
      </c>
      <c r="H105" s="85">
        <v>0</v>
      </c>
      <c r="I105" s="85">
        <v>0</v>
      </c>
      <c r="J105" s="85">
        <v>0</v>
      </c>
      <c r="K105" s="85">
        <v>0</v>
      </c>
      <c r="L105" s="85">
        <v>0</v>
      </c>
      <c r="M105" s="85">
        <v>0</v>
      </c>
      <c r="N105" s="85">
        <v>0</v>
      </c>
      <c r="O105" s="85">
        <v>0</v>
      </c>
      <c r="P105" s="85">
        <v>0</v>
      </c>
      <c r="Q105" s="85">
        <v>0</v>
      </c>
      <c r="R105" s="85">
        <v>0</v>
      </c>
      <c r="S105" s="85">
        <v>0</v>
      </c>
      <c r="T105" s="85">
        <v>0</v>
      </c>
      <c r="U105" s="85">
        <v>0</v>
      </c>
      <c r="V105" s="85">
        <v>0</v>
      </c>
      <c r="W105" s="85">
        <v>0</v>
      </c>
      <c r="X105" s="85">
        <v>0</v>
      </c>
      <c r="Y105" s="85">
        <v>0</v>
      </c>
      <c r="Z105" s="85">
        <v>0</v>
      </c>
      <c r="AA105" s="85">
        <v>0</v>
      </c>
      <c r="AB105" s="85">
        <v>0</v>
      </c>
      <c r="AC105" s="85">
        <v>0</v>
      </c>
      <c r="AD105" s="85">
        <v>0</v>
      </c>
      <c r="AE105" s="85">
        <v>0</v>
      </c>
      <c r="AF105" s="85">
        <v>0</v>
      </c>
      <c r="AG105" s="85">
        <v>0</v>
      </c>
      <c r="AH105" s="85">
        <v>0</v>
      </c>
      <c r="AP105" s="92">
        <f t="shared" si="18"/>
        <v>28</v>
      </c>
      <c r="AQ105" s="91" t="str">
        <f t="shared" si="19"/>
        <v>0000</v>
      </c>
      <c r="AR105" s="91" t="str">
        <f t="shared" si="20"/>
        <v>0000</v>
      </c>
      <c r="AS105" s="91" t="str">
        <f t="shared" si="21"/>
        <v>0000</v>
      </c>
      <c r="AT105" s="91" t="str">
        <f t="shared" si="22"/>
        <v>0000</v>
      </c>
      <c r="AU105" s="91" t="str">
        <f t="shared" si="23"/>
        <v>0000</v>
      </c>
      <c r="AV105" s="91" t="str">
        <f t="shared" si="24"/>
        <v>0000</v>
      </c>
      <c r="AW105" s="91" t="str">
        <f t="shared" si="25"/>
        <v>0000</v>
      </c>
      <c r="AX105" s="91" t="str">
        <f t="shared" si="26"/>
        <v>0000</v>
      </c>
    </row>
    <row r="106" spans="1:50" s="83" customFormat="1" ht="14.1" customHeight="1">
      <c r="A106" s="82"/>
      <c r="B106" s="84">
        <v>29</v>
      </c>
      <c r="C106" s="85">
        <v>0</v>
      </c>
      <c r="D106" s="85">
        <v>0</v>
      </c>
      <c r="E106" s="85">
        <v>0</v>
      </c>
      <c r="F106" s="85">
        <v>0</v>
      </c>
      <c r="G106" s="85">
        <v>0</v>
      </c>
      <c r="H106" s="85">
        <v>0</v>
      </c>
      <c r="I106" s="85">
        <v>0</v>
      </c>
      <c r="J106" s="85">
        <v>0</v>
      </c>
      <c r="K106" s="85">
        <v>0</v>
      </c>
      <c r="L106" s="85">
        <v>0</v>
      </c>
      <c r="M106" s="85">
        <v>0</v>
      </c>
      <c r="N106" s="85">
        <v>0</v>
      </c>
      <c r="O106" s="85">
        <v>0</v>
      </c>
      <c r="P106" s="85">
        <v>0</v>
      </c>
      <c r="Q106" s="85">
        <v>0</v>
      </c>
      <c r="R106" s="85">
        <v>0</v>
      </c>
      <c r="S106" s="85">
        <v>0</v>
      </c>
      <c r="T106" s="85">
        <v>0</v>
      </c>
      <c r="U106" s="85">
        <v>0</v>
      </c>
      <c r="V106" s="85">
        <v>0</v>
      </c>
      <c r="W106" s="85">
        <v>0</v>
      </c>
      <c r="X106" s="85">
        <v>0</v>
      </c>
      <c r="Y106" s="85">
        <v>0</v>
      </c>
      <c r="Z106" s="85">
        <v>0</v>
      </c>
      <c r="AA106" s="85">
        <v>0</v>
      </c>
      <c r="AB106" s="85">
        <v>0</v>
      </c>
      <c r="AC106" s="85">
        <v>0</v>
      </c>
      <c r="AD106" s="85">
        <v>0</v>
      </c>
      <c r="AE106" s="85">
        <v>0</v>
      </c>
      <c r="AF106" s="85">
        <v>0</v>
      </c>
      <c r="AG106" s="85">
        <v>0</v>
      </c>
      <c r="AH106" s="85">
        <v>0</v>
      </c>
      <c r="AP106" s="92">
        <f t="shared" si="18"/>
        <v>29</v>
      </c>
      <c r="AQ106" s="91" t="str">
        <f t="shared" si="19"/>
        <v>0000</v>
      </c>
      <c r="AR106" s="91" t="str">
        <f t="shared" si="20"/>
        <v>0000</v>
      </c>
      <c r="AS106" s="91" t="str">
        <f t="shared" si="21"/>
        <v>0000</v>
      </c>
      <c r="AT106" s="91" t="str">
        <f t="shared" si="22"/>
        <v>0000</v>
      </c>
      <c r="AU106" s="91" t="str">
        <f t="shared" si="23"/>
        <v>0000</v>
      </c>
      <c r="AV106" s="91" t="str">
        <f t="shared" si="24"/>
        <v>0000</v>
      </c>
      <c r="AW106" s="91" t="str">
        <f t="shared" si="25"/>
        <v>0000</v>
      </c>
      <c r="AX106" s="91" t="str">
        <f t="shared" si="26"/>
        <v>0000</v>
      </c>
    </row>
    <row r="107" spans="1:50" s="83" customFormat="1" ht="14.1" customHeight="1">
      <c r="A107" s="82"/>
      <c r="B107" s="84">
        <v>30</v>
      </c>
      <c r="C107" s="85">
        <v>0</v>
      </c>
      <c r="D107" s="85">
        <v>0</v>
      </c>
      <c r="E107" s="85">
        <v>0</v>
      </c>
      <c r="F107" s="85">
        <v>0</v>
      </c>
      <c r="G107" s="85">
        <v>0</v>
      </c>
      <c r="H107" s="85">
        <v>0</v>
      </c>
      <c r="I107" s="85">
        <v>0</v>
      </c>
      <c r="J107" s="85">
        <v>0</v>
      </c>
      <c r="K107" s="85">
        <v>0</v>
      </c>
      <c r="L107" s="85">
        <v>0</v>
      </c>
      <c r="M107" s="85">
        <v>0</v>
      </c>
      <c r="N107" s="85">
        <v>0</v>
      </c>
      <c r="O107" s="85">
        <v>0</v>
      </c>
      <c r="P107" s="85">
        <v>0</v>
      </c>
      <c r="Q107" s="85">
        <v>0</v>
      </c>
      <c r="R107" s="85">
        <v>0</v>
      </c>
      <c r="S107" s="85">
        <v>0</v>
      </c>
      <c r="T107" s="85">
        <v>0</v>
      </c>
      <c r="U107" s="85">
        <v>0</v>
      </c>
      <c r="V107" s="85">
        <v>0</v>
      </c>
      <c r="W107" s="85">
        <v>0</v>
      </c>
      <c r="X107" s="85">
        <v>0</v>
      </c>
      <c r="Y107" s="85">
        <v>0</v>
      </c>
      <c r="Z107" s="85">
        <v>0</v>
      </c>
      <c r="AA107" s="85">
        <v>0</v>
      </c>
      <c r="AB107" s="85">
        <v>0</v>
      </c>
      <c r="AC107" s="85">
        <v>0</v>
      </c>
      <c r="AD107" s="85">
        <v>0</v>
      </c>
      <c r="AE107" s="85">
        <v>0</v>
      </c>
      <c r="AF107" s="85">
        <v>0</v>
      </c>
      <c r="AG107" s="85">
        <v>0</v>
      </c>
      <c r="AH107" s="85">
        <v>0</v>
      </c>
      <c r="AP107" s="92">
        <f t="shared" si="18"/>
        <v>30</v>
      </c>
      <c r="AQ107" s="91" t="str">
        <f t="shared" si="19"/>
        <v>0000</v>
      </c>
      <c r="AR107" s="91" t="str">
        <f t="shared" si="20"/>
        <v>0000</v>
      </c>
      <c r="AS107" s="91" t="str">
        <f t="shared" si="21"/>
        <v>0000</v>
      </c>
      <c r="AT107" s="91" t="str">
        <f t="shared" si="22"/>
        <v>0000</v>
      </c>
      <c r="AU107" s="91" t="str">
        <f t="shared" si="23"/>
        <v>0000</v>
      </c>
      <c r="AV107" s="91" t="str">
        <f t="shared" si="24"/>
        <v>0000</v>
      </c>
      <c r="AW107" s="91" t="str">
        <f t="shared" si="25"/>
        <v>0000</v>
      </c>
      <c r="AX107" s="91" t="str">
        <f t="shared" si="26"/>
        <v>0000</v>
      </c>
    </row>
    <row r="108" spans="1:50" s="83" customFormat="1" ht="14.1" customHeight="1">
      <c r="A108" s="82"/>
      <c r="B108" s="84">
        <v>31</v>
      </c>
      <c r="C108" s="85">
        <v>0</v>
      </c>
      <c r="D108" s="85">
        <v>0</v>
      </c>
      <c r="E108" s="85">
        <v>0</v>
      </c>
      <c r="F108" s="85">
        <v>0</v>
      </c>
      <c r="G108" s="85">
        <v>0</v>
      </c>
      <c r="H108" s="85">
        <v>0</v>
      </c>
      <c r="I108" s="85">
        <v>0</v>
      </c>
      <c r="J108" s="85">
        <v>0</v>
      </c>
      <c r="K108" s="85">
        <v>0</v>
      </c>
      <c r="L108" s="85">
        <v>0</v>
      </c>
      <c r="M108" s="85">
        <v>0</v>
      </c>
      <c r="N108" s="85">
        <v>0</v>
      </c>
      <c r="O108" s="85">
        <v>0</v>
      </c>
      <c r="P108" s="85">
        <v>0</v>
      </c>
      <c r="Q108" s="85">
        <v>0</v>
      </c>
      <c r="R108" s="85">
        <v>0</v>
      </c>
      <c r="S108" s="85">
        <v>0</v>
      </c>
      <c r="T108" s="85">
        <v>0</v>
      </c>
      <c r="U108" s="85">
        <v>0</v>
      </c>
      <c r="V108" s="85">
        <v>0</v>
      </c>
      <c r="W108" s="85">
        <v>0</v>
      </c>
      <c r="X108" s="85">
        <v>0</v>
      </c>
      <c r="Y108" s="85">
        <v>0</v>
      </c>
      <c r="Z108" s="85">
        <v>0</v>
      </c>
      <c r="AA108" s="85">
        <v>0</v>
      </c>
      <c r="AB108" s="85">
        <v>0</v>
      </c>
      <c r="AC108" s="85">
        <v>0</v>
      </c>
      <c r="AD108" s="85">
        <v>0</v>
      </c>
      <c r="AE108" s="85">
        <v>0</v>
      </c>
      <c r="AF108" s="85">
        <v>0</v>
      </c>
      <c r="AG108" s="85">
        <v>0</v>
      </c>
      <c r="AH108" s="85">
        <v>0</v>
      </c>
      <c r="AP108" s="92">
        <f t="shared" si="18"/>
        <v>31</v>
      </c>
      <c r="AQ108" s="91" t="str">
        <f t="shared" si="19"/>
        <v>0000</v>
      </c>
      <c r="AR108" s="91" t="str">
        <f t="shared" si="20"/>
        <v>0000</v>
      </c>
      <c r="AS108" s="91" t="str">
        <f t="shared" si="21"/>
        <v>0000</v>
      </c>
      <c r="AT108" s="91" t="str">
        <f t="shared" si="22"/>
        <v>0000</v>
      </c>
      <c r="AU108" s="91" t="str">
        <f t="shared" si="23"/>
        <v>0000</v>
      </c>
      <c r="AV108" s="91" t="str">
        <f t="shared" si="24"/>
        <v>0000</v>
      </c>
      <c r="AW108" s="91" t="str">
        <f t="shared" si="25"/>
        <v>0000</v>
      </c>
      <c r="AX108" s="91" t="str">
        <f t="shared" si="26"/>
        <v>0000</v>
      </c>
    </row>
    <row r="109" spans="1:50" s="83" customFormat="1">
      <c r="A109" s="82"/>
      <c r="AP109" s="90"/>
      <c r="AU109" s="91"/>
      <c r="AV109" s="91"/>
      <c r="AW109" s="91"/>
      <c r="AX109" s="91"/>
    </row>
    <row r="110" spans="1:50" s="83" customFormat="1">
      <c r="A110" s="82"/>
      <c r="AP110" s="90"/>
      <c r="AU110" s="91"/>
      <c r="AV110" s="91"/>
      <c r="AW110" s="91"/>
      <c r="AX110" s="91"/>
    </row>
    <row r="111" spans="1:50" s="83" customFormat="1">
      <c r="A111" s="82" t="s">
        <v>311</v>
      </c>
      <c r="AP111" s="88" t="str">
        <f>A111</f>
        <v>4.Center-weighted average 3 (Storage to ROM)</v>
      </c>
      <c r="AU111" s="91"/>
      <c r="AV111" s="91"/>
      <c r="AW111" s="91"/>
      <c r="AX111" s="91"/>
    </row>
    <row r="112" spans="1:50" s="83" customFormat="1">
      <c r="A112" s="82"/>
      <c r="C112" s="84">
        <v>0</v>
      </c>
      <c r="D112" s="84">
        <v>1</v>
      </c>
      <c r="E112" s="84">
        <v>2</v>
      </c>
      <c r="F112" s="84">
        <v>3</v>
      </c>
      <c r="G112" s="84">
        <v>4</v>
      </c>
      <c r="H112" s="84">
        <v>5</v>
      </c>
      <c r="I112" s="84">
        <v>6</v>
      </c>
      <c r="J112" s="84">
        <v>7</v>
      </c>
      <c r="K112" s="84">
        <v>8</v>
      </c>
      <c r="L112" s="84">
        <v>9</v>
      </c>
      <c r="M112" s="84">
        <v>10</v>
      </c>
      <c r="N112" s="84">
        <v>11</v>
      </c>
      <c r="O112" s="84">
        <v>12</v>
      </c>
      <c r="P112" s="84">
        <v>13</v>
      </c>
      <c r="Q112" s="84">
        <v>14</v>
      </c>
      <c r="R112" s="84">
        <v>15</v>
      </c>
      <c r="S112" s="84">
        <v>16</v>
      </c>
      <c r="T112" s="84">
        <v>17</v>
      </c>
      <c r="U112" s="84">
        <v>18</v>
      </c>
      <c r="V112" s="84">
        <v>19</v>
      </c>
      <c r="W112" s="84">
        <v>20</v>
      </c>
      <c r="X112" s="84">
        <v>21</v>
      </c>
      <c r="Y112" s="84">
        <v>22</v>
      </c>
      <c r="Z112" s="84">
        <v>23</v>
      </c>
      <c r="AA112" s="84">
        <v>24</v>
      </c>
      <c r="AB112" s="84">
        <v>25</v>
      </c>
      <c r="AC112" s="84">
        <v>26</v>
      </c>
      <c r="AD112" s="84">
        <v>27</v>
      </c>
      <c r="AE112" s="84">
        <v>28</v>
      </c>
      <c r="AF112" s="84">
        <v>29</v>
      </c>
      <c r="AG112" s="84">
        <v>30</v>
      </c>
      <c r="AH112" s="84">
        <v>31</v>
      </c>
      <c r="AP112" s="90"/>
      <c r="AQ112" s="91" t="str">
        <f>C112&amp;D112&amp;E112&amp;F112</f>
        <v>0123</v>
      </c>
      <c r="AR112" s="91" t="str">
        <f>G112&amp;H112&amp;I112&amp;J112</f>
        <v>4567</v>
      </c>
      <c r="AS112" s="91" t="str">
        <f>K112&amp;L112&amp;M112&amp;N112</f>
        <v>891011</v>
      </c>
      <c r="AT112" s="91" t="str">
        <f>O112&amp;P112&amp;Q112&amp;R112</f>
        <v>12131415</v>
      </c>
      <c r="AU112" s="83">
        <v>16171819</v>
      </c>
      <c r="AV112" s="83">
        <v>20212223</v>
      </c>
      <c r="AW112" s="83">
        <v>24252627</v>
      </c>
      <c r="AX112" s="83">
        <v>28293031</v>
      </c>
    </row>
    <row r="113" spans="1:50" s="83" customFormat="1" ht="14.1" customHeight="1">
      <c r="A113" s="82"/>
      <c r="B113" s="84">
        <v>0</v>
      </c>
      <c r="C113" s="85">
        <v>2</v>
      </c>
      <c r="D113" s="85">
        <v>2</v>
      </c>
      <c r="E113" s="85">
        <v>2</v>
      </c>
      <c r="F113" s="85">
        <v>2</v>
      </c>
      <c r="G113" s="85">
        <v>2</v>
      </c>
      <c r="H113" s="85">
        <v>2</v>
      </c>
      <c r="I113" s="85">
        <v>2</v>
      </c>
      <c r="J113" s="85">
        <v>2</v>
      </c>
      <c r="K113" s="85">
        <v>2</v>
      </c>
      <c r="L113" s="85">
        <v>2</v>
      </c>
      <c r="M113" s="85">
        <v>2</v>
      </c>
      <c r="N113" s="85">
        <v>2</v>
      </c>
      <c r="O113" s="85">
        <v>2</v>
      </c>
      <c r="P113" s="85">
        <v>2</v>
      </c>
      <c r="Q113" s="85">
        <v>2</v>
      </c>
      <c r="R113" s="85">
        <v>2</v>
      </c>
      <c r="S113" s="85">
        <v>2</v>
      </c>
      <c r="T113" s="85">
        <v>2</v>
      </c>
      <c r="U113" s="85">
        <v>2</v>
      </c>
      <c r="V113" s="85">
        <v>2</v>
      </c>
      <c r="W113" s="85">
        <v>2</v>
      </c>
      <c r="X113" s="85">
        <v>2</v>
      </c>
      <c r="Y113" s="85">
        <v>2</v>
      </c>
      <c r="Z113" s="85">
        <v>2</v>
      </c>
      <c r="AA113" s="85">
        <v>2</v>
      </c>
      <c r="AB113" s="85">
        <v>2</v>
      </c>
      <c r="AC113" s="85">
        <v>2</v>
      </c>
      <c r="AD113" s="85">
        <v>2</v>
      </c>
      <c r="AE113" s="85">
        <v>2</v>
      </c>
      <c r="AF113" s="85">
        <v>2</v>
      </c>
      <c r="AG113" s="85">
        <v>2</v>
      </c>
      <c r="AH113" s="85">
        <v>2</v>
      </c>
      <c r="AP113" s="92">
        <f t="shared" ref="AP113:AP144" si="27">B113</f>
        <v>0</v>
      </c>
      <c r="AQ113" s="91" t="str">
        <f t="shared" ref="AQ113:AQ144" si="28">DEC2HEX(C113)&amp;DEC2HEX(D113)&amp;DEC2HEX(E113)&amp;DEC2HEX(F113)</f>
        <v>2222</v>
      </c>
      <c r="AR113" s="91" t="str">
        <f t="shared" ref="AR113:AR144" si="29">DEC2HEX(G113)&amp;DEC2HEX(H113)&amp;DEC2HEX(I113)&amp;DEC2HEX(J113)</f>
        <v>2222</v>
      </c>
      <c r="AS113" s="91" t="str">
        <f t="shared" ref="AS113:AS144" si="30">DEC2HEX(K113)&amp;DEC2HEX(L113)&amp;DEC2HEX(M113)&amp;DEC2HEX(N113)</f>
        <v>2222</v>
      </c>
      <c r="AT113" s="91" t="str">
        <f t="shared" ref="AT113:AT144" si="31">DEC2HEX(O113)&amp;DEC2HEX(P113)&amp;DEC2HEX(Q113)&amp;DEC2HEX(R113)</f>
        <v>2222</v>
      </c>
      <c r="AU113" s="91" t="str">
        <f t="shared" si="23"/>
        <v>2222</v>
      </c>
      <c r="AV113" s="91" t="str">
        <f t="shared" si="24"/>
        <v>2222</v>
      </c>
      <c r="AW113" s="91" t="str">
        <f t="shared" si="25"/>
        <v>2222</v>
      </c>
      <c r="AX113" s="91" t="str">
        <f t="shared" si="26"/>
        <v>2222</v>
      </c>
    </row>
    <row r="114" spans="1:50" s="83" customFormat="1" ht="14.1" customHeight="1">
      <c r="A114" s="82"/>
      <c r="B114" s="84">
        <v>1</v>
      </c>
      <c r="C114" s="85">
        <v>2</v>
      </c>
      <c r="D114" s="85">
        <v>2</v>
      </c>
      <c r="E114" s="85">
        <v>2</v>
      </c>
      <c r="F114" s="85">
        <v>2</v>
      </c>
      <c r="G114" s="85">
        <v>2</v>
      </c>
      <c r="H114" s="85">
        <v>2</v>
      </c>
      <c r="I114" s="85">
        <v>2</v>
      </c>
      <c r="J114" s="85">
        <v>2</v>
      </c>
      <c r="K114" s="85">
        <v>2</v>
      </c>
      <c r="L114" s="85">
        <v>2</v>
      </c>
      <c r="M114" s="85">
        <v>2</v>
      </c>
      <c r="N114" s="85">
        <v>2</v>
      </c>
      <c r="O114" s="85">
        <v>2</v>
      </c>
      <c r="P114" s="85">
        <v>2</v>
      </c>
      <c r="Q114" s="85">
        <v>2</v>
      </c>
      <c r="R114" s="85">
        <v>2</v>
      </c>
      <c r="S114" s="85">
        <v>2</v>
      </c>
      <c r="T114" s="85">
        <v>2</v>
      </c>
      <c r="U114" s="85">
        <v>2</v>
      </c>
      <c r="V114" s="85">
        <v>2</v>
      </c>
      <c r="W114" s="85">
        <v>2</v>
      </c>
      <c r="X114" s="85">
        <v>2</v>
      </c>
      <c r="Y114" s="85">
        <v>2</v>
      </c>
      <c r="Z114" s="85">
        <v>2</v>
      </c>
      <c r="AA114" s="85">
        <v>2</v>
      </c>
      <c r="AB114" s="85">
        <v>2</v>
      </c>
      <c r="AC114" s="85">
        <v>2</v>
      </c>
      <c r="AD114" s="85">
        <v>2</v>
      </c>
      <c r="AE114" s="85">
        <v>2</v>
      </c>
      <c r="AF114" s="85">
        <v>2</v>
      </c>
      <c r="AG114" s="85">
        <v>2</v>
      </c>
      <c r="AH114" s="85">
        <v>2</v>
      </c>
      <c r="AP114" s="92">
        <f t="shared" si="27"/>
        <v>1</v>
      </c>
      <c r="AQ114" s="91" t="str">
        <f t="shared" si="28"/>
        <v>2222</v>
      </c>
      <c r="AR114" s="91" t="str">
        <f t="shared" si="29"/>
        <v>2222</v>
      </c>
      <c r="AS114" s="91" t="str">
        <f t="shared" si="30"/>
        <v>2222</v>
      </c>
      <c r="AT114" s="91" t="str">
        <f t="shared" si="31"/>
        <v>2222</v>
      </c>
      <c r="AU114" s="91" t="str">
        <f t="shared" si="23"/>
        <v>2222</v>
      </c>
      <c r="AV114" s="91" t="str">
        <f t="shared" si="24"/>
        <v>2222</v>
      </c>
      <c r="AW114" s="91" t="str">
        <f t="shared" si="25"/>
        <v>2222</v>
      </c>
      <c r="AX114" s="91" t="str">
        <f t="shared" si="26"/>
        <v>2222</v>
      </c>
    </row>
    <row r="115" spans="1:50" s="83" customFormat="1" ht="14.1" customHeight="1">
      <c r="A115" s="82"/>
      <c r="B115" s="84">
        <v>2</v>
      </c>
      <c r="C115" s="85">
        <v>2</v>
      </c>
      <c r="D115" s="85">
        <v>2</v>
      </c>
      <c r="E115" s="85">
        <v>2</v>
      </c>
      <c r="F115" s="85">
        <v>2</v>
      </c>
      <c r="G115" s="85">
        <v>2</v>
      </c>
      <c r="H115" s="85">
        <v>2</v>
      </c>
      <c r="I115" s="85">
        <v>2</v>
      </c>
      <c r="J115" s="85">
        <v>2</v>
      </c>
      <c r="K115" s="85">
        <v>2</v>
      </c>
      <c r="L115" s="85">
        <v>2</v>
      </c>
      <c r="M115" s="85">
        <v>2</v>
      </c>
      <c r="N115" s="85">
        <v>2</v>
      </c>
      <c r="O115" s="85">
        <v>2</v>
      </c>
      <c r="P115" s="85">
        <v>2</v>
      </c>
      <c r="Q115" s="85">
        <v>2</v>
      </c>
      <c r="R115" s="85">
        <v>2</v>
      </c>
      <c r="S115" s="85">
        <v>2</v>
      </c>
      <c r="T115" s="85">
        <v>2</v>
      </c>
      <c r="U115" s="85">
        <v>2</v>
      </c>
      <c r="V115" s="85">
        <v>2</v>
      </c>
      <c r="W115" s="85">
        <v>2</v>
      </c>
      <c r="X115" s="85">
        <v>2</v>
      </c>
      <c r="Y115" s="85">
        <v>2</v>
      </c>
      <c r="Z115" s="85">
        <v>2</v>
      </c>
      <c r="AA115" s="85">
        <v>2</v>
      </c>
      <c r="AB115" s="85">
        <v>2</v>
      </c>
      <c r="AC115" s="85">
        <v>2</v>
      </c>
      <c r="AD115" s="85">
        <v>2</v>
      </c>
      <c r="AE115" s="85">
        <v>2</v>
      </c>
      <c r="AF115" s="85">
        <v>2</v>
      </c>
      <c r="AG115" s="85">
        <v>2</v>
      </c>
      <c r="AH115" s="85">
        <v>2</v>
      </c>
      <c r="AP115" s="92">
        <f t="shared" si="27"/>
        <v>2</v>
      </c>
      <c r="AQ115" s="91" t="str">
        <f t="shared" si="28"/>
        <v>2222</v>
      </c>
      <c r="AR115" s="91" t="str">
        <f t="shared" si="29"/>
        <v>2222</v>
      </c>
      <c r="AS115" s="91" t="str">
        <f t="shared" si="30"/>
        <v>2222</v>
      </c>
      <c r="AT115" s="91" t="str">
        <f t="shared" si="31"/>
        <v>2222</v>
      </c>
      <c r="AU115" s="91" t="str">
        <f t="shared" si="23"/>
        <v>2222</v>
      </c>
      <c r="AV115" s="91" t="str">
        <f t="shared" si="24"/>
        <v>2222</v>
      </c>
      <c r="AW115" s="91" t="str">
        <f t="shared" si="25"/>
        <v>2222</v>
      </c>
      <c r="AX115" s="91" t="str">
        <f t="shared" si="26"/>
        <v>2222</v>
      </c>
    </row>
    <row r="116" spans="1:50" s="83" customFormat="1" ht="14.1" customHeight="1">
      <c r="A116" s="82"/>
      <c r="B116" s="84">
        <v>3</v>
      </c>
      <c r="C116" s="85">
        <v>2</v>
      </c>
      <c r="D116" s="85">
        <v>2</v>
      </c>
      <c r="E116" s="85">
        <v>2</v>
      </c>
      <c r="F116" s="85">
        <v>2</v>
      </c>
      <c r="G116" s="85">
        <v>2</v>
      </c>
      <c r="H116" s="85">
        <v>2</v>
      </c>
      <c r="I116" s="85">
        <v>2</v>
      </c>
      <c r="J116" s="85">
        <v>2</v>
      </c>
      <c r="K116" s="85">
        <v>2</v>
      </c>
      <c r="L116" s="85">
        <v>2</v>
      </c>
      <c r="M116" s="85">
        <v>2</v>
      </c>
      <c r="N116" s="85">
        <v>2</v>
      </c>
      <c r="O116" s="85">
        <v>2</v>
      </c>
      <c r="P116" s="85">
        <v>2</v>
      </c>
      <c r="Q116" s="85">
        <v>2</v>
      </c>
      <c r="R116" s="85">
        <v>2</v>
      </c>
      <c r="S116" s="85">
        <v>2</v>
      </c>
      <c r="T116" s="85">
        <v>2</v>
      </c>
      <c r="U116" s="85">
        <v>2</v>
      </c>
      <c r="V116" s="85">
        <v>2</v>
      </c>
      <c r="W116" s="85">
        <v>2</v>
      </c>
      <c r="X116" s="85">
        <v>2</v>
      </c>
      <c r="Y116" s="85">
        <v>2</v>
      </c>
      <c r="Z116" s="85">
        <v>2</v>
      </c>
      <c r="AA116" s="85">
        <v>2</v>
      </c>
      <c r="AB116" s="85">
        <v>2</v>
      </c>
      <c r="AC116" s="85">
        <v>2</v>
      </c>
      <c r="AD116" s="85">
        <v>2</v>
      </c>
      <c r="AE116" s="85">
        <v>2</v>
      </c>
      <c r="AF116" s="85">
        <v>2</v>
      </c>
      <c r="AG116" s="85">
        <v>2</v>
      </c>
      <c r="AH116" s="85">
        <v>2</v>
      </c>
      <c r="AP116" s="92">
        <f t="shared" si="27"/>
        <v>3</v>
      </c>
      <c r="AQ116" s="91" t="str">
        <f t="shared" si="28"/>
        <v>2222</v>
      </c>
      <c r="AR116" s="91" t="str">
        <f t="shared" si="29"/>
        <v>2222</v>
      </c>
      <c r="AS116" s="91" t="str">
        <f t="shared" si="30"/>
        <v>2222</v>
      </c>
      <c r="AT116" s="91" t="str">
        <f t="shared" si="31"/>
        <v>2222</v>
      </c>
      <c r="AU116" s="91" t="str">
        <f t="shared" si="23"/>
        <v>2222</v>
      </c>
      <c r="AV116" s="91" t="str">
        <f t="shared" si="24"/>
        <v>2222</v>
      </c>
      <c r="AW116" s="91" t="str">
        <f t="shared" si="25"/>
        <v>2222</v>
      </c>
      <c r="AX116" s="91" t="str">
        <f t="shared" si="26"/>
        <v>2222</v>
      </c>
    </row>
    <row r="117" spans="1:50" s="83" customFormat="1" ht="14.1" customHeight="1">
      <c r="A117" s="82"/>
      <c r="B117" s="84">
        <v>4</v>
      </c>
      <c r="C117" s="85">
        <v>2</v>
      </c>
      <c r="D117" s="85">
        <v>2</v>
      </c>
      <c r="E117" s="85">
        <v>2</v>
      </c>
      <c r="F117" s="85">
        <v>2</v>
      </c>
      <c r="G117" s="85">
        <v>2</v>
      </c>
      <c r="H117" s="85">
        <v>2</v>
      </c>
      <c r="I117" s="85">
        <v>2</v>
      </c>
      <c r="J117" s="85">
        <v>2</v>
      </c>
      <c r="K117" s="85">
        <v>2</v>
      </c>
      <c r="L117" s="85">
        <v>2</v>
      </c>
      <c r="M117" s="85">
        <v>2</v>
      </c>
      <c r="N117" s="85">
        <v>2</v>
      </c>
      <c r="O117" s="85">
        <v>2</v>
      </c>
      <c r="P117" s="85">
        <v>2</v>
      </c>
      <c r="Q117" s="85">
        <v>2</v>
      </c>
      <c r="R117" s="85">
        <v>2</v>
      </c>
      <c r="S117" s="85">
        <v>2</v>
      </c>
      <c r="T117" s="85">
        <v>2</v>
      </c>
      <c r="U117" s="85">
        <v>2</v>
      </c>
      <c r="V117" s="85">
        <v>2</v>
      </c>
      <c r="W117" s="85">
        <v>2</v>
      </c>
      <c r="X117" s="85">
        <v>2</v>
      </c>
      <c r="Y117" s="85">
        <v>2</v>
      </c>
      <c r="Z117" s="85">
        <v>2</v>
      </c>
      <c r="AA117" s="85">
        <v>2</v>
      </c>
      <c r="AB117" s="85">
        <v>2</v>
      </c>
      <c r="AC117" s="85">
        <v>2</v>
      </c>
      <c r="AD117" s="85">
        <v>2</v>
      </c>
      <c r="AE117" s="85">
        <v>2</v>
      </c>
      <c r="AF117" s="85">
        <v>2</v>
      </c>
      <c r="AG117" s="85">
        <v>2</v>
      </c>
      <c r="AH117" s="85">
        <v>2</v>
      </c>
      <c r="AP117" s="92">
        <f t="shared" si="27"/>
        <v>4</v>
      </c>
      <c r="AQ117" s="91" t="str">
        <f t="shared" si="28"/>
        <v>2222</v>
      </c>
      <c r="AR117" s="91" t="str">
        <f t="shared" si="29"/>
        <v>2222</v>
      </c>
      <c r="AS117" s="91" t="str">
        <f t="shared" si="30"/>
        <v>2222</v>
      </c>
      <c r="AT117" s="91" t="str">
        <f t="shared" si="31"/>
        <v>2222</v>
      </c>
      <c r="AU117" s="91" t="str">
        <f t="shared" si="23"/>
        <v>2222</v>
      </c>
      <c r="AV117" s="91" t="str">
        <f t="shared" si="24"/>
        <v>2222</v>
      </c>
      <c r="AW117" s="91" t="str">
        <f t="shared" si="25"/>
        <v>2222</v>
      </c>
      <c r="AX117" s="91" t="str">
        <f t="shared" si="26"/>
        <v>2222</v>
      </c>
    </row>
    <row r="118" spans="1:50" s="83" customFormat="1" ht="14.1" customHeight="1">
      <c r="A118" s="82"/>
      <c r="B118" s="84">
        <v>5</v>
      </c>
      <c r="C118" s="85">
        <v>2</v>
      </c>
      <c r="D118" s="85">
        <v>2</v>
      </c>
      <c r="E118" s="85">
        <v>2</v>
      </c>
      <c r="F118" s="85">
        <v>2</v>
      </c>
      <c r="G118" s="85">
        <v>2</v>
      </c>
      <c r="H118" s="85">
        <v>2</v>
      </c>
      <c r="I118" s="85">
        <v>2</v>
      </c>
      <c r="J118" s="85">
        <v>2</v>
      </c>
      <c r="K118" s="85">
        <v>2</v>
      </c>
      <c r="L118" s="85">
        <v>2</v>
      </c>
      <c r="M118" s="85">
        <v>2</v>
      </c>
      <c r="N118" s="85">
        <v>2</v>
      </c>
      <c r="O118" s="85">
        <v>2</v>
      </c>
      <c r="P118" s="85">
        <v>2</v>
      </c>
      <c r="Q118" s="85">
        <v>2</v>
      </c>
      <c r="R118" s="85">
        <v>2</v>
      </c>
      <c r="S118" s="85">
        <v>2</v>
      </c>
      <c r="T118" s="85">
        <v>2</v>
      </c>
      <c r="U118" s="85">
        <v>2</v>
      </c>
      <c r="V118" s="85">
        <v>2</v>
      </c>
      <c r="W118" s="85">
        <v>2</v>
      </c>
      <c r="X118" s="85">
        <v>2</v>
      </c>
      <c r="Y118" s="85">
        <v>2</v>
      </c>
      <c r="Z118" s="85">
        <v>2</v>
      </c>
      <c r="AA118" s="85">
        <v>2</v>
      </c>
      <c r="AB118" s="85">
        <v>2</v>
      </c>
      <c r="AC118" s="85">
        <v>2</v>
      </c>
      <c r="AD118" s="85">
        <v>2</v>
      </c>
      <c r="AE118" s="85">
        <v>2</v>
      </c>
      <c r="AF118" s="85">
        <v>2</v>
      </c>
      <c r="AG118" s="85">
        <v>2</v>
      </c>
      <c r="AH118" s="85">
        <v>2</v>
      </c>
      <c r="AP118" s="92">
        <f t="shared" si="27"/>
        <v>5</v>
      </c>
      <c r="AQ118" s="91" t="str">
        <f t="shared" si="28"/>
        <v>2222</v>
      </c>
      <c r="AR118" s="91" t="str">
        <f t="shared" si="29"/>
        <v>2222</v>
      </c>
      <c r="AS118" s="91" t="str">
        <f t="shared" si="30"/>
        <v>2222</v>
      </c>
      <c r="AT118" s="91" t="str">
        <f t="shared" si="31"/>
        <v>2222</v>
      </c>
      <c r="AU118" s="91" t="str">
        <f t="shared" si="23"/>
        <v>2222</v>
      </c>
      <c r="AV118" s="91" t="str">
        <f t="shared" si="24"/>
        <v>2222</v>
      </c>
      <c r="AW118" s="91" t="str">
        <f t="shared" si="25"/>
        <v>2222</v>
      </c>
      <c r="AX118" s="91" t="str">
        <f t="shared" si="26"/>
        <v>2222</v>
      </c>
    </row>
    <row r="119" spans="1:50" s="83" customFormat="1" ht="14.1" customHeight="1">
      <c r="A119" s="82"/>
      <c r="B119" s="84">
        <v>6</v>
      </c>
      <c r="C119" s="85">
        <v>2</v>
      </c>
      <c r="D119" s="85">
        <v>2</v>
      </c>
      <c r="E119" s="85">
        <v>2</v>
      </c>
      <c r="F119" s="85">
        <v>2</v>
      </c>
      <c r="G119" s="85">
        <v>2</v>
      </c>
      <c r="H119" s="85">
        <v>2</v>
      </c>
      <c r="I119" s="85">
        <v>2</v>
      </c>
      <c r="J119" s="85">
        <v>2</v>
      </c>
      <c r="K119" s="85">
        <v>2</v>
      </c>
      <c r="L119" s="85">
        <v>2</v>
      </c>
      <c r="M119" s="85">
        <v>2</v>
      </c>
      <c r="N119" s="85">
        <v>2</v>
      </c>
      <c r="O119" s="85">
        <v>2</v>
      </c>
      <c r="P119" s="85">
        <v>2</v>
      </c>
      <c r="Q119" s="85">
        <v>2</v>
      </c>
      <c r="R119" s="85">
        <v>2</v>
      </c>
      <c r="S119" s="85">
        <v>2</v>
      </c>
      <c r="T119" s="85">
        <v>2</v>
      </c>
      <c r="U119" s="85">
        <v>2</v>
      </c>
      <c r="V119" s="85">
        <v>2</v>
      </c>
      <c r="W119" s="85">
        <v>2</v>
      </c>
      <c r="X119" s="85">
        <v>2</v>
      </c>
      <c r="Y119" s="85">
        <v>2</v>
      </c>
      <c r="Z119" s="85">
        <v>2</v>
      </c>
      <c r="AA119" s="85">
        <v>2</v>
      </c>
      <c r="AB119" s="85">
        <v>2</v>
      </c>
      <c r="AC119" s="85">
        <v>2</v>
      </c>
      <c r="AD119" s="85">
        <v>2</v>
      </c>
      <c r="AE119" s="85">
        <v>2</v>
      </c>
      <c r="AF119" s="85">
        <v>2</v>
      </c>
      <c r="AG119" s="85">
        <v>2</v>
      </c>
      <c r="AH119" s="85">
        <v>2</v>
      </c>
      <c r="AP119" s="92">
        <f t="shared" si="27"/>
        <v>6</v>
      </c>
      <c r="AQ119" s="91" t="str">
        <f t="shared" si="28"/>
        <v>2222</v>
      </c>
      <c r="AR119" s="91" t="str">
        <f t="shared" si="29"/>
        <v>2222</v>
      </c>
      <c r="AS119" s="91" t="str">
        <f t="shared" si="30"/>
        <v>2222</v>
      </c>
      <c r="AT119" s="91" t="str">
        <f t="shared" si="31"/>
        <v>2222</v>
      </c>
      <c r="AU119" s="91" t="str">
        <f t="shared" si="23"/>
        <v>2222</v>
      </c>
      <c r="AV119" s="91" t="str">
        <f t="shared" si="24"/>
        <v>2222</v>
      </c>
      <c r="AW119" s="91" t="str">
        <f t="shared" si="25"/>
        <v>2222</v>
      </c>
      <c r="AX119" s="91" t="str">
        <f t="shared" si="26"/>
        <v>2222</v>
      </c>
    </row>
    <row r="120" spans="1:50" s="83" customFormat="1" ht="14.1" customHeight="1">
      <c r="A120" s="82"/>
      <c r="B120" s="84">
        <v>7</v>
      </c>
      <c r="C120" s="85">
        <v>2</v>
      </c>
      <c r="D120" s="85">
        <v>2</v>
      </c>
      <c r="E120" s="85">
        <v>2</v>
      </c>
      <c r="F120" s="85">
        <v>2</v>
      </c>
      <c r="G120" s="85">
        <v>2</v>
      </c>
      <c r="H120" s="85">
        <v>2</v>
      </c>
      <c r="I120" s="85">
        <v>2</v>
      </c>
      <c r="J120" s="85">
        <v>2</v>
      </c>
      <c r="K120" s="85">
        <v>2</v>
      </c>
      <c r="L120" s="85">
        <v>2</v>
      </c>
      <c r="M120" s="85">
        <v>2</v>
      </c>
      <c r="N120" s="85">
        <v>2</v>
      </c>
      <c r="O120" s="85">
        <v>2</v>
      </c>
      <c r="P120" s="85">
        <v>2</v>
      </c>
      <c r="Q120" s="85">
        <v>2</v>
      </c>
      <c r="R120" s="85">
        <v>2</v>
      </c>
      <c r="S120" s="85">
        <v>2</v>
      </c>
      <c r="T120" s="85">
        <v>2</v>
      </c>
      <c r="U120" s="85">
        <v>2</v>
      </c>
      <c r="V120" s="85">
        <v>2</v>
      </c>
      <c r="W120" s="85">
        <v>2</v>
      </c>
      <c r="X120" s="85">
        <v>2</v>
      </c>
      <c r="Y120" s="85">
        <v>2</v>
      </c>
      <c r="Z120" s="85">
        <v>2</v>
      </c>
      <c r="AA120" s="85">
        <v>2</v>
      </c>
      <c r="AB120" s="85">
        <v>2</v>
      </c>
      <c r="AC120" s="85">
        <v>2</v>
      </c>
      <c r="AD120" s="85">
        <v>2</v>
      </c>
      <c r="AE120" s="85">
        <v>2</v>
      </c>
      <c r="AF120" s="85">
        <v>2</v>
      </c>
      <c r="AG120" s="85">
        <v>2</v>
      </c>
      <c r="AH120" s="85">
        <v>2</v>
      </c>
      <c r="AP120" s="92">
        <f t="shared" si="27"/>
        <v>7</v>
      </c>
      <c r="AQ120" s="91" t="str">
        <f t="shared" si="28"/>
        <v>2222</v>
      </c>
      <c r="AR120" s="91" t="str">
        <f t="shared" si="29"/>
        <v>2222</v>
      </c>
      <c r="AS120" s="91" t="str">
        <f t="shared" si="30"/>
        <v>2222</v>
      </c>
      <c r="AT120" s="91" t="str">
        <f t="shared" si="31"/>
        <v>2222</v>
      </c>
      <c r="AU120" s="91" t="str">
        <f t="shared" si="23"/>
        <v>2222</v>
      </c>
      <c r="AV120" s="91" t="str">
        <f t="shared" si="24"/>
        <v>2222</v>
      </c>
      <c r="AW120" s="91" t="str">
        <f t="shared" si="25"/>
        <v>2222</v>
      </c>
      <c r="AX120" s="91" t="str">
        <f t="shared" si="26"/>
        <v>2222</v>
      </c>
    </row>
    <row r="121" spans="1:50" s="83" customFormat="1" ht="14.1" customHeight="1">
      <c r="A121" s="82"/>
      <c r="B121" s="84">
        <v>8</v>
      </c>
      <c r="C121" s="85">
        <v>2</v>
      </c>
      <c r="D121" s="85">
        <v>2</v>
      </c>
      <c r="E121" s="85">
        <v>2</v>
      </c>
      <c r="F121" s="85">
        <v>2</v>
      </c>
      <c r="G121" s="85">
        <v>2</v>
      </c>
      <c r="H121" s="85">
        <v>2</v>
      </c>
      <c r="I121" s="85">
        <v>2</v>
      </c>
      <c r="J121" s="85">
        <v>2</v>
      </c>
      <c r="K121" s="85">
        <v>2</v>
      </c>
      <c r="L121" s="85">
        <v>2</v>
      </c>
      <c r="M121" s="85">
        <v>2</v>
      </c>
      <c r="N121" s="85">
        <v>2</v>
      </c>
      <c r="O121" s="85">
        <v>2</v>
      </c>
      <c r="P121" s="85">
        <v>2</v>
      </c>
      <c r="Q121" s="85">
        <v>2</v>
      </c>
      <c r="R121" s="85">
        <v>2</v>
      </c>
      <c r="S121" s="85">
        <v>2</v>
      </c>
      <c r="T121" s="85">
        <v>2</v>
      </c>
      <c r="U121" s="85">
        <v>2</v>
      </c>
      <c r="V121" s="85">
        <v>2</v>
      </c>
      <c r="W121" s="85">
        <v>2</v>
      </c>
      <c r="X121" s="85">
        <v>2</v>
      </c>
      <c r="Y121" s="85">
        <v>2</v>
      </c>
      <c r="Z121" s="85">
        <v>2</v>
      </c>
      <c r="AA121" s="85">
        <v>2</v>
      </c>
      <c r="AB121" s="85">
        <v>2</v>
      </c>
      <c r="AC121" s="85">
        <v>2</v>
      </c>
      <c r="AD121" s="85">
        <v>2</v>
      </c>
      <c r="AE121" s="85">
        <v>2</v>
      </c>
      <c r="AF121" s="85">
        <v>2</v>
      </c>
      <c r="AG121" s="85">
        <v>2</v>
      </c>
      <c r="AH121" s="85">
        <v>2</v>
      </c>
      <c r="AP121" s="92">
        <f t="shared" si="27"/>
        <v>8</v>
      </c>
      <c r="AQ121" s="91" t="str">
        <f t="shared" si="28"/>
        <v>2222</v>
      </c>
      <c r="AR121" s="91" t="str">
        <f t="shared" si="29"/>
        <v>2222</v>
      </c>
      <c r="AS121" s="91" t="str">
        <f t="shared" si="30"/>
        <v>2222</v>
      </c>
      <c r="AT121" s="91" t="str">
        <f t="shared" si="31"/>
        <v>2222</v>
      </c>
      <c r="AU121" s="91" t="str">
        <f t="shared" si="23"/>
        <v>2222</v>
      </c>
      <c r="AV121" s="91" t="str">
        <f t="shared" si="24"/>
        <v>2222</v>
      </c>
      <c r="AW121" s="91" t="str">
        <f t="shared" si="25"/>
        <v>2222</v>
      </c>
      <c r="AX121" s="91" t="str">
        <f t="shared" si="26"/>
        <v>2222</v>
      </c>
    </row>
    <row r="122" spans="1:50" s="83" customFormat="1" ht="14.1" customHeight="1">
      <c r="A122" s="82"/>
      <c r="B122" s="84">
        <v>9</v>
      </c>
      <c r="C122" s="85">
        <v>2</v>
      </c>
      <c r="D122" s="85">
        <v>2</v>
      </c>
      <c r="E122" s="85">
        <v>2</v>
      </c>
      <c r="F122" s="85">
        <v>2</v>
      </c>
      <c r="G122" s="85">
        <v>2</v>
      </c>
      <c r="H122" s="85">
        <v>2</v>
      </c>
      <c r="I122" s="85">
        <v>2</v>
      </c>
      <c r="J122" s="85">
        <v>2</v>
      </c>
      <c r="K122" s="85">
        <v>2</v>
      </c>
      <c r="L122" s="85">
        <v>2</v>
      </c>
      <c r="M122" s="85">
        <v>2</v>
      </c>
      <c r="N122" s="85">
        <v>2</v>
      </c>
      <c r="O122" s="85">
        <v>2</v>
      </c>
      <c r="P122" s="85">
        <v>2</v>
      </c>
      <c r="Q122" s="85">
        <v>2</v>
      </c>
      <c r="R122" s="85">
        <v>2</v>
      </c>
      <c r="S122" s="85">
        <v>2</v>
      </c>
      <c r="T122" s="85">
        <v>2</v>
      </c>
      <c r="U122" s="85">
        <v>2</v>
      </c>
      <c r="V122" s="85">
        <v>2</v>
      </c>
      <c r="W122" s="85">
        <v>2</v>
      </c>
      <c r="X122" s="85">
        <v>2</v>
      </c>
      <c r="Y122" s="85">
        <v>2</v>
      </c>
      <c r="Z122" s="85">
        <v>2</v>
      </c>
      <c r="AA122" s="85">
        <v>2</v>
      </c>
      <c r="AB122" s="85">
        <v>2</v>
      </c>
      <c r="AC122" s="85">
        <v>2</v>
      </c>
      <c r="AD122" s="85">
        <v>2</v>
      </c>
      <c r="AE122" s="85">
        <v>2</v>
      </c>
      <c r="AF122" s="85">
        <v>2</v>
      </c>
      <c r="AG122" s="85">
        <v>2</v>
      </c>
      <c r="AH122" s="85">
        <v>2</v>
      </c>
      <c r="AP122" s="92">
        <f t="shared" si="27"/>
        <v>9</v>
      </c>
      <c r="AQ122" s="91" t="str">
        <f t="shared" si="28"/>
        <v>2222</v>
      </c>
      <c r="AR122" s="91" t="str">
        <f t="shared" si="29"/>
        <v>2222</v>
      </c>
      <c r="AS122" s="91" t="str">
        <f t="shared" si="30"/>
        <v>2222</v>
      </c>
      <c r="AT122" s="91" t="str">
        <f t="shared" si="31"/>
        <v>2222</v>
      </c>
      <c r="AU122" s="91" t="str">
        <f t="shared" si="23"/>
        <v>2222</v>
      </c>
      <c r="AV122" s="91" t="str">
        <f t="shared" si="24"/>
        <v>2222</v>
      </c>
      <c r="AW122" s="91" t="str">
        <f t="shared" si="25"/>
        <v>2222</v>
      </c>
      <c r="AX122" s="91" t="str">
        <f t="shared" si="26"/>
        <v>2222</v>
      </c>
    </row>
    <row r="123" spans="1:50" s="83" customFormat="1" ht="14.1" customHeight="1">
      <c r="A123" s="82"/>
      <c r="B123" s="84">
        <v>10</v>
      </c>
      <c r="C123" s="85">
        <v>2</v>
      </c>
      <c r="D123" s="85">
        <v>2</v>
      </c>
      <c r="E123" s="85">
        <v>2</v>
      </c>
      <c r="F123" s="85">
        <v>2</v>
      </c>
      <c r="G123" s="85">
        <v>2</v>
      </c>
      <c r="H123" s="85">
        <v>2</v>
      </c>
      <c r="I123" s="85">
        <v>2</v>
      </c>
      <c r="J123" s="85">
        <v>2</v>
      </c>
      <c r="K123" s="85">
        <v>2</v>
      </c>
      <c r="L123" s="85">
        <v>2</v>
      </c>
      <c r="M123" s="85">
        <v>2</v>
      </c>
      <c r="N123" s="85">
        <v>2</v>
      </c>
      <c r="O123" s="85">
        <v>3</v>
      </c>
      <c r="P123" s="85">
        <v>3</v>
      </c>
      <c r="Q123" s="85">
        <v>3</v>
      </c>
      <c r="R123" s="85">
        <v>3</v>
      </c>
      <c r="S123" s="85">
        <v>3</v>
      </c>
      <c r="T123" s="85">
        <v>3</v>
      </c>
      <c r="U123" s="85">
        <v>3</v>
      </c>
      <c r="V123" s="85">
        <v>3</v>
      </c>
      <c r="W123" s="85">
        <v>2</v>
      </c>
      <c r="X123" s="85">
        <v>2</v>
      </c>
      <c r="Y123" s="85">
        <v>2</v>
      </c>
      <c r="Z123" s="85">
        <v>2</v>
      </c>
      <c r="AA123" s="85">
        <v>2</v>
      </c>
      <c r="AB123" s="85">
        <v>2</v>
      </c>
      <c r="AC123" s="85">
        <v>2</v>
      </c>
      <c r="AD123" s="85">
        <v>2</v>
      </c>
      <c r="AE123" s="85">
        <v>2</v>
      </c>
      <c r="AF123" s="85">
        <v>2</v>
      </c>
      <c r="AG123" s="85">
        <v>2</v>
      </c>
      <c r="AH123" s="85">
        <v>2</v>
      </c>
      <c r="AP123" s="92">
        <f t="shared" si="27"/>
        <v>10</v>
      </c>
      <c r="AQ123" s="91" t="str">
        <f t="shared" si="28"/>
        <v>2222</v>
      </c>
      <c r="AR123" s="91" t="str">
        <f t="shared" si="29"/>
        <v>2222</v>
      </c>
      <c r="AS123" s="91" t="str">
        <f t="shared" si="30"/>
        <v>2222</v>
      </c>
      <c r="AT123" s="91" t="str">
        <f t="shared" si="31"/>
        <v>3333</v>
      </c>
      <c r="AU123" s="91" t="str">
        <f t="shared" si="23"/>
        <v>3333</v>
      </c>
      <c r="AV123" s="91" t="str">
        <f t="shared" si="24"/>
        <v>2222</v>
      </c>
      <c r="AW123" s="91" t="str">
        <f t="shared" si="25"/>
        <v>2222</v>
      </c>
      <c r="AX123" s="91" t="str">
        <f t="shared" si="26"/>
        <v>2222</v>
      </c>
    </row>
    <row r="124" spans="1:50" s="83" customFormat="1" ht="14.1" customHeight="1">
      <c r="A124" s="82"/>
      <c r="B124" s="84">
        <v>11</v>
      </c>
      <c r="C124" s="85">
        <v>2</v>
      </c>
      <c r="D124" s="85">
        <v>2</v>
      </c>
      <c r="E124" s="85">
        <v>2</v>
      </c>
      <c r="F124" s="85">
        <v>2</v>
      </c>
      <c r="G124" s="85">
        <v>2</v>
      </c>
      <c r="H124" s="85">
        <v>2</v>
      </c>
      <c r="I124" s="85">
        <v>2</v>
      </c>
      <c r="J124" s="85">
        <v>2</v>
      </c>
      <c r="K124" s="85">
        <v>2</v>
      </c>
      <c r="L124" s="85">
        <v>2</v>
      </c>
      <c r="M124" s="85">
        <v>2</v>
      </c>
      <c r="N124" s="85">
        <v>2</v>
      </c>
      <c r="O124" s="85">
        <v>3</v>
      </c>
      <c r="P124" s="85">
        <v>3</v>
      </c>
      <c r="Q124" s="85">
        <v>3</v>
      </c>
      <c r="R124" s="85">
        <v>3</v>
      </c>
      <c r="S124" s="85">
        <v>3</v>
      </c>
      <c r="T124" s="85">
        <v>3</v>
      </c>
      <c r="U124" s="85">
        <v>3</v>
      </c>
      <c r="V124" s="85">
        <v>3</v>
      </c>
      <c r="W124" s="85">
        <v>2</v>
      </c>
      <c r="X124" s="85">
        <v>2</v>
      </c>
      <c r="Y124" s="85">
        <v>2</v>
      </c>
      <c r="Z124" s="85">
        <v>2</v>
      </c>
      <c r="AA124" s="85">
        <v>2</v>
      </c>
      <c r="AB124" s="85">
        <v>2</v>
      </c>
      <c r="AC124" s="85">
        <v>2</v>
      </c>
      <c r="AD124" s="85">
        <v>2</v>
      </c>
      <c r="AE124" s="85">
        <v>2</v>
      </c>
      <c r="AF124" s="85">
        <v>2</v>
      </c>
      <c r="AG124" s="85">
        <v>2</v>
      </c>
      <c r="AH124" s="85">
        <v>2</v>
      </c>
      <c r="AP124" s="92">
        <f t="shared" si="27"/>
        <v>11</v>
      </c>
      <c r="AQ124" s="91" t="str">
        <f t="shared" si="28"/>
        <v>2222</v>
      </c>
      <c r="AR124" s="91" t="str">
        <f t="shared" si="29"/>
        <v>2222</v>
      </c>
      <c r="AS124" s="91" t="str">
        <f t="shared" si="30"/>
        <v>2222</v>
      </c>
      <c r="AT124" s="91" t="str">
        <f t="shared" si="31"/>
        <v>3333</v>
      </c>
      <c r="AU124" s="91" t="str">
        <f t="shared" si="23"/>
        <v>3333</v>
      </c>
      <c r="AV124" s="91" t="str">
        <f t="shared" si="24"/>
        <v>2222</v>
      </c>
      <c r="AW124" s="91" t="str">
        <f t="shared" si="25"/>
        <v>2222</v>
      </c>
      <c r="AX124" s="91" t="str">
        <f t="shared" si="26"/>
        <v>2222</v>
      </c>
    </row>
    <row r="125" spans="1:50" s="83" customFormat="1" ht="14.1" customHeight="1">
      <c r="A125" s="82"/>
      <c r="B125" s="84">
        <v>12</v>
      </c>
      <c r="C125" s="85">
        <v>2</v>
      </c>
      <c r="D125" s="85">
        <v>2</v>
      </c>
      <c r="E125" s="85">
        <v>2</v>
      </c>
      <c r="F125" s="85">
        <v>2</v>
      </c>
      <c r="G125" s="85">
        <v>2</v>
      </c>
      <c r="H125" s="85">
        <v>2</v>
      </c>
      <c r="I125" s="85">
        <v>2</v>
      </c>
      <c r="J125" s="85">
        <v>2</v>
      </c>
      <c r="K125" s="85">
        <v>2</v>
      </c>
      <c r="L125" s="85">
        <v>2</v>
      </c>
      <c r="M125" s="85">
        <v>3</v>
      </c>
      <c r="N125" s="85">
        <v>3</v>
      </c>
      <c r="O125" s="85">
        <v>5</v>
      </c>
      <c r="P125" s="85">
        <v>5</v>
      </c>
      <c r="Q125" s="85">
        <v>5</v>
      </c>
      <c r="R125" s="85">
        <v>5</v>
      </c>
      <c r="S125" s="85">
        <v>5</v>
      </c>
      <c r="T125" s="85">
        <v>5</v>
      </c>
      <c r="U125" s="85">
        <v>5</v>
      </c>
      <c r="V125" s="85">
        <v>5</v>
      </c>
      <c r="W125" s="85">
        <v>3</v>
      </c>
      <c r="X125" s="85">
        <v>3</v>
      </c>
      <c r="Y125" s="85">
        <v>2</v>
      </c>
      <c r="Z125" s="85">
        <v>2</v>
      </c>
      <c r="AA125" s="85">
        <v>2</v>
      </c>
      <c r="AB125" s="85">
        <v>2</v>
      </c>
      <c r="AC125" s="85">
        <v>2</v>
      </c>
      <c r="AD125" s="85">
        <v>2</v>
      </c>
      <c r="AE125" s="85">
        <v>2</v>
      </c>
      <c r="AF125" s="85">
        <v>2</v>
      </c>
      <c r="AG125" s="85">
        <v>2</v>
      </c>
      <c r="AH125" s="85">
        <v>2</v>
      </c>
      <c r="AP125" s="92">
        <f t="shared" si="27"/>
        <v>12</v>
      </c>
      <c r="AQ125" s="91" t="str">
        <f t="shared" si="28"/>
        <v>2222</v>
      </c>
      <c r="AR125" s="91" t="str">
        <f t="shared" si="29"/>
        <v>2222</v>
      </c>
      <c r="AS125" s="91" t="str">
        <f t="shared" si="30"/>
        <v>2233</v>
      </c>
      <c r="AT125" s="91" t="str">
        <f t="shared" si="31"/>
        <v>5555</v>
      </c>
      <c r="AU125" s="91" t="str">
        <f t="shared" si="23"/>
        <v>5555</v>
      </c>
      <c r="AV125" s="91" t="str">
        <f t="shared" si="24"/>
        <v>3322</v>
      </c>
      <c r="AW125" s="91" t="str">
        <f t="shared" si="25"/>
        <v>2222</v>
      </c>
      <c r="AX125" s="91" t="str">
        <f t="shared" si="26"/>
        <v>2222</v>
      </c>
    </row>
    <row r="126" spans="1:50" s="83" customFormat="1" ht="14.1" customHeight="1">
      <c r="A126" s="82"/>
      <c r="B126" s="84">
        <v>13</v>
      </c>
      <c r="C126" s="85">
        <v>2</v>
      </c>
      <c r="D126" s="85">
        <v>2</v>
      </c>
      <c r="E126" s="85">
        <v>2</v>
      </c>
      <c r="F126" s="85">
        <v>2</v>
      </c>
      <c r="G126" s="85">
        <v>2</v>
      </c>
      <c r="H126" s="85">
        <v>2</v>
      </c>
      <c r="I126" s="85">
        <v>2</v>
      </c>
      <c r="J126" s="85">
        <v>2</v>
      </c>
      <c r="K126" s="85">
        <v>2</v>
      </c>
      <c r="L126" s="85">
        <v>2</v>
      </c>
      <c r="M126" s="85">
        <v>3</v>
      </c>
      <c r="N126" s="85">
        <v>3</v>
      </c>
      <c r="O126" s="85">
        <v>5</v>
      </c>
      <c r="P126" s="85">
        <v>5</v>
      </c>
      <c r="Q126" s="85">
        <v>5</v>
      </c>
      <c r="R126" s="85">
        <v>5</v>
      </c>
      <c r="S126" s="85">
        <v>5</v>
      </c>
      <c r="T126" s="85">
        <v>5</v>
      </c>
      <c r="U126" s="85">
        <v>5</v>
      </c>
      <c r="V126" s="85">
        <v>5</v>
      </c>
      <c r="W126" s="85">
        <v>3</v>
      </c>
      <c r="X126" s="85">
        <v>3</v>
      </c>
      <c r="Y126" s="85">
        <v>2</v>
      </c>
      <c r="Z126" s="85">
        <v>2</v>
      </c>
      <c r="AA126" s="85">
        <v>2</v>
      </c>
      <c r="AB126" s="85">
        <v>2</v>
      </c>
      <c r="AC126" s="85">
        <v>2</v>
      </c>
      <c r="AD126" s="85">
        <v>2</v>
      </c>
      <c r="AE126" s="85">
        <v>2</v>
      </c>
      <c r="AF126" s="85">
        <v>2</v>
      </c>
      <c r="AG126" s="85">
        <v>2</v>
      </c>
      <c r="AH126" s="85">
        <v>2</v>
      </c>
      <c r="AP126" s="92">
        <f t="shared" si="27"/>
        <v>13</v>
      </c>
      <c r="AQ126" s="91" t="str">
        <f t="shared" si="28"/>
        <v>2222</v>
      </c>
      <c r="AR126" s="91" t="str">
        <f t="shared" si="29"/>
        <v>2222</v>
      </c>
      <c r="AS126" s="91" t="str">
        <f t="shared" si="30"/>
        <v>2233</v>
      </c>
      <c r="AT126" s="91" t="str">
        <f t="shared" si="31"/>
        <v>5555</v>
      </c>
      <c r="AU126" s="91" t="str">
        <f t="shared" si="23"/>
        <v>5555</v>
      </c>
      <c r="AV126" s="91" t="str">
        <f t="shared" si="24"/>
        <v>3322</v>
      </c>
      <c r="AW126" s="91" t="str">
        <f t="shared" si="25"/>
        <v>2222</v>
      </c>
      <c r="AX126" s="91" t="str">
        <f t="shared" si="26"/>
        <v>2222</v>
      </c>
    </row>
    <row r="127" spans="1:50" s="83" customFormat="1" ht="14.1" customHeight="1">
      <c r="A127" s="82"/>
      <c r="B127" s="84">
        <v>14</v>
      </c>
      <c r="C127" s="85">
        <v>2</v>
      </c>
      <c r="D127" s="85">
        <v>2</v>
      </c>
      <c r="E127" s="85">
        <v>2</v>
      </c>
      <c r="F127" s="85">
        <v>2</v>
      </c>
      <c r="G127" s="85">
        <v>2</v>
      </c>
      <c r="H127" s="85">
        <v>2</v>
      </c>
      <c r="I127" s="85">
        <v>2</v>
      </c>
      <c r="J127" s="85">
        <v>2</v>
      </c>
      <c r="K127" s="85">
        <v>2</v>
      </c>
      <c r="L127" s="85">
        <v>2</v>
      </c>
      <c r="M127" s="85">
        <v>3</v>
      </c>
      <c r="N127" s="85">
        <v>3</v>
      </c>
      <c r="O127" s="85">
        <v>5</v>
      </c>
      <c r="P127" s="85">
        <v>5</v>
      </c>
      <c r="Q127" s="85">
        <v>5</v>
      </c>
      <c r="R127" s="85">
        <v>5</v>
      </c>
      <c r="S127" s="85">
        <v>5</v>
      </c>
      <c r="T127" s="85">
        <v>5</v>
      </c>
      <c r="U127" s="85">
        <v>5</v>
      </c>
      <c r="V127" s="85">
        <v>5</v>
      </c>
      <c r="W127" s="85">
        <v>3</v>
      </c>
      <c r="X127" s="85">
        <v>3</v>
      </c>
      <c r="Y127" s="85">
        <v>2</v>
      </c>
      <c r="Z127" s="85">
        <v>2</v>
      </c>
      <c r="AA127" s="85">
        <v>2</v>
      </c>
      <c r="AB127" s="85">
        <v>2</v>
      </c>
      <c r="AC127" s="85">
        <v>2</v>
      </c>
      <c r="AD127" s="85">
        <v>2</v>
      </c>
      <c r="AE127" s="85">
        <v>2</v>
      </c>
      <c r="AF127" s="85">
        <v>2</v>
      </c>
      <c r="AG127" s="85">
        <v>2</v>
      </c>
      <c r="AH127" s="85">
        <v>2</v>
      </c>
      <c r="AP127" s="92">
        <f t="shared" si="27"/>
        <v>14</v>
      </c>
      <c r="AQ127" s="91" t="str">
        <f t="shared" si="28"/>
        <v>2222</v>
      </c>
      <c r="AR127" s="91" t="str">
        <f t="shared" si="29"/>
        <v>2222</v>
      </c>
      <c r="AS127" s="91" t="str">
        <f t="shared" si="30"/>
        <v>2233</v>
      </c>
      <c r="AT127" s="91" t="str">
        <f t="shared" si="31"/>
        <v>5555</v>
      </c>
      <c r="AU127" s="91" t="str">
        <f t="shared" si="23"/>
        <v>5555</v>
      </c>
      <c r="AV127" s="91" t="str">
        <f t="shared" si="24"/>
        <v>3322</v>
      </c>
      <c r="AW127" s="91" t="str">
        <f t="shared" si="25"/>
        <v>2222</v>
      </c>
      <c r="AX127" s="91" t="str">
        <f t="shared" si="26"/>
        <v>2222</v>
      </c>
    </row>
    <row r="128" spans="1:50" s="83" customFormat="1" ht="14.1" customHeight="1">
      <c r="A128" s="82"/>
      <c r="B128" s="84">
        <v>15</v>
      </c>
      <c r="C128" s="85">
        <v>2</v>
      </c>
      <c r="D128" s="85">
        <v>2</v>
      </c>
      <c r="E128" s="85">
        <v>2</v>
      </c>
      <c r="F128" s="85">
        <v>2</v>
      </c>
      <c r="G128" s="85">
        <v>2</v>
      </c>
      <c r="H128" s="85">
        <v>2</v>
      </c>
      <c r="I128" s="85">
        <v>2</v>
      </c>
      <c r="J128" s="85">
        <v>2</v>
      </c>
      <c r="K128" s="85">
        <v>2</v>
      </c>
      <c r="L128" s="85">
        <v>2</v>
      </c>
      <c r="M128" s="85">
        <v>3</v>
      </c>
      <c r="N128" s="85">
        <v>3</v>
      </c>
      <c r="O128" s="85">
        <v>5</v>
      </c>
      <c r="P128" s="85">
        <v>5</v>
      </c>
      <c r="Q128" s="85">
        <v>5</v>
      </c>
      <c r="R128" s="85">
        <v>5</v>
      </c>
      <c r="S128" s="85">
        <v>5</v>
      </c>
      <c r="T128" s="85">
        <v>5</v>
      </c>
      <c r="U128" s="85">
        <v>5</v>
      </c>
      <c r="V128" s="85">
        <v>5</v>
      </c>
      <c r="W128" s="85">
        <v>3</v>
      </c>
      <c r="X128" s="85">
        <v>3</v>
      </c>
      <c r="Y128" s="85">
        <v>2</v>
      </c>
      <c r="Z128" s="85">
        <v>2</v>
      </c>
      <c r="AA128" s="85">
        <v>2</v>
      </c>
      <c r="AB128" s="85">
        <v>2</v>
      </c>
      <c r="AC128" s="85">
        <v>2</v>
      </c>
      <c r="AD128" s="85">
        <v>2</v>
      </c>
      <c r="AE128" s="85">
        <v>2</v>
      </c>
      <c r="AF128" s="85">
        <v>2</v>
      </c>
      <c r="AG128" s="85">
        <v>2</v>
      </c>
      <c r="AH128" s="85">
        <v>2</v>
      </c>
      <c r="AP128" s="92">
        <f t="shared" si="27"/>
        <v>15</v>
      </c>
      <c r="AQ128" s="91" t="str">
        <f t="shared" si="28"/>
        <v>2222</v>
      </c>
      <c r="AR128" s="91" t="str">
        <f t="shared" si="29"/>
        <v>2222</v>
      </c>
      <c r="AS128" s="91" t="str">
        <f t="shared" si="30"/>
        <v>2233</v>
      </c>
      <c r="AT128" s="91" t="str">
        <f t="shared" si="31"/>
        <v>5555</v>
      </c>
      <c r="AU128" s="91" t="str">
        <f t="shared" si="23"/>
        <v>5555</v>
      </c>
      <c r="AV128" s="91" t="str">
        <f t="shared" si="24"/>
        <v>3322</v>
      </c>
      <c r="AW128" s="91" t="str">
        <f t="shared" si="25"/>
        <v>2222</v>
      </c>
      <c r="AX128" s="91" t="str">
        <f t="shared" si="26"/>
        <v>2222</v>
      </c>
    </row>
    <row r="129" spans="1:50" s="83" customFormat="1" ht="14.1" customHeight="1">
      <c r="A129" s="82"/>
      <c r="B129" s="84">
        <v>16</v>
      </c>
      <c r="C129" s="85">
        <v>2</v>
      </c>
      <c r="D129" s="85">
        <v>2</v>
      </c>
      <c r="E129" s="85">
        <v>2</v>
      </c>
      <c r="F129" s="85">
        <v>2</v>
      </c>
      <c r="G129" s="85">
        <v>2</v>
      </c>
      <c r="H129" s="85">
        <v>2</v>
      </c>
      <c r="I129" s="85">
        <v>2</v>
      </c>
      <c r="J129" s="85">
        <v>2</v>
      </c>
      <c r="K129" s="85">
        <v>2</v>
      </c>
      <c r="L129" s="85">
        <v>2</v>
      </c>
      <c r="M129" s="85">
        <v>3</v>
      </c>
      <c r="N129" s="85">
        <v>3</v>
      </c>
      <c r="O129" s="85">
        <v>5</v>
      </c>
      <c r="P129" s="85">
        <v>5</v>
      </c>
      <c r="Q129" s="85">
        <v>5</v>
      </c>
      <c r="R129" s="85">
        <v>5</v>
      </c>
      <c r="S129" s="85">
        <v>5</v>
      </c>
      <c r="T129" s="85">
        <v>5</v>
      </c>
      <c r="U129" s="85">
        <v>5</v>
      </c>
      <c r="V129" s="85">
        <v>5</v>
      </c>
      <c r="W129" s="85">
        <v>3</v>
      </c>
      <c r="X129" s="85">
        <v>3</v>
      </c>
      <c r="Y129" s="85">
        <v>2</v>
      </c>
      <c r="Z129" s="85">
        <v>2</v>
      </c>
      <c r="AA129" s="85">
        <v>2</v>
      </c>
      <c r="AB129" s="85">
        <v>2</v>
      </c>
      <c r="AC129" s="85">
        <v>2</v>
      </c>
      <c r="AD129" s="85">
        <v>2</v>
      </c>
      <c r="AE129" s="85">
        <v>2</v>
      </c>
      <c r="AF129" s="85">
        <v>2</v>
      </c>
      <c r="AG129" s="85">
        <v>2</v>
      </c>
      <c r="AH129" s="85">
        <v>2</v>
      </c>
      <c r="AP129" s="92">
        <f t="shared" si="27"/>
        <v>16</v>
      </c>
      <c r="AQ129" s="91" t="str">
        <f t="shared" si="28"/>
        <v>2222</v>
      </c>
      <c r="AR129" s="91" t="str">
        <f t="shared" si="29"/>
        <v>2222</v>
      </c>
      <c r="AS129" s="91" t="str">
        <f t="shared" si="30"/>
        <v>2233</v>
      </c>
      <c r="AT129" s="91" t="str">
        <f t="shared" si="31"/>
        <v>5555</v>
      </c>
      <c r="AU129" s="91" t="str">
        <f t="shared" si="23"/>
        <v>5555</v>
      </c>
      <c r="AV129" s="91" t="str">
        <f t="shared" si="24"/>
        <v>3322</v>
      </c>
      <c r="AW129" s="91" t="str">
        <f t="shared" si="25"/>
        <v>2222</v>
      </c>
      <c r="AX129" s="91" t="str">
        <f t="shared" si="26"/>
        <v>2222</v>
      </c>
    </row>
    <row r="130" spans="1:50" s="83" customFormat="1" ht="14.1" customHeight="1">
      <c r="A130" s="82"/>
      <c r="B130" s="84">
        <v>17</v>
      </c>
      <c r="C130" s="85">
        <v>2</v>
      </c>
      <c r="D130" s="85">
        <v>2</v>
      </c>
      <c r="E130" s="85">
        <v>2</v>
      </c>
      <c r="F130" s="85">
        <v>2</v>
      </c>
      <c r="G130" s="85">
        <v>2</v>
      </c>
      <c r="H130" s="85">
        <v>2</v>
      </c>
      <c r="I130" s="85">
        <v>2</v>
      </c>
      <c r="J130" s="85">
        <v>2</v>
      </c>
      <c r="K130" s="85">
        <v>2</v>
      </c>
      <c r="L130" s="85">
        <v>2</v>
      </c>
      <c r="M130" s="85">
        <v>3</v>
      </c>
      <c r="N130" s="85">
        <v>3</v>
      </c>
      <c r="O130" s="85">
        <v>5</v>
      </c>
      <c r="P130" s="85">
        <v>5</v>
      </c>
      <c r="Q130" s="85">
        <v>5</v>
      </c>
      <c r="R130" s="85">
        <v>5</v>
      </c>
      <c r="S130" s="85">
        <v>5</v>
      </c>
      <c r="T130" s="85">
        <v>5</v>
      </c>
      <c r="U130" s="85">
        <v>5</v>
      </c>
      <c r="V130" s="85">
        <v>5</v>
      </c>
      <c r="W130" s="85">
        <v>3</v>
      </c>
      <c r="X130" s="85">
        <v>3</v>
      </c>
      <c r="Y130" s="85">
        <v>2</v>
      </c>
      <c r="Z130" s="85">
        <v>2</v>
      </c>
      <c r="AA130" s="85">
        <v>2</v>
      </c>
      <c r="AB130" s="85">
        <v>2</v>
      </c>
      <c r="AC130" s="85">
        <v>2</v>
      </c>
      <c r="AD130" s="85">
        <v>2</v>
      </c>
      <c r="AE130" s="85">
        <v>2</v>
      </c>
      <c r="AF130" s="85">
        <v>2</v>
      </c>
      <c r="AG130" s="85">
        <v>2</v>
      </c>
      <c r="AH130" s="85">
        <v>2</v>
      </c>
      <c r="AP130" s="92">
        <f t="shared" si="27"/>
        <v>17</v>
      </c>
      <c r="AQ130" s="91" t="str">
        <f t="shared" si="28"/>
        <v>2222</v>
      </c>
      <c r="AR130" s="91" t="str">
        <f t="shared" si="29"/>
        <v>2222</v>
      </c>
      <c r="AS130" s="91" t="str">
        <f t="shared" si="30"/>
        <v>2233</v>
      </c>
      <c r="AT130" s="91" t="str">
        <f t="shared" si="31"/>
        <v>5555</v>
      </c>
      <c r="AU130" s="91" t="str">
        <f t="shared" si="23"/>
        <v>5555</v>
      </c>
      <c r="AV130" s="91" t="str">
        <f t="shared" si="24"/>
        <v>3322</v>
      </c>
      <c r="AW130" s="91" t="str">
        <f t="shared" si="25"/>
        <v>2222</v>
      </c>
      <c r="AX130" s="91" t="str">
        <f t="shared" si="26"/>
        <v>2222</v>
      </c>
    </row>
    <row r="131" spans="1:50" s="83" customFormat="1" ht="14.1" customHeight="1">
      <c r="A131" s="82"/>
      <c r="B131" s="84">
        <v>18</v>
      </c>
      <c r="C131" s="85">
        <v>2</v>
      </c>
      <c r="D131" s="85">
        <v>2</v>
      </c>
      <c r="E131" s="85">
        <v>2</v>
      </c>
      <c r="F131" s="85">
        <v>2</v>
      </c>
      <c r="G131" s="85">
        <v>2</v>
      </c>
      <c r="H131" s="85">
        <v>2</v>
      </c>
      <c r="I131" s="85">
        <v>2</v>
      </c>
      <c r="J131" s="85">
        <v>2</v>
      </c>
      <c r="K131" s="85">
        <v>2</v>
      </c>
      <c r="L131" s="85">
        <v>2</v>
      </c>
      <c r="M131" s="85">
        <v>3</v>
      </c>
      <c r="N131" s="85">
        <v>3</v>
      </c>
      <c r="O131" s="85">
        <v>5</v>
      </c>
      <c r="P131" s="85">
        <v>5</v>
      </c>
      <c r="Q131" s="85">
        <v>5</v>
      </c>
      <c r="R131" s="85">
        <v>5</v>
      </c>
      <c r="S131" s="85">
        <v>5</v>
      </c>
      <c r="T131" s="85">
        <v>5</v>
      </c>
      <c r="U131" s="85">
        <v>5</v>
      </c>
      <c r="V131" s="85">
        <v>5</v>
      </c>
      <c r="W131" s="85">
        <v>3</v>
      </c>
      <c r="X131" s="85">
        <v>3</v>
      </c>
      <c r="Y131" s="85">
        <v>2</v>
      </c>
      <c r="Z131" s="85">
        <v>2</v>
      </c>
      <c r="AA131" s="85">
        <v>2</v>
      </c>
      <c r="AB131" s="85">
        <v>2</v>
      </c>
      <c r="AC131" s="85">
        <v>2</v>
      </c>
      <c r="AD131" s="85">
        <v>2</v>
      </c>
      <c r="AE131" s="85">
        <v>2</v>
      </c>
      <c r="AF131" s="85">
        <v>2</v>
      </c>
      <c r="AG131" s="85">
        <v>2</v>
      </c>
      <c r="AH131" s="85">
        <v>2</v>
      </c>
      <c r="AP131" s="92">
        <f t="shared" si="27"/>
        <v>18</v>
      </c>
      <c r="AQ131" s="91" t="str">
        <f t="shared" si="28"/>
        <v>2222</v>
      </c>
      <c r="AR131" s="91" t="str">
        <f t="shared" si="29"/>
        <v>2222</v>
      </c>
      <c r="AS131" s="91" t="str">
        <f t="shared" si="30"/>
        <v>2233</v>
      </c>
      <c r="AT131" s="91" t="str">
        <f t="shared" si="31"/>
        <v>5555</v>
      </c>
      <c r="AU131" s="91" t="str">
        <f t="shared" si="23"/>
        <v>5555</v>
      </c>
      <c r="AV131" s="91" t="str">
        <f t="shared" si="24"/>
        <v>3322</v>
      </c>
      <c r="AW131" s="91" t="str">
        <f t="shared" si="25"/>
        <v>2222</v>
      </c>
      <c r="AX131" s="91" t="str">
        <f t="shared" si="26"/>
        <v>2222</v>
      </c>
    </row>
    <row r="132" spans="1:50" s="83" customFormat="1" ht="14.1" customHeight="1">
      <c r="A132" s="82"/>
      <c r="B132" s="84">
        <v>19</v>
      </c>
      <c r="C132" s="85">
        <v>2</v>
      </c>
      <c r="D132" s="85">
        <v>2</v>
      </c>
      <c r="E132" s="85">
        <v>2</v>
      </c>
      <c r="F132" s="85">
        <v>2</v>
      </c>
      <c r="G132" s="85">
        <v>2</v>
      </c>
      <c r="H132" s="85">
        <v>2</v>
      </c>
      <c r="I132" s="85">
        <v>2</v>
      </c>
      <c r="J132" s="85">
        <v>2</v>
      </c>
      <c r="K132" s="85">
        <v>2</v>
      </c>
      <c r="L132" s="85">
        <v>2</v>
      </c>
      <c r="M132" s="85">
        <v>3</v>
      </c>
      <c r="N132" s="85">
        <v>3</v>
      </c>
      <c r="O132" s="85">
        <v>5</v>
      </c>
      <c r="P132" s="85">
        <v>5</v>
      </c>
      <c r="Q132" s="85">
        <v>5</v>
      </c>
      <c r="R132" s="85">
        <v>5</v>
      </c>
      <c r="S132" s="85">
        <v>5</v>
      </c>
      <c r="T132" s="85">
        <v>5</v>
      </c>
      <c r="U132" s="85">
        <v>5</v>
      </c>
      <c r="V132" s="85">
        <v>5</v>
      </c>
      <c r="W132" s="85">
        <v>3</v>
      </c>
      <c r="X132" s="85">
        <v>3</v>
      </c>
      <c r="Y132" s="85">
        <v>2</v>
      </c>
      <c r="Z132" s="85">
        <v>2</v>
      </c>
      <c r="AA132" s="85">
        <v>2</v>
      </c>
      <c r="AB132" s="85">
        <v>2</v>
      </c>
      <c r="AC132" s="85">
        <v>2</v>
      </c>
      <c r="AD132" s="85">
        <v>2</v>
      </c>
      <c r="AE132" s="85">
        <v>2</v>
      </c>
      <c r="AF132" s="85">
        <v>2</v>
      </c>
      <c r="AG132" s="85">
        <v>2</v>
      </c>
      <c r="AH132" s="85">
        <v>2</v>
      </c>
      <c r="AP132" s="92">
        <f t="shared" si="27"/>
        <v>19</v>
      </c>
      <c r="AQ132" s="91" t="str">
        <f t="shared" si="28"/>
        <v>2222</v>
      </c>
      <c r="AR132" s="91" t="str">
        <f t="shared" si="29"/>
        <v>2222</v>
      </c>
      <c r="AS132" s="91" t="str">
        <f t="shared" si="30"/>
        <v>2233</v>
      </c>
      <c r="AT132" s="91" t="str">
        <f t="shared" si="31"/>
        <v>5555</v>
      </c>
      <c r="AU132" s="91" t="str">
        <f t="shared" si="23"/>
        <v>5555</v>
      </c>
      <c r="AV132" s="91" t="str">
        <f t="shared" si="24"/>
        <v>3322</v>
      </c>
      <c r="AW132" s="91" t="str">
        <f t="shared" si="25"/>
        <v>2222</v>
      </c>
      <c r="AX132" s="91" t="str">
        <f t="shared" si="26"/>
        <v>2222</v>
      </c>
    </row>
    <row r="133" spans="1:50" s="83" customFormat="1" ht="14.1" customHeight="1">
      <c r="A133" s="82"/>
      <c r="B133" s="84">
        <v>20</v>
      </c>
      <c r="C133" s="85">
        <v>2</v>
      </c>
      <c r="D133" s="85">
        <v>2</v>
      </c>
      <c r="E133" s="85">
        <v>2</v>
      </c>
      <c r="F133" s="85">
        <v>2</v>
      </c>
      <c r="G133" s="85">
        <v>2</v>
      </c>
      <c r="H133" s="85">
        <v>2</v>
      </c>
      <c r="I133" s="85">
        <v>2</v>
      </c>
      <c r="J133" s="85">
        <v>2</v>
      </c>
      <c r="K133" s="85">
        <v>2</v>
      </c>
      <c r="L133" s="85">
        <v>2</v>
      </c>
      <c r="M133" s="85">
        <v>2</v>
      </c>
      <c r="N133" s="85">
        <v>2</v>
      </c>
      <c r="O133" s="85">
        <v>3</v>
      </c>
      <c r="P133" s="85">
        <v>3</v>
      </c>
      <c r="Q133" s="85">
        <v>3</v>
      </c>
      <c r="R133" s="85">
        <v>3</v>
      </c>
      <c r="S133" s="85">
        <v>3</v>
      </c>
      <c r="T133" s="85">
        <v>3</v>
      </c>
      <c r="U133" s="85">
        <v>3</v>
      </c>
      <c r="V133" s="85">
        <v>3</v>
      </c>
      <c r="W133" s="85">
        <v>2</v>
      </c>
      <c r="X133" s="85">
        <v>2</v>
      </c>
      <c r="Y133" s="85">
        <v>2</v>
      </c>
      <c r="Z133" s="85">
        <v>2</v>
      </c>
      <c r="AA133" s="85">
        <v>2</v>
      </c>
      <c r="AB133" s="85">
        <v>2</v>
      </c>
      <c r="AC133" s="85">
        <v>2</v>
      </c>
      <c r="AD133" s="85">
        <v>2</v>
      </c>
      <c r="AE133" s="85">
        <v>2</v>
      </c>
      <c r="AF133" s="85">
        <v>2</v>
      </c>
      <c r="AG133" s="85">
        <v>2</v>
      </c>
      <c r="AH133" s="85">
        <v>2</v>
      </c>
      <c r="AP133" s="92">
        <f t="shared" si="27"/>
        <v>20</v>
      </c>
      <c r="AQ133" s="91" t="str">
        <f t="shared" si="28"/>
        <v>2222</v>
      </c>
      <c r="AR133" s="91" t="str">
        <f t="shared" si="29"/>
        <v>2222</v>
      </c>
      <c r="AS133" s="91" t="str">
        <f t="shared" si="30"/>
        <v>2222</v>
      </c>
      <c r="AT133" s="91" t="str">
        <f t="shared" si="31"/>
        <v>3333</v>
      </c>
      <c r="AU133" s="91" t="str">
        <f t="shared" si="23"/>
        <v>3333</v>
      </c>
      <c r="AV133" s="91" t="str">
        <f t="shared" si="24"/>
        <v>2222</v>
      </c>
      <c r="AW133" s="91" t="str">
        <f t="shared" si="25"/>
        <v>2222</v>
      </c>
      <c r="AX133" s="91" t="str">
        <f t="shared" si="26"/>
        <v>2222</v>
      </c>
    </row>
    <row r="134" spans="1:50" s="83" customFormat="1" ht="14.1" customHeight="1">
      <c r="A134" s="82"/>
      <c r="B134" s="84">
        <v>21</v>
      </c>
      <c r="C134" s="85">
        <v>2</v>
      </c>
      <c r="D134" s="85">
        <v>2</v>
      </c>
      <c r="E134" s="85">
        <v>2</v>
      </c>
      <c r="F134" s="85">
        <v>2</v>
      </c>
      <c r="G134" s="85">
        <v>2</v>
      </c>
      <c r="H134" s="85">
        <v>2</v>
      </c>
      <c r="I134" s="85">
        <v>2</v>
      </c>
      <c r="J134" s="85">
        <v>2</v>
      </c>
      <c r="K134" s="85">
        <v>2</v>
      </c>
      <c r="L134" s="85">
        <v>2</v>
      </c>
      <c r="M134" s="85">
        <v>2</v>
      </c>
      <c r="N134" s="85">
        <v>2</v>
      </c>
      <c r="O134" s="85">
        <v>3</v>
      </c>
      <c r="P134" s="85">
        <v>3</v>
      </c>
      <c r="Q134" s="85">
        <v>3</v>
      </c>
      <c r="R134" s="85">
        <v>3</v>
      </c>
      <c r="S134" s="85">
        <v>3</v>
      </c>
      <c r="T134" s="85">
        <v>3</v>
      </c>
      <c r="U134" s="85">
        <v>3</v>
      </c>
      <c r="V134" s="85">
        <v>3</v>
      </c>
      <c r="W134" s="85">
        <v>2</v>
      </c>
      <c r="X134" s="85">
        <v>2</v>
      </c>
      <c r="Y134" s="85">
        <v>2</v>
      </c>
      <c r="Z134" s="85">
        <v>2</v>
      </c>
      <c r="AA134" s="85">
        <v>2</v>
      </c>
      <c r="AB134" s="85">
        <v>2</v>
      </c>
      <c r="AC134" s="85">
        <v>2</v>
      </c>
      <c r="AD134" s="85">
        <v>2</v>
      </c>
      <c r="AE134" s="85">
        <v>2</v>
      </c>
      <c r="AF134" s="85">
        <v>2</v>
      </c>
      <c r="AG134" s="85">
        <v>2</v>
      </c>
      <c r="AH134" s="85">
        <v>2</v>
      </c>
      <c r="AP134" s="92">
        <f t="shared" si="27"/>
        <v>21</v>
      </c>
      <c r="AQ134" s="91" t="str">
        <f t="shared" si="28"/>
        <v>2222</v>
      </c>
      <c r="AR134" s="91" t="str">
        <f t="shared" si="29"/>
        <v>2222</v>
      </c>
      <c r="AS134" s="91" t="str">
        <f t="shared" si="30"/>
        <v>2222</v>
      </c>
      <c r="AT134" s="91" t="str">
        <f t="shared" si="31"/>
        <v>3333</v>
      </c>
      <c r="AU134" s="91" t="str">
        <f t="shared" si="23"/>
        <v>3333</v>
      </c>
      <c r="AV134" s="91" t="str">
        <f t="shared" si="24"/>
        <v>2222</v>
      </c>
      <c r="AW134" s="91" t="str">
        <f t="shared" si="25"/>
        <v>2222</v>
      </c>
      <c r="AX134" s="91" t="str">
        <f t="shared" si="26"/>
        <v>2222</v>
      </c>
    </row>
    <row r="135" spans="1:50" s="83" customFormat="1" ht="14.1" customHeight="1">
      <c r="A135" s="82"/>
      <c r="B135" s="84">
        <v>22</v>
      </c>
      <c r="C135" s="85">
        <v>2</v>
      </c>
      <c r="D135" s="85">
        <v>2</v>
      </c>
      <c r="E135" s="85">
        <v>2</v>
      </c>
      <c r="F135" s="85">
        <v>2</v>
      </c>
      <c r="G135" s="85">
        <v>2</v>
      </c>
      <c r="H135" s="85">
        <v>2</v>
      </c>
      <c r="I135" s="85">
        <v>2</v>
      </c>
      <c r="J135" s="85">
        <v>2</v>
      </c>
      <c r="K135" s="85">
        <v>2</v>
      </c>
      <c r="L135" s="85">
        <v>2</v>
      </c>
      <c r="M135" s="85">
        <v>2</v>
      </c>
      <c r="N135" s="85">
        <v>2</v>
      </c>
      <c r="O135" s="85">
        <v>2</v>
      </c>
      <c r="P135" s="85">
        <v>2</v>
      </c>
      <c r="Q135" s="85">
        <v>2</v>
      </c>
      <c r="R135" s="85">
        <v>2</v>
      </c>
      <c r="S135" s="85">
        <v>2</v>
      </c>
      <c r="T135" s="85">
        <v>2</v>
      </c>
      <c r="U135" s="85">
        <v>2</v>
      </c>
      <c r="V135" s="85">
        <v>2</v>
      </c>
      <c r="W135" s="85">
        <v>2</v>
      </c>
      <c r="X135" s="85">
        <v>2</v>
      </c>
      <c r="Y135" s="85">
        <v>2</v>
      </c>
      <c r="Z135" s="85">
        <v>2</v>
      </c>
      <c r="AA135" s="85">
        <v>2</v>
      </c>
      <c r="AB135" s="85">
        <v>2</v>
      </c>
      <c r="AC135" s="85">
        <v>2</v>
      </c>
      <c r="AD135" s="85">
        <v>2</v>
      </c>
      <c r="AE135" s="85">
        <v>2</v>
      </c>
      <c r="AF135" s="85">
        <v>2</v>
      </c>
      <c r="AG135" s="85">
        <v>2</v>
      </c>
      <c r="AH135" s="85">
        <v>2</v>
      </c>
      <c r="AP135" s="92">
        <f t="shared" si="27"/>
        <v>22</v>
      </c>
      <c r="AQ135" s="91" t="str">
        <f t="shared" si="28"/>
        <v>2222</v>
      </c>
      <c r="AR135" s="91" t="str">
        <f t="shared" si="29"/>
        <v>2222</v>
      </c>
      <c r="AS135" s="91" t="str">
        <f t="shared" si="30"/>
        <v>2222</v>
      </c>
      <c r="AT135" s="91" t="str">
        <f t="shared" si="31"/>
        <v>2222</v>
      </c>
      <c r="AU135" s="91" t="str">
        <f t="shared" si="23"/>
        <v>2222</v>
      </c>
      <c r="AV135" s="91" t="str">
        <f t="shared" si="24"/>
        <v>2222</v>
      </c>
      <c r="AW135" s="91" t="str">
        <f t="shared" si="25"/>
        <v>2222</v>
      </c>
      <c r="AX135" s="91" t="str">
        <f t="shared" si="26"/>
        <v>2222</v>
      </c>
    </row>
    <row r="136" spans="1:50" s="83" customFormat="1" ht="14.1" customHeight="1">
      <c r="A136" s="82"/>
      <c r="B136" s="84">
        <v>23</v>
      </c>
      <c r="C136" s="85">
        <v>2</v>
      </c>
      <c r="D136" s="85">
        <v>2</v>
      </c>
      <c r="E136" s="85">
        <v>2</v>
      </c>
      <c r="F136" s="85">
        <v>2</v>
      </c>
      <c r="G136" s="85">
        <v>2</v>
      </c>
      <c r="H136" s="85">
        <v>2</v>
      </c>
      <c r="I136" s="85">
        <v>2</v>
      </c>
      <c r="J136" s="85">
        <v>2</v>
      </c>
      <c r="K136" s="85">
        <v>2</v>
      </c>
      <c r="L136" s="85">
        <v>2</v>
      </c>
      <c r="M136" s="85">
        <v>2</v>
      </c>
      <c r="N136" s="85">
        <v>2</v>
      </c>
      <c r="O136" s="85">
        <v>2</v>
      </c>
      <c r="P136" s="85">
        <v>2</v>
      </c>
      <c r="Q136" s="85">
        <v>2</v>
      </c>
      <c r="R136" s="85">
        <v>2</v>
      </c>
      <c r="S136" s="85">
        <v>2</v>
      </c>
      <c r="T136" s="85">
        <v>2</v>
      </c>
      <c r="U136" s="85">
        <v>2</v>
      </c>
      <c r="V136" s="85">
        <v>2</v>
      </c>
      <c r="W136" s="85">
        <v>2</v>
      </c>
      <c r="X136" s="85">
        <v>2</v>
      </c>
      <c r="Y136" s="85">
        <v>2</v>
      </c>
      <c r="Z136" s="85">
        <v>2</v>
      </c>
      <c r="AA136" s="85">
        <v>2</v>
      </c>
      <c r="AB136" s="85">
        <v>2</v>
      </c>
      <c r="AC136" s="85">
        <v>2</v>
      </c>
      <c r="AD136" s="85">
        <v>2</v>
      </c>
      <c r="AE136" s="85">
        <v>2</v>
      </c>
      <c r="AF136" s="85">
        <v>2</v>
      </c>
      <c r="AG136" s="85">
        <v>2</v>
      </c>
      <c r="AH136" s="85">
        <v>2</v>
      </c>
      <c r="AP136" s="92">
        <f t="shared" si="27"/>
        <v>23</v>
      </c>
      <c r="AQ136" s="91" t="str">
        <f t="shared" si="28"/>
        <v>2222</v>
      </c>
      <c r="AR136" s="91" t="str">
        <f t="shared" si="29"/>
        <v>2222</v>
      </c>
      <c r="AS136" s="91" t="str">
        <f t="shared" si="30"/>
        <v>2222</v>
      </c>
      <c r="AT136" s="91" t="str">
        <f t="shared" si="31"/>
        <v>2222</v>
      </c>
      <c r="AU136" s="91" t="str">
        <f t="shared" si="23"/>
        <v>2222</v>
      </c>
      <c r="AV136" s="91" t="str">
        <f t="shared" si="24"/>
        <v>2222</v>
      </c>
      <c r="AW136" s="91" t="str">
        <f t="shared" si="25"/>
        <v>2222</v>
      </c>
      <c r="AX136" s="91" t="str">
        <f t="shared" si="26"/>
        <v>2222</v>
      </c>
    </row>
    <row r="137" spans="1:50" s="83" customFormat="1" ht="14.1" customHeight="1">
      <c r="A137" s="82"/>
      <c r="B137" s="84">
        <v>24</v>
      </c>
      <c r="C137" s="85">
        <v>2</v>
      </c>
      <c r="D137" s="85">
        <v>2</v>
      </c>
      <c r="E137" s="85">
        <v>2</v>
      </c>
      <c r="F137" s="85">
        <v>2</v>
      </c>
      <c r="G137" s="85">
        <v>2</v>
      </c>
      <c r="H137" s="85">
        <v>2</v>
      </c>
      <c r="I137" s="85">
        <v>2</v>
      </c>
      <c r="J137" s="85">
        <v>2</v>
      </c>
      <c r="K137" s="85">
        <v>2</v>
      </c>
      <c r="L137" s="85">
        <v>2</v>
      </c>
      <c r="M137" s="85">
        <v>2</v>
      </c>
      <c r="N137" s="85">
        <v>2</v>
      </c>
      <c r="O137" s="85">
        <v>2</v>
      </c>
      <c r="P137" s="85">
        <v>2</v>
      </c>
      <c r="Q137" s="85">
        <v>2</v>
      </c>
      <c r="R137" s="85">
        <v>2</v>
      </c>
      <c r="S137" s="85">
        <v>2</v>
      </c>
      <c r="T137" s="85">
        <v>2</v>
      </c>
      <c r="U137" s="85">
        <v>2</v>
      </c>
      <c r="V137" s="85">
        <v>2</v>
      </c>
      <c r="W137" s="85">
        <v>2</v>
      </c>
      <c r="X137" s="85">
        <v>2</v>
      </c>
      <c r="Y137" s="85">
        <v>2</v>
      </c>
      <c r="Z137" s="85">
        <v>2</v>
      </c>
      <c r="AA137" s="85">
        <v>2</v>
      </c>
      <c r="AB137" s="85">
        <v>2</v>
      </c>
      <c r="AC137" s="85">
        <v>2</v>
      </c>
      <c r="AD137" s="85">
        <v>2</v>
      </c>
      <c r="AE137" s="85">
        <v>2</v>
      </c>
      <c r="AF137" s="85">
        <v>2</v>
      </c>
      <c r="AG137" s="85">
        <v>2</v>
      </c>
      <c r="AH137" s="85">
        <v>2</v>
      </c>
      <c r="AP137" s="92">
        <f t="shared" si="27"/>
        <v>24</v>
      </c>
      <c r="AQ137" s="91" t="str">
        <f t="shared" si="28"/>
        <v>2222</v>
      </c>
      <c r="AR137" s="91" t="str">
        <f t="shared" si="29"/>
        <v>2222</v>
      </c>
      <c r="AS137" s="91" t="str">
        <f t="shared" si="30"/>
        <v>2222</v>
      </c>
      <c r="AT137" s="91" t="str">
        <f t="shared" si="31"/>
        <v>2222</v>
      </c>
      <c r="AU137" s="91" t="str">
        <f t="shared" ref="AU137:AU200" si="32">DEC2HEX(S137)&amp;DEC2HEX(T137)&amp;DEC2HEX(U137)&amp;DEC2HEX(V137)</f>
        <v>2222</v>
      </c>
      <c r="AV137" s="91" t="str">
        <f t="shared" ref="AV137:AV200" si="33">DEC2HEX(W137)&amp;DEC2HEX(X137)&amp;DEC2HEX(Y137)&amp;DEC2HEX(Z137)</f>
        <v>2222</v>
      </c>
      <c r="AW137" s="91" t="str">
        <f t="shared" ref="AW137:AW200" si="34">DEC2HEX(AA137)&amp;DEC2HEX(AB137)&amp;DEC2HEX(AC137)&amp;DEC2HEX(AD137)</f>
        <v>2222</v>
      </c>
      <c r="AX137" s="91" t="str">
        <f t="shared" ref="AX137:AX200" si="35">DEC2HEX(AE137)&amp;DEC2HEX(AF137)&amp;DEC2HEX(AG137)&amp;DEC2HEX(AH137)</f>
        <v>2222</v>
      </c>
    </row>
    <row r="138" spans="1:50" s="83" customFormat="1" ht="14.1" customHeight="1">
      <c r="A138" s="82"/>
      <c r="B138" s="84">
        <v>25</v>
      </c>
      <c r="C138" s="85">
        <v>2</v>
      </c>
      <c r="D138" s="85">
        <v>2</v>
      </c>
      <c r="E138" s="85">
        <v>2</v>
      </c>
      <c r="F138" s="85">
        <v>2</v>
      </c>
      <c r="G138" s="85">
        <v>2</v>
      </c>
      <c r="H138" s="85">
        <v>2</v>
      </c>
      <c r="I138" s="85">
        <v>2</v>
      </c>
      <c r="J138" s="85">
        <v>2</v>
      </c>
      <c r="K138" s="85">
        <v>2</v>
      </c>
      <c r="L138" s="85">
        <v>2</v>
      </c>
      <c r="M138" s="85">
        <v>2</v>
      </c>
      <c r="N138" s="85">
        <v>2</v>
      </c>
      <c r="O138" s="85">
        <v>2</v>
      </c>
      <c r="P138" s="85">
        <v>2</v>
      </c>
      <c r="Q138" s="85">
        <v>2</v>
      </c>
      <c r="R138" s="85">
        <v>2</v>
      </c>
      <c r="S138" s="85">
        <v>2</v>
      </c>
      <c r="T138" s="85">
        <v>2</v>
      </c>
      <c r="U138" s="85">
        <v>2</v>
      </c>
      <c r="V138" s="85">
        <v>2</v>
      </c>
      <c r="W138" s="85">
        <v>2</v>
      </c>
      <c r="X138" s="85">
        <v>2</v>
      </c>
      <c r="Y138" s="85">
        <v>2</v>
      </c>
      <c r="Z138" s="85">
        <v>2</v>
      </c>
      <c r="AA138" s="85">
        <v>2</v>
      </c>
      <c r="AB138" s="85">
        <v>2</v>
      </c>
      <c r="AC138" s="85">
        <v>2</v>
      </c>
      <c r="AD138" s="85">
        <v>2</v>
      </c>
      <c r="AE138" s="85">
        <v>2</v>
      </c>
      <c r="AF138" s="85">
        <v>2</v>
      </c>
      <c r="AG138" s="85">
        <v>2</v>
      </c>
      <c r="AH138" s="85">
        <v>2</v>
      </c>
      <c r="AP138" s="92">
        <f t="shared" si="27"/>
        <v>25</v>
      </c>
      <c r="AQ138" s="91" t="str">
        <f t="shared" si="28"/>
        <v>2222</v>
      </c>
      <c r="AR138" s="91" t="str">
        <f t="shared" si="29"/>
        <v>2222</v>
      </c>
      <c r="AS138" s="91" t="str">
        <f t="shared" si="30"/>
        <v>2222</v>
      </c>
      <c r="AT138" s="91" t="str">
        <f t="shared" si="31"/>
        <v>2222</v>
      </c>
      <c r="AU138" s="91" t="str">
        <f t="shared" si="32"/>
        <v>2222</v>
      </c>
      <c r="AV138" s="91" t="str">
        <f t="shared" si="33"/>
        <v>2222</v>
      </c>
      <c r="AW138" s="91" t="str">
        <f t="shared" si="34"/>
        <v>2222</v>
      </c>
      <c r="AX138" s="91" t="str">
        <f t="shared" si="35"/>
        <v>2222</v>
      </c>
    </row>
    <row r="139" spans="1:50" s="83" customFormat="1" ht="14.1" customHeight="1">
      <c r="A139" s="82"/>
      <c r="B139" s="84">
        <v>26</v>
      </c>
      <c r="C139" s="85">
        <v>2</v>
      </c>
      <c r="D139" s="85">
        <v>2</v>
      </c>
      <c r="E139" s="85">
        <v>2</v>
      </c>
      <c r="F139" s="85">
        <v>2</v>
      </c>
      <c r="G139" s="85">
        <v>2</v>
      </c>
      <c r="H139" s="85">
        <v>2</v>
      </c>
      <c r="I139" s="85">
        <v>2</v>
      </c>
      <c r="J139" s="85">
        <v>2</v>
      </c>
      <c r="K139" s="85">
        <v>2</v>
      </c>
      <c r="L139" s="85">
        <v>2</v>
      </c>
      <c r="M139" s="85">
        <v>2</v>
      </c>
      <c r="N139" s="85">
        <v>2</v>
      </c>
      <c r="O139" s="85">
        <v>2</v>
      </c>
      <c r="P139" s="85">
        <v>2</v>
      </c>
      <c r="Q139" s="85">
        <v>2</v>
      </c>
      <c r="R139" s="85">
        <v>2</v>
      </c>
      <c r="S139" s="85">
        <v>2</v>
      </c>
      <c r="T139" s="85">
        <v>2</v>
      </c>
      <c r="U139" s="85">
        <v>2</v>
      </c>
      <c r="V139" s="85">
        <v>2</v>
      </c>
      <c r="W139" s="85">
        <v>2</v>
      </c>
      <c r="X139" s="85">
        <v>2</v>
      </c>
      <c r="Y139" s="85">
        <v>2</v>
      </c>
      <c r="Z139" s="85">
        <v>2</v>
      </c>
      <c r="AA139" s="85">
        <v>2</v>
      </c>
      <c r="AB139" s="85">
        <v>2</v>
      </c>
      <c r="AC139" s="85">
        <v>2</v>
      </c>
      <c r="AD139" s="85">
        <v>2</v>
      </c>
      <c r="AE139" s="85">
        <v>2</v>
      </c>
      <c r="AF139" s="85">
        <v>2</v>
      </c>
      <c r="AG139" s="85">
        <v>2</v>
      </c>
      <c r="AH139" s="85">
        <v>2</v>
      </c>
      <c r="AP139" s="92">
        <f t="shared" si="27"/>
        <v>26</v>
      </c>
      <c r="AQ139" s="91" t="str">
        <f t="shared" si="28"/>
        <v>2222</v>
      </c>
      <c r="AR139" s="91" t="str">
        <f t="shared" si="29"/>
        <v>2222</v>
      </c>
      <c r="AS139" s="91" t="str">
        <f t="shared" si="30"/>
        <v>2222</v>
      </c>
      <c r="AT139" s="91" t="str">
        <f t="shared" si="31"/>
        <v>2222</v>
      </c>
      <c r="AU139" s="91" t="str">
        <f t="shared" si="32"/>
        <v>2222</v>
      </c>
      <c r="AV139" s="91" t="str">
        <f t="shared" si="33"/>
        <v>2222</v>
      </c>
      <c r="AW139" s="91" t="str">
        <f t="shared" si="34"/>
        <v>2222</v>
      </c>
      <c r="AX139" s="91" t="str">
        <f t="shared" si="35"/>
        <v>2222</v>
      </c>
    </row>
    <row r="140" spans="1:50" s="83" customFormat="1" ht="14.1" customHeight="1">
      <c r="A140" s="82"/>
      <c r="B140" s="84">
        <v>27</v>
      </c>
      <c r="C140" s="85">
        <v>2</v>
      </c>
      <c r="D140" s="85">
        <v>2</v>
      </c>
      <c r="E140" s="85">
        <v>2</v>
      </c>
      <c r="F140" s="85">
        <v>2</v>
      </c>
      <c r="G140" s="85">
        <v>2</v>
      </c>
      <c r="H140" s="85">
        <v>2</v>
      </c>
      <c r="I140" s="85">
        <v>2</v>
      </c>
      <c r="J140" s="85">
        <v>2</v>
      </c>
      <c r="K140" s="85">
        <v>2</v>
      </c>
      <c r="L140" s="85">
        <v>2</v>
      </c>
      <c r="M140" s="85">
        <v>2</v>
      </c>
      <c r="N140" s="85">
        <v>2</v>
      </c>
      <c r="O140" s="85">
        <v>2</v>
      </c>
      <c r="P140" s="85">
        <v>2</v>
      </c>
      <c r="Q140" s="85">
        <v>2</v>
      </c>
      <c r="R140" s="85">
        <v>2</v>
      </c>
      <c r="S140" s="85">
        <v>2</v>
      </c>
      <c r="T140" s="85">
        <v>2</v>
      </c>
      <c r="U140" s="85">
        <v>2</v>
      </c>
      <c r="V140" s="85">
        <v>2</v>
      </c>
      <c r="W140" s="85">
        <v>2</v>
      </c>
      <c r="X140" s="85">
        <v>2</v>
      </c>
      <c r="Y140" s="85">
        <v>2</v>
      </c>
      <c r="Z140" s="85">
        <v>2</v>
      </c>
      <c r="AA140" s="85">
        <v>2</v>
      </c>
      <c r="AB140" s="85">
        <v>2</v>
      </c>
      <c r="AC140" s="85">
        <v>2</v>
      </c>
      <c r="AD140" s="85">
        <v>2</v>
      </c>
      <c r="AE140" s="85">
        <v>2</v>
      </c>
      <c r="AF140" s="85">
        <v>2</v>
      </c>
      <c r="AG140" s="85">
        <v>2</v>
      </c>
      <c r="AH140" s="85">
        <v>2</v>
      </c>
      <c r="AP140" s="92">
        <f t="shared" si="27"/>
        <v>27</v>
      </c>
      <c r="AQ140" s="91" t="str">
        <f t="shared" si="28"/>
        <v>2222</v>
      </c>
      <c r="AR140" s="91" t="str">
        <f t="shared" si="29"/>
        <v>2222</v>
      </c>
      <c r="AS140" s="91" t="str">
        <f t="shared" si="30"/>
        <v>2222</v>
      </c>
      <c r="AT140" s="91" t="str">
        <f t="shared" si="31"/>
        <v>2222</v>
      </c>
      <c r="AU140" s="91" t="str">
        <f t="shared" si="32"/>
        <v>2222</v>
      </c>
      <c r="AV140" s="91" t="str">
        <f t="shared" si="33"/>
        <v>2222</v>
      </c>
      <c r="AW140" s="91" t="str">
        <f t="shared" si="34"/>
        <v>2222</v>
      </c>
      <c r="AX140" s="91" t="str">
        <f t="shared" si="35"/>
        <v>2222</v>
      </c>
    </row>
    <row r="141" spans="1:50" s="83" customFormat="1" ht="14.1" customHeight="1">
      <c r="A141" s="82"/>
      <c r="B141" s="84">
        <v>28</v>
      </c>
      <c r="C141" s="85">
        <v>2</v>
      </c>
      <c r="D141" s="85">
        <v>2</v>
      </c>
      <c r="E141" s="85">
        <v>2</v>
      </c>
      <c r="F141" s="85">
        <v>2</v>
      </c>
      <c r="G141" s="85">
        <v>2</v>
      </c>
      <c r="H141" s="85">
        <v>2</v>
      </c>
      <c r="I141" s="85">
        <v>2</v>
      </c>
      <c r="J141" s="85">
        <v>2</v>
      </c>
      <c r="K141" s="85">
        <v>2</v>
      </c>
      <c r="L141" s="85">
        <v>2</v>
      </c>
      <c r="M141" s="85">
        <v>2</v>
      </c>
      <c r="N141" s="85">
        <v>2</v>
      </c>
      <c r="O141" s="85">
        <v>2</v>
      </c>
      <c r="P141" s="85">
        <v>2</v>
      </c>
      <c r="Q141" s="85">
        <v>2</v>
      </c>
      <c r="R141" s="85">
        <v>2</v>
      </c>
      <c r="S141" s="85">
        <v>2</v>
      </c>
      <c r="T141" s="85">
        <v>2</v>
      </c>
      <c r="U141" s="85">
        <v>2</v>
      </c>
      <c r="V141" s="85">
        <v>2</v>
      </c>
      <c r="W141" s="85">
        <v>2</v>
      </c>
      <c r="X141" s="85">
        <v>2</v>
      </c>
      <c r="Y141" s="85">
        <v>2</v>
      </c>
      <c r="Z141" s="85">
        <v>2</v>
      </c>
      <c r="AA141" s="85">
        <v>2</v>
      </c>
      <c r="AB141" s="85">
        <v>2</v>
      </c>
      <c r="AC141" s="85">
        <v>2</v>
      </c>
      <c r="AD141" s="85">
        <v>2</v>
      </c>
      <c r="AE141" s="85">
        <v>2</v>
      </c>
      <c r="AF141" s="85">
        <v>2</v>
      </c>
      <c r="AG141" s="85">
        <v>2</v>
      </c>
      <c r="AH141" s="85">
        <v>2</v>
      </c>
      <c r="AP141" s="92">
        <f t="shared" si="27"/>
        <v>28</v>
      </c>
      <c r="AQ141" s="91" t="str">
        <f t="shared" si="28"/>
        <v>2222</v>
      </c>
      <c r="AR141" s="91" t="str">
        <f t="shared" si="29"/>
        <v>2222</v>
      </c>
      <c r="AS141" s="91" t="str">
        <f t="shared" si="30"/>
        <v>2222</v>
      </c>
      <c r="AT141" s="91" t="str">
        <f t="shared" si="31"/>
        <v>2222</v>
      </c>
      <c r="AU141" s="91" t="str">
        <f t="shared" si="32"/>
        <v>2222</v>
      </c>
      <c r="AV141" s="91" t="str">
        <f t="shared" si="33"/>
        <v>2222</v>
      </c>
      <c r="AW141" s="91" t="str">
        <f t="shared" si="34"/>
        <v>2222</v>
      </c>
      <c r="AX141" s="91" t="str">
        <f t="shared" si="35"/>
        <v>2222</v>
      </c>
    </row>
    <row r="142" spans="1:50" s="83" customFormat="1" ht="14.1" customHeight="1">
      <c r="A142" s="82"/>
      <c r="B142" s="84">
        <v>29</v>
      </c>
      <c r="C142" s="85">
        <v>2</v>
      </c>
      <c r="D142" s="85">
        <v>2</v>
      </c>
      <c r="E142" s="85">
        <v>2</v>
      </c>
      <c r="F142" s="85">
        <v>2</v>
      </c>
      <c r="G142" s="85">
        <v>2</v>
      </c>
      <c r="H142" s="85">
        <v>2</v>
      </c>
      <c r="I142" s="85">
        <v>2</v>
      </c>
      <c r="J142" s="85">
        <v>2</v>
      </c>
      <c r="K142" s="85">
        <v>2</v>
      </c>
      <c r="L142" s="85">
        <v>2</v>
      </c>
      <c r="M142" s="85">
        <v>2</v>
      </c>
      <c r="N142" s="85">
        <v>2</v>
      </c>
      <c r="O142" s="85">
        <v>2</v>
      </c>
      <c r="P142" s="85">
        <v>2</v>
      </c>
      <c r="Q142" s="85">
        <v>2</v>
      </c>
      <c r="R142" s="85">
        <v>2</v>
      </c>
      <c r="S142" s="85">
        <v>2</v>
      </c>
      <c r="T142" s="85">
        <v>2</v>
      </c>
      <c r="U142" s="85">
        <v>2</v>
      </c>
      <c r="V142" s="85">
        <v>2</v>
      </c>
      <c r="W142" s="85">
        <v>2</v>
      </c>
      <c r="X142" s="85">
        <v>2</v>
      </c>
      <c r="Y142" s="85">
        <v>2</v>
      </c>
      <c r="Z142" s="85">
        <v>2</v>
      </c>
      <c r="AA142" s="85">
        <v>2</v>
      </c>
      <c r="AB142" s="85">
        <v>2</v>
      </c>
      <c r="AC142" s="85">
        <v>2</v>
      </c>
      <c r="AD142" s="85">
        <v>2</v>
      </c>
      <c r="AE142" s="85">
        <v>2</v>
      </c>
      <c r="AF142" s="85">
        <v>2</v>
      </c>
      <c r="AG142" s="85">
        <v>2</v>
      </c>
      <c r="AH142" s="85">
        <v>2</v>
      </c>
      <c r="AP142" s="92">
        <f t="shared" si="27"/>
        <v>29</v>
      </c>
      <c r="AQ142" s="91" t="str">
        <f t="shared" si="28"/>
        <v>2222</v>
      </c>
      <c r="AR142" s="91" t="str">
        <f t="shared" si="29"/>
        <v>2222</v>
      </c>
      <c r="AS142" s="91" t="str">
        <f t="shared" si="30"/>
        <v>2222</v>
      </c>
      <c r="AT142" s="91" t="str">
        <f t="shared" si="31"/>
        <v>2222</v>
      </c>
      <c r="AU142" s="91" t="str">
        <f t="shared" si="32"/>
        <v>2222</v>
      </c>
      <c r="AV142" s="91" t="str">
        <f t="shared" si="33"/>
        <v>2222</v>
      </c>
      <c r="AW142" s="91" t="str">
        <f t="shared" si="34"/>
        <v>2222</v>
      </c>
      <c r="AX142" s="91" t="str">
        <f t="shared" si="35"/>
        <v>2222</v>
      </c>
    </row>
    <row r="143" spans="1:50" s="83" customFormat="1" ht="14.1" customHeight="1">
      <c r="A143" s="82"/>
      <c r="B143" s="84">
        <v>30</v>
      </c>
      <c r="C143" s="85">
        <v>2</v>
      </c>
      <c r="D143" s="85">
        <v>2</v>
      </c>
      <c r="E143" s="85">
        <v>2</v>
      </c>
      <c r="F143" s="85">
        <v>2</v>
      </c>
      <c r="G143" s="85">
        <v>2</v>
      </c>
      <c r="H143" s="85">
        <v>2</v>
      </c>
      <c r="I143" s="85">
        <v>2</v>
      </c>
      <c r="J143" s="85">
        <v>2</v>
      </c>
      <c r="K143" s="85">
        <v>2</v>
      </c>
      <c r="L143" s="85">
        <v>2</v>
      </c>
      <c r="M143" s="85">
        <v>2</v>
      </c>
      <c r="N143" s="85">
        <v>2</v>
      </c>
      <c r="O143" s="85">
        <v>2</v>
      </c>
      <c r="P143" s="85">
        <v>2</v>
      </c>
      <c r="Q143" s="85">
        <v>2</v>
      </c>
      <c r="R143" s="85">
        <v>2</v>
      </c>
      <c r="S143" s="85">
        <v>2</v>
      </c>
      <c r="T143" s="85">
        <v>2</v>
      </c>
      <c r="U143" s="85">
        <v>2</v>
      </c>
      <c r="V143" s="85">
        <v>2</v>
      </c>
      <c r="W143" s="85">
        <v>2</v>
      </c>
      <c r="X143" s="85">
        <v>2</v>
      </c>
      <c r="Y143" s="85">
        <v>2</v>
      </c>
      <c r="Z143" s="85">
        <v>2</v>
      </c>
      <c r="AA143" s="85">
        <v>2</v>
      </c>
      <c r="AB143" s="85">
        <v>2</v>
      </c>
      <c r="AC143" s="85">
        <v>2</v>
      </c>
      <c r="AD143" s="85">
        <v>2</v>
      </c>
      <c r="AE143" s="85">
        <v>2</v>
      </c>
      <c r="AF143" s="85">
        <v>2</v>
      </c>
      <c r="AG143" s="85">
        <v>2</v>
      </c>
      <c r="AH143" s="85">
        <v>2</v>
      </c>
      <c r="AP143" s="92">
        <f t="shared" si="27"/>
        <v>30</v>
      </c>
      <c r="AQ143" s="91" t="str">
        <f t="shared" si="28"/>
        <v>2222</v>
      </c>
      <c r="AR143" s="91" t="str">
        <f t="shared" si="29"/>
        <v>2222</v>
      </c>
      <c r="AS143" s="91" t="str">
        <f t="shared" si="30"/>
        <v>2222</v>
      </c>
      <c r="AT143" s="91" t="str">
        <f t="shared" si="31"/>
        <v>2222</v>
      </c>
      <c r="AU143" s="91" t="str">
        <f t="shared" si="32"/>
        <v>2222</v>
      </c>
      <c r="AV143" s="91" t="str">
        <f t="shared" si="33"/>
        <v>2222</v>
      </c>
      <c r="AW143" s="91" t="str">
        <f t="shared" si="34"/>
        <v>2222</v>
      </c>
      <c r="AX143" s="91" t="str">
        <f t="shared" si="35"/>
        <v>2222</v>
      </c>
    </row>
    <row r="144" spans="1:50" s="83" customFormat="1" ht="14.1" customHeight="1">
      <c r="A144" s="82"/>
      <c r="B144" s="84">
        <v>31</v>
      </c>
      <c r="C144" s="85">
        <v>2</v>
      </c>
      <c r="D144" s="85">
        <v>2</v>
      </c>
      <c r="E144" s="85">
        <v>2</v>
      </c>
      <c r="F144" s="85">
        <v>2</v>
      </c>
      <c r="G144" s="85">
        <v>2</v>
      </c>
      <c r="H144" s="85">
        <v>2</v>
      </c>
      <c r="I144" s="85">
        <v>2</v>
      </c>
      <c r="J144" s="85">
        <v>2</v>
      </c>
      <c r="K144" s="85">
        <v>2</v>
      </c>
      <c r="L144" s="85">
        <v>2</v>
      </c>
      <c r="M144" s="85">
        <v>2</v>
      </c>
      <c r="N144" s="85">
        <v>2</v>
      </c>
      <c r="O144" s="85">
        <v>2</v>
      </c>
      <c r="P144" s="85">
        <v>2</v>
      </c>
      <c r="Q144" s="85">
        <v>2</v>
      </c>
      <c r="R144" s="85">
        <v>2</v>
      </c>
      <c r="S144" s="85">
        <v>2</v>
      </c>
      <c r="T144" s="85">
        <v>2</v>
      </c>
      <c r="U144" s="85">
        <v>2</v>
      </c>
      <c r="V144" s="85">
        <v>2</v>
      </c>
      <c r="W144" s="85">
        <v>2</v>
      </c>
      <c r="X144" s="85">
        <v>2</v>
      </c>
      <c r="Y144" s="85">
        <v>2</v>
      </c>
      <c r="Z144" s="85">
        <v>2</v>
      </c>
      <c r="AA144" s="85">
        <v>2</v>
      </c>
      <c r="AB144" s="85">
        <v>2</v>
      </c>
      <c r="AC144" s="85">
        <v>2</v>
      </c>
      <c r="AD144" s="85">
        <v>2</v>
      </c>
      <c r="AE144" s="85">
        <v>2</v>
      </c>
      <c r="AF144" s="85">
        <v>2</v>
      </c>
      <c r="AG144" s="85">
        <v>2</v>
      </c>
      <c r="AH144" s="85">
        <v>2</v>
      </c>
      <c r="AP144" s="92">
        <f t="shared" si="27"/>
        <v>31</v>
      </c>
      <c r="AQ144" s="91" t="str">
        <f t="shared" si="28"/>
        <v>2222</v>
      </c>
      <c r="AR144" s="91" t="str">
        <f t="shared" si="29"/>
        <v>2222</v>
      </c>
      <c r="AS144" s="91" t="str">
        <f t="shared" si="30"/>
        <v>2222</v>
      </c>
      <c r="AT144" s="91" t="str">
        <f t="shared" si="31"/>
        <v>2222</v>
      </c>
      <c r="AU144" s="91" t="str">
        <f t="shared" si="32"/>
        <v>2222</v>
      </c>
      <c r="AV144" s="91" t="str">
        <f t="shared" si="33"/>
        <v>2222</v>
      </c>
      <c r="AW144" s="91" t="str">
        <f t="shared" si="34"/>
        <v>2222</v>
      </c>
      <c r="AX144" s="91" t="str">
        <f t="shared" si="35"/>
        <v>2222</v>
      </c>
    </row>
    <row r="145" spans="1:50" s="83" customFormat="1">
      <c r="A145" s="82"/>
      <c r="AP145" s="90"/>
      <c r="AU145" s="91"/>
      <c r="AV145" s="91"/>
      <c r="AW145" s="91"/>
      <c r="AX145" s="91"/>
    </row>
    <row r="146" spans="1:50" s="83" customFormat="1">
      <c r="A146" s="82"/>
      <c r="AP146" s="90"/>
      <c r="AU146" s="91"/>
      <c r="AV146" s="91"/>
      <c r="AW146" s="91"/>
      <c r="AX146" s="91"/>
    </row>
    <row r="147" spans="1:50" s="83" customFormat="1">
      <c r="A147" s="82" t="s">
        <v>294</v>
      </c>
      <c r="AP147" s="88" t="str">
        <f>A147</f>
        <v>5.Spot 1 (Storage to ROM)</v>
      </c>
      <c r="AU147" s="91"/>
      <c r="AV147" s="91"/>
      <c r="AW147" s="91"/>
      <c r="AX147" s="91"/>
    </row>
    <row r="148" spans="1:50" s="83" customFormat="1">
      <c r="A148" s="82"/>
      <c r="C148" s="84">
        <v>0</v>
      </c>
      <c r="D148" s="84">
        <v>1</v>
      </c>
      <c r="E148" s="84">
        <v>2</v>
      </c>
      <c r="F148" s="84">
        <v>3</v>
      </c>
      <c r="G148" s="84">
        <v>4</v>
      </c>
      <c r="H148" s="84">
        <v>5</v>
      </c>
      <c r="I148" s="84">
        <v>6</v>
      </c>
      <c r="J148" s="84">
        <v>7</v>
      </c>
      <c r="K148" s="84">
        <v>8</v>
      </c>
      <c r="L148" s="84">
        <v>9</v>
      </c>
      <c r="M148" s="84">
        <v>10</v>
      </c>
      <c r="N148" s="84">
        <v>11</v>
      </c>
      <c r="O148" s="84">
        <v>12</v>
      </c>
      <c r="P148" s="84">
        <v>13</v>
      </c>
      <c r="Q148" s="84">
        <v>14</v>
      </c>
      <c r="R148" s="84">
        <v>15</v>
      </c>
      <c r="S148" s="84">
        <v>16</v>
      </c>
      <c r="T148" s="84">
        <v>17</v>
      </c>
      <c r="U148" s="84">
        <v>18</v>
      </c>
      <c r="V148" s="84">
        <v>19</v>
      </c>
      <c r="W148" s="84">
        <v>20</v>
      </c>
      <c r="X148" s="84">
        <v>21</v>
      </c>
      <c r="Y148" s="84">
        <v>22</v>
      </c>
      <c r="Z148" s="84">
        <v>23</v>
      </c>
      <c r="AA148" s="84">
        <v>24</v>
      </c>
      <c r="AB148" s="84">
        <v>25</v>
      </c>
      <c r="AC148" s="84">
        <v>26</v>
      </c>
      <c r="AD148" s="84">
        <v>27</v>
      </c>
      <c r="AE148" s="84">
        <v>28</v>
      </c>
      <c r="AF148" s="84">
        <v>29</v>
      </c>
      <c r="AG148" s="84">
        <v>30</v>
      </c>
      <c r="AH148" s="84">
        <v>31</v>
      </c>
      <c r="AP148" s="90"/>
      <c r="AQ148" s="91" t="str">
        <f>C148&amp;D148&amp;E148&amp;F148</f>
        <v>0123</v>
      </c>
      <c r="AR148" s="91" t="str">
        <f>G148&amp;H148&amp;I148&amp;J148</f>
        <v>4567</v>
      </c>
      <c r="AS148" s="91" t="str">
        <f>K148&amp;L148&amp;M148&amp;N148</f>
        <v>891011</v>
      </c>
      <c r="AT148" s="91" t="str">
        <f>O148&amp;P148&amp;Q148&amp;R148</f>
        <v>12131415</v>
      </c>
      <c r="AU148" s="83">
        <v>16171819</v>
      </c>
      <c r="AV148" s="83">
        <v>20212223</v>
      </c>
      <c r="AW148" s="83">
        <v>24252627</v>
      </c>
      <c r="AX148" s="83">
        <v>28293031</v>
      </c>
    </row>
    <row r="149" spans="1:50" s="83" customFormat="1" ht="14.1" customHeight="1">
      <c r="A149" s="82"/>
      <c r="B149" s="84">
        <v>0</v>
      </c>
      <c r="C149" s="85">
        <v>0</v>
      </c>
      <c r="D149" s="85">
        <v>0</v>
      </c>
      <c r="E149" s="85">
        <v>0</v>
      </c>
      <c r="F149" s="85">
        <v>0</v>
      </c>
      <c r="G149" s="85">
        <v>0</v>
      </c>
      <c r="H149" s="85">
        <v>0</v>
      </c>
      <c r="I149" s="85">
        <v>0</v>
      </c>
      <c r="J149" s="85">
        <v>0</v>
      </c>
      <c r="K149" s="85">
        <v>0</v>
      </c>
      <c r="L149" s="85">
        <v>0</v>
      </c>
      <c r="M149" s="85">
        <v>0</v>
      </c>
      <c r="N149" s="85">
        <v>0</v>
      </c>
      <c r="O149" s="85">
        <v>0</v>
      </c>
      <c r="P149" s="85">
        <v>0</v>
      </c>
      <c r="Q149" s="85">
        <v>0</v>
      </c>
      <c r="R149" s="85">
        <v>0</v>
      </c>
      <c r="S149" s="85">
        <v>0</v>
      </c>
      <c r="T149" s="85">
        <v>0</v>
      </c>
      <c r="U149" s="85">
        <v>0</v>
      </c>
      <c r="V149" s="85">
        <v>0</v>
      </c>
      <c r="W149" s="85">
        <v>0</v>
      </c>
      <c r="X149" s="85">
        <v>0</v>
      </c>
      <c r="Y149" s="85">
        <v>0</v>
      </c>
      <c r="Z149" s="85">
        <v>0</v>
      </c>
      <c r="AA149" s="85">
        <v>0</v>
      </c>
      <c r="AB149" s="85">
        <v>0</v>
      </c>
      <c r="AC149" s="85">
        <v>0</v>
      </c>
      <c r="AD149" s="85">
        <v>0</v>
      </c>
      <c r="AE149" s="85">
        <v>0</v>
      </c>
      <c r="AF149" s="85">
        <v>0</v>
      </c>
      <c r="AG149" s="85">
        <v>0</v>
      </c>
      <c r="AH149" s="85">
        <v>0</v>
      </c>
      <c r="AP149" s="92">
        <f t="shared" ref="AP149:AP180" si="36">B149</f>
        <v>0</v>
      </c>
      <c r="AQ149" s="91" t="str">
        <f t="shared" ref="AQ149:AQ180" si="37">DEC2HEX(C149)&amp;DEC2HEX(D149)&amp;DEC2HEX(E149)&amp;DEC2HEX(F149)</f>
        <v>0000</v>
      </c>
      <c r="AR149" s="91" t="str">
        <f t="shared" ref="AR149:AR180" si="38">DEC2HEX(G149)&amp;DEC2HEX(H149)&amp;DEC2HEX(I149)&amp;DEC2HEX(J149)</f>
        <v>0000</v>
      </c>
      <c r="AS149" s="91" t="str">
        <f t="shared" ref="AS149:AS180" si="39">DEC2HEX(K149)&amp;DEC2HEX(L149)&amp;DEC2HEX(M149)&amp;DEC2HEX(N149)</f>
        <v>0000</v>
      </c>
      <c r="AT149" s="91" t="str">
        <f t="shared" ref="AT149:AT180" si="40">DEC2HEX(O149)&amp;DEC2HEX(P149)&amp;DEC2HEX(Q149)&amp;DEC2HEX(R149)</f>
        <v>0000</v>
      </c>
      <c r="AU149" s="91" t="str">
        <f t="shared" si="32"/>
        <v>0000</v>
      </c>
      <c r="AV149" s="91" t="str">
        <f t="shared" si="33"/>
        <v>0000</v>
      </c>
      <c r="AW149" s="91" t="str">
        <f t="shared" si="34"/>
        <v>0000</v>
      </c>
      <c r="AX149" s="91" t="str">
        <f t="shared" si="35"/>
        <v>0000</v>
      </c>
    </row>
    <row r="150" spans="1:50" s="83" customFormat="1" ht="14.1" customHeight="1">
      <c r="A150" s="82"/>
      <c r="B150" s="84">
        <v>1</v>
      </c>
      <c r="C150" s="85">
        <v>0</v>
      </c>
      <c r="D150" s="85">
        <v>0</v>
      </c>
      <c r="E150" s="85">
        <v>0</v>
      </c>
      <c r="F150" s="85">
        <v>0</v>
      </c>
      <c r="G150" s="85">
        <v>0</v>
      </c>
      <c r="H150" s="85">
        <v>0</v>
      </c>
      <c r="I150" s="85">
        <v>0</v>
      </c>
      <c r="J150" s="85">
        <v>0</v>
      </c>
      <c r="K150" s="85">
        <v>0</v>
      </c>
      <c r="L150" s="85">
        <v>0</v>
      </c>
      <c r="M150" s="85">
        <v>0</v>
      </c>
      <c r="N150" s="85">
        <v>0</v>
      </c>
      <c r="O150" s="85">
        <v>0</v>
      </c>
      <c r="P150" s="85">
        <v>0</v>
      </c>
      <c r="Q150" s="85">
        <v>0</v>
      </c>
      <c r="R150" s="85">
        <v>0</v>
      </c>
      <c r="S150" s="85">
        <v>0</v>
      </c>
      <c r="T150" s="85">
        <v>0</v>
      </c>
      <c r="U150" s="85">
        <v>0</v>
      </c>
      <c r="V150" s="85">
        <v>0</v>
      </c>
      <c r="W150" s="85">
        <v>0</v>
      </c>
      <c r="X150" s="85">
        <v>0</v>
      </c>
      <c r="Y150" s="85">
        <v>0</v>
      </c>
      <c r="Z150" s="85">
        <v>0</v>
      </c>
      <c r="AA150" s="85">
        <v>0</v>
      </c>
      <c r="AB150" s="85">
        <v>0</v>
      </c>
      <c r="AC150" s="85">
        <v>0</v>
      </c>
      <c r="AD150" s="85">
        <v>0</v>
      </c>
      <c r="AE150" s="85">
        <v>0</v>
      </c>
      <c r="AF150" s="85">
        <v>0</v>
      </c>
      <c r="AG150" s="85">
        <v>0</v>
      </c>
      <c r="AH150" s="85">
        <v>0</v>
      </c>
      <c r="AP150" s="92">
        <f t="shared" si="36"/>
        <v>1</v>
      </c>
      <c r="AQ150" s="91" t="str">
        <f t="shared" si="37"/>
        <v>0000</v>
      </c>
      <c r="AR150" s="91" t="str">
        <f t="shared" si="38"/>
        <v>0000</v>
      </c>
      <c r="AS150" s="91" t="str">
        <f t="shared" si="39"/>
        <v>0000</v>
      </c>
      <c r="AT150" s="91" t="str">
        <f t="shared" si="40"/>
        <v>0000</v>
      </c>
      <c r="AU150" s="91" t="str">
        <f t="shared" si="32"/>
        <v>0000</v>
      </c>
      <c r="AV150" s="91" t="str">
        <f t="shared" si="33"/>
        <v>0000</v>
      </c>
      <c r="AW150" s="91" t="str">
        <f t="shared" si="34"/>
        <v>0000</v>
      </c>
      <c r="AX150" s="91" t="str">
        <f t="shared" si="35"/>
        <v>0000</v>
      </c>
    </row>
    <row r="151" spans="1:50" s="83" customFormat="1" ht="14.1" customHeight="1">
      <c r="A151" s="82"/>
      <c r="B151" s="84">
        <v>2</v>
      </c>
      <c r="C151" s="85">
        <v>0</v>
      </c>
      <c r="D151" s="85">
        <v>0</v>
      </c>
      <c r="E151" s="85">
        <v>0</v>
      </c>
      <c r="F151" s="85">
        <v>0</v>
      </c>
      <c r="G151" s="85">
        <v>0</v>
      </c>
      <c r="H151" s="85">
        <v>0</v>
      </c>
      <c r="I151" s="85">
        <v>0</v>
      </c>
      <c r="J151" s="85">
        <v>0</v>
      </c>
      <c r="K151" s="85">
        <v>0</v>
      </c>
      <c r="L151" s="85">
        <v>0</v>
      </c>
      <c r="M151" s="85">
        <v>0</v>
      </c>
      <c r="N151" s="85">
        <v>0</v>
      </c>
      <c r="O151" s="85">
        <v>0</v>
      </c>
      <c r="P151" s="85">
        <v>0</v>
      </c>
      <c r="Q151" s="85">
        <v>0</v>
      </c>
      <c r="R151" s="85">
        <v>0</v>
      </c>
      <c r="S151" s="85">
        <v>0</v>
      </c>
      <c r="T151" s="85">
        <v>0</v>
      </c>
      <c r="U151" s="85">
        <v>0</v>
      </c>
      <c r="V151" s="85">
        <v>0</v>
      </c>
      <c r="W151" s="85">
        <v>0</v>
      </c>
      <c r="X151" s="85">
        <v>0</v>
      </c>
      <c r="Y151" s="85">
        <v>0</v>
      </c>
      <c r="Z151" s="85">
        <v>0</v>
      </c>
      <c r="AA151" s="85">
        <v>0</v>
      </c>
      <c r="AB151" s="85">
        <v>0</v>
      </c>
      <c r="AC151" s="85">
        <v>0</v>
      </c>
      <c r="AD151" s="85">
        <v>0</v>
      </c>
      <c r="AE151" s="85">
        <v>0</v>
      </c>
      <c r="AF151" s="85">
        <v>0</v>
      </c>
      <c r="AG151" s="85">
        <v>0</v>
      </c>
      <c r="AH151" s="85">
        <v>0</v>
      </c>
      <c r="AP151" s="92">
        <f t="shared" si="36"/>
        <v>2</v>
      </c>
      <c r="AQ151" s="91" t="str">
        <f t="shared" si="37"/>
        <v>0000</v>
      </c>
      <c r="AR151" s="91" t="str">
        <f t="shared" si="38"/>
        <v>0000</v>
      </c>
      <c r="AS151" s="91" t="str">
        <f t="shared" si="39"/>
        <v>0000</v>
      </c>
      <c r="AT151" s="91" t="str">
        <f t="shared" si="40"/>
        <v>0000</v>
      </c>
      <c r="AU151" s="91" t="str">
        <f t="shared" si="32"/>
        <v>0000</v>
      </c>
      <c r="AV151" s="91" t="str">
        <f t="shared" si="33"/>
        <v>0000</v>
      </c>
      <c r="AW151" s="91" t="str">
        <f t="shared" si="34"/>
        <v>0000</v>
      </c>
      <c r="AX151" s="91" t="str">
        <f t="shared" si="35"/>
        <v>0000</v>
      </c>
    </row>
    <row r="152" spans="1:50" s="83" customFormat="1" ht="14.1" customHeight="1">
      <c r="A152" s="82"/>
      <c r="B152" s="84">
        <v>3</v>
      </c>
      <c r="C152" s="85">
        <v>0</v>
      </c>
      <c r="D152" s="85">
        <v>0</v>
      </c>
      <c r="E152" s="85">
        <v>0</v>
      </c>
      <c r="F152" s="85">
        <v>0</v>
      </c>
      <c r="G152" s="85">
        <v>0</v>
      </c>
      <c r="H152" s="85">
        <v>0</v>
      </c>
      <c r="I152" s="85">
        <v>0</v>
      </c>
      <c r="J152" s="85">
        <v>0</v>
      </c>
      <c r="K152" s="85">
        <v>0</v>
      </c>
      <c r="L152" s="85">
        <v>0</v>
      </c>
      <c r="M152" s="85">
        <v>0</v>
      </c>
      <c r="N152" s="85">
        <v>0</v>
      </c>
      <c r="O152" s="85">
        <v>0</v>
      </c>
      <c r="P152" s="85">
        <v>0</v>
      </c>
      <c r="Q152" s="85">
        <v>0</v>
      </c>
      <c r="R152" s="85">
        <v>0</v>
      </c>
      <c r="S152" s="85">
        <v>0</v>
      </c>
      <c r="T152" s="85">
        <v>0</v>
      </c>
      <c r="U152" s="85">
        <v>0</v>
      </c>
      <c r="V152" s="85">
        <v>0</v>
      </c>
      <c r="W152" s="85">
        <v>0</v>
      </c>
      <c r="X152" s="85">
        <v>0</v>
      </c>
      <c r="Y152" s="85">
        <v>0</v>
      </c>
      <c r="Z152" s="85">
        <v>0</v>
      </c>
      <c r="AA152" s="85">
        <v>0</v>
      </c>
      <c r="AB152" s="85">
        <v>0</v>
      </c>
      <c r="AC152" s="85">
        <v>0</v>
      </c>
      <c r="AD152" s="85">
        <v>0</v>
      </c>
      <c r="AE152" s="85">
        <v>0</v>
      </c>
      <c r="AF152" s="85">
        <v>0</v>
      </c>
      <c r="AG152" s="85">
        <v>0</v>
      </c>
      <c r="AH152" s="85">
        <v>0</v>
      </c>
      <c r="AP152" s="92">
        <f t="shared" si="36"/>
        <v>3</v>
      </c>
      <c r="AQ152" s="91" t="str">
        <f t="shared" si="37"/>
        <v>0000</v>
      </c>
      <c r="AR152" s="91" t="str">
        <f t="shared" si="38"/>
        <v>0000</v>
      </c>
      <c r="AS152" s="91" t="str">
        <f t="shared" si="39"/>
        <v>0000</v>
      </c>
      <c r="AT152" s="91" t="str">
        <f t="shared" si="40"/>
        <v>0000</v>
      </c>
      <c r="AU152" s="91" t="str">
        <f t="shared" si="32"/>
        <v>0000</v>
      </c>
      <c r="AV152" s="91" t="str">
        <f t="shared" si="33"/>
        <v>0000</v>
      </c>
      <c r="AW152" s="91" t="str">
        <f t="shared" si="34"/>
        <v>0000</v>
      </c>
      <c r="AX152" s="91" t="str">
        <f t="shared" si="35"/>
        <v>0000</v>
      </c>
    </row>
    <row r="153" spans="1:50" s="83" customFormat="1" ht="14.1" customHeight="1">
      <c r="A153" s="82"/>
      <c r="B153" s="84">
        <v>4</v>
      </c>
      <c r="C153" s="85">
        <v>0</v>
      </c>
      <c r="D153" s="85">
        <v>0</v>
      </c>
      <c r="E153" s="85">
        <v>0</v>
      </c>
      <c r="F153" s="85">
        <v>0</v>
      </c>
      <c r="G153" s="85">
        <v>0</v>
      </c>
      <c r="H153" s="85">
        <v>0</v>
      </c>
      <c r="I153" s="85">
        <v>0</v>
      </c>
      <c r="J153" s="85">
        <v>0</v>
      </c>
      <c r="K153" s="85">
        <v>0</v>
      </c>
      <c r="L153" s="85">
        <v>0</v>
      </c>
      <c r="M153" s="85">
        <v>0</v>
      </c>
      <c r="N153" s="85">
        <v>0</v>
      </c>
      <c r="O153" s="85">
        <v>0</v>
      </c>
      <c r="P153" s="85">
        <v>0</v>
      </c>
      <c r="Q153" s="85">
        <v>0</v>
      </c>
      <c r="R153" s="85">
        <v>0</v>
      </c>
      <c r="S153" s="85">
        <v>0</v>
      </c>
      <c r="T153" s="85">
        <v>0</v>
      </c>
      <c r="U153" s="85">
        <v>0</v>
      </c>
      <c r="V153" s="85">
        <v>0</v>
      </c>
      <c r="W153" s="85">
        <v>0</v>
      </c>
      <c r="X153" s="85">
        <v>0</v>
      </c>
      <c r="Y153" s="85">
        <v>0</v>
      </c>
      <c r="Z153" s="85">
        <v>0</v>
      </c>
      <c r="AA153" s="85">
        <v>0</v>
      </c>
      <c r="AB153" s="85">
        <v>0</v>
      </c>
      <c r="AC153" s="85">
        <v>0</v>
      </c>
      <c r="AD153" s="85">
        <v>0</v>
      </c>
      <c r="AE153" s="85">
        <v>0</v>
      </c>
      <c r="AF153" s="85">
        <v>0</v>
      </c>
      <c r="AG153" s="85">
        <v>0</v>
      </c>
      <c r="AH153" s="85">
        <v>0</v>
      </c>
      <c r="AP153" s="92">
        <f t="shared" si="36"/>
        <v>4</v>
      </c>
      <c r="AQ153" s="91" t="str">
        <f t="shared" si="37"/>
        <v>0000</v>
      </c>
      <c r="AR153" s="91" t="str">
        <f t="shared" si="38"/>
        <v>0000</v>
      </c>
      <c r="AS153" s="91" t="str">
        <f t="shared" si="39"/>
        <v>0000</v>
      </c>
      <c r="AT153" s="91" t="str">
        <f t="shared" si="40"/>
        <v>0000</v>
      </c>
      <c r="AU153" s="91" t="str">
        <f t="shared" si="32"/>
        <v>0000</v>
      </c>
      <c r="AV153" s="91" t="str">
        <f t="shared" si="33"/>
        <v>0000</v>
      </c>
      <c r="AW153" s="91" t="str">
        <f t="shared" si="34"/>
        <v>0000</v>
      </c>
      <c r="AX153" s="91" t="str">
        <f t="shared" si="35"/>
        <v>0000</v>
      </c>
    </row>
    <row r="154" spans="1:50" s="83" customFormat="1" ht="14.1" customHeight="1">
      <c r="A154" s="82"/>
      <c r="B154" s="84">
        <v>5</v>
      </c>
      <c r="C154" s="85">
        <v>0</v>
      </c>
      <c r="D154" s="85">
        <v>0</v>
      </c>
      <c r="E154" s="85">
        <v>0</v>
      </c>
      <c r="F154" s="85">
        <v>0</v>
      </c>
      <c r="G154" s="85">
        <v>0</v>
      </c>
      <c r="H154" s="85">
        <v>0</v>
      </c>
      <c r="I154" s="85">
        <v>0</v>
      </c>
      <c r="J154" s="85">
        <v>0</v>
      </c>
      <c r="K154" s="85">
        <v>0</v>
      </c>
      <c r="L154" s="85">
        <v>0</v>
      </c>
      <c r="M154" s="85">
        <v>0</v>
      </c>
      <c r="N154" s="85">
        <v>0</v>
      </c>
      <c r="O154" s="85">
        <v>0</v>
      </c>
      <c r="P154" s="85">
        <v>0</v>
      </c>
      <c r="Q154" s="85">
        <v>0</v>
      </c>
      <c r="R154" s="85">
        <v>0</v>
      </c>
      <c r="S154" s="85">
        <v>0</v>
      </c>
      <c r="T154" s="85">
        <v>0</v>
      </c>
      <c r="U154" s="85">
        <v>0</v>
      </c>
      <c r="V154" s="85">
        <v>0</v>
      </c>
      <c r="W154" s="85">
        <v>0</v>
      </c>
      <c r="X154" s="85">
        <v>0</v>
      </c>
      <c r="Y154" s="85">
        <v>0</v>
      </c>
      <c r="Z154" s="85">
        <v>0</v>
      </c>
      <c r="AA154" s="85">
        <v>0</v>
      </c>
      <c r="AB154" s="85">
        <v>0</v>
      </c>
      <c r="AC154" s="85">
        <v>0</v>
      </c>
      <c r="AD154" s="85">
        <v>0</v>
      </c>
      <c r="AE154" s="85">
        <v>0</v>
      </c>
      <c r="AF154" s="85">
        <v>0</v>
      </c>
      <c r="AG154" s="85">
        <v>0</v>
      </c>
      <c r="AH154" s="85">
        <v>0</v>
      </c>
      <c r="AP154" s="92">
        <f t="shared" si="36"/>
        <v>5</v>
      </c>
      <c r="AQ154" s="91" t="str">
        <f t="shared" si="37"/>
        <v>0000</v>
      </c>
      <c r="AR154" s="91" t="str">
        <f t="shared" si="38"/>
        <v>0000</v>
      </c>
      <c r="AS154" s="91" t="str">
        <f t="shared" si="39"/>
        <v>0000</v>
      </c>
      <c r="AT154" s="91" t="str">
        <f t="shared" si="40"/>
        <v>0000</v>
      </c>
      <c r="AU154" s="91" t="str">
        <f t="shared" si="32"/>
        <v>0000</v>
      </c>
      <c r="AV154" s="91" t="str">
        <f t="shared" si="33"/>
        <v>0000</v>
      </c>
      <c r="AW154" s="91" t="str">
        <f t="shared" si="34"/>
        <v>0000</v>
      </c>
      <c r="AX154" s="91" t="str">
        <f t="shared" si="35"/>
        <v>0000</v>
      </c>
    </row>
    <row r="155" spans="1:50" s="83" customFormat="1" ht="14.1" customHeight="1">
      <c r="A155" s="82"/>
      <c r="B155" s="84">
        <v>6</v>
      </c>
      <c r="C155" s="85">
        <v>0</v>
      </c>
      <c r="D155" s="85">
        <v>0</v>
      </c>
      <c r="E155" s="85">
        <v>0</v>
      </c>
      <c r="F155" s="85">
        <v>0</v>
      </c>
      <c r="G155" s="85">
        <v>0</v>
      </c>
      <c r="H155" s="85">
        <v>0</v>
      </c>
      <c r="I155" s="85">
        <v>0</v>
      </c>
      <c r="J155" s="85">
        <v>0</v>
      </c>
      <c r="K155" s="85">
        <v>0</v>
      </c>
      <c r="L155" s="85">
        <v>0</v>
      </c>
      <c r="M155" s="85">
        <v>0</v>
      </c>
      <c r="N155" s="85">
        <v>0</v>
      </c>
      <c r="O155" s="85">
        <v>0</v>
      </c>
      <c r="P155" s="85">
        <v>0</v>
      </c>
      <c r="Q155" s="85">
        <v>0</v>
      </c>
      <c r="R155" s="85">
        <v>0</v>
      </c>
      <c r="S155" s="85">
        <v>0</v>
      </c>
      <c r="T155" s="85">
        <v>0</v>
      </c>
      <c r="U155" s="85">
        <v>0</v>
      </c>
      <c r="V155" s="85">
        <v>0</v>
      </c>
      <c r="W155" s="85">
        <v>0</v>
      </c>
      <c r="X155" s="85">
        <v>0</v>
      </c>
      <c r="Y155" s="85">
        <v>0</v>
      </c>
      <c r="Z155" s="85">
        <v>0</v>
      </c>
      <c r="AA155" s="85">
        <v>0</v>
      </c>
      <c r="AB155" s="85">
        <v>0</v>
      </c>
      <c r="AC155" s="85">
        <v>0</v>
      </c>
      <c r="AD155" s="85">
        <v>0</v>
      </c>
      <c r="AE155" s="85">
        <v>0</v>
      </c>
      <c r="AF155" s="85">
        <v>0</v>
      </c>
      <c r="AG155" s="85">
        <v>0</v>
      </c>
      <c r="AH155" s="85">
        <v>0</v>
      </c>
      <c r="AP155" s="92">
        <f t="shared" si="36"/>
        <v>6</v>
      </c>
      <c r="AQ155" s="91" t="str">
        <f t="shared" si="37"/>
        <v>0000</v>
      </c>
      <c r="AR155" s="91" t="str">
        <f t="shared" si="38"/>
        <v>0000</v>
      </c>
      <c r="AS155" s="91" t="str">
        <f t="shared" si="39"/>
        <v>0000</v>
      </c>
      <c r="AT155" s="91" t="str">
        <f t="shared" si="40"/>
        <v>0000</v>
      </c>
      <c r="AU155" s="91" t="str">
        <f t="shared" si="32"/>
        <v>0000</v>
      </c>
      <c r="AV155" s="91" t="str">
        <f t="shared" si="33"/>
        <v>0000</v>
      </c>
      <c r="AW155" s="91" t="str">
        <f t="shared" si="34"/>
        <v>0000</v>
      </c>
      <c r="AX155" s="91" t="str">
        <f t="shared" si="35"/>
        <v>0000</v>
      </c>
    </row>
    <row r="156" spans="1:50" s="83" customFormat="1" ht="14.1" customHeight="1">
      <c r="A156" s="82"/>
      <c r="B156" s="84">
        <v>7</v>
      </c>
      <c r="C156" s="85">
        <v>0</v>
      </c>
      <c r="D156" s="85">
        <v>0</v>
      </c>
      <c r="E156" s="85">
        <v>0</v>
      </c>
      <c r="F156" s="85">
        <v>0</v>
      </c>
      <c r="G156" s="85">
        <v>0</v>
      </c>
      <c r="H156" s="85">
        <v>0</v>
      </c>
      <c r="I156" s="85">
        <v>0</v>
      </c>
      <c r="J156" s="85">
        <v>0</v>
      </c>
      <c r="K156" s="85">
        <v>0</v>
      </c>
      <c r="L156" s="85">
        <v>0</v>
      </c>
      <c r="M156" s="85">
        <v>0</v>
      </c>
      <c r="N156" s="85">
        <v>0</v>
      </c>
      <c r="O156" s="85">
        <v>0</v>
      </c>
      <c r="P156" s="85">
        <v>0</v>
      </c>
      <c r="Q156" s="85">
        <v>0</v>
      </c>
      <c r="R156" s="85">
        <v>0</v>
      </c>
      <c r="S156" s="85">
        <v>0</v>
      </c>
      <c r="T156" s="85">
        <v>0</v>
      </c>
      <c r="U156" s="85">
        <v>0</v>
      </c>
      <c r="V156" s="85">
        <v>0</v>
      </c>
      <c r="W156" s="85">
        <v>0</v>
      </c>
      <c r="X156" s="85">
        <v>0</v>
      </c>
      <c r="Y156" s="85">
        <v>0</v>
      </c>
      <c r="Z156" s="85">
        <v>0</v>
      </c>
      <c r="AA156" s="85">
        <v>0</v>
      </c>
      <c r="AB156" s="85">
        <v>0</v>
      </c>
      <c r="AC156" s="85">
        <v>0</v>
      </c>
      <c r="AD156" s="85">
        <v>0</v>
      </c>
      <c r="AE156" s="85">
        <v>0</v>
      </c>
      <c r="AF156" s="85">
        <v>0</v>
      </c>
      <c r="AG156" s="85">
        <v>0</v>
      </c>
      <c r="AH156" s="85">
        <v>0</v>
      </c>
      <c r="AP156" s="92">
        <f t="shared" si="36"/>
        <v>7</v>
      </c>
      <c r="AQ156" s="91" t="str">
        <f t="shared" si="37"/>
        <v>0000</v>
      </c>
      <c r="AR156" s="91" t="str">
        <f t="shared" si="38"/>
        <v>0000</v>
      </c>
      <c r="AS156" s="91" t="str">
        <f t="shared" si="39"/>
        <v>0000</v>
      </c>
      <c r="AT156" s="91" t="str">
        <f t="shared" si="40"/>
        <v>0000</v>
      </c>
      <c r="AU156" s="91" t="str">
        <f t="shared" si="32"/>
        <v>0000</v>
      </c>
      <c r="AV156" s="91" t="str">
        <f t="shared" si="33"/>
        <v>0000</v>
      </c>
      <c r="AW156" s="91" t="str">
        <f t="shared" si="34"/>
        <v>0000</v>
      </c>
      <c r="AX156" s="91" t="str">
        <f t="shared" si="35"/>
        <v>0000</v>
      </c>
    </row>
    <row r="157" spans="1:50" s="83" customFormat="1" ht="14.1" customHeight="1">
      <c r="A157" s="82"/>
      <c r="B157" s="84">
        <v>8</v>
      </c>
      <c r="C157" s="85">
        <v>0</v>
      </c>
      <c r="D157" s="85">
        <v>0</v>
      </c>
      <c r="E157" s="85">
        <v>0</v>
      </c>
      <c r="F157" s="85">
        <v>0</v>
      </c>
      <c r="G157" s="85">
        <v>0</v>
      </c>
      <c r="H157" s="85">
        <v>0</v>
      </c>
      <c r="I157" s="85">
        <v>0</v>
      </c>
      <c r="J157" s="85">
        <v>0</v>
      </c>
      <c r="K157" s="85">
        <v>0</v>
      </c>
      <c r="L157" s="85">
        <v>0</v>
      </c>
      <c r="M157" s="85">
        <v>0</v>
      </c>
      <c r="N157" s="85">
        <v>0</v>
      </c>
      <c r="O157" s="85">
        <v>0</v>
      </c>
      <c r="P157" s="85">
        <v>0</v>
      </c>
      <c r="Q157" s="85">
        <v>0</v>
      </c>
      <c r="R157" s="85">
        <v>0</v>
      </c>
      <c r="S157" s="85">
        <v>0</v>
      </c>
      <c r="T157" s="85">
        <v>0</v>
      </c>
      <c r="U157" s="85">
        <v>0</v>
      </c>
      <c r="V157" s="85">
        <v>0</v>
      </c>
      <c r="W157" s="85">
        <v>0</v>
      </c>
      <c r="X157" s="85">
        <v>0</v>
      </c>
      <c r="Y157" s="85">
        <v>0</v>
      </c>
      <c r="Z157" s="85">
        <v>0</v>
      </c>
      <c r="AA157" s="85">
        <v>0</v>
      </c>
      <c r="AB157" s="85">
        <v>0</v>
      </c>
      <c r="AC157" s="85">
        <v>0</v>
      </c>
      <c r="AD157" s="85">
        <v>0</v>
      </c>
      <c r="AE157" s="85">
        <v>0</v>
      </c>
      <c r="AF157" s="85">
        <v>0</v>
      </c>
      <c r="AG157" s="85">
        <v>0</v>
      </c>
      <c r="AH157" s="85">
        <v>0</v>
      </c>
      <c r="AP157" s="92">
        <f t="shared" si="36"/>
        <v>8</v>
      </c>
      <c r="AQ157" s="91" t="str">
        <f t="shared" si="37"/>
        <v>0000</v>
      </c>
      <c r="AR157" s="91" t="str">
        <f t="shared" si="38"/>
        <v>0000</v>
      </c>
      <c r="AS157" s="91" t="str">
        <f t="shared" si="39"/>
        <v>0000</v>
      </c>
      <c r="AT157" s="91" t="str">
        <f t="shared" si="40"/>
        <v>0000</v>
      </c>
      <c r="AU157" s="91" t="str">
        <f t="shared" si="32"/>
        <v>0000</v>
      </c>
      <c r="AV157" s="91" t="str">
        <f t="shared" si="33"/>
        <v>0000</v>
      </c>
      <c r="AW157" s="91" t="str">
        <f t="shared" si="34"/>
        <v>0000</v>
      </c>
      <c r="AX157" s="91" t="str">
        <f t="shared" si="35"/>
        <v>0000</v>
      </c>
    </row>
    <row r="158" spans="1:50" s="83" customFormat="1" ht="14.1" customHeight="1">
      <c r="A158" s="82"/>
      <c r="B158" s="84">
        <v>9</v>
      </c>
      <c r="C158" s="85">
        <v>0</v>
      </c>
      <c r="D158" s="85">
        <v>0</v>
      </c>
      <c r="E158" s="85">
        <v>0</v>
      </c>
      <c r="F158" s="85">
        <v>0</v>
      </c>
      <c r="G158" s="85">
        <v>0</v>
      </c>
      <c r="H158" s="85">
        <v>0</v>
      </c>
      <c r="I158" s="85">
        <v>0</v>
      </c>
      <c r="J158" s="85">
        <v>0</v>
      </c>
      <c r="K158" s="85">
        <v>0</v>
      </c>
      <c r="L158" s="85">
        <v>0</v>
      </c>
      <c r="M158" s="85">
        <v>0</v>
      </c>
      <c r="N158" s="85">
        <v>0</v>
      </c>
      <c r="O158" s="85">
        <v>0</v>
      </c>
      <c r="P158" s="85">
        <v>0</v>
      </c>
      <c r="Q158" s="85">
        <v>0</v>
      </c>
      <c r="R158" s="85">
        <v>0</v>
      </c>
      <c r="S158" s="85">
        <v>0</v>
      </c>
      <c r="T158" s="85">
        <v>0</v>
      </c>
      <c r="U158" s="85">
        <v>0</v>
      </c>
      <c r="V158" s="85">
        <v>0</v>
      </c>
      <c r="W158" s="85">
        <v>0</v>
      </c>
      <c r="X158" s="85">
        <v>0</v>
      </c>
      <c r="Y158" s="85">
        <v>0</v>
      </c>
      <c r="Z158" s="85">
        <v>0</v>
      </c>
      <c r="AA158" s="85">
        <v>0</v>
      </c>
      <c r="AB158" s="85">
        <v>0</v>
      </c>
      <c r="AC158" s="85">
        <v>0</v>
      </c>
      <c r="AD158" s="85">
        <v>0</v>
      </c>
      <c r="AE158" s="85">
        <v>0</v>
      </c>
      <c r="AF158" s="85">
        <v>0</v>
      </c>
      <c r="AG158" s="85">
        <v>0</v>
      </c>
      <c r="AH158" s="85">
        <v>0</v>
      </c>
      <c r="AP158" s="92">
        <f t="shared" si="36"/>
        <v>9</v>
      </c>
      <c r="AQ158" s="91" t="str">
        <f t="shared" si="37"/>
        <v>0000</v>
      </c>
      <c r="AR158" s="91" t="str">
        <f t="shared" si="38"/>
        <v>0000</v>
      </c>
      <c r="AS158" s="91" t="str">
        <f t="shared" si="39"/>
        <v>0000</v>
      </c>
      <c r="AT158" s="91" t="str">
        <f t="shared" si="40"/>
        <v>0000</v>
      </c>
      <c r="AU158" s="91" t="str">
        <f t="shared" si="32"/>
        <v>0000</v>
      </c>
      <c r="AV158" s="91" t="str">
        <f t="shared" si="33"/>
        <v>0000</v>
      </c>
      <c r="AW158" s="91" t="str">
        <f t="shared" si="34"/>
        <v>0000</v>
      </c>
      <c r="AX158" s="91" t="str">
        <f t="shared" si="35"/>
        <v>0000</v>
      </c>
    </row>
    <row r="159" spans="1:50" s="83" customFormat="1" ht="14.1" customHeight="1">
      <c r="A159" s="82"/>
      <c r="B159" s="84">
        <v>10</v>
      </c>
      <c r="C159" s="85">
        <v>0</v>
      </c>
      <c r="D159" s="85">
        <v>0</v>
      </c>
      <c r="E159" s="85">
        <v>0</v>
      </c>
      <c r="F159" s="85">
        <v>0</v>
      </c>
      <c r="G159" s="85">
        <v>0</v>
      </c>
      <c r="H159" s="85">
        <v>0</v>
      </c>
      <c r="I159" s="85">
        <v>0</v>
      </c>
      <c r="J159" s="85">
        <v>0</v>
      </c>
      <c r="K159" s="85">
        <v>0</v>
      </c>
      <c r="L159" s="85">
        <v>0</v>
      </c>
      <c r="M159" s="85">
        <v>0</v>
      </c>
      <c r="N159" s="85">
        <v>0</v>
      </c>
      <c r="O159" s="85">
        <v>0</v>
      </c>
      <c r="P159" s="85">
        <v>0</v>
      </c>
      <c r="Q159" s="85">
        <v>0</v>
      </c>
      <c r="R159" s="85">
        <v>0</v>
      </c>
      <c r="S159" s="85">
        <v>0</v>
      </c>
      <c r="T159" s="85">
        <v>0</v>
      </c>
      <c r="U159" s="85">
        <v>0</v>
      </c>
      <c r="V159" s="85">
        <v>0</v>
      </c>
      <c r="W159" s="85">
        <v>0</v>
      </c>
      <c r="X159" s="85">
        <v>0</v>
      </c>
      <c r="Y159" s="85">
        <v>0</v>
      </c>
      <c r="Z159" s="85">
        <v>0</v>
      </c>
      <c r="AA159" s="85">
        <v>0</v>
      </c>
      <c r="AB159" s="85">
        <v>0</v>
      </c>
      <c r="AC159" s="85">
        <v>0</v>
      </c>
      <c r="AD159" s="85">
        <v>0</v>
      </c>
      <c r="AE159" s="85">
        <v>0</v>
      </c>
      <c r="AF159" s="85">
        <v>0</v>
      </c>
      <c r="AG159" s="85">
        <v>0</v>
      </c>
      <c r="AH159" s="85">
        <v>0</v>
      </c>
      <c r="AP159" s="92">
        <f t="shared" si="36"/>
        <v>10</v>
      </c>
      <c r="AQ159" s="91" t="str">
        <f t="shared" si="37"/>
        <v>0000</v>
      </c>
      <c r="AR159" s="91" t="str">
        <f t="shared" si="38"/>
        <v>0000</v>
      </c>
      <c r="AS159" s="91" t="str">
        <f t="shared" si="39"/>
        <v>0000</v>
      </c>
      <c r="AT159" s="91" t="str">
        <f t="shared" si="40"/>
        <v>0000</v>
      </c>
      <c r="AU159" s="91" t="str">
        <f t="shared" si="32"/>
        <v>0000</v>
      </c>
      <c r="AV159" s="91" t="str">
        <f t="shared" si="33"/>
        <v>0000</v>
      </c>
      <c r="AW159" s="91" t="str">
        <f t="shared" si="34"/>
        <v>0000</v>
      </c>
      <c r="AX159" s="91" t="str">
        <f t="shared" si="35"/>
        <v>0000</v>
      </c>
    </row>
    <row r="160" spans="1:50" s="83" customFormat="1" ht="14.1" customHeight="1">
      <c r="A160" s="82"/>
      <c r="B160" s="84">
        <v>11</v>
      </c>
      <c r="C160" s="85">
        <v>0</v>
      </c>
      <c r="D160" s="85">
        <v>0</v>
      </c>
      <c r="E160" s="85">
        <v>0</v>
      </c>
      <c r="F160" s="85">
        <v>0</v>
      </c>
      <c r="G160" s="85">
        <v>0</v>
      </c>
      <c r="H160" s="85">
        <v>0</v>
      </c>
      <c r="I160" s="85">
        <v>0</v>
      </c>
      <c r="J160" s="85">
        <v>0</v>
      </c>
      <c r="K160" s="85">
        <v>0</v>
      </c>
      <c r="L160" s="85">
        <v>0</v>
      </c>
      <c r="M160" s="85">
        <v>0</v>
      </c>
      <c r="N160" s="85">
        <v>0</v>
      </c>
      <c r="O160" s="85">
        <v>0</v>
      </c>
      <c r="P160" s="85">
        <v>0</v>
      </c>
      <c r="Q160" s="85">
        <v>0</v>
      </c>
      <c r="R160" s="85">
        <v>0</v>
      </c>
      <c r="S160" s="85">
        <v>0</v>
      </c>
      <c r="T160" s="85">
        <v>0</v>
      </c>
      <c r="U160" s="85">
        <v>0</v>
      </c>
      <c r="V160" s="85">
        <v>0</v>
      </c>
      <c r="W160" s="85">
        <v>0</v>
      </c>
      <c r="X160" s="85">
        <v>0</v>
      </c>
      <c r="Y160" s="85">
        <v>0</v>
      </c>
      <c r="Z160" s="85">
        <v>0</v>
      </c>
      <c r="AA160" s="85">
        <v>0</v>
      </c>
      <c r="AB160" s="85">
        <v>0</v>
      </c>
      <c r="AC160" s="85">
        <v>0</v>
      </c>
      <c r="AD160" s="85">
        <v>0</v>
      </c>
      <c r="AE160" s="85">
        <v>0</v>
      </c>
      <c r="AF160" s="85">
        <v>0</v>
      </c>
      <c r="AG160" s="85">
        <v>0</v>
      </c>
      <c r="AH160" s="85">
        <v>0</v>
      </c>
      <c r="AP160" s="92">
        <f t="shared" si="36"/>
        <v>11</v>
      </c>
      <c r="AQ160" s="91" t="str">
        <f t="shared" si="37"/>
        <v>0000</v>
      </c>
      <c r="AR160" s="91" t="str">
        <f t="shared" si="38"/>
        <v>0000</v>
      </c>
      <c r="AS160" s="91" t="str">
        <f t="shared" si="39"/>
        <v>0000</v>
      </c>
      <c r="AT160" s="91" t="str">
        <f t="shared" si="40"/>
        <v>0000</v>
      </c>
      <c r="AU160" s="91" t="str">
        <f t="shared" si="32"/>
        <v>0000</v>
      </c>
      <c r="AV160" s="91" t="str">
        <f t="shared" si="33"/>
        <v>0000</v>
      </c>
      <c r="AW160" s="91" t="str">
        <f t="shared" si="34"/>
        <v>0000</v>
      </c>
      <c r="AX160" s="91" t="str">
        <f t="shared" si="35"/>
        <v>0000</v>
      </c>
    </row>
    <row r="161" spans="1:50" s="83" customFormat="1" ht="14.1" customHeight="1">
      <c r="A161" s="82"/>
      <c r="B161" s="84">
        <v>12</v>
      </c>
      <c r="C161" s="85">
        <v>0</v>
      </c>
      <c r="D161" s="85">
        <v>0</v>
      </c>
      <c r="E161" s="85">
        <v>0</v>
      </c>
      <c r="F161" s="85">
        <v>0</v>
      </c>
      <c r="G161" s="85">
        <v>0</v>
      </c>
      <c r="H161" s="85">
        <v>0</v>
      </c>
      <c r="I161" s="85">
        <v>0</v>
      </c>
      <c r="J161" s="85">
        <v>0</v>
      </c>
      <c r="K161" s="85">
        <v>0</v>
      </c>
      <c r="L161" s="85">
        <v>0</v>
      </c>
      <c r="M161" s="85">
        <v>0</v>
      </c>
      <c r="N161" s="85">
        <v>0</v>
      </c>
      <c r="O161" s="85">
        <v>0</v>
      </c>
      <c r="P161" s="85">
        <v>0</v>
      </c>
      <c r="Q161" s="85">
        <v>0</v>
      </c>
      <c r="R161" s="85">
        <v>0</v>
      </c>
      <c r="S161" s="85">
        <v>0</v>
      </c>
      <c r="T161" s="85">
        <v>0</v>
      </c>
      <c r="U161" s="85">
        <v>0</v>
      </c>
      <c r="V161" s="85">
        <v>0</v>
      </c>
      <c r="W161" s="85">
        <v>0</v>
      </c>
      <c r="X161" s="85">
        <v>0</v>
      </c>
      <c r="Y161" s="85">
        <v>0</v>
      </c>
      <c r="Z161" s="85">
        <v>0</v>
      </c>
      <c r="AA161" s="85">
        <v>0</v>
      </c>
      <c r="AB161" s="85">
        <v>0</v>
      </c>
      <c r="AC161" s="85">
        <v>0</v>
      </c>
      <c r="AD161" s="85">
        <v>0</v>
      </c>
      <c r="AE161" s="85">
        <v>0</v>
      </c>
      <c r="AF161" s="85">
        <v>0</v>
      </c>
      <c r="AG161" s="85">
        <v>0</v>
      </c>
      <c r="AH161" s="85">
        <v>0</v>
      </c>
      <c r="AP161" s="92">
        <f t="shared" si="36"/>
        <v>12</v>
      </c>
      <c r="AQ161" s="91" t="str">
        <f t="shared" si="37"/>
        <v>0000</v>
      </c>
      <c r="AR161" s="91" t="str">
        <f t="shared" si="38"/>
        <v>0000</v>
      </c>
      <c r="AS161" s="91" t="str">
        <f t="shared" si="39"/>
        <v>0000</v>
      </c>
      <c r="AT161" s="91" t="str">
        <f t="shared" si="40"/>
        <v>0000</v>
      </c>
      <c r="AU161" s="91" t="str">
        <f t="shared" si="32"/>
        <v>0000</v>
      </c>
      <c r="AV161" s="91" t="str">
        <f t="shared" si="33"/>
        <v>0000</v>
      </c>
      <c r="AW161" s="91" t="str">
        <f t="shared" si="34"/>
        <v>0000</v>
      </c>
      <c r="AX161" s="91" t="str">
        <f t="shared" si="35"/>
        <v>0000</v>
      </c>
    </row>
    <row r="162" spans="1:50" s="83" customFormat="1" ht="14.1" customHeight="1">
      <c r="A162" s="82"/>
      <c r="B162" s="84">
        <v>13</v>
      </c>
      <c r="C162" s="85">
        <v>0</v>
      </c>
      <c r="D162" s="85">
        <v>0</v>
      </c>
      <c r="E162" s="85">
        <v>0</v>
      </c>
      <c r="F162" s="85">
        <v>0</v>
      </c>
      <c r="G162" s="85">
        <v>0</v>
      </c>
      <c r="H162" s="85">
        <v>0</v>
      </c>
      <c r="I162" s="85">
        <v>0</v>
      </c>
      <c r="J162" s="85">
        <v>0</v>
      </c>
      <c r="K162" s="85">
        <v>0</v>
      </c>
      <c r="L162" s="85">
        <v>0</v>
      </c>
      <c r="M162" s="85">
        <v>0</v>
      </c>
      <c r="N162" s="85">
        <v>0</v>
      </c>
      <c r="O162" s="85">
        <v>0</v>
      </c>
      <c r="P162" s="85">
        <v>0</v>
      </c>
      <c r="Q162" s="85">
        <v>0</v>
      </c>
      <c r="R162" s="85">
        <v>0</v>
      </c>
      <c r="S162" s="85">
        <v>0</v>
      </c>
      <c r="T162" s="85">
        <v>0</v>
      </c>
      <c r="U162" s="85">
        <v>0</v>
      </c>
      <c r="V162" s="85">
        <v>0</v>
      </c>
      <c r="W162" s="85">
        <v>0</v>
      </c>
      <c r="X162" s="85">
        <v>0</v>
      </c>
      <c r="Y162" s="85">
        <v>0</v>
      </c>
      <c r="Z162" s="85">
        <v>0</v>
      </c>
      <c r="AA162" s="85">
        <v>0</v>
      </c>
      <c r="AB162" s="85">
        <v>0</v>
      </c>
      <c r="AC162" s="85">
        <v>0</v>
      </c>
      <c r="AD162" s="85">
        <v>0</v>
      </c>
      <c r="AE162" s="85">
        <v>0</v>
      </c>
      <c r="AF162" s="85">
        <v>0</v>
      </c>
      <c r="AG162" s="85">
        <v>0</v>
      </c>
      <c r="AH162" s="85">
        <v>0</v>
      </c>
      <c r="AP162" s="92">
        <f t="shared" si="36"/>
        <v>13</v>
      </c>
      <c r="AQ162" s="91" t="str">
        <f t="shared" si="37"/>
        <v>0000</v>
      </c>
      <c r="AR162" s="91" t="str">
        <f t="shared" si="38"/>
        <v>0000</v>
      </c>
      <c r="AS162" s="91" t="str">
        <f t="shared" si="39"/>
        <v>0000</v>
      </c>
      <c r="AT162" s="91" t="str">
        <f t="shared" si="40"/>
        <v>0000</v>
      </c>
      <c r="AU162" s="91" t="str">
        <f t="shared" si="32"/>
        <v>0000</v>
      </c>
      <c r="AV162" s="91" t="str">
        <f t="shared" si="33"/>
        <v>0000</v>
      </c>
      <c r="AW162" s="91" t="str">
        <f t="shared" si="34"/>
        <v>0000</v>
      </c>
      <c r="AX162" s="91" t="str">
        <f t="shared" si="35"/>
        <v>0000</v>
      </c>
    </row>
    <row r="163" spans="1:50" s="83" customFormat="1" ht="14.1" customHeight="1">
      <c r="A163" s="82"/>
      <c r="B163" s="84">
        <v>14</v>
      </c>
      <c r="C163" s="85">
        <v>0</v>
      </c>
      <c r="D163" s="85">
        <v>0</v>
      </c>
      <c r="E163" s="85">
        <v>0</v>
      </c>
      <c r="F163" s="85">
        <v>0</v>
      </c>
      <c r="G163" s="85">
        <v>0</v>
      </c>
      <c r="H163" s="85">
        <v>0</v>
      </c>
      <c r="I163" s="85">
        <v>0</v>
      </c>
      <c r="J163" s="85">
        <v>0</v>
      </c>
      <c r="K163" s="85">
        <v>0</v>
      </c>
      <c r="L163" s="85">
        <v>0</v>
      </c>
      <c r="M163" s="85">
        <v>0</v>
      </c>
      <c r="N163" s="85">
        <v>0</v>
      </c>
      <c r="O163" s="85">
        <v>0</v>
      </c>
      <c r="P163" s="85">
        <v>0</v>
      </c>
      <c r="Q163" s="85">
        <v>15</v>
      </c>
      <c r="R163" s="85">
        <v>15</v>
      </c>
      <c r="S163" s="85">
        <v>15</v>
      </c>
      <c r="T163" s="85">
        <v>15</v>
      </c>
      <c r="U163" s="85">
        <v>0</v>
      </c>
      <c r="V163" s="85">
        <v>0</v>
      </c>
      <c r="W163" s="85">
        <v>0</v>
      </c>
      <c r="X163" s="85">
        <v>0</v>
      </c>
      <c r="Y163" s="85">
        <v>0</v>
      </c>
      <c r="Z163" s="85">
        <v>0</v>
      </c>
      <c r="AA163" s="85">
        <v>0</v>
      </c>
      <c r="AB163" s="85">
        <v>0</v>
      </c>
      <c r="AC163" s="85">
        <v>0</v>
      </c>
      <c r="AD163" s="85">
        <v>0</v>
      </c>
      <c r="AE163" s="85">
        <v>0</v>
      </c>
      <c r="AF163" s="85">
        <v>0</v>
      </c>
      <c r="AG163" s="85">
        <v>0</v>
      </c>
      <c r="AH163" s="85">
        <v>0</v>
      </c>
      <c r="AP163" s="92">
        <f t="shared" si="36"/>
        <v>14</v>
      </c>
      <c r="AQ163" s="91" t="str">
        <f t="shared" si="37"/>
        <v>0000</v>
      </c>
      <c r="AR163" s="91" t="str">
        <f t="shared" si="38"/>
        <v>0000</v>
      </c>
      <c r="AS163" s="91" t="str">
        <f t="shared" si="39"/>
        <v>0000</v>
      </c>
      <c r="AT163" s="91" t="str">
        <f t="shared" si="40"/>
        <v>00FF</v>
      </c>
      <c r="AU163" s="91" t="str">
        <f t="shared" si="32"/>
        <v>FF00</v>
      </c>
      <c r="AV163" s="91" t="str">
        <f t="shared" si="33"/>
        <v>0000</v>
      </c>
      <c r="AW163" s="91" t="str">
        <f t="shared" si="34"/>
        <v>0000</v>
      </c>
      <c r="AX163" s="91" t="str">
        <f t="shared" si="35"/>
        <v>0000</v>
      </c>
    </row>
    <row r="164" spans="1:50" s="83" customFormat="1" ht="14.1" customHeight="1">
      <c r="A164" s="82"/>
      <c r="B164" s="84">
        <v>15</v>
      </c>
      <c r="C164" s="85">
        <v>0</v>
      </c>
      <c r="D164" s="85">
        <v>0</v>
      </c>
      <c r="E164" s="85">
        <v>0</v>
      </c>
      <c r="F164" s="85">
        <v>0</v>
      </c>
      <c r="G164" s="85">
        <v>0</v>
      </c>
      <c r="H164" s="85">
        <v>0</v>
      </c>
      <c r="I164" s="85">
        <v>0</v>
      </c>
      <c r="J164" s="85">
        <v>0</v>
      </c>
      <c r="K164" s="85">
        <v>0</v>
      </c>
      <c r="L164" s="85">
        <v>0</v>
      </c>
      <c r="M164" s="85">
        <v>0</v>
      </c>
      <c r="N164" s="85">
        <v>0</v>
      </c>
      <c r="O164" s="85">
        <v>0</v>
      </c>
      <c r="P164" s="85">
        <v>0</v>
      </c>
      <c r="Q164" s="85">
        <v>15</v>
      </c>
      <c r="R164" s="85">
        <v>15</v>
      </c>
      <c r="S164" s="85">
        <v>15</v>
      </c>
      <c r="T164" s="85">
        <v>15</v>
      </c>
      <c r="U164" s="85">
        <v>0</v>
      </c>
      <c r="V164" s="85">
        <v>0</v>
      </c>
      <c r="W164" s="85">
        <v>0</v>
      </c>
      <c r="X164" s="85">
        <v>0</v>
      </c>
      <c r="Y164" s="85">
        <v>0</v>
      </c>
      <c r="Z164" s="85">
        <v>0</v>
      </c>
      <c r="AA164" s="85">
        <v>0</v>
      </c>
      <c r="AB164" s="85">
        <v>0</v>
      </c>
      <c r="AC164" s="85">
        <v>0</v>
      </c>
      <c r="AD164" s="85">
        <v>0</v>
      </c>
      <c r="AE164" s="85">
        <v>0</v>
      </c>
      <c r="AF164" s="85">
        <v>0</v>
      </c>
      <c r="AG164" s="85">
        <v>0</v>
      </c>
      <c r="AH164" s="85">
        <v>0</v>
      </c>
      <c r="AP164" s="92">
        <f t="shared" si="36"/>
        <v>15</v>
      </c>
      <c r="AQ164" s="91" t="str">
        <f t="shared" si="37"/>
        <v>0000</v>
      </c>
      <c r="AR164" s="91" t="str">
        <f t="shared" si="38"/>
        <v>0000</v>
      </c>
      <c r="AS164" s="91" t="str">
        <f t="shared" si="39"/>
        <v>0000</v>
      </c>
      <c r="AT164" s="91" t="str">
        <f t="shared" si="40"/>
        <v>00FF</v>
      </c>
      <c r="AU164" s="91" t="str">
        <f t="shared" si="32"/>
        <v>FF00</v>
      </c>
      <c r="AV164" s="91" t="str">
        <f t="shared" si="33"/>
        <v>0000</v>
      </c>
      <c r="AW164" s="91" t="str">
        <f t="shared" si="34"/>
        <v>0000</v>
      </c>
      <c r="AX164" s="91" t="str">
        <f t="shared" si="35"/>
        <v>0000</v>
      </c>
    </row>
    <row r="165" spans="1:50" s="83" customFormat="1" ht="14.1" customHeight="1">
      <c r="A165" s="82"/>
      <c r="B165" s="84">
        <v>16</v>
      </c>
      <c r="C165" s="85">
        <v>0</v>
      </c>
      <c r="D165" s="85">
        <v>0</v>
      </c>
      <c r="E165" s="85">
        <v>0</v>
      </c>
      <c r="F165" s="85">
        <v>0</v>
      </c>
      <c r="G165" s="85">
        <v>0</v>
      </c>
      <c r="H165" s="85">
        <v>0</v>
      </c>
      <c r="I165" s="85">
        <v>0</v>
      </c>
      <c r="J165" s="85">
        <v>0</v>
      </c>
      <c r="K165" s="85">
        <v>0</v>
      </c>
      <c r="L165" s="85">
        <v>0</v>
      </c>
      <c r="M165" s="85">
        <v>0</v>
      </c>
      <c r="N165" s="85">
        <v>0</v>
      </c>
      <c r="O165" s="85">
        <v>0</v>
      </c>
      <c r="P165" s="85">
        <v>0</v>
      </c>
      <c r="Q165" s="85">
        <v>15</v>
      </c>
      <c r="R165" s="85">
        <v>15</v>
      </c>
      <c r="S165" s="85">
        <v>15</v>
      </c>
      <c r="T165" s="85">
        <v>15</v>
      </c>
      <c r="U165" s="85">
        <v>0</v>
      </c>
      <c r="V165" s="85">
        <v>0</v>
      </c>
      <c r="W165" s="85">
        <v>0</v>
      </c>
      <c r="X165" s="85">
        <v>0</v>
      </c>
      <c r="Y165" s="85">
        <v>0</v>
      </c>
      <c r="Z165" s="85">
        <v>0</v>
      </c>
      <c r="AA165" s="85">
        <v>0</v>
      </c>
      <c r="AB165" s="85">
        <v>0</v>
      </c>
      <c r="AC165" s="85">
        <v>0</v>
      </c>
      <c r="AD165" s="85">
        <v>0</v>
      </c>
      <c r="AE165" s="85">
        <v>0</v>
      </c>
      <c r="AF165" s="85">
        <v>0</v>
      </c>
      <c r="AG165" s="85">
        <v>0</v>
      </c>
      <c r="AH165" s="85">
        <v>0</v>
      </c>
      <c r="AP165" s="92">
        <f t="shared" si="36"/>
        <v>16</v>
      </c>
      <c r="AQ165" s="91" t="str">
        <f t="shared" si="37"/>
        <v>0000</v>
      </c>
      <c r="AR165" s="91" t="str">
        <f t="shared" si="38"/>
        <v>0000</v>
      </c>
      <c r="AS165" s="91" t="str">
        <f t="shared" si="39"/>
        <v>0000</v>
      </c>
      <c r="AT165" s="91" t="str">
        <f t="shared" si="40"/>
        <v>00FF</v>
      </c>
      <c r="AU165" s="91" t="str">
        <f t="shared" si="32"/>
        <v>FF00</v>
      </c>
      <c r="AV165" s="91" t="str">
        <f t="shared" si="33"/>
        <v>0000</v>
      </c>
      <c r="AW165" s="91" t="str">
        <f t="shared" si="34"/>
        <v>0000</v>
      </c>
      <c r="AX165" s="91" t="str">
        <f t="shared" si="35"/>
        <v>0000</v>
      </c>
    </row>
    <row r="166" spans="1:50" s="83" customFormat="1" ht="14.1" customHeight="1">
      <c r="A166" s="82"/>
      <c r="B166" s="84">
        <v>17</v>
      </c>
      <c r="C166" s="85">
        <v>0</v>
      </c>
      <c r="D166" s="85">
        <v>0</v>
      </c>
      <c r="E166" s="85">
        <v>0</v>
      </c>
      <c r="F166" s="85">
        <v>0</v>
      </c>
      <c r="G166" s="85">
        <v>0</v>
      </c>
      <c r="H166" s="85">
        <v>0</v>
      </c>
      <c r="I166" s="85">
        <v>0</v>
      </c>
      <c r="J166" s="85">
        <v>0</v>
      </c>
      <c r="K166" s="85">
        <v>0</v>
      </c>
      <c r="L166" s="85">
        <v>0</v>
      </c>
      <c r="M166" s="85">
        <v>0</v>
      </c>
      <c r="N166" s="85">
        <v>0</v>
      </c>
      <c r="O166" s="85">
        <v>0</v>
      </c>
      <c r="P166" s="85">
        <v>0</v>
      </c>
      <c r="Q166" s="85">
        <v>15</v>
      </c>
      <c r="R166" s="85">
        <v>15</v>
      </c>
      <c r="S166" s="85">
        <v>15</v>
      </c>
      <c r="T166" s="85">
        <v>15</v>
      </c>
      <c r="U166" s="85">
        <v>0</v>
      </c>
      <c r="V166" s="85">
        <v>0</v>
      </c>
      <c r="W166" s="85">
        <v>0</v>
      </c>
      <c r="X166" s="85">
        <v>0</v>
      </c>
      <c r="Y166" s="85">
        <v>0</v>
      </c>
      <c r="Z166" s="85">
        <v>0</v>
      </c>
      <c r="AA166" s="85">
        <v>0</v>
      </c>
      <c r="AB166" s="85">
        <v>0</v>
      </c>
      <c r="AC166" s="85">
        <v>0</v>
      </c>
      <c r="AD166" s="85">
        <v>0</v>
      </c>
      <c r="AE166" s="85">
        <v>0</v>
      </c>
      <c r="AF166" s="85">
        <v>0</v>
      </c>
      <c r="AG166" s="85">
        <v>0</v>
      </c>
      <c r="AH166" s="85">
        <v>0</v>
      </c>
      <c r="AP166" s="92">
        <f t="shared" si="36"/>
        <v>17</v>
      </c>
      <c r="AQ166" s="91" t="str">
        <f t="shared" si="37"/>
        <v>0000</v>
      </c>
      <c r="AR166" s="91" t="str">
        <f t="shared" si="38"/>
        <v>0000</v>
      </c>
      <c r="AS166" s="91" t="str">
        <f t="shared" si="39"/>
        <v>0000</v>
      </c>
      <c r="AT166" s="91" t="str">
        <f t="shared" si="40"/>
        <v>00FF</v>
      </c>
      <c r="AU166" s="91" t="str">
        <f t="shared" si="32"/>
        <v>FF00</v>
      </c>
      <c r="AV166" s="91" t="str">
        <f t="shared" si="33"/>
        <v>0000</v>
      </c>
      <c r="AW166" s="91" t="str">
        <f t="shared" si="34"/>
        <v>0000</v>
      </c>
      <c r="AX166" s="91" t="str">
        <f t="shared" si="35"/>
        <v>0000</v>
      </c>
    </row>
    <row r="167" spans="1:50" s="83" customFormat="1" ht="14.1" customHeight="1">
      <c r="A167" s="82"/>
      <c r="B167" s="84">
        <v>18</v>
      </c>
      <c r="C167" s="85">
        <v>0</v>
      </c>
      <c r="D167" s="85">
        <v>0</v>
      </c>
      <c r="E167" s="85">
        <v>0</v>
      </c>
      <c r="F167" s="85">
        <v>0</v>
      </c>
      <c r="G167" s="85">
        <v>0</v>
      </c>
      <c r="H167" s="85">
        <v>0</v>
      </c>
      <c r="I167" s="85">
        <v>0</v>
      </c>
      <c r="J167" s="85">
        <v>0</v>
      </c>
      <c r="K167" s="85">
        <v>0</v>
      </c>
      <c r="L167" s="85">
        <v>0</v>
      </c>
      <c r="M167" s="85">
        <v>0</v>
      </c>
      <c r="N167" s="85">
        <v>0</v>
      </c>
      <c r="O167" s="85">
        <v>0</v>
      </c>
      <c r="P167" s="85">
        <v>0</v>
      </c>
      <c r="Q167" s="85">
        <v>0</v>
      </c>
      <c r="R167" s="85">
        <v>0</v>
      </c>
      <c r="S167" s="85">
        <v>0</v>
      </c>
      <c r="T167" s="85">
        <v>0</v>
      </c>
      <c r="U167" s="85">
        <v>0</v>
      </c>
      <c r="V167" s="85">
        <v>0</v>
      </c>
      <c r="W167" s="85">
        <v>0</v>
      </c>
      <c r="X167" s="85">
        <v>0</v>
      </c>
      <c r="Y167" s="85">
        <v>0</v>
      </c>
      <c r="Z167" s="85">
        <v>0</v>
      </c>
      <c r="AA167" s="85">
        <v>0</v>
      </c>
      <c r="AB167" s="85">
        <v>0</v>
      </c>
      <c r="AC167" s="85">
        <v>0</v>
      </c>
      <c r="AD167" s="85">
        <v>0</v>
      </c>
      <c r="AE167" s="85">
        <v>0</v>
      </c>
      <c r="AF167" s="85">
        <v>0</v>
      </c>
      <c r="AG167" s="85">
        <v>0</v>
      </c>
      <c r="AH167" s="85">
        <v>0</v>
      </c>
      <c r="AP167" s="92">
        <f t="shared" si="36"/>
        <v>18</v>
      </c>
      <c r="AQ167" s="91" t="str">
        <f t="shared" si="37"/>
        <v>0000</v>
      </c>
      <c r="AR167" s="91" t="str">
        <f t="shared" si="38"/>
        <v>0000</v>
      </c>
      <c r="AS167" s="91" t="str">
        <f t="shared" si="39"/>
        <v>0000</v>
      </c>
      <c r="AT167" s="91" t="str">
        <f t="shared" si="40"/>
        <v>0000</v>
      </c>
      <c r="AU167" s="91" t="str">
        <f t="shared" si="32"/>
        <v>0000</v>
      </c>
      <c r="AV167" s="91" t="str">
        <f t="shared" si="33"/>
        <v>0000</v>
      </c>
      <c r="AW167" s="91" t="str">
        <f t="shared" si="34"/>
        <v>0000</v>
      </c>
      <c r="AX167" s="91" t="str">
        <f t="shared" si="35"/>
        <v>0000</v>
      </c>
    </row>
    <row r="168" spans="1:50" s="83" customFormat="1" ht="14.1" customHeight="1">
      <c r="A168" s="82"/>
      <c r="B168" s="84">
        <v>19</v>
      </c>
      <c r="C168" s="85">
        <v>0</v>
      </c>
      <c r="D168" s="85">
        <v>0</v>
      </c>
      <c r="E168" s="85">
        <v>0</v>
      </c>
      <c r="F168" s="85">
        <v>0</v>
      </c>
      <c r="G168" s="85">
        <v>0</v>
      </c>
      <c r="H168" s="85">
        <v>0</v>
      </c>
      <c r="I168" s="85">
        <v>0</v>
      </c>
      <c r="J168" s="85">
        <v>0</v>
      </c>
      <c r="K168" s="85">
        <v>0</v>
      </c>
      <c r="L168" s="85">
        <v>0</v>
      </c>
      <c r="M168" s="85">
        <v>0</v>
      </c>
      <c r="N168" s="85">
        <v>0</v>
      </c>
      <c r="O168" s="85">
        <v>0</v>
      </c>
      <c r="P168" s="85">
        <v>0</v>
      </c>
      <c r="Q168" s="85">
        <v>0</v>
      </c>
      <c r="R168" s="85">
        <v>0</v>
      </c>
      <c r="S168" s="85">
        <v>0</v>
      </c>
      <c r="T168" s="85">
        <v>0</v>
      </c>
      <c r="U168" s="85">
        <v>0</v>
      </c>
      <c r="V168" s="85">
        <v>0</v>
      </c>
      <c r="W168" s="85">
        <v>0</v>
      </c>
      <c r="X168" s="85">
        <v>0</v>
      </c>
      <c r="Y168" s="85">
        <v>0</v>
      </c>
      <c r="Z168" s="85">
        <v>0</v>
      </c>
      <c r="AA168" s="85">
        <v>0</v>
      </c>
      <c r="AB168" s="85">
        <v>0</v>
      </c>
      <c r="AC168" s="85">
        <v>0</v>
      </c>
      <c r="AD168" s="85">
        <v>0</v>
      </c>
      <c r="AE168" s="85">
        <v>0</v>
      </c>
      <c r="AF168" s="85">
        <v>0</v>
      </c>
      <c r="AG168" s="85">
        <v>0</v>
      </c>
      <c r="AH168" s="85">
        <v>0</v>
      </c>
      <c r="AP168" s="92">
        <f t="shared" si="36"/>
        <v>19</v>
      </c>
      <c r="AQ168" s="91" t="str">
        <f t="shared" si="37"/>
        <v>0000</v>
      </c>
      <c r="AR168" s="91" t="str">
        <f t="shared" si="38"/>
        <v>0000</v>
      </c>
      <c r="AS168" s="91" t="str">
        <f t="shared" si="39"/>
        <v>0000</v>
      </c>
      <c r="AT168" s="91" t="str">
        <f t="shared" si="40"/>
        <v>0000</v>
      </c>
      <c r="AU168" s="91" t="str">
        <f t="shared" si="32"/>
        <v>0000</v>
      </c>
      <c r="AV168" s="91" t="str">
        <f t="shared" si="33"/>
        <v>0000</v>
      </c>
      <c r="AW168" s="91" t="str">
        <f t="shared" si="34"/>
        <v>0000</v>
      </c>
      <c r="AX168" s="91" t="str">
        <f t="shared" si="35"/>
        <v>0000</v>
      </c>
    </row>
    <row r="169" spans="1:50" s="83" customFormat="1" ht="14.1" customHeight="1">
      <c r="A169" s="82"/>
      <c r="B169" s="84">
        <v>20</v>
      </c>
      <c r="C169" s="85">
        <v>0</v>
      </c>
      <c r="D169" s="85">
        <v>0</v>
      </c>
      <c r="E169" s="85">
        <v>0</v>
      </c>
      <c r="F169" s="85">
        <v>0</v>
      </c>
      <c r="G169" s="85">
        <v>0</v>
      </c>
      <c r="H169" s="85">
        <v>0</v>
      </c>
      <c r="I169" s="85">
        <v>0</v>
      </c>
      <c r="J169" s="85">
        <v>0</v>
      </c>
      <c r="K169" s="85">
        <v>0</v>
      </c>
      <c r="L169" s="85">
        <v>0</v>
      </c>
      <c r="M169" s="85">
        <v>0</v>
      </c>
      <c r="N169" s="85">
        <v>0</v>
      </c>
      <c r="O169" s="85">
        <v>0</v>
      </c>
      <c r="P169" s="85">
        <v>0</v>
      </c>
      <c r="Q169" s="85">
        <v>0</v>
      </c>
      <c r="R169" s="85">
        <v>0</v>
      </c>
      <c r="S169" s="85">
        <v>0</v>
      </c>
      <c r="T169" s="85">
        <v>0</v>
      </c>
      <c r="U169" s="85">
        <v>0</v>
      </c>
      <c r="V169" s="85">
        <v>0</v>
      </c>
      <c r="W169" s="85">
        <v>0</v>
      </c>
      <c r="X169" s="85">
        <v>0</v>
      </c>
      <c r="Y169" s="85">
        <v>0</v>
      </c>
      <c r="Z169" s="85">
        <v>0</v>
      </c>
      <c r="AA169" s="85">
        <v>0</v>
      </c>
      <c r="AB169" s="85">
        <v>0</v>
      </c>
      <c r="AC169" s="85">
        <v>0</v>
      </c>
      <c r="AD169" s="85">
        <v>0</v>
      </c>
      <c r="AE169" s="85">
        <v>0</v>
      </c>
      <c r="AF169" s="85">
        <v>0</v>
      </c>
      <c r="AG169" s="85">
        <v>0</v>
      </c>
      <c r="AH169" s="85">
        <v>0</v>
      </c>
      <c r="AP169" s="92">
        <f t="shared" si="36"/>
        <v>20</v>
      </c>
      <c r="AQ169" s="91" t="str">
        <f t="shared" si="37"/>
        <v>0000</v>
      </c>
      <c r="AR169" s="91" t="str">
        <f t="shared" si="38"/>
        <v>0000</v>
      </c>
      <c r="AS169" s="91" t="str">
        <f t="shared" si="39"/>
        <v>0000</v>
      </c>
      <c r="AT169" s="91" t="str">
        <f t="shared" si="40"/>
        <v>0000</v>
      </c>
      <c r="AU169" s="91" t="str">
        <f t="shared" si="32"/>
        <v>0000</v>
      </c>
      <c r="AV169" s="91" t="str">
        <f t="shared" si="33"/>
        <v>0000</v>
      </c>
      <c r="AW169" s="91" t="str">
        <f t="shared" si="34"/>
        <v>0000</v>
      </c>
      <c r="AX169" s="91" t="str">
        <f t="shared" si="35"/>
        <v>0000</v>
      </c>
    </row>
    <row r="170" spans="1:50" s="83" customFormat="1" ht="14.1" customHeight="1">
      <c r="A170" s="82"/>
      <c r="B170" s="84">
        <v>21</v>
      </c>
      <c r="C170" s="85">
        <v>0</v>
      </c>
      <c r="D170" s="85">
        <v>0</v>
      </c>
      <c r="E170" s="85">
        <v>0</v>
      </c>
      <c r="F170" s="85">
        <v>0</v>
      </c>
      <c r="G170" s="85">
        <v>0</v>
      </c>
      <c r="H170" s="85">
        <v>0</v>
      </c>
      <c r="I170" s="85">
        <v>0</v>
      </c>
      <c r="J170" s="85">
        <v>0</v>
      </c>
      <c r="K170" s="85">
        <v>0</v>
      </c>
      <c r="L170" s="85">
        <v>0</v>
      </c>
      <c r="M170" s="85">
        <v>0</v>
      </c>
      <c r="N170" s="85">
        <v>0</v>
      </c>
      <c r="O170" s="85">
        <v>0</v>
      </c>
      <c r="P170" s="85">
        <v>0</v>
      </c>
      <c r="Q170" s="85">
        <v>0</v>
      </c>
      <c r="R170" s="85">
        <v>0</v>
      </c>
      <c r="S170" s="85">
        <v>0</v>
      </c>
      <c r="T170" s="85">
        <v>0</v>
      </c>
      <c r="U170" s="85">
        <v>0</v>
      </c>
      <c r="V170" s="85">
        <v>0</v>
      </c>
      <c r="W170" s="85">
        <v>0</v>
      </c>
      <c r="X170" s="85">
        <v>0</v>
      </c>
      <c r="Y170" s="85">
        <v>0</v>
      </c>
      <c r="Z170" s="85">
        <v>0</v>
      </c>
      <c r="AA170" s="85">
        <v>0</v>
      </c>
      <c r="AB170" s="85">
        <v>0</v>
      </c>
      <c r="AC170" s="85">
        <v>0</v>
      </c>
      <c r="AD170" s="85">
        <v>0</v>
      </c>
      <c r="AE170" s="85">
        <v>0</v>
      </c>
      <c r="AF170" s="85">
        <v>0</v>
      </c>
      <c r="AG170" s="85">
        <v>0</v>
      </c>
      <c r="AH170" s="85">
        <v>0</v>
      </c>
      <c r="AP170" s="92">
        <f t="shared" si="36"/>
        <v>21</v>
      </c>
      <c r="AQ170" s="91" t="str">
        <f t="shared" si="37"/>
        <v>0000</v>
      </c>
      <c r="AR170" s="91" t="str">
        <f t="shared" si="38"/>
        <v>0000</v>
      </c>
      <c r="AS170" s="91" t="str">
        <f t="shared" si="39"/>
        <v>0000</v>
      </c>
      <c r="AT170" s="91" t="str">
        <f t="shared" si="40"/>
        <v>0000</v>
      </c>
      <c r="AU170" s="91" t="str">
        <f t="shared" si="32"/>
        <v>0000</v>
      </c>
      <c r="AV170" s="91" t="str">
        <f t="shared" si="33"/>
        <v>0000</v>
      </c>
      <c r="AW170" s="91" t="str">
        <f t="shared" si="34"/>
        <v>0000</v>
      </c>
      <c r="AX170" s="91" t="str">
        <f t="shared" si="35"/>
        <v>0000</v>
      </c>
    </row>
    <row r="171" spans="1:50" s="83" customFormat="1" ht="14.1" customHeight="1">
      <c r="A171" s="82"/>
      <c r="B171" s="84">
        <v>22</v>
      </c>
      <c r="C171" s="85">
        <v>0</v>
      </c>
      <c r="D171" s="85">
        <v>0</v>
      </c>
      <c r="E171" s="85">
        <v>0</v>
      </c>
      <c r="F171" s="85">
        <v>0</v>
      </c>
      <c r="G171" s="85">
        <v>0</v>
      </c>
      <c r="H171" s="85">
        <v>0</v>
      </c>
      <c r="I171" s="85">
        <v>0</v>
      </c>
      <c r="J171" s="85">
        <v>0</v>
      </c>
      <c r="K171" s="85">
        <v>0</v>
      </c>
      <c r="L171" s="85">
        <v>0</v>
      </c>
      <c r="M171" s="85">
        <v>0</v>
      </c>
      <c r="N171" s="85">
        <v>0</v>
      </c>
      <c r="O171" s="85">
        <v>0</v>
      </c>
      <c r="P171" s="85">
        <v>0</v>
      </c>
      <c r="Q171" s="85">
        <v>0</v>
      </c>
      <c r="R171" s="85">
        <v>0</v>
      </c>
      <c r="S171" s="85">
        <v>0</v>
      </c>
      <c r="T171" s="85">
        <v>0</v>
      </c>
      <c r="U171" s="85">
        <v>0</v>
      </c>
      <c r="V171" s="85">
        <v>0</v>
      </c>
      <c r="W171" s="85">
        <v>0</v>
      </c>
      <c r="X171" s="85">
        <v>0</v>
      </c>
      <c r="Y171" s="85">
        <v>0</v>
      </c>
      <c r="Z171" s="85">
        <v>0</v>
      </c>
      <c r="AA171" s="85">
        <v>0</v>
      </c>
      <c r="AB171" s="85">
        <v>0</v>
      </c>
      <c r="AC171" s="85">
        <v>0</v>
      </c>
      <c r="AD171" s="85">
        <v>0</v>
      </c>
      <c r="AE171" s="85">
        <v>0</v>
      </c>
      <c r="AF171" s="85">
        <v>0</v>
      </c>
      <c r="AG171" s="85">
        <v>0</v>
      </c>
      <c r="AH171" s="85">
        <v>0</v>
      </c>
      <c r="AP171" s="92">
        <f t="shared" si="36"/>
        <v>22</v>
      </c>
      <c r="AQ171" s="91" t="str">
        <f t="shared" si="37"/>
        <v>0000</v>
      </c>
      <c r="AR171" s="91" t="str">
        <f t="shared" si="38"/>
        <v>0000</v>
      </c>
      <c r="AS171" s="91" t="str">
        <f t="shared" si="39"/>
        <v>0000</v>
      </c>
      <c r="AT171" s="91" t="str">
        <f t="shared" si="40"/>
        <v>0000</v>
      </c>
      <c r="AU171" s="91" t="str">
        <f t="shared" si="32"/>
        <v>0000</v>
      </c>
      <c r="AV171" s="91" t="str">
        <f t="shared" si="33"/>
        <v>0000</v>
      </c>
      <c r="AW171" s="91" t="str">
        <f t="shared" si="34"/>
        <v>0000</v>
      </c>
      <c r="AX171" s="91" t="str">
        <f t="shared" si="35"/>
        <v>0000</v>
      </c>
    </row>
    <row r="172" spans="1:50" s="83" customFormat="1" ht="14.1" customHeight="1">
      <c r="A172" s="82"/>
      <c r="B172" s="84">
        <v>23</v>
      </c>
      <c r="C172" s="85">
        <v>0</v>
      </c>
      <c r="D172" s="85">
        <v>0</v>
      </c>
      <c r="E172" s="85">
        <v>0</v>
      </c>
      <c r="F172" s="85">
        <v>0</v>
      </c>
      <c r="G172" s="85">
        <v>0</v>
      </c>
      <c r="H172" s="85">
        <v>0</v>
      </c>
      <c r="I172" s="85">
        <v>0</v>
      </c>
      <c r="J172" s="85">
        <v>0</v>
      </c>
      <c r="K172" s="85">
        <v>0</v>
      </c>
      <c r="L172" s="85">
        <v>0</v>
      </c>
      <c r="M172" s="85">
        <v>0</v>
      </c>
      <c r="N172" s="85">
        <v>0</v>
      </c>
      <c r="O172" s="85">
        <v>0</v>
      </c>
      <c r="P172" s="85">
        <v>0</v>
      </c>
      <c r="Q172" s="85">
        <v>0</v>
      </c>
      <c r="R172" s="85">
        <v>0</v>
      </c>
      <c r="S172" s="85">
        <v>0</v>
      </c>
      <c r="T172" s="85">
        <v>0</v>
      </c>
      <c r="U172" s="85">
        <v>0</v>
      </c>
      <c r="V172" s="85">
        <v>0</v>
      </c>
      <c r="W172" s="85">
        <v>0</v>
      </c>
      <c r="X172" s="85">
        <v>0</v>
      </c>
      <c r="Y172" s="85">
        <v>0</v>
      </c>
      <c r="Z172" s="85">
        <v>0</v>
      </c>
      <c r="AA172" s="85">
        <v>0</v>
      </c>
      <c r="AB172" s="85">
        <v>0</v>
      </c>
      <c r="AC172" s="85">
        <v>0</v>
      </c>
      <c r="AD172" s="85">
        <v>0</v>
      </c>
      <c r="AE172" s="85">
        <v>0</v>
      </c>
      <c r="AF172" s="85">
        <v>0</v>
      </c>
      <c r="AG172" s="85">
        <v>0</v>
      </c>
      <c r="AH172" s="85">
        <v>0</v>
      </c>
      <c r="AP172" s="92">
        <f t="shared" si="36"/>
        <v>23</v>
      </c>
      <c r="AQ172" s="91" t="str">
        <f t="shared" si="37"/>
        <v>0000</v>
      </c>
      <c r="AR172" s="91" t="str">
        <f t="shared" si="38"/>
        <v>0000</v>
      </c>
      <c r="AS172" s="91" t="str">
        <f t="shared" si="39"/>
        <v>0000</v>
      </c>
      <c r="AT172" s="91" t="str">
        <f t="shared" si="40"/>
        <v>0000</v>
      </c>
      <c r="AU172" s="91" t="str">
        <f t="shared" si="32"/>
        <v>0000</v>
      </c>
      <c r="AV172" s="91" t="str">
        <f t="shared" si="33"/>
        <v>0000</v>
      </c>
      <c r="AW172" s="91" t="str">
        <f t="shared" si="34"/>
        <v>0000</v>
      </c>
      <c r="AX172" s="91" t="str">
        <f t="shared" si="35"/>
        <v>0000</v>
      </c>
    </row>
    <row r="173" spans="1:50" s="83" customFormat="1" ht="14.1" customHeight="1">
      <c r="A173" s="82"/>
      <c r="B173" s="84">
        <v>24</v>
      </c>
      <c r="C173" s="85">
        <v>0</v>
      </c>
      <c r="D173" s="85">
        <v>0</v>
      </c>
      <c r="E173" s="85">
        <v>0</v>
      </c>
      <c r="F173" s="85">
        <v>0</v>
      </c>
      <c r="G173" s="85">
        <v>0</v>
      </c>
      <c r="H173" s="85">
        <v>0</v>
      </c>
      <c r="I173" s="85">
        <v>0</v>
      </c>
      <c r="J173" s="85">
        <v>0</v>
      </c>
      <c r="K173" s="85">
        <v>0</v>
      </c>
      <c r="L173" s="85">
        <v>0</v>
      </c>
      <c r="M173" s="85">
        <v>0</v>
      </c>
      <c r="N173" s="85">
        <v>0</v>
      </c>
      <c r="O173" s="85">
        <v>0</v>
      </c>
      <c r="P173" s="85">
        <v>0</v>
      </c>
      <c r="Q173" s="85">
        <v>0</v>
      </c>
      <c r="R173" s="85">
        <v>0</v>
      </c>
      <c r="S173" s="85">
        <v>0</v>
      </c>
      <c r="T173" s="85">
        <v>0</v>
      </c>
      <c r="U173" s="85">
        <v>0</v>
      </c>
      <c r="V173" s="85">
        <v>0</v>
      </c>
      <c r="W173" s="85">
        <v>0</v>
      </c>
      <c r="X173" s="85">
        <v>0</v>
      </c>
      <c r="Y173" s="85">
        <v>0</v>
      </c>
      <c r="Z173" s="85">
        <v>0</v>
      </c>
      <c r="AA173" s="85">
        <v>0</v>
      </c>
      <c r="AB173" s="85">
        <v>0</v>
      </c>
      <c r="AC173" s="85">
        <v>0</v>
      </c>
      <c r="AD173" s="85">
        <v>0</v>
      </c>
      <c r="AE173" s="85">
        <v>0</v>
      </c>
      <c r="AF173" s="85">
        <v>0</v>
      </c>
      <c r="AG173" s="85">
        <v>0</v>
      </c>
      <c r="AH173" s="85">
        <v>0</v>
      </c>
      <c r="AP173" s="92">
        <f t="shared" si="36"/>
        <v>24</v>
      </c>
      <c r="AQ173" s="91" t="str">
        <f t="shared" si="37"/>
        <v>0000</v>
      </c>
      <c r="AR173" s="91" t="str">
        <f t="shared" si="38"/>
        <v>0000</v>
      </c>
      <c r="AS173" s="91" t="str">
        <f t="shared" si="39"/>
        <v>0000</v>
      </c>
      <c r="AT173" s="91" t="str">
        <f t="shared" si="40"/>
        <v>0000</v>
      </c>
      <c r="AU173" s="91" t="str">
        <f t="shared" si="32"/>
        <v>0000</v>
      </c>
      <c r="AV173" s="91" t="str">
        <f t="shared" si="33"/>
        <v>0000</v>
      </c>
      <c r="AW173" s="91" t="str">
        <f t="shared" si="34"/>
        <v>0000</v>
      </c>
      <c r="AX173" s="91" t="str">
        <f t="shared" si="35"/>
        <v>0000</v>
      </c>
    </row>
    <row r="174" spans="1:50" s="83" customFormat="1" ht="14.1" customHeight="1">
      <c r="A174" s="82"/>
      <c r="B174" s="84">
        <v>25</v>
      </c>
      <c r="C174" s="85">
        <v>0</v>
      </c>
      <c r="D174" s="85">
        <v>0</v>
      </c>
      <c r="E174" s="85">
        <v>0</v>
      </c>
      <c r="F174" s="85">
        <v>0</v>
      </c>
      <c r="G174" s="85">
        <v>0</v>
      </c>
      <c r="H174" s="85">
        <v>0</v>
      </c>
      <c r="I174" s="85">
        <v>0</v>
      </c>
      <c r="J174" s="85">
        <v>0</v>
      </c>
      <c r="K174" s="85">
        <v>0</v>
      </c>
      <c r="L174" s="85">
        <v>0</v>
      </c>
      <c r="M174" s="85">
        <v>0</v>
      </c>
      <c r="N174" s="85">
        <v>0</v>
      </c>
      <c r="O174" s="85">
        <v>0</v>
      </c>
      <c r="P174" s="85">
        <v>0</v>
      </c>
      <c r="Q174" s="85">
        <v>0</v>
      </c>
      <c r="R174" s="85">
        <v>0</v>
      </c>
      <c r="S174" s="85">
        <v>0</v>
      </c>
      <c r="T174" s="85">
        <v>0</v>
      </c>
      <c r="U174" s="85">
        <v>0</v>
      </c>
      <c r="V174" s="85">
        <v>0</v>
      </c>
      <c r="W174" s="85">
        <v>0</v>
      </c>
      <c r="X174" s="85">
        <v>0</v>
      </c>
      <c r="Y174" s="85">
        <v>0</v>
      </c>
      <c r="Z174" s="85">
        <v>0</v>
      </c>
      <c r="AA174" s="85">
        <v>0</v>
      </c>
      <c r="AB174" s="85">
        <v>0</v>
      </c>
      <c r="AC174" s="85">
        <v>0</v>
      </c>
      <c r="AD174" s="85">
        <v>0</v>
      </c>
      <c r="AE174" s="85">
        <v>0</v>
      </c>
      <c r="AF174" s="85">
        <v>0</v>
      </c>
      <c r="AG174" s="85">
        <v>0</v>
      </c>
      <c r="AH174" s="85">
        <v>0</v>
      </c>
      <c r="AP174" s="92">
        <f t="shared" si="36"/>
        <v>25</v>
      </c>
      <c r="AQ174" s="91" t="str">
        <f t="shared" si="37"/>
        <v>0000</v>
      </c>
      <c r="AR174" s="91" t="str">
        <f t="shared" si="38"/>
        <v>0000</v>
      </c>
      <c r="AS174" s="91" t="str">
        <f t="shared" si="39"/>
        <v>0000</v>
      </c>
      <c r="AT174" s="91" t="str">
        <f t="shared" si="40"/>
        <v>0000</v>
      </c>
      <c r="AU174" s="91" t="str">
        <f t="shared" si="32"/>
        <v>0000</v>
      </c>
      <c r="AV174" s="91" t="str">
        <f t="shared" si="33"/>
        <v>0000</v>
      </c>
      <c r="AW174" s="91" t="str">
        <f t="shared" si="34"/>
        <v>0000</v>
      </c>
      <c r="AX174" s="91" t="str">
        <f t="shared" si="35"/>
        <v>0000</v>
      </c>
    </row>
    <row r="175" spans="1:50" s="83" customFormat="1" ht="14.1" customHeight="1">
      <c r="A175" s="82"/>
      <c r="B175" s="84">
        <v>26</v>
      </c>
      <c r="C175" s="85">
        <v>0</v>
      </c>
      <c r="D175" s="85">
        <v>0</v>
      </c>
      <c r="E175" s="85">
        <v>0</v>
      </c>
      <c r="F175" s="85">
        <v>0</v>
      </c>
      <c r="G175" s="85">
        <v>0</v>
      </c>
      <c r="H175" s="85">
        <v>0</v>
      </c>
      <c r="I175" s="85">
        <v>0</v>
      </c>
      <c r="J175" s="85">
        <v>0</v>
      </c>
      <c r="K175" s="85">
        <v>0</v>
      </c>
      <c r="L175" s="85">
        <v>0</v>
      </c>
      <c r="M175" s="85">
        <v>0</v>
      </c>
      <c r="N175" s="85">
        <v>0</v>
      </c>
      <c r="O175" s="85">
        <v>0</v>
      </c>
      <c r="P175" s="85">
        <v>0</v>
      </c>
      <c r="Q175" s="85">
        <v>0</v>
      </c>
      <c r="R175" s="85">
        <v>0</v>
      </c>
      <c r="S175" s="85">
        <v>0</v>
      </c>
      <c r="T175" s="85">
        <v>0</v>
      </c>
      <c r="U175" s="85">
        <v>0</v>
      </c>
      <c r="V175" s="85">
        <v>0</v>
      </c>
      <c r="W175" s="85">
        <v>0</v>
      </c>
      <c r="X175" s="85">
        <v>0</v>
      </c>
      <c r="Y175" s="85">
        <v>0</v>
      </c>
      <c r="Z175" s="85">
        <v>0</v>
      </c>
      <c r="AA175" s="85">
        <v>0</v>
      </c>
      <c r="AB175" s="85">
        <v>0</v>
      </c>
      <c r="AC175" s="85">
        <v>0</v>
      </c>
      <c r="AD175" s="85">
        <v>0</v>
      </c>
      <c r="AE175" s="85">
        <v>0</v>
      </c>
      <c r="AF175" s="85">
        <v>0</v>
      </c>
      <c r="AG175" s="85">
        <v>0</v>
      </c>
      <c r="AH175" s="85">
        <v>0</v>
      </c>
      <c r="AP175" s="92">
        <f t="shared" si="36"/>
        <v>26</v>
      </c>
      <c r="AQ175" s="91" t="str">
        <f t="shared" si="37"/>
        <v>0000</v>
      </c>
      <c r="AR175" s="91" t="str">
        <f t="shared" si="38"/>
        <v>0000</v>
      </c>
      <c r="AS175" s="91" t="str">
        <f t="shared" si="39"/>
        <v>0000</v>
      </c>
      <c r="AT175" s="91" t="str">
        <f t="shared" si="40"/>
        <v>0000</v>
      </c>
      <c r="AU175" s="91" t="str">
        <f t="shared" si="32"/>
        <v>0000</v>
      </c>
      <c r="AV175" s="91" t="str">
        <f t="shared" si="33"/>
        <v>0000</v>
      </c>
      <c r="AW175" s="91" t="str">
        <f t="shared" si="34"/>
        <v>0000</v>
      </c>
      <c r="AX175" s="91" t="str">
        <f t="shared" si="35"/>
        <v>0000</v>
      </c>
    </row>
    <row r="176" spans="1:50" s="83" customFormat="1" ht="14.1" customHeight="1">
      <c r="A176" s="82"/>
      <c r="B176" s="84">
        <v>27</v>
      </c>
      <c r="C176" s="85">
        <v>0</v>
      </c>
      <c r="D176" s="85">
        <v>0</v>
      </c>
      <c r="E176" s="85">
        <v>0</v>
      </c>
      <c r="F176" s="85">
        <v>0</v>
      </c>
      <c r="G176" s="85">
        <v>0</v>
      </c>
      <c r="H176" s="85">
        <v>0</v>
      </c>
      <c r="I176" s="85">
        <v>0</v>
      </c>
      <c r="J176" s="85">
        <v>0</v>
      </c>
      <c r="K176" s="85">
        <v>0</v>
      </c>
      <c r="L176" s="85">
        <v>0</v>
      </c>
      <c r="M176" s="85">
        <v>0</v>
      </c>
      <c r="N176" s="85">
        <v>0</v>
      </c>
      <c r="O176" s="85">
        <v>0</v>
      </c>
      <c r="P176" s="85">
        <v>0</v>
      </c>
      <c r="Q176" s="85">
        <v>0</v>
      </c>
      <c r="R176" s="85">
        <v>0</v>
      </c>
      <c r="S176" s="85">
        <v>0</v>
      </c>
      <c r="T176" s="85">
        <v>0</v>
      </c>
      <c r="U176" s="85">
        <v>0</v>
      </c>
      <c r="V176" s="85">
        <v>0</v>
      </c>
      <c r="W176" s="85">
        <v>0</v>
      </c>
      <c r="X176" s="85">
        <v>0</v>
      </c>
      <c r="Y176" s="85">
        <v>0</v>
      </c>
      <c r="Z176" s="85">
        <v>0</v>
      </c>
      <c r="AA176" s="85">
        <v>0</v>
      </c>
      <c r="AB176" s="85">
        <v>0</v>
      </c>
      <c r="AC176" s="85">
        <v>0</v>
      </c>
      <c r="AD176" s="85">
        <v>0</v>
      </c>
      <c r="AE176" s="85">
        <v>0</v>
      </c>
      <c r="AF176" s="85">
        <v>0</v>
      </c>
      <c r="AG176" s="85">
        <v>0</v>
      </c>
      <c r="AH176" s="85">
        <v>0</v>
      </c>
      <c r="AP176" s="92">
        <f t="shared" si="36"/>
        <v>27</v>
      </c>
      <c r="AQ176" s="91" t="str">
        <f t="shared" si="37"/>
        <v>0000</v>
      </c>
      <c r="AR176" s="91" t="str">
        <f t="shared" si="38"/>
        <v>0000</v>
      </c>
      <c r="AS176" s="91" t="str">
        <f t="shared" si="39"/>
        <v>0000</v>
      </c>
      <c r="AT176" s="91" t="str">
        <f t="shared" si="40"/>
        <v>0000</v>
      </c>
      <c r="AU176" s="91" t="str">
        <f t="shared" si="32"/>
        <v>0000</v>
      </c>
      <c r="AV176" s="91" t="str">
        <f t="shared" si="33"/>
        <v>0000</v>
      </c>
      <c r="AW176" s="91" t="str">
        <f t="shared" si="34"/>
        <v>0000</v>
      </c>
      <c r="AX176" s="91" t="str">
        <f t="shared" si="35"/>
        <v>0000</v>
      </c>
    </row>
    <row r="177" spans="1:50" s="83" customFormat="1" ht="14.1" customHeight="1">
      <c r="A177" s="82"/>
      <c r="B177" s="84">
        <v>28</v>
      </c>
      <c r="C177" s="85">
        <v>0</v>
      </c>
      <c r="D177" s="85">
        <v>0</v>
      </c>
      <c r="E177" s="85">
        <v>0</v>
      </c>
      <c r="F177" s="85">
        <v>0</v>
      </c>
      <c r="G177" s="85">
        <v>0</v>
      </c>
      <c r="H177" s="85">
        <v>0</v>
      </c>
      <c r="I177" s="85">
        <v>0</v>
      </c>
      <c r="J177" s="85">
        <v>0</v>
      </c>
      <c r="K177" s="85">
        <v>0</v>
      </c>
      <c r="L177" s="85">
        <v>0</v>
      </c>
      <c r="M177" s="85">
        <v>0</v>
      </c>
      <c r="N177" s="85">
        <v>0</v>
      </c>
      <c r="O177" s="85">
        <v>0</v>
      </c>
      <c r="P177" s="85">
        <v>0</v>
      </c>
      <c r="Q177" s="85">
        <v>0</v>
      </c>
      <c r="R177" s="85">
        <v>0</v>
      </c>
      <c r="S177" s="85">
        <v>0</v>
      </c>
      <c r="T177" s="85">
        <v>0</v>
      </c>
      <c r="U177" s="85">
        <v>0</v>
      </c>
      <c r="V177" s="85">
        <v>0</v>
      </c>
      <c r="W177" s="85">
        <v>0</v>
      </c>
      <c r="X177" s="85">
        <v>0</v>
      </c>
      <c r="Y177" s="85">
        <v>0</v>
      </c>
      <c r="Z177" s="85">
        <v>0</v>
      </c>
      <c r="AA177" s="85">
        <v>0</v>
      </c>
      <c r="AB177" s="85">
        <v>0</v>
      </c>
      <c r="AC177" s="85">
        <v>0</v>
      </c>
      <c r="AD177" s="85">
        <v>0</v>
      </c>
      <c r="AE177" s="85">
        <v>0</v>
      </c>
      <c r="AF177" s="85">
        <v>0</v>
      </c>
      <c r="AG177" s="85">
        <v>0</v>
      </c>
      <c r="AH177" s="85">
        <v>0</v>
      </c>
      <c r="AP177" s="92">
        <f t="shared" si="36"/>
        <v>28</v>
      </c>
      <c r="AQ177" s="91" t="str">
        <f t="shared" si="37"/>
        <v>0000</v>
      </c>
      <c r="AR177" s="91" t="str">
        <f t="shared" si="38"/>
        <v>0000</v>
      </c>
      <c r="AS177" s="91" t="str">
        <f t="shared" si="39"/>
        <v>0000</v>
      </c>
      <c r="AT177" s="91" t="str">
        <f t="shared" si="40"/>
        <v>0000</v>
      </c>
      <c r="AU177" s="91" t="str">
        <f t="shared" si="32"/>
        <v>0000</v>
      </c>
      <c r="AV177" s="91" t="str">
        <f t="shared" si="33"/>
        <v>0000</v>
      </c>
      <c r="AW177" s="91" t="str">
        <f t="shared" si="34"/>
        <v>0000</v>
      </c>
      <c r="AX177" s="91" t="str">
        <f t="shared" si="35"/>
        <v>0000</v>
      </c>
    </row>
    <row r="178" spans="1:50" s="83" customFormat="1" ht="14.1" customHeight="1">
      <c r="A178" s="82"/>
      <c r="B178" s="84">
        <v>29</v>
      </c>
      <c r="C178" s="85">
        <v>0</v>
      </c>
      <c r="D178" s="85">
        <v>0</v>
      </c>
      <c r="E178" s="85">
        <v>0</v>
      </c>
      <c r="F178" s="85">
        <v>0</v>
      </c>
      <c r="G178" s="85">
        <v>0</v>
      </c>
      <c r="H178" s="85">
        <v>0</v>
      </c>
      <c r="I178" s="85">
        <v>0</v>
      </c>
      <c r="J178" s="85">
        <v>0</v>
      </c>
      <c r="K178" s="85">
        <v>0</v>
      </c>
      <c r="L178" s="85">
        <v>0</v>
      </c>
      <c r="M178" s="85">
        <v>0</v>
      </c>
      <c r="N178" s="85">
        <v>0</v>
      </c>
      <c r="O178" s="85">
        <v>0</v>
      </c>
      <c r="P178" s="85">
        <v>0</v>
      </c>
      <c r="Q178" s="85">
        <v>0</v>
      </c>
      <c r="R178" s="85">
        <v>0</v>
      </c>
      <c r="S178" s="85">
        <v>0</v>
      </c>
      <c r="T178" s="85">
        <v>0</v>
      </c>
      <c r="U178" s="85">
        <v>0</v>
      </c>
      <c r="V178" s="85">
        <v>0</v>
      </c>
      <c r="W178" s="85">
        <v>0</v>
      </c>
      <c r="X178" s="85">
        <v>0</v>
      </c>
      <c r="Y178" s="85">
        <v>0</v>
      </c>
      <c r="Z178" s="85">
        <v>0</v>
      </c>
      <c r="AA178" s="85">
        <v>0</v>
      </c>
      <c r="AB178" s="85">
        <v>0</v>
      </c>
      <c r="AC178" s="85">
        <v>0</v>
      </c>
      <c r="AD178" s="85">
        <v>0</v>
      </c>
      <c r="AE178" s="85">
        <v>0</v>
      </c>
      <c r="AF178" s="85">
        <v>0</v>
      </c>
      <c r="AG178" s="85">
        <v>0</v>
      </c>
      <c r="AH178" s="85">
        <v>0</v>
      </c>
      <c r="AP178" s="92">
        <f t="shared" si="36"/>
        <v>29</v>
      </c>
      <c r="AQ178" s="91" t="str">
        <f t="shared" si="37"/>
        <v>0000</v>
      </c>
      <c r="AR178" s="91" t="str">
        <f t="shared" si="38"/>
        <v>0000</v>
      </c>
      <c r="AS178" s="91" t="str">
        <f t="shared" si="39"/>
        <v>0000</v>
      </c>
      <c r="AT178" s="91" t="str">
        <f t="shared" si="40"/>
        <v>0000</v>
      </c>
      <c r="AU178" s="91" t="str">
        <f t="shared" si="32"/>
        <v>0000</v>
      </c>
      <c r="AV178" s="91" t="str">
        <f t="shared" si="33"/>
        <v>0000</v>
      </c>
      <c r="AW178" s="91" t="str">
        <f t="shared" si="34"/>
        <v>0000</v>
      </c>
      <c r="AX178" s="91" t="str">
        <f t="shared" si="35"/>
        <v>0000</v>
      </c>
    </row>
    <row r="179" spans="1:50" s="83" customFormat="1" ht="14.1" customHeight="1">
      <c r="A179" s="82"/>
      <c r="B179" s="84">
        <v>30</v>
      </c>
      <c r="C179" s="85">
        <v>0</v>
      </c>
      <c r="D179" s="85">
        <v>0</v>
      </c>
      <c r="E179" s="85">
        <v>0</v>
      </c>
      <c r="F179" s="85">
        <v>0</v>
      </c>
      <c r="G179" s="85">
        <v>0</v>
      </c>
      <c r="H179" s="85">
        <v>0</v>
      </c>
      <c r="I179" s="85">
        <v>0</v>
      </c>
      <c r="J179" s="85">
        <v>0</v>
      </c>
      <c r="K179" s="85">
        <v>0</v>
      </c>
      <c r="L179" s="85">
        <v>0</v>
      </c>
      <c r="M179" s="85">
        <v>0</v>
      </c>
      <c r="N179" s="85">
        <v>0</v>
      </c>
      <c r="O179" s="85">
        <v>0</v>
      </c>
      <c r="P179" s="85">
        <v>0</v>
      </c>
      <c r="Q179" s="85">
        <v>0</v>
      </c>
      <c r="R179" s="85">
        <v>0</v>
      </c>
      <c r="S179" s="85">
        <v>0</v>
      </c>
      <c r="T179" s="85">
        <v>0</v>
      </c>
      <c r="U179" s="85">
        <v>0</v>
      </c>
      <c r="V179" s="85">
        <v>0</v>
      </c>
      <c r="W179" s="85">
        <v>0</v>
      </c>
      <c r="X179" s="85">
        <v>0</v>
      </c>
      <c r="Y179" s="85">
        <v>0</v>
      </c>
      <c r="Z179" s="85">
        <v>0</v>
      </c>
      <c r="AA179" s="85">
        <v>0</v>
      </c>
      <c r="AB179" s="85">
        <v>0</v>
      </c>
      <c r="AC179" s="85">
        <v>0</v>
      </c>
      <c r="AD179" s="85">
        <v>0</v>
      </c>
      <c r="AE179" s="85">
        <v>0</v>
      </c>
      <c r="AF179" s="85">
        <v>0</v>
      </c>
      <c r="AG179" s="85">
        <v>0</v>
      </c>
      <c r="AH179" s="85">
        <v>0</v>
      </c>
      <c r="AP179" s="92">
        <f t="shared" si="36"/>
        <v>30</v>
      </c>
      <c r="AQ179" s="91" t="str">
        <f t="shared" si="37"/>
        <v>0000</v>
      </c>
      <c r="AR179" s="91" t="str">
        <f t="shared" si="38"/>
        <v>0000</v>
      </c>
      <c r="AS179" s="91" t="str">
        <f t="shared" si="39"/>
        <v>0000</v>
      </c>
      <c r="AT179" s="91" t="str">
        <f t="shared" si="40"/>
        <v>0000</v>
      </c>
      <c r="AU179" s="91" t="str">
        <f t="shared" si="32"/>
        <v>0000</v>
      </c>
      <c r="AV179" s="91" t="str">
        <f t="shared" si="33"/>
        <v>0000</v>
      </c>
      <c r="AW179" s="91" t="str">
        <f t="shared" si="34"/>
        <v>0000</v>
      </c>
      <c r="AX179" s="91" t="str">
        <f t="shared" si="35"/>
        <v>0000</v>
      </c>
    </row>
    <row r="180" spans="1:50" s="83" customFormat="1" ht="14.1" customHeight="1">
      <c r="A180" s="82"/>
      <c r="B180" s="84">
        <v>31</v>
      </c>
      <c r="C180" s="85">
        <v>0</v>
      </c>
      <c r="D180" s="85">
        <v>0</v>
      </c>
      <c r="E180" s="85">
        <v>0</v>
      </c>
      <c r="F180" s="85">
        <v>0</v>
      </c>
      <c r="G180" s="85">
        <v>0</v>
      </c>
      <c r="H180" s="85">
        <v>0</v>
      </c>
      <c r="I180" s="85">
        <v>0</v>
      </c>
      <c r="J180" s="85">
        <v>0</v>
      </c>
      <c r="K180" s="85">
        <v>0</v>
      </c>
      <c r="L180" s="85">
        <v>0</v>
      </c>
      <c r="M180" s="85">
        <v>0</v>
      </c>
      <c r="N180" s="85">
        <v>0</v>
      </c>
      <c r="O180" s="85">
        <v>0</v>
      </c>
      <c r="P180" s="85">
        <v>0</v>
      </c>
      <c r="Q180" s="85">
        <v>0</v>
      </c>
      <c r="R180" s="85">
        <v>0</v>
      </c>
      <c r="S180" s="85">
        <v>0</v>
      </c>
      <c r="T180" s="85">
        <v>0</v>
      </c>
      <c r="U180" s="85">
        <v>0</v>
      </c>
      <c r="V180" s="85">
        <v>0</v>
      </c>
      <c r="W180" s="85">
        <v>0</v>
      </c>
      <c r="X180" s="85">
        <v>0</v>
      </c>
      <c r="Y180" s="85">
        <v>0</v>
      </c>
      <c r="Z180" s="85">
        <v>0</v>
      </c>
      <c r="AA180" s="85">
        <v>0</v>
      </c>
      <c r="AB180" s="85">
        <v>0</v>
      </c>
      <c r="AC180" s="85">
        <v>0</v>
      </c>
      <c r="AD180" s="85">
        <v>0</v>
      </c>
      <c r="AE180" s="85">
        <v>0</v>
      </c>
      <c r="AF180" s="85">
        <v>0</v>
      </c>
      <c r="AG180" s="85">
        <v>0</v>
      </c>
      <c r="AH180" s="85">
        <v>0</v>
      </c>
      <c r="AP180" s="92">
        <f t="shared" si="36"/>
        <v>31</v>
      </c>
      <c r="AQ180" s="91" t="str">
        <f t="shared" si="37"/>
        <v>0000</v>
      </c>
      <c r="AR180" s="91" t="str">
        <f t="shared" si="38"/>
        <v>0000</v>
      </c>
      <c r="AS180" s="91" t="str">
        <f t="shared" si="39"/>
        <v>0000</v>
      </c>
      <c r="AT180" s="91" t="str">
        <f t="shared" si="40"/>
        <v>0000</v>
      </c>
      <c r="AU180" s="91" t="str">
        <f t="shared" si="32"/>
        <v>0000</v>
      </c>
      <c r="AV180" s="91" t="str">
        <f t="shared" si="33"/>
        <v>0000</v>
      </c>
      <c r="AW180" s="91" t="str">
        <f t="shared" si="34"/>
        <v>0000</v>
      </c>
      <c r="AX180" s="91" t="str">
        <f t="shared" si="35"/>
        <v>0000</v>
      </c>
    </row>
    <row r="181" spans="1:50" s="83" customFormat="1">
      <c r="A181" s="82"/>
      <c r="AP181" s="90"/>
      <c r="AU181" s="91"/>
      <c r="AV181" s="91"/>
      <c r="AW181" s="91"/>
      <c r="AX181" s="91"/>
    </row>
    <row r="182" spans="1:50" s="83" customFormat="1">
      <c r="A182" s="82"/>
      <c r="AP182" s="90"/>
      <c r="AU182" s="91"/>
      <c r="AV182" s="91"/>
      <c r="AW182" s="91"/>
      <c r="AX182" s="91"/>
    </row>
    <row r="183" spans="1:50" s="83" customFormat="1">
      <c r="A183" s="82" t="s">
        <v>312</v>
      </c>
      <c r="AP183" s="88" t="str">
        <f>A183</f>
        <v>6.Spot 2 (Storage to ROM)</v>
      </c>
      <c r="AU183" s="91"/>
      <c r="AV183" s="91"/>
      <c r="AW183" s="91"/>
      <c r="AX183" s="91"/>
    </row>
    <row r="184" spans="1:50" s="83" customFormat="1">
      <c r="A184" s="82"/>
      <c r="C184" s="84">
        <v>0</v>
      </c>
      <c r="D184" s="84">
        <v>1</v>
      </c>
      <c r="E184" s="84">
        <v>2</v>
      </c>
      <c r="F184" s="84">
        <v>3</v>
      </c>
      <c r="G184" s="84">
        <v>4</v>
      </c>
      <c r="H184" s="84">
        <v>5</v>
      </c>
      <c r="I184" s="84">
        <v>6</v>
      </c>
      <c r="J184" s="84">
        <v>7</v>
      </c>
      <c r="K184" s="84">
        <v>8</v>
      </c>
      <c r="L184" s="84">
        <v>9</v>
      </c>
      <c r="M184" s="84">
        <v>10</v>
      </c>
      <c r="N184" s="84">
        <v>11</v>
      </c>
      <c r="O184" s="84">
        <v>12</v>
      </c>
      <c r="P184" s="84">
        <v>13</v>
      </c>
      <c r="Q184" s="84">
        <v>14</v>
      </c>
      <c r="R184" s="84">
        <v>15</v>
      </c>
      <c r="S184" s="84">
        <v>16</v>
      </c>
      <c r="T184" s="84">
        <v>17</v>
      </c>
      <c r="U184" s="84">
        <v>18</v>
      </c>
      <c r="V184" s="84">
        <v>19</v>
      </c>
      <c r="W184" s="84">
        <v>20</v>
      </c>
      <c r="X184" s="84">
        <v>21</v>
      </c>
      <c r="Y184" s="84">
        <v>22</v>
      </c>
      <c r="Z184" s="84">
        <v>23</v>
      </c>
      <c r="AA184" s="84">
        <v>24</v>
      </c>
      <c r="AB184" s="84">
        <v>25</v>
      </c>
      <c r="AC184" s="84">
        <v>26</v>
      </c>
      <c r="AD184" s="84">
        <v>27</v>
      </c>
      <c r="AE184" s="84">
        <v>28</v>
      </c>
      <c r="AF184" s="84">
        <v>29</v>
      </c>
      <c r="AG184" s="84">
        <v>30</v>
      </c>
      <c r="AH184" s="84">
        <v>31</v>
      </c>
      <c r="AP184" s="90"/>
      <c r="AQ184" s="91" t="str">
        <f>C184&amp;D184&amp;E184&amp;F184</f>
        <v>0123</v>
      </c>
      <c r="AR184" s="91" t="str">
        <f>G184&amp;H184&amp;I184&amp;J184</f>
        <v>4567</v>
      </c>
      <c r="AS184" s="91" t="str">
        <f>K184&amp;L184&amp;M184&amp;N184</f>
        <v>891011</v>
      </c>
      <c r="AT184" s="91" t="str">
        <f>O184&amp;P184&amp;Q184&amp;R184</f>
        <v>12131415</v>
      </c>
      <c r="AU184" s="83">
        <v>16171819</v>
      </c>
      <c r="AV184" s="83">
        <v>20212223</v>
      </c>
      <c r="AW184" s="83">
        <v>24252627</v>
      </c>
      <c r="AX184" s="83">
        <v>28293031</v>
      </c>
    </row>
    <row r="185" spans="1:50" s="83" customFormat="1" ht="14.1" customHeight="1">
      <c r="A185" s="82"/>
      <c r="B185" s="84">
        <v>0</v>
      </c>
      <c r="C185" s="85">
        <v>0</v>
      </c>
      <c r="D185" s="85">
        <v>0</v>
      </c>
      <c r="E185" s="85">
        <v>0</v>
      </c>
      <c r="F185" s="85">
        <v>0</v>
      </c>
      <c r="G185" s="85">
        <v>0</v>
      </c>
      <c r="H185" s="85">
        <v>0</v>
      </c>
      <c r="I185" s="85">
        <v>0</v>
      </c>
      <c r="J185" s="85">
        <v>0</v>
      </c>
      <c r="K185" s="85">
        <v>0</v>
      </c>
      <c r="L185" s="85">
        <v>0</v>
      </c>
      <c r="M185" s="85">
        <v>0</v>
      </c>
      <c r="N185" s="85">
        <v>0</v>
      </c>
      <c r="O185" s="85">
        <v>0</v>
      </c>
      <c r="P185" s="85">
        <v>0</v>
      </c>
      <c r="Q185" s="85">
        <v>0</v>
      </c>
      <c r="R185" s="85">
        <v>0</v>
      </c>
      <c r="S185" s="85">
        <v>0</v>
      </c>
      <c r="T185" s="85">
        <v>0</v>
      </c>
      <c r="U185" s="85">
        <v>0</v>
      </c>
      <c r="V185" s="85">
        <v>0</v>
      </c>
      <c r="W185" s="85">
        <v>0</v>
      </c>
      <c r="X185" s="85">
        <v>0</v>
      </c>
      <c r="Y185" s="85">
        <v>0</v>
      </c>
      <c r="Z185" s="85">
        <v>0</v>
      </c>
      <c r="AA185" s="85">
        <v>0</v>
      </c>
      <c r="AB185" s="85">
        <v>0</v>
      </c>
      <c r="AC185" s="85">
        <v>0</v>
      </c>
      <c r="AD185" s="85">
        <v>0</v>
      </c>
      <c r="AE185" s="85">
        <v>0</v>
      </c>
      <c r="AF185" s="85">
        <v>0</v>
      </c>
      <c r="AG185" s="85">
        <v>0</v>
      </c>
      <c r="AH185" s="85">
        <v>0</v>
      </c>
      <c r="AP185" s="92">
        <f t="shared" ref="AP185:AP216" si="41">B185</f>
        <v>0</v>
      </c>
      <c r="AQ185" s="91" t="str">
        <f t="shared" ref="AQ185:AQ216" si="42">DEC2HEX(C185)&amp;DEC2HEX(D185)&amp;DEC2HEX(E185)&amp;DEC2HEX(F185)</f>
        <v>0000</v>
      </c>
      <c r="AR185" s="91" t="str">
        <f t="shared" ref="AR185:AR216" si="43">DEC2HEX(G185)&amp;DEC2HEX(H185)&amp;DEC2HEX(I185)&amp;DEC2HEX(J185)</f>
        <v>0000</v>
      </c>
      <c r="AS185" s="91" t="str">
        <f t="shared" ref="AS185:AS216" si="44">DEC2HEX(K185)&amp;DEC2HEX(L185)&amp;DEC2HEX(M185)&amp;DEC2HEX(N185)</f>
        <v>0000</v>
      </c>
      <c r="AT185" s="91" t="str">
        <f t="shared" ref="AT185:AT216" si="45">DEC2HEX(O185)&amp;DEC2HEX(P185)&amp;DEC2HEX(Q185)&amp;DEC2HEX(R185)</f>
        <v>0000</v>
      </c>
      <c r="AU185" s="91" t="str">
        <f t="shared" si="32"/>
        <v>0000</v>
      </c>
      <c r="AV185" s="91" t="str">
        <f t="shared" si="33"/>
        <v>0000</v>
      </c>
      <c r="AW185" s="91" t="str">
        <f t="shared" si="34"/>
        <v>0000</v>
      </c>
      <c r="AX185" s="91" t="str">
        <f t="shared" si="35"/>
        <v>0000</v>
      </c>
    </row>
    <row r="186" spans="1:50" s="83" customFormat="1" ht="14.1" customHeight="1">
      <c r="A186" s="82"/>
      <c r="B186" s="84">
        <v>1</v>
      </c>
      <c r="C186" s="85">
        <v>0</v>
      </c>
      <c r="D186" s="85">
        <v>0</v>
      </c>
      <c r="E186" s="85">
        <v>0</v>
      </c>
      <c r="F186" s="85">
        <v>0</v>
      </c>
      <c r="G186" s="85">
        <v>0</v>
      </c>
      <c r="H186" s="85">
        <v>0</v>
      </c>
      <c r="I186" s="85">
        <v>0</v>
      </c>
      <c r="J186" s="85">
        <v>0</v>
      </c>
      <c r="K186" s="85">
        <v>0</v>
      </c>
      <c r="L186" s="85">
        <v>0</v>
      </c>
      <c r="M186" s="85">
        <v>0</v>
      </c>
      <c r="N186" s="85">
        <v>0</v>
      </c>
      <c r="O186" s="85">
        <v>0</v>
      </c>
      <c r="P186" s="85">
        <v>0</v>
      </c>
      <c r="Q186" s="85">
        <v>0</v>
      </c>
      <c r="R186" s="85">
        <v>0</v>
      </c>
      <c r="S186" s="85">
        <v>0</v>
      </c>
      <c r="T186" s="85">
        <v>0</v>
      </c>
      <c r="U186" s="85">
        <v>0</v>
      </c>
      <c r="V186" s="85">
        <v>0</v>
      </c>
      <c r="W186" s="85">
        <v>0</v>
      </c>
      <c r="X186" s="85">
        <v>0</v>
      </c>
      <c r="Y186" s="85">
        <v>0</v>
      </c>
      <c r="Z186" s="85">
        <v>0</v>
      </c>
      <c r="AA186" s="85">
        <v>0</v>
      </c>
      <c r="AB186" s="85">
        <v>0</v>
      </c>
      <c r="AC186" s="85">
        <v>0</v>
      </c>
      <c r="AD186" s="85">
        <v>0</v>
      </c>
      <c r="AE186" s="85">
        <v>0</v>
      </c>
      <c r="AF186" s="85">
        <v>0</v>
      </c>
      <c r="AG186" s="85">
        <v>0</v>
      </c>
      <c r="AH186" s="85">
        <v>0</v>
      </c>
      <c r="AP186" s="92">
        <f t="shared" si="41"/>
        <v>1</v>
      </c>
      <c r="AQ186" s="91" t="str">
        <f t="shared" si="42"/>
        <v>0000</v>
      </c>
      <c r="AR186" s="91" t="str">
        <f t="shared" si="43"/>
        <v>0000</v>
      </c>
      <c r="AS186" s="91" t="str">
        <f t="shared" si="44"/>
        <v>0000</v>
      </c>
      <c r="AT186" s="91" t="str">
        <f t="shared" si="45"/>
        <v>0000</v>
      </c>
      <c r="AU186" s="91" t="str">
        <f t="shared" si="32"/>
        <v>0000</v>
      </c>
      <c r="AV186" s="91" t="str">
        <f t="shared" si="33"/>
        <v>0000</v>
      </c>
      <c r="AW186" s="91" t="str">
        <f t="shared" si="34"/>
        <v>0000</v>
      </c>
      <c r="AX186" s="91" t="str">
        <f t="shared" si="35"/>
        <v>0000</v>
      </c>
    </row>
    <row r="187" spans="1:50" s="83" customFormat="1" ht="14.1" customHeight="1">
      <c r="A187" s="82"/>
      <c r="B187" s="84">
        <v>2</v>
      </c>
      <c r="C187" s="85">
        <v>0</v>
      </c>
      <c r="D187" s="85">
        <v>0</v>
      </c>
      <c r="E187" s="85">
        <v>0</v>
      </c>
      <c r="F187" s="85">
        <v>0</v>
      </c>
      <c r="G187" s="85">
        <v>0</v>
      </c>
      <c r="H187" s="85">
        <v>0</v>
      </c>
      <c r="I187" s="85">
        <v>0</v>
      </c>
      <c r="J187" s="85">
        <v>0</v>
      </c>
      <c r="K187" s="85">
        <v>0</v>
      </c>
      <c r="L187" s="85">
        <v>0</v>
      </c>
      <c r="M187" s="85">
        <v>0</v>
      </c>
      <c r="N187" s="85">
        <v>0</v>
      </c>
      <c r="O187" s="85">
        <v>0</v>
      </c>
      <c r="P187" s="85">
        <v>0</v>
      </c>
      <c r="Q187" s="85">
        <v>0</v>
      </c>
      <c r="R187" s="85">
        <v>0</v>
      </c>
      <c r="S187" s="85">
        <v>0</v>
      </c>
      <c r="T187" s="85">
        <v>0</v>
      </c>
      <c r="U187" s="85">
        <v>0</v>
      </c>
      <c r="V187" s="85">
        <v>0</v>
      </c>
      <c r="W187" s="85">
        <v>0</v>
      </c>
      <c r="X187" s="85">
        <v>0</v>
      </c>
      <c r="Y187" s="85">
        <v>0</v>
      </c>
      <c r="Z187" s="85">
        <v>0</v>
      </c>
      <c r="AA187" s="85">
        <v>0</v>
      </c>
      <c r="AB187" s="85">
        <v>0</v>
      </c>
      <c r="AC187" s="85">
        <v>0</v>
      </c>
      <c r="AD187" s="85">
        <v>0</v>
      </c>
      <c r="AE187" s="85">
        <v>0</v>
      </c>
      <c r="AF187" s="85">
        <v>0</v>
      </c>
      <c r="AG187" s="85">
        <v>0</v>
      </c>
      <c r="AH187" s="85">
        <v>0</v>
      </c>
      <c r="AP187" s="92">
        <f t="shared" si="41"/>
        <v>2</v>
      </c>
      <c r="AQ187" s="91" t="str">
        <f t="shared" si="42"/>
        <v>0000</v>
      </c>
      <c r="AR187" s="91" t="str">
        <f t="shared" si="43"/>
        <v>0000</v>
      </c>
      <c r="AS187" s="91" t="str">
        <f t="shared" si="44"/>
        <v>0000</v>
      </c>
      <c r="AT187" s="91" t="str">
        <f t="shared" si="45"/>
        <v>0000</v>
      </c>
      <c r="AU187" s="91" t="str">
        <f t="shared" si="32"/>
        <v>0000</v>
      </c>
      <c r="AV187" s="91" t="str">
        <f t="shared" si="33"/>
        <v>0000</v>
      </c>
      <c r="AW187" s="91" t="str">
        <f t="shared" si="34"/>
        <v>0000</v>
      </c>
      <c r="AX187" s="91" t="str">
        <f t="shared" si="35"/>
        <v>0000</v>
      </c>
    </row>
    <row r="188" spans="1:50" s="83" customFormat="1" ht="14.1" customHeight="1">
      <c r="A188" s="82"/>
      <c r="B188" s="84">
        <v>3</v>
      </c>
      <c r="C188" s="85">
        <v>0</v>
      </c>
      <c r="D188" s="85">
        <v>0</v>
      </c>
      <c r="E188" s="85">
        <v>0</v>
      </c>
      <c r="F188" s="85">
        <v>0</v>
      </c>
      <c r="G188" s="85">
        <v>0</v>
      </c>
      <c r="H188" s="85">
        <v>0</v>
      </c>
      <c r="I188" s="85">
        <v>0</v>
      </c>
      <c r="J188" s="85">
        <v>0</v>
      </c>
      <c r="K188" s="85">
        <v>0</v>
      </c>
      <c r="L188" s="85">
        <v>0</v>
      </c>
      <c r="M188" s="85">
        <v>0</v>
      </c>
      <c r="N188" s="85">
        <v>0</v>
      </c>
      <c r="O188" s="85">
        <v>0</v>
      </c>
      <c r="P188" s="85">
        <v>0</v>
      </c>
      <c r="Q188" s="85">
        <v>0</v>
      </c>
      <c r="R188" s="85">
        <v>0</v>
      </c>
      <c r="S188" s="85">
        <v>0</v>
      </c>
      <c r="T188" s="85">
        <v>0</v>
      </c>
      <c r="U188" s="85">
        <v>0</v>
      </c>
      <c r="V188" s="85">
        <v>0</v>
      </c>
      <c r="W188" s="85">
        <v>0</v>
      </c>
      <c r="X188" s="85">
        <v>0</v>
      </c>
      <c r="Y188" s="85">
        <v>0</v>
      </c>
      <c r="Z188" s="85">
        <v>0</v>
      </c>
      <c r="AA188" s="85">
        <v>0</v>
      </c>
      <c r="AB188" s="85">
        <v>0</v>
      </c>
      <c r="AC188" s="85">
        <v>0</v>
      </c>
      <c r="AD188" s="85">
        <v>0</v>
      </c>
      <c r="AE188" s="85">
        <v>0</v>
      </c>
      <c r="AF188" s="85">
        <v>0</v>
      </c>
      <c r="AG188" s="85">
        <v>0</v>
      </c>
      <c r="AH188" s="85">
        <v>0</v>
      </c>
      <c r="AP188" s="92">
        <f t="shared" si="41"/>
        <v>3</v>
      </c>
      <c r="AQ188" s="91" t="str">
        <f t="shared" si="42"/>
        <v>0000</v>
      </c>
      <c r="AR188" s="91" t="str">
        <f t="shared" si="43"/>
        <v>0000</v>
      </c>
      <c r="AS188" s="91" t="str">
        <f t="shared" si="44"/>
        <v>0000</v>
      </c>
      <c r="AT188" s="91" t="str">
        <f t="shared" si="45"/>
        <v>0000</v>
      </c>
      <c r="AU188" s="91" t="str">
        <f t="shared" si="32"/>
        <v>0000</v>
      </c>
      <c r="AV188" s="91" t="str">
        <f t="shared" si="33"/>
        <v>0000</v>
      </c>
      <c r="AW188" s="91" t="str">
        <f t="shared" si="34"/>
        <v>0000</v>
      </c>
      <c r="AX188" s="91" t="str">
        <f t="shared" si="35"/>
        <v>0000</v>
      </c>
    </row>
    <row r="189" spans="1:50" s="83" customFormat="1" ht="14.1" customHeight="1">
      <c r="A189" s="82"/>
      <c r="B189" s="84">
        <v>4</v>
      </c>
      <c r="C189" s="85">
        <v>0</v>
      </c>
      <c r="D189" s="85">
        <v>0</v>
      </c>
      <c r="E189" s="85">
        <v>0</v>
      </c>
      <c r="F189" s="85">
        <v>0</v>
      </c>
      <c r="G189" s="85">
        <v>0</v>
      </c>
      <c r="H189" s="85">
        <v>0</v>
      </c>
      <c r="I189" s="85">
        <v>0</v>
      </c>
      <c r="J189" s="85">
        <v>0</v>
      </c>
      <c r="K189" s="85">
        <v>0</v>
      </c>
      <c r="L189" s="85">
        <v>0</v>
      </c>
      <c r="M189" s="85">
        <v>0</v>
      </c>
      <c r="N189" s="85">
        <v>0</v>
      </c>
      <c r="O189" s="85">
        <v>0</v>
      </c>
      <c r="P189" s="85">
        <v>0</v>
      </c>
      <c r="Q189" s="85">
        <v>0</v>
      </c>
      <c r="R189" s="85">
        <v>0</v>
      </c>
      <c r="S189" s="85">
        <v>0</v>
      </c>
      <c r="T189" s="85">
        <v>0</v>
      </c>
      <c r="U189" s="85">
        <v>0</v>
      </c>
      <c r="V189" s="85">
        <v>0</v>
      </c>
      <c r="W189" s="85">
        <v>0</v>
      </c>
      <c r="X189" s="85">
        <v>0</v>
      </c>
      <c r="Y189" s="85">
        <v>0</v>
      </c>
      <c r="Z189" s="85">
        <v>0</v>
      </c>
      <c r="AA189" s="85">
        <v>0</v>
      </c>
      <c r="AB189" s="85">
        <v>0</v>
      </c>
      <c r="AC189" s="85">
        <v>0</v>
      </c>
      <c r="AD189" s="85">
        <v>0</v>
      </c>
      <c r="AE189" s="85">
        <v>0</v>
      </c>
      <c r="AF189" s="85">
        <v>0</v>
      </c>
      <c r="AG189" s="85">
        <v>0</v>
      </c>
      <c r="AH189" s="85">
        <v>0</v>
      </c>
      <c r="AP189" s="92">
        <f t="shared" si="41"/>
        <v>4</v>
      </c>
      <c r="AQ189" s="91" t="str">
        <f t="shared" si="42"/>
        <v>0000</v>
      </c>
      <c r="AR189" s="91" t="str">
        <f t="shared" si="43"/>
        <v>0000</v>
      </c>
      <c r="AS189" s="91" t="str">
        <f t="shared" si="44"/>
        <v>0000</v>
      </c>
      <c r="AT189" s="91" t="str">
        <f t="shared" si="45"/>
        <v>0000</v>
      </c>
      <c r="AU189" s="91" t="str">
        <f t="shared" si="32"/>
        <v>0000</v>
      </c>
      <c r="AV189" s="91" t="str">
        <f t="shared" si="33"/>
        <v>0000</v>
      </c>
      <c r="AW189" s="91" t="str">
        <f t="shared" si="34"/>
        <v>0000</v>
      </c>
      <c r="AX189" s="91" t="str">
        <f t="shared" si="35"/>
        <v>0000</v>
      </c>
    </row>
    <row r="190" spans="1:50" s="83" customFormat="1" ht="14.1" customHeight="1">
      <c r="A190" s="82"/>
      <c r="B190" s="84">
        <v>5</v>
      </c>
      <c r="C190" s="85">
        <v>0</v>
      </c>
      <c r="D190" s="85">
        <v>0</v>
      </c>
      <c r="E190" s="85">
        <v>0</v>
      </c>
      <c r="F190" s="85">
        <v>0</v>
      </c>
      <c r="G190" s="85">
        <v>0</v>
      </c>
      <c r="H190" s="85">
        <v>0</v>
      </c>
      <c r="I190" s="85">
        <v>0</v>
      </c>
      <c r="J190" s="85">
        <v>0</v>
      </c>
      <c r="K190" s="85">
        <v>0</v>
      </c>
      <c r="L190" s="85">
        <v>0</v>
      </c>
      <c r="M190" s="85">
        <v>0</v>
      </c>
      <c r="N190" s="85">
        <v>0</v>
      </c>
      <c r="O190" s="85">
        <v>0</v>
      </c>
      <c r="P190" s="85">
        <v>0</v>
      </c>
      <c r="Q190" s="85">
        <v>0</v>
      </c>
      <c r="R190" s="85">
        <v>0</v>
      </c>
      <c r="S190" s="85">
        <v>0</v>
      </c>
      <c r="T190" s="85">
        <v>0</v>
      </c>
      <c r="U190" s="85">
        <v>0</v>
      </c>
      <c r="V190" s="85">
        <v>0</v>
      </c>
      <c r="W190" s="85">
        <v>0</v>
      </c>
      <c r="X190" s="85">
        <v>0</v>
      </c>
      <c r="Y190" s="85">
        <v>0</v>
      </c>
      <c r="Z190" s="85">
        <v>0</v>
      </c>
      <c r="AA190" s="85">
        <v>0</v>
      </c>
      <c r="AB190" s="85">
        <v>0</v>
      </c>
      <c r="AC190" s="85">
        <v>0</v>
      </c>
      <c r="AD190" s="85">
        <v>0</v>
      </c>
      <c r="AE190" s="85">
        <v>0</v>
      </c>
      <c r="AF190" s="85">
        <v>0</v>
      </c>
      <c r="AG190" s="85">
        <v>0</v>
      </c>
      <c r="AH190" s="85">
        <v>0</v>
      </c>
      <c r="AP190" s="92">
        <f t="shared" si="41"/>
        <v>5</v>
      </c>
      <c r="AQ190" s="91" t="str">
        <f t="shared" si="42"/>
        <v>0000</v>
      </c>
      <c r="AR190" s="91" t="str">
        <f t="shared" si="43"/>
        <v>0000</v>
      </c>
      <c r="AS190" s="91" t="str">
        <f t="shared" si="44"/>
        <v>0000</v>
      </c>
      <c r="AT190" s="91" t="str">
        <f t="shared" si="45"/>
        <v>0000</v>
      </c>
      <c r="AU190" s="91" t="str">
        <f t="shared" si="32"/>
        <v>0000</v>
      </c>
      <c r="AV190" s="91" t="str">
        <f t="shared" si="33"/>
        <v>0000</v>
      </c>
      <c r="AW190" s="91" t="str">
        <f t="shared" si="34"/>
        <v>0000</v>
      </c>
      <c r="AX190" s="91" t="str">
        <f t="shared" si="35"/>
        <v>0000</v>
      </c>
    </row>
    <row r="191" spans="1:50" s="83" customFormat="1" ht="14.1" customHeight="1">
      <c r="A191" s="82"/>
      <c r="B191" s="84">
        <v>6</v>
      </c>
      <c r="C191" s="85">
        <v>0</v>
      </c>
      <c r="D191" s="85">
        <v>0</v>
      </c>
      <c r="E191" s="85">
        <v>0</v>
      </c>
      <c r="F191" s="85">
        <v>0</v>
      </c>
      <c r="G191" s="85">
        <v>0</v>
      </c>
      <c r="H191" s="85">
        <v>0</v>
      </c>
      <c r="I191" s="85">
        <v>0</v>
      </c>
      <c r="J191" s="85">
        <v>0</v>
      </c>
      <c r="K191" s="85">
        <v>0</v>
      </c>
      <c r="L191" s="85">
        <v>0</v>
      </c>
      <c r="M191" s="85">
        <v>0</v>
      </c>
      <c r="N191" s="85">
        <v>0</v>
      </c>
      <c r="O191" s="85">
        <v>0</v>
      </c>
      <c r="P191" s="85">
        <v>0</v>
      </c>
      <c r="Q191" s="85">
        <v>0</v>
      </c>
      <c r="R191" s="85">
        <v>0</v>
      </c>
      <c r="S191" s="85">
        <v>0</v>
      </c>
      <c r="T191" s="85">
        <v>0</v>
      </c>
      <c r="U191" s="85">
        <v>0</v>
      </c>
      <c r="V191" s="85">
        <v>0</v>
      </c>
      <c r="W191" s="85">
        <v>0</v>
      </c>
      <c r="X191" s="85">
        <v>0</v>
      </c>
      <c r="Y191" s="85">
        <v>0</v>
      </c>
      <c r="Z191" s="85">
        <v>0</v>
      </c>
      <c r="AA191" s="85">
        <v>0</v>
      </c>
      <c r="AB191" s="85">
        <v>0</v>
      </c>
      <c r="AC191" s="85">
        <v>0</v>
      </c>
      <c r="AD191" s="85">
        <v>0</v>
      </c>
      <c r="AE191" s="85">
        <v>0</v>
      </c>
      <c r="AF191" s="85">
        <v>0</v>
      </c>
      <c r="AG191" s="85">
        <v>0</v>
      </c>
      <c r="AH191" s="85">
        <v>0</v>
      </c>
      <c r="AP191" s="92">
        <f t="shared" si="41"/>
        <v>6</v>
      </c>
      <c r="AQ191" s="91" t="str">
        <f t="shared" si="42"/>
        <v>0000</v>
      </c>
      <c r="AR191" s="91" t="str">
        <f t="shared" si="43"/>
        <v>0000</v>
      </c>
      <c r="AS191" s="91" t="str">
        <f t="shared" si="44"/>
        <v>0000</v>
      </c>
      <c r="AT191" s="91" t="str">
        <f t="shared" si="45"/>
        <v>0000</v>
      </c>
      <c r="AU191" s="91" t="str">
        <f t="shared" si="32"/>
        <v>0000</v>
      </c>
      <c r="AV191" s="91" t="str">
        <f t="shared" si="33"/>
        <v>0000</v>
      </c>
      <c r="AW191" s="91" t="str">
        <f t="shared" si="34"/>
        <v>0000</v>
      </c>
      <c r="AX191" s="91" t="str">
        <f t="shared" si="35"/>
        <v>0000</v>
      </c>
    </row>
    <row r="192" spans="1:50" s="83" customFormat="1" ht="14.1" customHeight="1">
      <c r="A192" s="82"/>
      <c r="B192" s="84">
        <v>7</v>
      </c>
      <c r="C192" s="85">
        <v>0</v>
      </c>
      <c r="D192" s="85">
        <v>0</v>
      </c>
      <c r="E192" s="85">
        <v>0</v>
      </c>
      <c r="F192" s="85">
        <v>0</v>
      </c>
      <c r="G192" s="85">
        <v>0</v>
      </c>
      <c r="H192" s="85">
        <v>0</v>
      </c>
      <c r="I192" s="85">
        <v>0</v>
      </c>
      <c r="J192" s="85">
        <v>0</v>
      </c>
      <c r="K192" s="85">
        <v>0</v>
      </c>
      <c r="L192" s="85">
        <v>0</v>
      </c>
      <c r="M192" s="85">
        <v>0</v>
      </c>
      <c r="N192" s="85">
        <v>0</v>
      </c>
      <c r="O192" s="85">
        <v>0</v>
      </c>
      <c r="P192" s="85">
        <v>0</v>
      </c>
      <c r="Q192" s="85">
        <v>0</v>
      </c>
      <c r="R192" s="85">
        <v>0</v>
      </c>
      <c r="S192" s="85">
        <v>0</v>
      </c>
      <c r="T192" s="85">
        <v>0</v>
      </c>
      <c r="U192" s="85">
        <v>0</v>
      </c>
      <c r="V192" s="85">
        <v>0</v>
      </c>
      <c r="W192" s="85">
        <v>0</v>
      </c>
      <c r="X192" s="85">
        <v>0</v>
      </c>
      <c r="Y192" s="85">
        <v>0</v>
      </c>
      <c r="Z192" s="85">
        <v>0</v>
      </c>
      <c r="AA192" s="85">
        <v>0</v>
      </c>
      <c r="AB192" s="85">
        <v>0</v>
      </c>
      <c r="AC192" s="85">
        <v>0</v>
      </c>
      <c r="AD192" s="85">
        <v>0</v>
      </c>
      <c r="AE192" s="85">
        <v>0</v>
      </c>
      <c r="AF192" s="85">
        <v>0</v>
      </c>
      <c r="AG192" s="85">
        <v>0</v>
      </c>
      <c r="AH192" s="85">
        <v>0</v>
      </c>
      <c r="AP192" s="92">
        <f t="shared" si="41"/>
        <v>7</v>
      </c>
      <c r="AQ192" s="91" t="str">
        <f t="shared" si="42"/>
        <v>0000</v>
      </c>
      <c r="AR192" s="91" t="str">
        <f t="shared" si="43"/>
        <v>0000</v>
      </c>
      <c r="AS192" s="91" t="str">
        <f t="shared" si="44"/>
        <v>0000</v>
      </c>
      <c r="AT192" s="91" t="str">
        <f t="shared" si="45"/>
        <v>0000</v>
      </c>
      <c r="AU192" s="91" t="str">
        <f t="shared" si="32"/>
        <v>0000</v>
      </c>
      <c r="AV192" s="91" t="str">
        <f t="shared" si="33"/>
        <v>0000</v>
      </c>
      <c r="AW192" s="91" t="str">
        <f t="shared" si="34"/>
        <v>0000</v>
      </c>
      <c r="AX192" s="91" t="str">
        <f t="shared" si="35"/>
        <v>0000</v>
      </c>
    </row>
    <row r="193" spans="1:50" s="83" customFormat="1" ht="14.1" customHeight="1">
      <c r="A193" s="82"/>
      <c r="B193" s="84">
        <v>8</v>
      </c>
      <c r="C193" s="85">
        <v>0</v>
      </c>
      <c r="D193" s="85">
        <v>0</v>
      </c>
      <c r="E193" s="85">
        <v>0</v>
      </c>
      <c r="F193" s="85">
        <v>0</v>
      </c>
      <c r="G193" s="85">
        <v>0</v>
      </c>
      <c r="H193" s="85">
        <v>0</v>
      </c>
      <c r="I193" s="85">
        <v>0</v>
      </c>
      <c r="J193" s="85">
        <v>0</v>
      </c>
      <c r="K193" s="85">
        <v>0</v>
      </c>
      <c r="L193" s="85">
        <v>0</v>
      </c>
      <c r="M193" s="85">
        <v>0</v>
      </c>
      <c r="N193" s="85">
        <v>0</v>
      </c>
      <c r="O193" s="85">
        <v>0</v>
      </c>
      <c r="P193" s="85">
        <v>0</v>
      </c>
      <c r="Q193" s="85">
        <v>0</v>
      </c>
      <c r="R193" s="85">
        <v>0</v>
      </c>
      <c r="S193" s="85">
        <v>0</v>
      </c>
      <c r="T193" s="85">
        <v>0</v>
      </c>
      <c r="U193" s="85">
        <v>0</v>
      </c>
      <c r="V193" s="85">
        <v>0</v>
      </c>
      <c r="W193" s="85">
        <v>0</v>
      </c>
      <c r="X193" s="85">
        <v>0</v>
      </c>
      <c r="Y193" s="85">
        <v>0</v>
      </c>
      <c r="Z193" s="85">
        <v>0</v>
      </c>
      <c r="AA193" s="85">
        <v>0</v>
      </c>
      <c r="AB193" s="85">
        <v>0</v>
      </c>
      <c r="AC193" s="85">
        <v>0</v>
      </c>
      <c r="AD193" s="85">
        <v>0</v>
      </c>
      <c r="AE193" s="85">
        <v>0</v>
      </c>
      <c r="AF193" s="85">
        <v>0</v>
      </c>
      <c r="AG193" s="85">
        <v>0</v>
      </c>
      <c r="AH193" s="85">
        <v>0</v>
      </c>
      <c r="AP193" s="92">
        <f t="shared" si="41"/>
        <v>8</v>
      </c>
      <c r="AQ193" s="91" t="str">
        <f t="shared" si="42"/>
        <v>0000</v>
      </c>
      <c r="AR193" s="91" t="str">
        <f t="shared" si="43"/>
        <v>0000</v>
      </c>
      <c r="AS193" s="91" t="str">
        <f t="shared" si="44"/>
        <v>0000</v>
      </c>
      <c r="AT193" s="91" t="str">
        <f t="shared" si="45"/>
        <v>0000</v>
      </c>
      <c r="AU193" s="91" t="str">
        <f t="shared" si="32"/>
        <v>0000</v>
      </c>
      <c r="AV193" s="91" t="str">
        <f t="shared" si="33"/>
        <v>0000</v>
      </c>
      <c r="AW193" s="91" t="str">
        <f t="shared" si="34"/>
        <v>0000</v>
      </c>
      <c r="AX193" s="91" t="str">
        <f t="shared" si="35"/>
        <v>0000</v>
      </c>
    </row>
    <row r="194" spans="1:50" s="83" customFormat="1" ht="14.1" customHeight="1">
      <c r="A194" s="82"/>
      <c r="B194" s="84">
        <v>9</v>
      </c>
      <c r="C194" s="85">
        <v>0</v>
      </c>
      <c r="D194" s="85">
        <v>0</v>
      </c>
      <c r="E194" s="85">
        <v>0</v>
      </c>
      <c r="F194" s="85">
        <v>0</v>
      </c>
      <c r="G194" s="85">
        <v>0</v>
      </c>
      <c r="H194" s="85">
        <v>0</v>
      </c>
      <c r="I194" s="85">
        <v>0</v>
      </c>
      <c r="J194" s="85">
        <v>0</v>
      </c>
      <c r="K194" s="85">
        <v>0</v>
      </c>
      <c r="L194" s="85">
        <v>0</v>
      </c>
      <c r="M194" s="85">
        <v>0</v>
      </c>
      <c r="N194" s="85">
        <v>0</v>
      </c>
      <c r="O194" s="85">
        <v>0</v>
      </c>
      <c r="P194" s="85">
        <v>0</v>
      </c>
      <c r="Q194" s="85">
        <v>0</v>
      </c>
      <c r="R194" s="85">
        <v>0</v>
      </c>
      <c r="S194" s="85">
        <v>0</v>
      </c>
      <c r="T194" s="85">
        <v>0</v>
      </c>
      <c r="U194" s="85">
        <v>0</v>
      </c>
      <c r="V194" s="85">
        <v>0</v>
      </c>
      <c r="W194" s="85">
        <v>0</v>
      </c>
      <c r="X194" s="85">
        <v>0</v>
      </c>
      <c r="Y194" s="85">
        <v>0</v>
      </c>
      <c r="Z194" s="85">
        <v>0</v>
      </c>
      <c r="AA194" s="85">
        <v>0</v>
      </c>
      <c r="AB194" s="85">
        <v>0</v>
      </c>
      <c r="AC194" s="85">
        <v>0</v>
      </c>
      <c r="AD194" s="85">
        <v>0</v>
      </c>
      <c r="AE194" s="85">
        <v>0</v>
      </c>
      <c r="AF194" s="85">
        <v>0</v>
      </c>
      <c r="AG194" s="85">
        <v>0</v>
      </c>
      <c r="AH194" s="85">
        <v>0</v>
      </c>
      <c r="AP194" s="92">
        <f t="shared" si="41"/>
        <v>9</v>
      </c>
      <c r="AQ194" s="91" t="str">
        <f t="shared" si="42"/>
        <v>0000</v>
      </c>
      <c r="AR194" s="91" t="str">
        <f t="shared" si="43"/>
        <v>0000</v>
      </c>
      <c r="AS194" s="91" t="str">
        <f t="shared" si="44"/>
        <v>0000</v>
      </c>
      <c r="AT194" s="91" t="str">
        <f t="shared" si="45"/>
        <v>0000</v>
      </c>
      <c r="AU194" s="91" t="str">
        <f t="shared" si="32"/>
        <v>0000</v>
      </c>
      <c r="AV194" s="91" t="str">
        <f t="shared" si="33"/>
        <v>0000</v>
      </c>
      <c r="AW194" s="91" t="str">
        <f t="shared" si="34"/>
        <v>0000</v>
      </c>
      <c r="AX194" s="91" t="str">
        <f t="shared" si="35"/>
        <v>0000</v>
      </c>
    </row>
    <row r="195" spans="1:50" s="83" customFormat="1" ht="14.1" customHeight="1">
      <c r="A195" s="82"/>
      <c r="B195" s="84">
        <v>10</v>
      </c>
      <c r="C195" s="85">
        <v>0</v>
      </c>
      <c r="D195" s="85">
        <v>0</v>
      </c>
      <c r="E195" s="85">
        <v>0</v>
      </c>
      <c r="F195" s="85">
        <v>0</v>
      </c>
      <c r="G195" s="85">
        <v>0</v>
      </c>
      <c r="H195" s="85">
        <v>0</v>
      </c>
      <c r="I195" s="85">
        <v>0</v>
      </c>
      <c r="J195" s="85">
        <v>0</v>
      </c>
      <c r="K195" s="85">
        <v>0</v>
      </c>
      <c r="L195" s="85">
        <v>0</v>
      </c>
      <c r="M195" s="85">
        <v>0</v>
      </c>
      <c r="N195" s="85">
        <v>0</v>
      </c>
      <c r="O195" s="85">
        <v>13</v>
      </c>
      <c r="P195" s="85">
        <v>13</v>
      </c>
      <c r="Q195" s="85">
        <v>13</v>
      </c>
      <c r="R195" s="85">
        <v>13</v>
      </c>
      <c r="S195" s="85">
        <v>13</v>
      </c>
      <c r="T195" s="85">
        <v>13</v>
      </c>
      <c r="U195" s="85">
        <v>13</v>
      </c>
      <c r="V195" s="85">
        <v>13</v>
      </c>
      <c r="W195" s="85">
        <v>0</v>
      </c>
      <c r="X195" s="85">
        <v>0</v>
      </c>
      <c r="Y195" s="85">
        <v>0</v>
      </c>
      <c r="Z195" s="85">
        <v>0</v>
      </c>
      <c r="AA195" s="85">
        <v>0</v>
      </c>
      <c r="AB195" s="85">
        <v>0</v>
      </c>
      <c r="AC195" s="85">
        <v>0</v>
      </c>
      <c r="AD195" s="85">
        <v>0</v>
      </c>
      <c r="AE195" s="85">
        <v>0</v>
      </c>
      <c r="AF195" s="85">
        <v>0</v>
      </c>
      <c r="AG195" s="85">
        <v>0</v>
      </c>
      <c r="AH195" s="85">
        <v>0</v>
      </c>
      <c r="AP195" s="92">
        <f t="shared" si="41"/>
        <v>10</v>
      </c>
      <c r="AQ195" s="91" t="str">
        <f t="shared" si="42"/>
        <v>0000</v>
      </c>
      <c r="AR195" s="91" t="str">
        <f t="shared" si="43"/>
        <v>0000</v>
      </c>
      <c r="AS195" s="91" t="str">
        <f t="shared" si="44"/>
        <v>0000</v>
      </c>
      <c r="AT195" s="91" t="str">
        <f t="shared" si="45"/>
        <v>DDDD</v>
      </c>
      <c r="AU195" s="91" t="str">
        <f t="shared" si="32"/>
        <v>DDDD</v>
      </c>
      <c r="AV195" s="91" t="str">
        <f t="shared" si="33"/>
        <v>0000</v>
      </c>
      <c r="AW195" s="91" t="str">
        <f t="shared" si="34"/>
        <v>0000</v>
      </c>
      <c r="AX195" s="91" t="str">
        <f t="shared" si="35"/>
        <v>0000</v>
      </c>
    </row>
    <row r="196" spans="1:50" s="83" customFormat="1" ht="14.1" customHeight="1">
      <c r="A196" s="82"/>
      <c r="B196" s="84">
        <v>11</v>
      </c>
      <c r="C196" s="85">
        <v>0</v>
      </c>
      <c r="D196" s="85">
        <v>0</v>
      </c>
      <c r="E196" s="85">
        <v>0</v>
      </c>
      <c r="F196" s="85">
        <v>0</v>
      </c>
      <c r="G196" s="85">
        <v>0</v>
      </c>
      <c r="H196" s="85">
        <v>0</v>
      </c>
      <c r="I196" s="85">
        <v>0</v>
      </c>
      <c r="J196" s="85">
        <v>0</v>
      </c>
      <c r="K196" s="85">
        <v>0</v>
      </c>
      <c r="L196" s="85">
        <v>0</v>
      </c>
      <c r="M196" s="85">
        <v>0</v>
      </c>
      <c r="N196" s="85">
        <v>0</v>
      </c>
      <c r="O196" s="85">
        <v>13</v>
      </c>
      <c r="P196" s="85">
        <v>13</v>
      </c>
      <c r="Q196" s="85">
        <v>13</v>
      </c>
      <c r="R196" s="85">
        <v>13</v>
      </c>
      <c r="S196" s="85">
        <v>13</v>
      </c>
      <c r="T196" s="85">
        <v>13</v>
      </c>
      <c r="U196" s="85">
        <v>13</v>
      </c>
      <c r="V196" s="85">
        <v>13</v>
      </c>
      <c r="W196" s="85">
        <v>0</v>
      </c>
      <c r="X196" s="85">
        <v>0</v>
      </c>
      <c r="Y196" s="85">
        <v>0</v>
      </c>
      <c r="Z196" s="85">
        <v>0</v>
      </c>
      <c r="AA196" s="85">
        <v>0</v>
      </c>
      <c r="AB196" s="85">
        <v>0</v>
      </c>
      <c r="AC196" s="85">
        <v>0</v>
      </c>
      <c r="AD196" s="85">
        <v>0</v>
      </c>
      <c r="AE196" s="85">
        <v>0</v>
      </c>
      <c r="AF196" s="85">
        <v>0</v>
      </c>
      <c r="AG196" s="85">
        <v>0</v>
      </c>
      <c r="AH196" s="85">
        <v>0</v>
      </c>
      <c r="AP196" s="92">
        <f t="shared" si="41"/>
        <v>11</v>
      </c>
      <c r="AQ196" s="91" t="str">
        <f t="shared" si="42"/>
        <v>0000</v>
      </c>
      <c r="AR196" s="91" t="str">
        <f t="shared" si="43"/>
        <v>0000</v>
      </c>
      <c r="AS196" s="91" t="str">
        <f t="shared" si="44"/>
        <v>0000</v>
      </c>
      <c r="AT196" s="91" t="str">
        <f t="shared" si="45"/>
        <v>DDDD</v>
      </c>
      <c r="AU196" s="91" t="str">
        <f t="shared" si="32"/>
        <v>DDDD</v>
      </c>
      <c r="AV196" s="91" t="str">
        <f t="shared" si="33"/>
        <v>0000</v>
      </c>
      <c r="AW196" s="91" t="str">
        <f t="shared" si="34"/>
        <v>0000</v>
      </c>
      <c r="AX196" s="91" t="str">
        <f t="shared" si="35"/>
        <v>0000</v>
      </c>
    </row>
    <row r="197" spans="1:50" s="83" customFormat="1" ht="14.1" customHeight="1">
      <c r="A197" s="82"/>
      <c r="B197" s="84">
        <v>12</v>
      </c>
      <c r="C197" s="85">
        <v>0</v>
      </c>
      <c r="D197" s="85">
        <v>0</v>
      </c>
      <c r="E197" s="85">
        <v>0</v>
      </c>
      <c r="F197" s="85">
        <v>0</v>
      </c>
      <c r="G197" s="85">
        <v>0</v>
      </c>
      <c r="H197" s="85">
        <v>0</v>
      </c>
      <c r="I197" s="85">
        <v>0</v>
      </c>
      <c r="J197" s="85">
        <v>0</v>
      </c>
      <c r="K197" s="85">
        <v>0</v>
      </c>
      <c r="L197" s="85">
        <v>0</v>
      </c>
      <c r="M197" s="85">
        <v>13</v>
      </c>
      <c r="N197" s="85">
        <v>13</v>
      </c>
      <c r="O197" s="85">
        <v>13</v>
      </c>
      <c r="P197" s="85">
        <v>13</v>
      </c>
      <c r="Q197" s="85">
        <v>15</v>
      </c>
      <c r="R197" s="85">
        <v>15</v>
      </c>
      <c r="S197" s="85">
        <v>15</v>
      </c>
      <c r="T197" s="85">
        <v>15</v>
      </c>
      <c r="U197" s="85">
        <v>13</v>
      </c>
      <c r="V197" s="85">
        <v>13</v>
      </c>
      <c r="W197" s="85">
        <v>13</v>
      </c>
      <c r="X197" s="85">
        <v>13</v>
      </c>
      <c r="Y197" s="85">
        <v>0</v>
      </c>
      <c r="Z197" s="85">
        <v>0</v>
      </c>
      <c r="AA197" s="85">
        <v>0</v>
      </c>
      <c r="AB197" s="85">
        <v>0</v>
      </c>
      <c r="AC197" s="85">
        <v>0</v>
      </c>
      <c r="AD197" s="85">
        <v>0</v>
      </c>
      <c r="AE197" s="85">
        <v>0</v>
      </c>
      <c r="AF197" s="85">
        <v>0</v>
      </c>
      <c r="AG197" s="85">
        <v>0</v>
      </c>
      <c r="AH197" s="85">
        <v>0</v>
      </c>
      <c r="AP197" s="92">
        <f t="shared" si="41"/>
        <v>12</v>
      </c>
      <c r="AQ197" s="91" t="str">
        <f t="shared" si="42"/>
        <v>0000</v>
      </c>
      <c r="AR197" s="91" t="str">
        <f t="shared" si="43"/>
        <v>0000</v>
      </c>
      <c r="AS197" s="91" t="str">
        <f t="shared" si="44"/>
        <v>00DD</v>
      </c>
      <c r="AT197" s="91" t="str">
        <f t="shared" si="45"/>
        <v>DDFF</v>
      </c>
      <c r="AU197" s="91" t="str">
        <f t="shared" si="32"/>
        <v>FFDD</v>
      </c>
      <c r="AV197" s="91" t="str">
        <f t="shared" si="33"/>
        <v>DD00</v>
      </c>
      <c r="AW197" s="91" t="str">
        <f t="shared" si="34"/>
        <v>0000</v>
      </c>
      <c r="AX197" s="91" t="str">
        <f t="shared" si="35"/>
        <v>0000</v>
      </c>
    </row>
    <row r="198" spans="1:50" s="83" customFormat="1" ht="14.1" customHeight="1">
      <c r="A198" s="82"/>
      <c r="B198" s="84">
        <v>13</v>
      </c>
      <c r="C198" s="85">
        <v>0</v>
      </c>
      <c r="D198" s="85">
        <v>0</v>
      </c>
      <c r="E198" s="85">
        <v>0</v>
      </c>
      <c r="F198" s="85">
        <v>0</v>
      </c>
      <c r="G198" s="85">
        <v>0</v>
      </c>
      <c r="H198" s="85">
        <v>0</v>
      </c>
      <c r="I198" s="85">
        <v>0</v>
      </c>
      <c r="J198" s="85">
        <v>0</v>
      </c>
      <c r="K198" s="85">
        <v>0</v>
      </c>
      <c r="L198" s="85">
        <v>0</v>
      </c>
      <c r="M198" s="85">
        <v>13</v>
      </c>
      <c r="N198" s="85">
        <v>13</v>
      </c>
      <c r="O198" s="85">
        <v>13</v>
      </c>
      <c r="P198" s="85">
        <v>13</v>
      </c>
      <c r="Q198" s="85">
        <v>15</v>
      </c>
      <c r="R198" s="85">
        <v>15</v>
      </c>
      <c r="S198" s="85">
        <v>15</v>
      </c>
      <c r="T198" s="85">
        <v>15</v>
      </c>
      <c r="U198" s="85">
        <v>13</v>
      </c>
      <c r="V198" s="85">
        <v>13</v>
      </c>
      <c r="W198" s="85">
        <v>13</v>
      </c>
      <c r="X198" s="85">
        <v>13</v>
      </c>
      <c r="Y198" s="85">
        <v>0</v>
      </c>
      <c r="Z198" s="85">
        <v>0</v>
      </c>
      <c r="AA198" s="85">
        <v>0</v>
      </c>
      <c r="AB198" s="85">
        <v>0</v>
      </c>
      <c r="AC198" s="85">
        <v>0</v>
      </c>
      <c r="AD198" s="85">
        <v>0</v>
      </c>
      <c r="AE198" s="85">
        <v>0</v>
      </c>
      <c r="AF198" s="85">
        <v>0</v>
      </c>
      <c r="AG198" s="85">
        <v>0</v>
      </c>
      <c r="AH198" s="85">
        <v>0</v>
      </c>
      <c r="AP198" s="92">
        <f t="shared" si="41"/>
        <v>13</v>
      </c>
      <c r="AQ198" s="91" t="str">
        <f t="shared" si="42"/>
        <v>0000</v>
      </c>
      <c r="AR198" s="91" t="str">
        <f t="shared" si="43"/>
        <v>0000</v>
      </c>
      <c r="AS198" s="91" t="str">
        <f t="shared" si="44"/>
        <v>00DD</v>
      </c>
      <c r="AT198" s="91" t="str">
        <f t="shared" si="45"/>
        <v>DDFF</v>
      </c>
      <c r="AU198" s="91" t="str">
        <f t="shared" si="32"/>
        <v>FFDD</v>
      </c>
      <c r="AV198" s="91" t="str">
        <f t="shared" si="33"/>
        <v>DD00</v>
      </c>
      <c r="AW198" s="91" t="str">
        <f t="shared" si="34"/>
        <v>0000</v>
      </c>
      <c r="AX198" s="91" t="str">
        <f t="shared" si="35"/>
        <v>0000</v>
      </c>
    </row>
    <row r="199" spans="1:50" s="83" customFormat="1" ht="14.1" customHeight="1">
      <c r="A199" s="82"/>
      <c r="B199" s="84">
        <v>14</v>
      </c>
      <c r="C199" s="85">
        <v>0</v>
      </c>
      <c r="D199" s="85">
        <v>0</v>
      </c>
      <c r="E199" s="85">
        <v>0</v>
      </c>
      <c r="F199" s="85">
        <v>0</v>
      </c>
      <c r="G199" s="85">
        <v>0</v>
      </c>
      <c r="H199" s="85">
        <v>0</v>
      </c>
      <c r="I199" s="85">
        <v>0</v>
      </c>
      <c r="J199" s="85">
        <v>0</v>
      </c>
      <c r="K199" s="85">
        <v>0</v>
      </c>
      <c r="L199" s="85">
        <v>0</v>
      </c>
      <c r="M199" s="85">
        <v>13</v>
      </c>
      <c r="N199" s="85">
        <v>13</v>
      </c>
      <c r="O199" s="85">
        <v>15</v>
      </c>
      <c r="P199" s="85">
        <v>15</v>
      </c>
      <c r="Q199" s="85">
        <v>15</v>
      </c>
      <c r="R199" s="85">
        <v>15</v>
      </c>
      <c r="S199" s="85">
        <v>15</v>
      </c>
      <c r="T199" s="85">
        <v>15</v>
      </c>
      <c r="U199" s="85">
        <v>15</v>
      </c>
      <c r="V199" s="85">
        <v>15</v>
      </c>
      <c r="W199" s="85">
        <v>13</v>
      </c>
      <c r="X199" s="85">
        <v>13</v>
      </c>
      <c r="Y199" s="85">
        <v>0</v>
      </c>
      <c r="Z199" s="85">
        <v>0</v>
      </c>
      <c r="AA199" s="85">
        <v>0</v>
      </c>
      <c r="AB199" s="85">
        <v>0</v>
      </c>
      <c r="AC199" s="85">
        <v>0</v>
      </c>
      <c r="AD199" s="85">
        <v>0</v>
      </c>
      <c r="AE199" s="85">
        <v>0</v>
      </c>
      <c r="AF199" s="85">
        <v>0</v>
      </c>
      <c r="AG199" s="85">
        <v>0</v>
      </c>
      <c r="AH199" s="85">
        <v>0</v>
      </c>
      <c r="AP199" s="92">
        <f t="shared" si="41"/>
        <v>14</v>
      </c>
      <c r="AQ199" s="91" t="str">
        <f t="shared" si="42"/>
        <v>0000</v>
      </c>
      <c r="AR199" s="91" t="str">
        <f t="shared" si="43"/>
        <v>0000</v>
      </c>
      <c r="AS199" s="91" t="str">
        <f t="shared" si="44"/>
        <v>00DD</v>
      </c>
      <c r="AT199" s="91" t="str">
        <f t="shared" si="45"/>
        <v>FFFF</v>
      </c>
      <c r="AU199" s="91" t="str">
        <f t="shared" si="32"/>
        <v>FFFF</v>
      </c>
      <c r="AV199" s="91" t="str">
        <f t="shared" si="33"/>
        <v>DD00</v>
      </c>
      <c r="AW199" s="91" t="str">
        <f t="shared" si="34"/>
        <v>0000</v>
      </c>
      <c r="AX199" s="91" t="str">
        <f t="shared" si="35"/>
        <v>0000</v>
      </c>
    </row>
    <row r="200" spans="1:50" s="83" customFormat="1" ht="14.1" customHeight="1">
      <c r="A200" s="82"/>
      <c r="B200" s="84">
        <v>15</v>
      </c>
      <c r="C200" s="85">
        <v>0</v>
      </c>
      <c r="D200" s="85">
        <v>0</v>
      </c>
      <c r="E200" s="85">
        <v>0</v>
      </c>
      <c r="F200" s="85">
        <v>0</v>
      </c>
      <c r="G200" s="85">
        <v>0</v>
      </c>
      <c r="H200" s="85">
        <v>0</v>
      </c>
      <c r="I200" s="85">
        <v>0</v>
      </c>
      <c r="J200" s="85">
        <v>0</v>
      </c>
      <c r="K200" s="85">
        <v>0</v>
      </c>
      <c r="L200" s="85">
        <v>0</v>
      </c>
      <c r="M200" s="85">
        <v>13</v>
      </c>
      <c r="N200" s="85">
        <v>13</v>
      </c>
      <c r="O200" s="85">
        <v>15</v>
      </c>
      <c r="P200" s="85">
        <v>15</v>
      </c>
      <c r="Q200" s="85">
        <v>15</v>
      </c>
      <c r="R200" s="85">
        <v>15</v>
      </c>
      <c r="S200" s="85">
        <v>15</v>
      </c>
      <c r="T200" s="85">
        <v>15</v>
      </c>
      <c r="U200" s="85">
        <v>15</v>
      </c>
      <c r="V200" s="85">
        <v>15</v>
      </c>
      <c r="W200" s="85">
        <v>13</v>
      </c>
      <c r="X200" s="85">
        <v>13</v>
      </c>
      <c r="Y200" s="85">
        <v>0</v>
      </c>
      <c r="Z200" s="85">
        <v>0</v>
      </c>
      <c r="AA200" s="85">
        <v>0</v>
      </c>
      <c r="AB200" s="85">
        <v>0</v>
      </c>
      <c r="AC200" s="85">
        <v>0</v>
      </c>
      <c r="AD200" s="85">
        <v>0</v>
      </c>
      <c r="AE200" s="85">
        <v>0</v>
      </c>
      <c r="AF200" s="85">
        <v>0</v>
      </c>
      <c r="AG200" s="85">
        <v>0</v>
      </c>
      <c r="AH200" s="85">
        <v>0</v>
      </c>
      <c r="AP200" s="92">
        <f t="shared" si="41"/>
        <v>15</v>
      </c>
      <c r="AQ200" s="91" t="str">
        <f t="shared" si="42"/>
        <v>0000</v>
      </c>
      <c r="AR200" s="91" t="str">
        <f t="shared" si="43"/>
        <v>0000</v>
      </c>
      <c r="AS200" s="91" t="str">
        <f t="shared" si="44"/>
        <v>00DD</v>
      </c>
      <c r="AT200" s="91" t="str">
        <f t="shared" si="45"/>
        <v>FFFF</v>
      </c>
      <c r="AU200" s="91" t="str">
        <f t="shared" si="32"/>
        <v>FFFF</v>
      </c>
      <c r="AV200" s="91" t="str">
        <f t="shared" si="33"/>
        <v>DD00</v>
      </c>
      <c r="AW200" s="91" t="str">
        <f t="shared" si="34"/>
        <v>0000</v>
      </c>
      <c r="AX200" s="91" t="str">
        <f t="shared" si="35"/>
        <v>0000</v>
      </c>
    </row>
    <row r="201" spans="1:50" s="83" customFormat="1" ht="14.1" customHeight="1">
      <c r="A201" s="82"/>
      <c r="B201" s="84">
        <v>16</v>
      </c>
      <c r="C201" s="85">
        <v>0</v>
      </c>
      <c r="D201" s="85">
        <v>0</v>
      </c>
      <c r="E201" s="85">
        <v>0</v>
      </c>
      <c r="F201" s="85">
        <v>0</v>
      </c>
      <c r="G201" s="85">
        <v>0</v>
      </c>
      <c r="H201" s="85">
        <v>0</v>
      </c>
      <c r="I201" s="85">
        <v>0</v>
      </c>
      <c r="J201" s="85">
        <v>0</v>
      </c>
      <c r="K201" s="85">
        <v>0</v>
      </c>
      <c r="L201" s="85">
        <v>0</v>
      </c>
      <c r="M201" s="85">
        <v>13</v>
      </c>
      <c r="N201" s="85">
        <v>13</v>
      </c>
      <c r="O201" s="85">
        <v>15</v>
      </c>
      <c r="P201" s="85">
        <v>15</v>
      </c>
      <c r="Q201" s="85">
        <v>15</v>
      </c>
      <c r="R201" s="85">
        <v>15</v>
      </c>
      <c r="S201" s="85">
        <v>15</v>
      </c>
      <c r="T201" s="85">
        <v>15</v>
      </c>
      <c r="U201" s="85">
        <v>15</v>
      </c>
      <c r="V201" s="85">
        <v>15</v>
      </c>
      <c r="W201" s="85">
        <v>13</v>
      </c>
      <c r="X201" s="85">
        <v>13</v>
      </c>
      <c r="Y201" s="85">
        <v>0</v>
      </c>
      <c r="Z201" s="85">
        <v>0</v>
      </c>
      <c r="AA201" s="85">
        <v>0</v>
      </c>
      <c r="AB201" s="85">
        <v>0</v>
      </c>
      <c r="AC201" s="85">
        <v>0</v>
      </c>
      <c r="AD201" s="85">
        <v>0</v>
      </c>
      <c r="AE201" s="85">
        <v>0</v>
      </c>
      <c r="AF201" s="85">
        <v>0</v>
      </c>
      <c r="AG201" s="85">
        <v>0</v>
      </c>
      <c r="AH201" s="85">
        <v>0</v>
      </c>
      <c r="AP201" s="92">
        <f t="shared" si="41"/>
        <v>16</v>
      </c>
      <c r="AQ201" s="91" t="str">
        <f t="shared" si="42"/>
        <v>0000</v>
      </c>
      <c r="AR201" s="91" t="str">
        <f t="shared" si="43"/>
        <v>0000</v>
      </c>
      <c r="AS201" s="91" t="str">
        <f t="shared" si="44"/>
        <v>00DD</v>
      </c>
      <c r="AT201" s="91" t="str">
        <f t="shared" si="45"/>
        <v>FFFF</v>
      </c>
      <c r="AU201" s="91" t="str">
        <f t="shared" ref="AU201:AU264" si="46">DEC2HEX(S201)&amp;DEC2HEX(T201)&amp;DEC2HEX(U201)&amp;DEC2HEX(V201)</f>
        <v>FFFF</v>
      </c>
      <c r="AV201" s="91" t="str">
        <f t="shared" ref="AV201:AV264" si="47">DEC2HEX(W201)&amp;DEC2HEX(X201)&amp;DEC2HEX(Y201)&amp;DEC2HEX(Z201)</f>
        <v>DD00</v>
      </c>
      <c r="AW201" s="91" t="str">
        <f t="shared" ref="AW201:AW264" si="48">DEC2HEX(AA201)&amp;DEC2HEX(AB201)&amp;DEC2HEX(AC201)&amp;DEC2HEX(AD201)</f>
        <v>0000</v>
      </c>
      <c r="AX201" s="91" t="str">
        <f t="shared" ref="AX201:AX264" si="49">DEC2HEX(AE201)&amp;DEC2HEX(AF201)&amp;DEC2HEX(AG201)&amp;DEC2HEX(AH201)</f>
        <v>0000</v>
      </c>
    </row>
    <row r="202" spans="1:50" s="83" customFormat="1" ht="14.1" customHeight="1">
      <c r="A202" s="82"/>
      <c r="B202" s="84">
        <v>17</v>
      </c>
      <c r="C202" s="85">
        <v>0</v>
      </c>
      <c r="D202" s="85">
        <v>0</v>
      </c>
      <c r="E202" s="85">
        <v>0</v>
      </c>
      <c r="F202" s="85">
        <v>0</v>
      </c>
      <c r="G202" s="85">
        <v>0</v>
      </c>
      <c r="H202" s="85">
        <v>0</v>
      </c>
      <c r="I202" s="85">
        <v>0</v>
      </c>
      <c r="J202" s="85">
        <v>0</v>
      </c>
      <c r="K202" s="85">
        <v>0</v>
      </c>
      <c r="L202" s="85">
        <v>0</v>
      </c>
      <c r="M202" s="85">
        <v>13</v>
      </c>
      <c r="N202" s="85">
        <v>13</v>
      </c>
      <c r="O202" s="85">
        <v>15</v>
      </c>
      <c r="P202" s="85">
        <v>15</v>
      </c>
      <c r="Q202" s="85">
        <v>15</v>
      </c>
      <c r="R202" s="85">
        <v>15</v>
      </c>
      <c r="S202" s="85">
        <v>15</v>
      </c>
      <c r="T202" s="85">
        <v>15</v>
      </c>
      <c r="U202" s="85">
        <v>15</v>
      </c>
      <c r="V202" s="85">
        <v>15</v>
      </c>
      <c r="W202" s="85">
        <v>13</v>
      </c>
      <c r="X202" s="85">
        <v>13</v>
      </c>
      <c r="Y202" s="85">
        <v>0</v>
      </c>
      <c r="Z202" s="85">
        <v>0</v>
      </c>
      <c r="AA202" s="85">
        <v>0</v>
      </c>
      <c r="AB202" s="85">
        <v>0</v>
      </c>
      <c r="AC202" s="85">
        <v>0</v>
      </c>
      <c r="AD202" s="85">
        <v>0</v>
      </c>
      <c r="AE202" s="85">
        <v>0</v>
      </c>
      <c r="AF202" s="85">
        <v>0</v>
      </c>
      <c r="AG202" s="85">
        <v>0</v>
      </c>
      <c r="AH202" s="85">
        <v>0</v>
      </c>
      <c r="AP202" s="92">
        <f t="shared" si="41"/>
        <v>17</v>
      </c>
      <c r="AQ202" s="91" t="str">
        <f t="shared" si="42"/>
        <v>0000</v>
      </c>
      <c r="AR202" s="91" t="str">
        <f t="shared" si="43"/>
        <v>0000</v>
      </c>
      <c r="AS202" s="91" t="str">
        <f t="shared" si="44"/>
        <v>00DD</v>
      </c>
      <c r="AT202" s="91" t="str">
        <f t="shared" si="45"/>
        <v>FFFF</v>
      </c>
      <c r="AU202" s="91" t="str">
        <f t="shared" si="46"/>
        <v>FFFF</v>
      </c>
      <c r="AV202" s="91" t="str">
        <f t="shared" si="47"/>
        <v>DD00</v>
      </c>
      <c r="AW202" s="91" t="str">
        <f t="shared" si="48"/>
        <v>0000</v>
      </c>
      <c r="AX202" s="91" t="str">
        <f t="shared" si="49"/>
        <v>0000</v>
      </c>
    </row>
    <row r="203" spans="1:50" s="83" customFormat="1" ht="14.1" customHeight="1">
      <c r="A203" s="82"/>
      <c r="B203" s="84">
        <v>18</v>
      </c>
      <c r="C203" s="85">
        <v>0</v>
      </c>
      <c r="D203" s="85">
        <v>0</v>
      </c>
      <c r="E203" s="85">
        <v>0</v>
      </c>
      <c r="F203" s="85">
        <v>0</v>
      </c>
      <c r="G203" s="85">
        <v>0</v>
      </c>
      <c r="H203" s="85">
        <v>0</v>
      </c>
      <c r="I203" s="85">
        <v>0</v>
      </c>
      <c r="J203" s="85">
        <v>0</v>
      </c>
      <c r="K203" s="85">
        <v>0</v>
      </c>
      <c r="L203" s="85">
        <v>0</v>
      </c>
      <c r="M203" s="85">
        <v>13</v>
      </c>
      <c r="N203" s="85">
        <v>13</v>
      </c>
      <c r="O203" s="85">
        <v>13</v>
      </c>
      <c r="P203" s="85">
        <v>13</v>
      </c>
      <c r="Q203" s="85">
        <v>15</v>
      </c>
      <c r="R203" s="85">
        <v>15</v>
      </c>
      <c r="S203" s="85">
        <v>15</v>
      </c>
      <c r="T203" s="85">
        <v>15</v>
      </c>
      <c r="U203" s="85">
        <v>13</v>
      </c>
      <c r="V203" s="85">
        <v>13</v>
      </c>
      <c r="W203" s="85">
        <v>13</v>
      </c>
      <c r="X203" s="85">
        <v>13</v>
      </c>
      <c r="Y203" s="85">
        <v>0</v>
      </c>
      <c r="Z203" s="85">
        <v>0</v>
      </c>
      <c r="AA203" s="85">
        <v>0</v>
      </c>
      <c r="AB203" s="85">
        <v>0</v>
      </c>
      <c r="AC203" s="85">
        <v>0</v>
      </c>
      <c r="AD203" s="85">
        <v>0</v>
      </c>
      <c r="AE203" s="85">
        <v>0</v>
      </c>
      <c r="AF203" s="85">
        <v>0</v>
      </c>
      <c r="AG203" s="85">
        <v>0</v>
      </c>
      <c r="AH203" s="85">
        <v>0</v>
      </c>
      <c r="AP203" s="92">
        <f t="shared" si="41"/>
        <v>18</v>
      </c>
      <c r="AQ203" s="91" t="str">
        <f t="shared" si="42"/>
        <v>0000</v>
      </c>
      <c r="AR203" s="91" t="str">
        <f t="shared" si="43"/>
        <v>0000</v>
      </c>
      <c r="AS203" s="91" t="str">
        <f t="shared" si="44"/>
        <v>00DD</v>
      </c>
      <c r="AT203" s="91" t="str">
        <f t="shared" si="45"/>
        <v>DDFF</v>
      </c>
      <c r="AU203" s="91" t="str">
        <f t="shared" si="46"/>
        <v>FFDD</v>
      </c>
      <c r="AV203" s="91" t="str">
        <f t="shared" si="47"/>
        <v>DD00</v>
      </c>
      <c r="AW203" s="91" t="str">
        <f t="shared" si="48"/>
        <v>0000</v>
      </c>
      <c r="AX203" s="91" t="str">
        <f t="shared" si="49"/>
        <v>0000</v>
      </c>
    </row>
    <row r="204" spans="1:50" s="83" customFormat="1" ht="14.1" customHeight="1">
      <c r="A204" s="82"/>
      <c r="B204" s="84">
        <v>19</v>
      </c>
      <c r="C204" s="85">
        <v>0</v>
      </c>
      <c r="D204" s="85">
        <v>0</v>
      </c>
      <c r="E204" s="85">
        <v>0</v>
      </c>
      <c r="F204" s="85">
        <v>0</v>
      </c>
      <c r="G204" s="85">
        <v>0</v>
      </c>
      <c r="H204" s="85">
        <v>0</v>
      </c>
      <c r="I204" s="85">
        <v>0</v>
      </c>
      <c r="J204" s="85">
        <v>0</v>
      </c>
      <c r="K204" s="85">
        <v>0</v>
      </c>
      <c r="L204" s="85">
        <v>0</v>
      </c>
      <c r="M204" s="85">
        <v>13</v>
      </c>
      <c r="N204" s="85">
        <v>13</v>
      </c>
      <c r="O204" s="85">
        <v>13</v>
      </c>
      <c r="P204" s="85">
        <v>13</v>
      </c>
      <c r="Q204" s="85">
        <v>15</v>
      </c>
      <c r="R204" s="85">
        <v>15</v>
      </c>
      <c r="S204" s="85">
        <v>15</v>
      </c>
      <c r="T204" s="85">
        <v>15</v>
      </c>
      <c r="U204" s="85">
        <v>13</v>
      </c>
      <c r="V204" s="85">
        <v>13</v>
      </c>
      <c r="W204" s="85">
        <v>13</v>
      </c>
      <c r="X204" s="85">
        <v>13</v>
      </c>
      <c r="Y204" s="85">
        <v>0</v>
      </c>
      <c r="Z204" s="85">
        <v>0</v>
      </c>
      <c r="AA204" s="85">
        <v>0</v>
      </c>
      <c r="AB204" s="85">
        <v>0</v>
      </c>
      <c r="AC204" s="85">
        <v>0</v>
      </c>
      <c r="AD204" s="85">
        <v>0</v>
      </c>
      <c r="AE204" s="85">
        <v>0</v>
      </c>
      <c r="AF204" s="85">
        <v>0</v>
      </c>
      <c r="AG204" s="85">
        <v>0</v>
      </c>
      <c r="AH204" s="85">
        <v>0</v>
      </c>
      <c r="AP204" s="92">
        <f t="shared" si="41"/>
        <v>19</v>
      </c>
      <c r="AQ204" s="91" t="str">
        <f t="shared" si="42"/>
        <v>0000</v>
      </c>
      <c r="AR204" s="91" t="str">
        <f t="shared" si="43"/>
        <v>0000</v>
      </c>
      <c r="AS204" s="91" t="str">
        <f t="shared" si="44"/>
        <v>00DD</v>
      </c>
      <c r="AT204" s="91" t="str">
        <f t="shared" si="45"/>
        <v>DDFF</v>
      </c>
      <c r="AU204" s="91" t="str">
        <f t="shared" si="46"/>
        <v>FFDD</v>
      </c>
      <c r="AV204" s="91" t="str">
        <f t="shared" si="47"/>
        <v>DD00</v>
      </c>
      <c r="AW204" s="91" t="str">
        <f t="shared" si="48"/>
        <v>0000</v>
      </c>
      <c r="AX204" s="91" t="str">
        <f t="shared" si="49"/>
        <v>0000</v>
      </c>
    </row>
    <row r="205" spans="1:50" s="83" customFormat="1" ht="14.1" customHeight="1">
      <c r="A205" s="82"/>
      <c r="B205" s="84">
        <v>20</v>
      </c>
      <c r="C205" s="85">
        <v>0</v>
      </c>
      <c r="D205" s="85">
        <v>0</v>
      </c>
      <c r="E205" s="85">
        <v>0</v>
      </c>
      <c r="F205" s="85">
        <v>0</v>
      </c>
      <c r="G205" s="85">
        <v>0</v>
      </c>
      <c r="H205" s="85">
        <v>0</v>
      </c>
      <c r="I205" s="85">
        <v>0</v>
      </c>
      <c r="J205" s="85">
        <v>0</v>
      </c>
      <c r="K205" s="85">
        <v>0</v>
      </c>
      <c r="L205" s="85">
        <v>0</v>
      </c>
      <c r="M205" s="85">
        <v>0</v>
      </c>
      <c r="N205" s="85">
        <v>0</v>
      </c>
      <c r="O205" s="85">
        <v>13</v>
      </c>
      <c r="P205" s="85">
        <v>13</v>
      </c>
      <c r="Q205" s="85">
        <v>13</v>
      </c>
      <c r="R205" s="85">
        <v>13</v>
      </c>
      <c r="S205" s="85">
        <v>13</v>
      </c>
      <c r="T205" s="85">
        <v>13</v>
      </c>
      <c r="U205" s="85">
        <v>13</v>
      </c>
      <c r="V205" s="85">
        <v>13</v>
      </c>
      <c r="W205" s="85">
        <v>0</v>
      </c>
      <c r="X205" s="85">
        <v>0</v>
      </c>
      <c r="Y205" s="85">
        <v>0</v>
      </c>
      <c r="Z205" s="85">
        <v>0</v>
      </c>
      <c r="AA205" s="85">
        <v>0</v>
      </c>
      <c r="AB205" s="85">
        <v>0</v>
      </c>
      <c r="AC205" s="85">
        <v>0</v>
      </c>
      <c r="AD205" s="85">
        <v>0</v>
      </c>
      <c r="AE205" s="85">
        <v>0</v>
      </c>
      <c r="AF205" s="85">
        <v>0</v>
      </c>
      <c r="AG205" s="85">
        <v>0</v>
      </c>
      <c r="AH205" s="85">
        <v>0</v>
      </c>
      <c r="AP205" s="92">
        <f t="shared" si="41"/>
        <v>20</v>
      </c>
      <c r="AQ205" s="91" t="str">
        <f t="shared" si="42"/>
        <v>0000</v>
      </c>
      <c r="AR205" s="91" t="str">
        <f t="shared" si="43"/>
        <v>0000</v>
      </c>
      <c r="AS205" s="91" t="str">
        <f t="shared" si="44"/>
        <v>0000</v>
      </c>
      <c r="AT205" s="91" t="str">
        <f t="shared" si="45"/>
        <v>DDDD</v>
      </c>
      <c r="AU205" s="91" t="str">
        <f t="shared" si="46"/>
        <v>DDDD</v>
      </c>
      <c r="AV205" s="91" t="str">
        <f t="shared" si="47"/>
        <v>0000</v>
      </c>
      <c r="AW205" s="91" t="str">
        <f t="shared" si="48"/>
        <v>0000</v>
      </c>
      <c r="AX205" s="91" t="str">
        <f t="shared" si="49"/>
        <v>0000</v>
      </c>
    </row>
    <row r="206" spans="1:50" s="83" customFormat="1" ht="14.1" customHeight="1">
      <c r="A206" s="82"/>
      <c r="B206" s="84">
        <v>21</v>
      </c>
      <c r="C206" s="85">
        <v>0</v>
      </c>
      <c r="D206" s="85">
        <v>0</v>
      </c>
      <c r="E206" s="85">
        <v>0</v>
      </c>
      <c r="F206" s="85">
        <v>0</v>
      </c>
      <c r="G206" s="85">
        <v>0</v>
      </c>
      <c r="H206" s="85">
        <v>0</v>
      </c>
      <c r="I206" s="85">
        <v>0</v>
      </c>
      <c r="J206" s="85">
        <v>0</v>
      </c>
      <c r="K206" s="85">
        <v>0</v>
      </c>
      <c r="L206" s="85">
        <v>0</v>
      </c>
      <c r="M206" s="85">
        <v>0</v>
      </c>
      <c r="N206" s="85">
        <v>0</v>
      </c>
      <c r="O206" s="85">
        <v>13</v>
      </c>
      <c r="P206" s="85">
        <v>13</v>
      </c>
      <c r="Q206" s="85">
        <v>13</v>
      </c>
      <c r="R206" s="85">
        <v>13</v>
      </c>
      <c r="S206" s="85">
        <v>13</v>
      </c>
      <c r="T206" s="85">
        <v>13</v>
      </c>
      <c r="U206" s="85">
        <v>13</v>
      </c>
      <c r="V206" s="85">
        <v>13</v>
      </c>
      <c r="W206" s="85">
        <v>0</v>
      </c>
      <c r="X206" s="85">
        <v>0</v>
      </c>
      <c r="Y206" s="85">
        <v>0</v>
      </c>
      <c r="Z206" s="85">
        <v>0</v>
      </c>
      <c r="AA206" s="85">
        <v>0</v>
      </c>
      <c r="AB206" s="85">
        <v>0</v>
      </c>
      <c r="AC206" s="85">
        <v>0</v>
      </c>
      <c r="AD206" s="85">
        <v>0</v>
      </c>
      <c r="AE206" s="85">
        <v>0</v>
      </c>
      <c r="AF206" s="85">
        <v>0</v>
      </c>
      <c r="AG206" s="85">
        <v>0</v>
      </c>
      <c r="AH206" s="85">
        <v>0</v>
      </c>
      <c r="AP206" s="92">
        <f t="shared" si="41"/>
        <v>21</v>
      </c>
      <c r="AQ206" s="91" t="str">
        <f t="shared" si="42"/>
        <v>0000</v>
      </c>
      <c r="AR206" s="91" t="str">
        <f t="shared" si="43"/>
        <v>0000</v>
      </c>
      <c r="AS206" s="91" t="str">
        <f t="shared" si="44"/>
        <v>0000</v>
      </c>
      <c r="AT206" s="91" t="str">
        <f t="shared" si="45"/>
        <v>DDDD</v>
      </c>
      <c r="AU206" s="91" t="str">
        <f t="shared" si="46"/>
        <v>DDDD</v>
      </c>
      <c r="AV206" s="91" t="str">
        <f t="shared" si="47"/>
        <v>0000</v>
      </c>
      <c r="AW206" s="91" t="str">
        <f t="shared" si="48"/>
        <v>0000</v>
      </c>
      <c r="AX206" s="91" t="str">
        <f t="shared" si="49"/>
        <v>0000</v>
      </c>
    </row>
    <row r="207" spans="1:50" s="83" customFormat="1" ht="14.1" customHeight="1">
      <c r="A207" s="82"/>
      <c r="B207" s="84">
        <v>22</v>
      </c>
      <c r="C207" s="85">
        <v>0</v>
      </c>
      <c r="D207" s="85">
        <v>0</v>
      </c>
      <c r="E207" s="85">
        <v>0</v>
      </c>
      <c r="F207" s="85">
        <v>0</v>
      </c>
      <c r="G207" s="85">
        <v>0</v>
      </c>
      <c r="H207" s="85">
        <v>0</v>
      </c>
      <c r="I207" s="85">
        <v>0</v>
      </c>
      <c r="J207" s="85">
        <v>0</v>
      </c>
      <c r="K207" s="85">
        <v>0</v>
      </c>
      <c r="L207" s="85">
        <v>0</v>
      </c>
      <c r="M207" s="85">
        <v>0</v>
      </c>
      <c r="N207" s="85">
        <v>0</v>
      </c>
      <c r="O207" s="85">
        <v>0</v>
      </c>
      <c r="P207" s="85">
        <v>0</v>
      </c>
      <c r="Q207" s="85">
        <v>0</v>
      </c>
      <c r="R207" s="85">
        <v>0</v>
      </c>
      <c r="S207" s="85">
        <v>0</v>
      </c>
      <c r="T207" s="85">
        <v>0</v>
      </c>
      <c r="U207" s="85">
        <v>0</v>
      </c>
      <c r="V207" s="85">
        <v>0</v>
      </c>
      <c r="W207" s="85">
        <v>0</v>
      </c>
      <c r="X207" s="85">
        <v>0</v>
      </c>
      <c r="Y207" s="85">
        <v>0</v>
      </c>
      <c r="Z207" s="85">
        <v>0</v>
      </c>
      <c r="AA207" s="85">
        <v>0</v>
      </c>
      <c r="AB207" s="85">
        <v>0</v>
      </c>
      <c r="AC207" s="85">
        <v>0</v>
      </c>
      <c r="AD207" s="85">
        <v>0</v>
      </c>
      <c r="AE207" s="85">
        <v>0</v>
      </c>
      <c r="AF207" s="85">
        <v>0</v>
      </c>
      <c r="AG207" s="85">
        <v>0</v>
      </c>
      <c r="AH207" s="85">
        <v>0</v>
      </c>
      <c r="AP207" s="92">
        <f t="shared" si="41"/>
        <v>22</v>
      </c>
      <c r="AQ207" s="91" t="str">
        <f t="shared" si="42"/>
        <v>0000</v>
      </c>
      <c r="AR207" s="91" t="str">
        <f t="shared" si="43"/>
        <v>0000</v>
      </c>
      <c r="AS207" s="91" t="str">
        <f t="shared" si="44"/>
        <v>0000</v>
      </c>
      <c r="AT207" s="91" t="str">
        <f t="shared" si="45"/>
        <v>0000</v>
      </c>
      <c r="AU207" s="91" t="str">
        <f t="shared" si="46"/>
        <v>0000</v>
      </c>
      <c r="AV207" s="91" t="str">
        <f t="shared" si="47"/>
        <v>0000</v>
      </c>
      <c r="AW207" s="91" t="str">
        <f t="shared" si="48"/>
        <v>0000</v>
      </c>
      <c r="AX207" s="91" t="str">
        <f t="shared" si="49"/>
        <v>0000</v>
      </c>
    </row>
    <row r="208" spans="1:50" s="83" customFormat="1" ht="14.1" customHeight="1">
      <c r="A208" s="82"/>
      <c r="B208" s="84">
        <v>23</v>
      </c>
      <c r="C208" s="85">
        <v>0</v>
      </c>
      <c r="D208" s="85">
        <v>0</v>
      </c>
      <c r="E208" s="85">
        <v>0</v>
      </c>
      <c r="F208" s="85">
        <v>0</v>
      </c>
      <c r="G208" s="85">
        <v>0</v>
      </c>
      <c r="H208" s="85">
        <v>0</v>
      </c>
      <c r="I208" s="85">
        <v>0</v>
      </c>
      <c r="J208" s="85">
        <v>0</v>
      </c>
      <c r="K208" s="85">
        <v>0</v>
      </c>
      <c r="L208" s="85">
        <v>0</v>
      </c>
      <c r="M208" s="85">
        <v>0</v>
      </c>
      <c r="N208" s="85">
        <v>0</v>
      </c>
      <c r="O208" s="85">
        <v>0</v>
      </c>
      <c r="P208" s="85">
        <v>0</v>
      </c>
      <c r="Q208" s="85">
        <v>0</v>
      </c>
      <c r="R208" s="85">
        <v>0</v>
      </c>
      <c r="S208" s="85">
        <v>0</v>
      </c>
      <c r="T208" s="85">
        <v>0</v>
      </c>
      <c r="U208" s="85">
        <v>0</v>
      </c>
      <c r="V208" s="85">
        <v>0</v>
      </c>
      <c r="W208" s="85">
        <v>0</v>
      </c>
      <c r="X208" s="85">
        <v>0</v>
      </c>
      <c r="Y208" s="85">
        <v>0</v>
      </c>
      <c r="Z208" s="85">
        <v>0</v>
      </c>
      <c r="AA208" s="85">
        <v>0</v>
      </c>
      <c r="AB208" s="85">
        <v>0</v>
      </c>
      <c r="AC208" s="85">
        <v>0</v>
      </c>
      <c r="AD208" s="85">
        <v>0</v>
      </c>
      <c r="AE208" s="85">
        <v>0</v>
      </c>
      <c r="AF208" s="85">
        <v>0</v>
      </c>
      <c r="AG208" s="85">
        <v>0</v>
      </c>
      <c r="AH208" s="85">
        <v>0</v>
      </c>
      <c r="AP208" s="92">
        <f t="shared" si="41"/>
        <v>23</v>
      </c>
      <c r="AQ208" s="91" t="str">
        <f t="shared" si="42"/>
        <v>0000</v>
      </c>
      <c r="AR208" s="91" t="str">
        <f t="shared" si="43"/>
        <v>0000</v>
      </c>
      <c r="AS208" s="91" t="str">
        <f t="shared" si="44"/>
        <v>0000</v>
      </c>
      <c r="AT208" s="91" t="str">
        <f t="shared" si="45"/>
        <v>0000</v>
      </c>
      <c r="AU208" s="91" t="str">
        <f t="shared" si="46"/>
        <v>0000</v>
      </c>
      <c r="AV208" s="91" t="str">
        <f t="shared" si="47"/>
        <v>0000</v>
      </c>
      <c r="AW208" s="91" t="str">
        <f t="shared" si="48"/>
        <v>0000</v>
      </c>
      <c r="AX208" s="91" t="str">
        <f t="shared" si="49"/>
        <v>0000</v>
      </c>
    </row>
    <row r="209" spans="1:50" s="83" customFormat="1" ht="14.1" customHeight="1">
      <c r="A209" s="82"/>
      <c r="B209" s="84">
        <v>24</v>
      </c>
      <c r="C209" s="85">
        <v>0</v>
      </c>
      <c r="D209" s="85">
        <v>0</v>
      </c>
      <c r="E209" s="85">
        <v>0</v>
      </c>
      <c r="F209" s="85">
        <v>0</v>
      </c>
      <c r="G209" s="85">
        <v>0</v>
      </c>
      <c r="H209" s="85">
        <v>0</v>
      </c>
      <c r="I209" s="85">
        <v>0</v>
      </c>
      <c r="J209" s="85">
        <v>0</v>
      </c>
      <c r="K209" s="85">
        <v>0</v>
      </c>
      <c r="L209" s="85">
        <v>0</v>
      </c>
      <c r="M209" s="85">
        <v>0</v>
      </c>
      <c r="N209" s="85">
        <v>0</v>
      </c>
      <c r="O209" s="85">
        <v>0</v>
      </c>
      <c r="P209" s="85">
        <v>0</v>
      </c>
      <c r="Q209" s="85">
        <v>0</v>
      </c>
      <c r="R209" s="85">
        <v>0</v>
      </c>
      <c r="S209" s="85">
        <v>0</v>
      </c>
      <c r="T209" s="85">
        <v>0</v>
      </c>
      <c r="U209" s="85">
        <v>0</v>
      </c>
      <c r="V209" s="85">
        <v>0</v>
      </c>
      <c r="W209" s="85">
        <v>0</v>
      </c>
      <c r="X209" s="85">
        <v>0</v>
      </c>
      <c r="Y209" s="85">
        <v>0</v>
      </c>
      <c r="Z209" s="85">
        <v>0</v>
      </c>
      <c r="AA209" s="85">
        <v>0</v>
      </c>
      <c r="AB209" s="85">
        <v>0</v>
      </c>
      <c r="AC209" s="85">
        <v>0</v>
      </c>
      <c r="AD209" s="85">
        <v>0</v>
      </c>
      <c r="AE209" s="85">
        <v>0</v>
      </c>
      <c r="AF209" s="85">
        <v>0</v>
      </c>
      <c r="AG209" s="85">
        <v>0</v>
      </c>
      <c r="AH209" s="85">
        <v>0</v>
      </c>
      <c r="AP209" s="92">
        <f t="shared" si="41"/>
        <v>24</v>
      </c>
      <c r="AQ209" s="91" t="str">
        <f t="shared" si="42"/>
        <v>0000</v>
      </c>
      <c r="AR209" s="91" t="str">
        <f t="shared" si="43"/>
        <v>0000</v>
      </c>
      <c r="AS209" s="91" t="str">
        <f t="shared" si="44"/>
        <v>0000</v>
      </c>
      <c r="AT209" s="91" t="str">
        <f t="shared" si="45"/>
        <v>0000</v>
      </c>
      <c r="AU209" s="91" t="str">
        <f t="shared" si="46"/>
        <v>0000</v>
      </c>
      <c r="AV209" s="91" t="str">
        <f t="shared" si="47"/>
        <v>0000</v>
      </c>
      <c r="AW209" s="91" t="str">
        <f t="shared" si="48"/>
        <v>0000</v>
      </c>
      <c r="AX209" s="91" t="str">
        <f t="shared" si="49"/>
        <v>0000</v>
      </c>
    </row>
    <row r="210" spans="1:50" s="83" customFormat="1" ht="14.1" customHeight="1">
      <c r="A210" s="82"/>
      <c r="B210" s="84">
        <v>25</v>
      </c>
      <c r="C210" s="85">
        <v>0</v>
      </c>
      <c r="D210" s="85">
        <v>0</v>
      </c>
      <c r="E210" s="85">
        <v>0</v>
      </c>
      <c r="F210" s="85">
        <v>0</v>
      </c>
      <c r="G210" s="85">
        <v>0</v>
      </c>
      <c r="H210" s="85">
        <v>0</v>
      </c>
      <c r="I210" s="85">
        <v>0</v>
      </c>
      <c r="J210" s="85">
        <v>0</v>
      </c>
      <c r="K210" s="85">
        <v>0</v>
      </c>
      <c r="L210" s="85">
        <v>0</v>
      </c>
      <c r="M210" s="85">
        <v>0</v>
      </c>
      <c r="N210" s="85">
        <v>0</v>
      </c>
      <c r="O210" s="85">
        <v>0</v>
      </c>
      <c r="P210" s="85">
        <v>0</v>
      </c>
      <c r="Q210" s="85">
        <v>0</v>
      </c>
      <c r="R210" s="85">
        <v>0</v>
      </c>
      <c r="S210" s="85">
        <v>0</v>
      </c>
      <c r="T210" s="85">
        <v>0</v>
      </c>
      <c r="U210" s="85">
        <v>0</v>
      </c>
      <c r="V210" s="85">
        <v>0</v>
      </c>
      <c r="W210" s="85">
        <v>0</v>
      </c>
      <c r="X210" s="85">
        <v>0</v>
      </c>
      <c r="Y210" s="85">
        <v>0</v>
      </c>
      <c r="Z210" s="85">
        <v>0</v>
      </c>
      <c r="AA210" s="85">
        <v>0</v>
      </c>
      <c r="AB210" s="85">
        <v>0</v>
      </c>
      <c r="AC210" s="85">
        <v>0</v>
      </c>
      <c r="AD210" s="85">
        <v>0</v>
      </c>
      <c r="AE210" s="85">
        <v>0</v>
      </c>
      <c r="AF210" s="85">
        <v>0</v>
      </c>
      <c r="AG210" s="85">
        <v>0</v>
      </c>
      <c r="AH210" s="85">
        <v>0</v>
      </c>
      <c r="AP210" s="92">
        <f t="shared" si="41"/>
        <v>25</v>
      </c>
      <c r="AQ210" s="91" t="str">
        <f t="shared" si="42"/>
        <v>0000</v>
      </c>
      <c r="AR210" s="91" t="str">
        <f t="shared" si="43"/>
        <v>0000</v>
      </c>
      <c r="AS210" s="91" t="str">
        <f t="shared" si="44"/>
        <v>0000</v>
      </c>
      <c r="AT210" s="91" t="str">
        <f t="shared" si="45"/>
        <v>0000</v>
      </c>
      <c r="AU210" s="91" t="str">
        <f t="shared" si="46"/>
        <v>0000</v>
      </c>
      <c r="AV210" s="91" t="str">
        <f t="shared" si="47"/>
        <v>0000</v>
      </c>
      <c r="AW210" s="91" t="str">
        <f t="shared" si="48"/>
        <v>0000</v>
      </c>
      <c r="AX210" s="91" t="str">
        <f t="shared" si="49"/>
        <v>0000</v>
      </c>
    </row>
    <row r="211" spans="1:50" s="83" customFormat="1" ht="14.1" customHeight="1">
      <c r="A211" s="82"/>
      <c r="B211" s="84">
        <v>26</v>
      </c>
      <c r="C211" s="85">
        <v>0</v>
      </c>
      <c r="D211" s="85">
        <v>0</v>
      </c>
      <c r="E211" s="85">
        <v>0</v>
      </c>
      <c r="F211" s="85">
        <v>0</v>
      </c>
      <c r="G211" s="85">
        <v>0</v>
      </c>
      <c r="H211" s="85">
        <v>0</v>
      </c>
      <c r="I211" s="85">
        <v>0</v>
      </c>
      <c r="J211" s="85">
        <v>0</v>
      </c>
      <c r="K211" s="85">
        <v>0</v>
      </c>
      <c r="L211" s="85">
        <v>0</v>
      </c>
      <c r="M211" s="85">
        <v>0</v>
      </c>
      <c r="N211" s="85">
        <v>0</v>
      </c>
      <c r="O211" s="85">
        <v>0</v>
      </c>
      <c r="P211" s="85">
        <v>0</v>
      </c>
      <c r="Q211" s="85">
        <v>0</v>
      </c>
      <c r="R211" s="85">
        <v>0</v>
      </c>
      <c r="S211" s="85">
        <v>0</v>
      </c>
      <c r="T211" s="85">
        <v>0</v>
      </c>
      <c r="U211" s="85">
        <v>0</v>
      </c>
      <c r="V211" s="85">
        <v>0</v>
      </c>
      <c r="W211" s="85">
        <v>0</v>
      </c>
      <c r="X211" s="85">
        <v>0</v>
      </c>
      <c r="Y211" s="85">
        <v>0</v>
      </c>
      <c r="Z211" s="85">
        <v>0</v>
      </c>
      <c r="AA211" s="85">
        <v>0</v>
      </c>
      <c r="AB211" s="85">
        <v>0</v>
      </c>
      <c r="AC211" s="85">
        <v>0</v>
      </c>
      <c r="AD211" s="85">
        <v>0</v>
      </c>
      <c r="AE211" s="85">
        <v>0</v>
      </c>
      <c r="AF211" s="85">
        <v>0</v>
      </c>
      <c r="AG211" s="85">
        <v>0</v>
      </c>
      <c r="AH211" s="85">
        <v>0</v>
      </c>
      <c r="AP211" s="92">
        <f t="shared" si="41"/>
        <v>26</v>
      </c>
      <c r="AQ211" s="91" t="str">
        <f t="shared" si="42"/>
        <v>0000</v>
      </c>
      <c r="AR211" s="91" t="str">
        <f t="shared" si="43"/>
        <v>0000</v>
      </c>
      <c r="AS211" s="91" t="str">
        <f t="shared" si="44"/>
        <v>0000</v>
      </c>
      <c r="AT211" s="91" t="str">
        <f t="shared" si="45"/>
        <v>0000</v>
      </c>
      <c r="AU211" s="91" t="str">
        <f t="shared" si="46"/>
        <v>0000</v>
      </c>
      <c r="AV211" s="91" t="str">
        <f t="shared" si="47"/>
        <v>0000</v>
      </c>
      <c r="AW211" s="91" t="str">
        <f t="shared" si="48"/>
        <v>0000</v>
      </c>
      <c r="AX211" s="91" t="str">
        <f t="shared" si="49"/>
        <v>0000</v>
      </c>
    </row>
    <row r="212" spans="1:50" s="83" customFormat="1" ht="14.1" customHeight="1">
      <c r="A212" s="82"/>
      <c r="B212" s="84">
        <v>27</v>
      </c>
      <c r="C212" s="85">
        <v>0</v>
      </c>
      <c r="D212" s="85">
        <v>0</v>
      </c>
      <c r="E212" s="85">
        <v>0</v>
      </c>
      <c r="F212" s="85">
        <v>0</v>
      </c>
      <c r="G212" s="85">
        <v>0</v>
      </c>
      <c r="H212" s="85">
        <v>0</v>
      </c>
      <c r="I212" s="85">
        <v>0</v>
      </c>
      <c r="J212" s="85">
        <v>0</v>
      </c>
      <c r="K212" s="85">
        <v>0</v>
      </c>
      <c r="L212" s="85">
        <v>0</v>
      </c>
      <c r="M212" s="85">
        <v>0</v>
      </c>
      <c r="N212" s="85">
        <v>0</v>
      </c>
      <c r="O212" s="85">
        <v>0</v>
      </c>
      <c r="P212" s="85">
        <v>0</v>
      </c>
      <c r="Q212" s="85">
        <v>0</v>
      </c>
      <c r="R212" s="85">
        <v>0</v>
      </c>
      <c r="S212" s="85">
        <v>0</v>
      </c>
      <c r="T212" s="85">
        <v>0</v>
      </c>
      <c r="U212" s="85">
        <v>0</v>
      </c>
      <c r="V212" s="85">
        <v>0</v>
      </c>
      <c r="W212" s="85">
        <v>0</v>
      </c>
      <c r="X212" s="85">
        <v>0</v>
      </c>
      <c r="Y212" s="85">
        <v>0</v>
      </c>
      <c r="Z212" s="85">
        <v>0</v>
      </c>
      <c r="AA212" s="85">
        <v>0</v>
      </c>
      <c r="AB212" s="85">
        <v>0</v>
      </c>
      <c r="AC212" s="85">
        <v>0</v>
      </c>
      <c r="AD212" s="85">
        <v>0</v>
      </c>
      <c r="AE212" s="85">
        <v>0</v>
      </c>
      <c r="AF212" s="85">
        <v>0</v>
      </c>
      <c r="AG212" s="85">
        <v>0</v>
      </c>
      <c r="AH212" s="85">
        <v>0</v>
      </c>
      <c r="AP212" s="92">
        <f t="shared" si="41"/>
        <v>27</v>
      </c>
      <c r="AQ212" s="91" t="str">
        <f t="shared" si="42"/>
        <v>0000</v>
      </c>
      <c r="AR212" s="91" t="str">
        <f t="shared" si="43"/>
        <v>0000</v>
      </c>
      <c r="AS212" s="91" t="str">
        <f t="shared" si="44"/>
        <v>0000</v>
      </c>
      <c r="AT212" s="91" t="str">
        <f t="shared" si="45"/>
        <v>0000</v>
      </c>
      <c r="AU212" s="91" t="str">
        <f t="shared" si="46"/>
        <v>0000</v>
      </c>
      <c r="AV212" s="91" t="str">
        <f t="shared" si="47"/>
        <v>0000</v>
      </c>
      <c r="AW212" s="91" t="str">
        <f t="shared" si="48"/>
        <v>0000</v>
      </c>
      <c r="AX212" s="91" t="str">
        <f t="shared" si="49"/>
        <v>0000</v>
      </c>
    </row>
    <row r="213" spans="1:50" s="83" customFormat="1" ht="14.1" customHeight="1">
      <c r="A213" s="82"/>
      <c r="B213" s="84">
        <v>28</v>
      </c>
      <c r="C213" s="85">
        <v>0</v>
      </c>
      <c r="D213" s="85">
        <v>0</v>
      </c>
      <c r="E213" s="85">
        <v>0</v>
      </c>
      <c r="F213" s="85">
        <v>0</v>
      </c>
      <c r="G213" s="85">
        <v>0</v>
      </c>
      <c r="H213" s="85">
        <v>0</v>
      </c>
      <c r="I213" s="85">
        <v>0</v>
      </c>
      <c r="J213" s="85">
        <v>0</v>
      </c>
      <c r="K213" s="85">
        <v>0</v>
      </c>
      <c r="L213" s="85">
        <v>0</v>
      </c>
      <c r="M213" s="85">
        <v>0</v>
      </c>
      <c r="N213" s="85">
        <v>0</v>
      </c>
      <c r="O213" s="85">
        <v>0</v>
      </c>
      <c r="P213" s="85">
        <v>0</v>
      </c>
      <c r="Q213" s="85">
        <v>0</v>
      </c>
      <c r="R213" s="85">
        <v>0</v>
      </c>
      <c r="S213" s="85">
        <v>0</v>
      </c>
      <c r="T213" s="85">
        <v>0</v>
      </c>
      <c r="U213" s="85">
        <v>0</v>
      </c>
      <c r="V213" s="85">
        <v>0</v>
      </c>
      <c r="W213" s="85">
        <v>0</v>
      </c>
      <c r="X213" s="85">
        <v>0</v>
      </c>
      <c r="Y213" s="85">
        <v>0</v>
      </c>
      <c r="Z213" s="85">
        <v>0</v>
      </c>
      <c r="AA213" s="85">
        <v>0</v>
      </c>
      <c r="AB213" s="85">
        <v>0</v>
      </c>
      <c r="AC213" s="85">
        <v>0</v>
      </c>
      <c r="AD213" s="85">
        <v>0</v>
      </c>
      <c r="AE213" s="85">
        <v>0</v>
      </c>
      <c r="AF213" s="85">
        <v>0</v>
      </c>
      <c r="AG213" s="85">
        <v>0</v>
      </c>
      <c r="AH213" s="85">
        <v>0</v>
      </c>
      <c r="AP213" s="92">
        <f t="shared" si="41"/>
        <v>28</v>
      </c>
      <c r="AQ213" s="91" t="str">
        <f t="shared" si="42"/>
        <v>0000</v>
      </c>
      <c r="AR213" s="91" t="str">
        <f t="shared" si="43"/>
        <v>0000</v>
      </c>
      <c r="AS213" s="91" t="str">
        <f t="shared" si="44"/>
        <v>0000</v>
      </c>
      <c r="AT213" s="91" t="str">
        <f t="shared" si="45"/>
        <v>0000</v>
      </c>
      <c r="AU213" s="91" t="str">
        <f t="shared" si="46"/>
        <v>0000</v>
      </c>
      <c r="AV213" s="91" t="str">
        <f t="shared" si="47"/>
        <v>0000</v>
      </c>
      <c r="AW213" s="91" t="str">
        <f t="shared" si="48"/>
        <v>0000</v>
      </c>
      <c r="AX213" s="91" t="str">
        <f t="shared" si="49"/>
        <v>0000</v>
      </c>
    </row>
    <row r="214" spans="1:50" s="83" customFormat="1" ht="14.1" customHeight="1">
      <c r="A214" s="82"/>
      <c r="B214" s="84">
        <v>29</v>
      </c>
      <c r="C214" s="85">
        <v>0</v>
      </c>
      <c r="D214" s="85">
        <v>0</v>
      </c>
      <c r="E214" s="85">
        <v>0</v>
      </c>
      <c r="F214" s="85">
        <v>0</v>
      </c>
      <c r="G214" s="85">
        <v>0</v>
      </c>
      <c r="H214" s="85">
        <v>0</v>
      </c>
      <c r="I214" s="85">
        <v>0</v>
      </c>
      <c r="J214" s="85">
        <v>0</v>
      </c>
      <c r="K214" s="85">
        <v>0</v>
      </c>
      <c r="L214" s="85">
        <v>0</v>
      </c>
      <c r="M214" s="85">
        <v>0</v>
      </c>
      <c r="N214" s="85">
        <v>0</v>
      </c>
      <c r="O214" s="85">
        <v>0</v>
      </c>
      <c r="P214" s="85">
        <v>0</v>
      </c>
      <c r="Q214" s="85">
        <v>0</v>
      </c>
      <c r="R214" s="85">
        <v>0</v>
      </c>
      <c r="S214" s="85">
        <v>0</v>
      </c>
      <c r="T214" s="85">
        <v>0</v>
      </c>
      <c r="U214" s="85">
        <v>0</v>
      </c>
      <c r="V214" s="85">
        <v>0</v>
      </c>
      <c r="W214" s="85">
        <v>0</v>
      </c>
      <c r="X214" s="85">
        <v>0</v>
      </c>
      <c r="Y214" s="85">
        <v>0</v>
      </c>
      <c r="Z214" s="85">
        <v>0</v>
      </c>
      <c r="AA214" s="85">
        <v>0</v>
      </c>
      <c r="AB214" s="85">
        <v>0</v>
      </c>
      <c r="AC214" s="85">
        <v>0</v>
      </c>
      <c r="AD214" s="85">
        <v>0</v>
      </c>
      <c r="AE214" s="85">
        <v>0</v>
      </c>
      <c r="AF214" s="85">
        <v>0</v>
      </c>
      <c r="AG214" s="85">
        <v>0</v>
      </c>
      <c r="AH214" s="85">
        <v>0</v>
      </c>
      <c r="AP214" s="92">
        <f t="shared" si="41"/>
        <v>29</v>
      </c>
      <c r="AQ214" s="91" t="str">
        <f t="shared" si="42"/>
        <v>0000</v>
      </c>
      <c r="AR214" s="91" t="str">
        <f t="shared" si="43"/>
        <v>0000</v>
      </c>
      <c r="AS214" s="91" t="str">
        <f t="shared" si="44"/>
        <v>0000</v>
      </c>
      <c r="AT214" s="91" t="str">
        <f t="shared" si="45"/>
        <v>0000</v>
      </c>
      <c r="AU214" s="91" t="str">
        <f t="shared" si="46"/>
        <v>0000</v>
      </c>
      <c r="AV214" s="91" t="str">
        <f t="shared" si="47"/>
        <v>0000</v>
      </c>
      <c r="AW214" s="91" t="str">
        <f t="shared" si="48"/>
        <v>0000</v>
      </c>
      <c r="AX214" s="91" t="str">
        <f t="shared" si="49"/>
        <v>0000</v>
      </c>
    </row>
    <row r="215" spans="1:50" s="83" customFormat="1" ht="14.1" customHeight="1">
      <c r="A215" s="82"/>
      <c r="B215" s="84">
        <v>30</v>
      </c>
      <c r="C215" s="85">
        <v>0</v>
      </c>
      <c r="D215" s="85">
        <v>0</v>
      </c>
      <c r="E215" s="85">
        <v>0</v>
      </c>
      <c r="F215" s="85">
        <v>0</v>
      </c>
      <c r="G215" s="85">
        <v>0</v>
      </c>
      <c r="H215" s="85">
        <v>0</v>
      </c>
      <c r="I215" s="85">
        <v>0</v>
      </c>
      <c r="J215" s="85">
        <v>0</v>
      </c>
      <c r="K215" s="85">
        <v>0</v>
      </c>
      <c r="L215" s="85">
        <v>0</v>
      </c>
      <c r="M215" s="85">
        <v>0</v>
      </c>
      <c r="N215" s="85">
        <v>0</v>
      </c>
      <c r="O215" s="85">
        <v>0</v>
      </c>
      <c r="P215" s="85">
        <v>0</v>
      </c>
      <c r="Q215" s="85">
        <v>0</v>
      </c>
      <c r="R215" s="85">
        <v>0</v>
      </c>
      <c r="S215" s="85">
        <v>0</v>
      </c>
      <c r="T215" s="85">
        <v>0</v>
      </c>
      <c r="U215" s="85">
        <v>0</v>
      </c>
      <c r="V215" s="85">
        <v>0</v>
      </c>
      <c r="W215" s="85">
        <v>0</v>
      </c>
      <c r="X215" s="85">
        <v>0</v>
      </c>
      <c r="Y215" s="85">
        <v>0</v>
      </c>
      <c r="Z215" s="85">
        <v>0</v>
      </c>
      <c r="AA215" s="85">
        <v>0</v>
      </c>
      <c r="AB215" s="85">
        <v>0</v>
      </c>
      <c r="AC215" s="85">
        <v>0</v>
      </c>
      <c r="AD215" s="85">
        <v>0</v>
      </c>
      <c r="AE215" s="85">
        <v>0</v>
      </c>
      <c r="AF215" s="85">
        <v>0</v>
      </c>
      <c r="AG215" s="85">
        <v>0</v>
      </c>
      <c r="AH215" s="85">
        <v>0</v>
      </c>
      <c r="AP215" s="92">
        <f t="shared" si="41"/>
        <v>30</v>
      </c>
      <c r="AQ215" s="91" t="str">
        <f t="shared" si="42"/>
        <v>0000</v>
      </c>
      <c r="AR215" s="91" t="str">
        <f t="shared" si="43"/>
        <v>0000</v>
      </c>
      <c r="AS215" s="91" t="str">
        <f t="shared" si="44"/>
        <v>0000</v>
      </c>
      <c r="AT215" s="91" t="str">
        <f t="shared" si="45"/>
        <v>0000</v>
      </c>
      <c r="AU215" s="91" t="str">
        <f t="shared" si="46"/>
        <v>0000</v>
      </c>
      <c r="AV215" s="91" t="str">
        <f t="shared" si="47"/>
        <v>0000</v>
      </c>
      <c r="AW215" s="91" t="str">
        <f t="shared" si="48"/>
        <v>0000</v>
      </c>
      <c r="AX215" s="91" t="str">
        <f t="shared" si="49"/>
        <v>0000</v>
      </c>
    </row>
    <row r="216" spans="1:50" s="83" customFormat="1" ht="14.1" customHeight="1">
      <c r="A216" s="82"/>
      <c r="B216" s="84">
        <v>31</v>
      </c>
      <c r="C216" s="85">
        <v>0</v>
      </c>
      <c r="D216" s="85">
        <v>0</v>
      </c>
      <c r="E216" s="85">
        <v>0</v>
      </c>
      <c r="F216" s="85">
        <v>0</v>
      </c>
      <c r="G216" s="85">
        <v>0</v>
      </c>
      <c r="H216" s="85">
        <v>0</v>
      </c>
      <c r="I216" s="85">
        <v>0</v>
      </c>
      <c r="J216" s="85">
        <v>0</v>
      </c>
      <c r="K216" s="85">
        <v>0</v>
      </c>
      <c r="L216" s="85">
        <v>0</v>
      </c>
      <c r="M216" s="85">
        <v>0</v>
      </c>
      <c r="N216" s="85">
        <v>0</v>
      </c>
      <c r="O216" s="85">
        <v>0</v>
      </c>
      <c r="P216" s="85">
        <v>0</v>
      </c>
      <c r="Q216" s="85">
        <v>0</v>
      </c>
      <c r="R216" s="85">
        <v>0</v>
      </c>
      <c r="S216" s="85">
        <v>0</v>
      </c>
      <c r="T216" s="85">
        <v>0</v>
      </c>
      <c r="U216" s="85">
        <v>0</v>
      </c>
      <c r="V216" s="85">
        <v>0</v>
      </c>
      <c r="W216" s="85">
        <v>0</v>
      </c>
      <c r="X216" s="85">
        <v>0</v>
      </c>
      <c r="Y216" s="85">
        <v>0</v>
      </c>
      <c r="Z216" s="85">
        <v>0</v>
      </c>
      <c r="AA216" s="85">
        <v>0</v>
      </c>
      <c r="AB216" s="85">
        <v>0</v>
      </c>
      <c r="AC216" s="85">
        <v>0</v>
      </c>
      <c r="AD216" s="85">
        <v>0</v>
      </c>
      <c r="AE216" s="85">
        <v>0</v>
      </c>
      <c r="AF216" s="85">
        <v>0</v>
      </c>
      <c r="AG216" s="85">
        <v>0</v>
      </c>
      <c r="AH216" s="85">
        <v>0</v>
      </c>
      <c r="AP216" s="92">
        <f t="shared" si="41"/>
        <v>31</v>
      </c>
      <c r="AQ216" s="91" t="str">
        <f t="shared" si="42"/>
        <v>0000</v>
      </c>
      <c r="AR216" s="91" t="str">
        <f t="shared" si="43"/>
        <v>0000</v>
      </c>
      <c r="AS216" s="91" t="str">
        <f t="shared" si="44"/>
        <v>0000</v>
      </c>
      <c r="AT216" s="91" t="str">
        <f t="shared" si="45"/>
        <v>0000</v>
      </c>
      <c r="AU216" s="91" t="str">
        <f t="shared" si="46"/>
        <v>0000</v>
      </c>
      <c r="AV216" s="91" t="str">
        <f t="shared" si="47"/>
        <v>0000</v>
      </c>
      <c r="AW216" s="91" t="str">
        <f t="shared" si="48"/>
        <v>0000</v>
      </c>
      <c r="AX216" s="91" t="str">
        <f t="shared" si="49"/>
        <v>0000</v>
      </c>
    </row>
    <row r="217" spans="1:50" s="83" customFormat="1">
      <c r="A217" s="82"/>
      <c r="L217" s="110"/>
      <c r="M217" s="110"/>
      <c r="N217" s="110"/>
      <c r="O217" s="110"/>
      <c r="P217" s="110"/>
      <c r="Q217" s="110"/>
      <c r="R217" s="109"/>
      <c r="AP217" s="90"/>
      <c r="AU217" s="91"/>
      <c r="AV217" s="91"/>
      <c r="AW217" s="91"/>
      <c r="AX217" s="91"/>
    </row>
    <row r="218" spans="1:50" s="83" customFormat="1">
      <c r="A218" s="82"/>
      <c r="AP218" s="90"/>
      <c r="AU218" s="91"/>
      <c r="AV218" s="91"/>
      <c r="AW218" s="91"/>
      <c r="AX218" s="91"/>
    </row>
    <row r="219" spans="1:50" s="83" customFormat="1">
      <c r="A219" s="82" t="s">
        <v>313</v>
      </c>
      <c r="AP219" s="88" t="str">
        <f>A219</f>
        <v>7.User setting weight table 1 (Storage to ROM)</v>
      </c>
      <c r="AU219" s="91"/>
      <c r="AV219" s="91"/>
      <c r="AW219" s="91"/>
      <c r="AX219" s="91"/>
    </row>
    <row r="220" spans="1:50" s="83" customFormat="1">
      <c r="A220" s="82"/>
      <c r="C220" s="84">
        <v>0</v>
      </c>
      <c r="D220" s="84">
        <v>1</v>
      </c>
      <c r="E220" s="84">
        <v>2</v>
      </c>
      <c r="F220" s="84">
        <v>3</v>
      </c>
      <c r="G220" s="84">
        <v>4</v>
      </c>
      <c r="H220" s="84">
        <v>5</v>
      </c>
      <c r="I220" s="84">
        <v>6</v>
      </c>
      <c r="J220" s="84">
        <v>7</v>
      </c>
      <c r="K220" s="84">
        <v>8</v>
      </c>
      <c r="L220" s="84">
        <v>9</v>
      </c>
      <c r="M220" s="84">
        <v>10</v>
      </c>
      <c r="N220" s="84">
        <v>11</v>
      </c>
      <c r="O220" s="84">
        <v>12</v>
      </c>
      <c r="P220" s="84">
        <v>13</v>
      </c>
      <c r="Q220" s="84">
        <v>14</v>
      </c>
      <c r="R220" s="84">
        <v>15</v>
      </c>
      <c r="S220" s="84">
        <v>16</v>
      </c>
      <c r="T220" s="84">
        <v>17</v>
      </c>
      <c r="U220" s="84">
        <v>18</v>
      </c>
      <c r="V220" s="84">
        <v>19</v>
      </c>
      <c r="W220" s="84">
        <v>20</v>
      </c>
      <c r="X220" s="84">
        <v>21</v>
      </c>
      <c r="Y220" s="84">
        <v>22</v>
      </c>
      <c r="Z220" s="84">
        <v>23</v>
      </c>
      <c r="AA220" s="84">
        <v>24</v>
      </c>
      <c r="AB220" s="84">
        <v>25</v>
      </c>
      <c r="AC220" s="84">
        <v>26</v>
      </c>
      <c r="AD220" s="84">
        <v>27</v>
      </c>
      <c r="AE220" s="84">
        <v>28</v>
      </c>
      <c r="AF220" s="84">
        <v>29</v>
      </c>
      <c r="AG220" s="84">
        <v>30</v>
      </c>
      <c r="AH220" s="84">
        <v>31</v>
      </c>
      <c r="AP220" s="90"/>
      <c r="AQ220" s="91" t="str">
        <f>C220&amp;D220&amp;E220&amp;F220</f>
        <v>0123</v>
      </c>
      <c r="AR220" s="91" t="str">
        <f>G220&amp;H220&amp;I220&amp;J220</f>
        <v>4567</v>
      </c>
      <c r="AS220" s="91" t="str">
        <f>K220&amp;L220&amp;M220&amp;N220</f>
        <v>891011</v>
      </c>
      <c r="AT220" s="91" t="str">
        <f>O220&amp;P220&amp;Q220&amp;R220</f>
        <v>12131415</v>
      </c>
      <c r="AU220" s="83">
        <v>16171819</v>
      </c>
      <c r="AV220" s="83">
        <v>20212223</v>
      </c>
      <c r="AW220" s="83">
        <v>24252627</v>
      </c>
      <c r="AX220" s="83">
        <v>28293031</v>
      </c>
    </row>
    <row r="221" spans="1:50" s="83" customFormat="1" ht="14.1" customHeight="1">
      <c r="A221" s="82"/>
      <c r="B221" s="84">
        <v>0</v>
      </c>
      <c r="C221" s="85">
        <v>0</v>
      </c>
      <c r="D221" s="85">
        <v>0</v>
      </c>
      <c r="E221" s="85">
        <v>0</v>
      </c>
      <c r="F221" s="85">
        <v>0</v>
      </c>
      <c r="G221" s="85">
        <v>0</v>
      </c>
      <c r="H221" s="85">
        <v>0</v>
      </c>
      <c r="I221" s="85">
        <v>0</v>
      </c>
      <c r="J221" s="85">
        <v>0</v>
      </c>
      <c r="K221" s="85">
        <v>0</v>
      </c>
      <c r="L221" s="85">
        <v>0</v>
      </c>
      <c r="M221" s="85">
        <v>0</v>
      </c>
      <c r="N221" s="85">
        <v>0</v>
      </c>
      <c r="O221" s="85">
        <v>0</v>
      </c>
      <c r="P221" s="85">
        <v>0</v>
      </c>
      <c r="Q221" s="85">
        <v>0</v>
      </c>
      <c r="R221" s="85">
        <v>0</v>
      </c>
      <c r="S221" s="85">
        <v>0</v>
      </c>
      <c r="T221" s="85">
        <v>0</v>
      </c>
      <c r="U221" s="85">
        <v>0</v>
      </c>
      <c r="V221" s="85">
        <v>0</v>
      </c>
      <c r="W221" s="85">
        <v>0</v>
      </c>
      <c r="X221" s="85">
        <v>0</v>
      </c>
      <c r="Y221" s="85">
        <v>0</v>
      </c>
      <c r="Z221" s="85">
        <v>0</v>
      </c>
      <c r="AA221" s="85">
        <v>0</v>
      </c>
      <c r="AB221" s="85">
        <v>0</v>
      </c>
      <c r="AC221" s="85">
        <v>0</v>
      </c>
      <c r="AD221" s="85">
        <v>0</v>
      </c>
      <c r="AE221" s="85">
        <v>0</v>
      </c>
      <c r="AF221" s="85">
        <v>0</v>
      </c>
      <c r="AG221" s="85">
        <v>0</v>
      </c>
      <c r="AH221" s="85">
        <v>0</v>
      </c>
      <c r="AP221" s="92">
        <f t="shared" ref="AP221:AP252" si="50">B221</f>
        <v>0</v>
      </c>
      <c r="AQ221" s="91" t="str">
        <f t="shared" ref="AQ221:AQ252" si="51">DEC2HEX(C221)&amp;DEC2HEX(D221)&amp;DEC2HEX(E221)&amp;DEC2HEX(F221)</f>
        <v>0000</v>
      </c>
      <c r="AR221" s="91" t="str">
        <f t="shared" ref="AR221:AR252" si="52">DEC2HEX(G221)&amp;DEC2HEX(H221)&amp;DEC2HEX(I221)&amp;DEC2HEX(J221)</f>
        <v>0000</v>
      </c>
      <c r="AS221" s="91" t="str">
        <f t="shared" ref="AS221:AS252" si="53">DEC2HEX(K221)&amp;DEC2HEX(L221)&amp;DEC2HEX(M221)&amp;DEC2HEX(N221)</f>
        <v>0000</v>
      </c>
      <c r="AT221" s="91" t="str">
        <f t="shared" ref="AT221:AT252" si="54">DEC2HEX(O221)&amp;DEC2HEX(P221)&amp;DEC2HEX(Q221)&amp;DEC2HEX(R221)</f>
        <v>0000</v>
      </c>
      <c r="AU221" s="91" t="str">
        <f t="shared" si="46"/>
        <v>0000</v>
      </c>
      <c r="AV221" s="91" t="str">
        <f t="shared" si="47"/>
        <v>0000</v>
      </c>
      <c r="AW221" s="91" t="str">
        <f t="shared" si="48"/>
        <v>0000</v>
      </c>
      <c r="AX221" s="91" t="str">
        <f t="shared" si="49"/>
        <v>0000</v>
      </c>
    </row>
    <row r="222" spans="1:50" s="83" customFormat="1" ht="14.1" customHeight="1">
      <c r="A222" s="82"/>
      <c r="B222" s="84">
        <v>1</v>
      </c>
      <c r="C222" s="85">
        <v>0</v>
      </c>
      <c r="D222" s="85">
        <v>0</v>
      </c>
      <c r="E222" s="85">
        <v>0</v>
      </c>
      <c r="F222" s="85">
        <v>0</v>
      </c>
      <c r="G222" s="85">
        <v>0</v>
      </c>
      <c r="H222" s="85">
        <v>0</v>
      </c>
      <c r="I222" s="85">
        <v>0</v>
      </c>
      <c r="J222" s="85">
        <v>0</v>
      </c>
      <c r="K222" s="85">
        <v>0</v>
      </c>
      <c r="L222" s="85">
        <v>0</v>
      </c>
      <c r="M222" s="85">
        <v>0</v>
      </c>
      <c r="N222" s="85">
        <v>0</v>
      </c>
      <c r="O222" s="85">
        <v>0</v>
      </c>
      <c r="P222" s="85">
        <v>0</v>
      </c>
      <c r="Q222" s="85">
        <v>0</v>
      </c>
      <c r="R222" s="85">
        <v>0</v>
      </c>
      <c r="S222" s="85">
        <v>0</v>
      </c>
      <c r="T222" s="85">
        <v>0</v>
      </c>
      <c r="U222" s="85">
        <v>0</v>
      </c>
      <c r="V222" s="85">
        <v>0</v>
      </c>
      <c r="W222" s="85">
        <v>0</v>
      </c>
      <c r="X222" s="85">
        <v>0</v>
      </c>
      <c r="Y222" s="85">
        <v>0</v>
      </c>
      <c r="Z222" s="85">
        <v>0</v>
      </c>
      <c r="AA222" s="85">
        <v>0</v>
      </c>
      <c r="AB222" s="85">
        <v>0</v>
      </c>
      <c r="AC222" s="85">
        <v>0</v>
      </c>
      <c r="AD222" s="85">
        <v>0</v>
      </c>
      <c r="AE222" s="85">
        <v>0</v>
      </c>
      <c r="AF222" s="85">
        <v>0</v>
      </c>
      <c r="AG222" s="85">
        <v>0</v>
      </c>
      <c r="AH222" s="85">
        <v>0</v>
      </c>
      <c r="AP222" s="92">
        <f t="shared" si="50"/>
        <v>1</v>
      </c>
      <c r="AQ222" s="91" t="str">
        <f t="shared" si="51"/>
        <v>0000</v>
      </c>
      <c r="AR222" s="91" t="str">
        <f t="shared" si="52"/>
        <v>0000</v>
      </c>
      <c r="AS222" s="91" t="str">
        <f t="shared" si="53"/>
        <v>0000</v>
      </c>
      <c r="AT222" s="91" t="str">
        <f t="shared" si="54"/>
        <v>0000</v>
      </c>
      <c r="AU222" s="91" t="str">
        <f t="shared" si="46"/>
        <v>0000</v>
      </c>
      <c r="AV222" s="91" t="str">
        <f t="shared" si="47"/>
        <v>0000</v>
      </c>
      <c r="AW222" s="91" t="str">
        <f t="shared" si="48"/>
        <v>0000</v>
      </c>
      <c r="AX222" s="91" t="str">
        <f t="shared" si="49"/>
        <v>0000</v>
      </c>
    </row>
    <row r="223" spans="1:50" s="83" customFormat="1" ht="14.1" customHeight="1">
      <c r="A223" s="82"/>
      <c r="B223" s="84">
        <v>2</v>
      </c>
      <c r="C223" s="85">
        <v>0</v>
      </c>
      <c r="D223" s="85">
        <v>0</v>
      </c>
      <c r="E223" s="85">
        <v>0</v>
      </c>
      <c r="F223" s="85">
        <v>0</v>
      </c>
      <c r="G223" s="85">
        <v>0</v>
      </c>
      <c r="H223" s="85">
        <v>0</v>
      </c>
      <c r="I223" s="85">
        <v>0</v>
      </c>
      <c r="J223" s="85">
        <v>0</v>
      </c>
      <c r="K223" s="85">
        <v>0</v>
      </c>
      <c r="L223" s="85">
        <v>0</v>
      </c>
      <c r="M223" s="85">
        <v>0</v>
      </c>
      <c r="N223" s="85">
        <v>0</v>
      </c>
      <c r="O223" s="85">
        <v>0</v>
      </c>
      <c r="P223" s="85">
        <v>0</v>
      </c>
      <c r="Q223" s="85">
        <v>0</v>
      </c>
      <c r="R223" s="85">
        <v>0</v>
      </c>
      <c r="S223" s="85">
        <v>0</v>
      </c>
      <c r="T223" s="85">
        <v>0</v>
      </c>
      <c r="U223" s="85">
        <v>0</v>
      </c>
      <c r="V223" s="85">
        <v>0</v>
      </c>
      <c r="W223" s="85">
        <v>0</v>
      </c>
      <c r="X223" s="85">
        <v>0</v>
      </c>
      <c r="Y223" s="85">
        <v>0</v>
      </c>
      <c r="Z223" s="85">
        <v>0</v>
      </c>
      <c r="AA223" s="85">
        <v>0</v>
      </c>
      <c r="AB223" s="85">
        <v>0</v>
      </c>
      <c r="AC223" s="85">
        <v>0</v>
      </c>
      <c r="AD223" s="85">
        <v>0</v>
      </c>
      <c r="AE223" s="85">
        <v>0</v>
      </c>
      <c r="AF223" s="85">
        <v>0</v>
      </c>
      <c r="AG223" s="85">
        <v>0</v>
      </c>
      <c r="AH223" s="85">
        <v>0</v>
      </c>
      <c r="AP223" s="92">
        <f t="shared" si="50"/>
        <v>2</v>
      </c>
      <c r="AQ223" s="91" t="str">
        <f t="shared" si="51"/>
        <v>0000</v>
      </c>
      <c r="AR223" s="91" t="str">
        <f t="shared" si="52"/>
        <v>0000</v>
      </c>
      <c r="AS223" s="91" t="str">
        <f t="shared" si="53"/>
        <v>0000</v>
      </c>
      <c r="AT223" s="91" t="str">
        <f t="shared" si="54"/>
        <v>0000</v>
      </c>
      <c r="AU223" s="91" t="str">
        <f t="shared" si="46"/>
        <v>0000</v>
      </c>
      <c r="AV223" s="91" t="str">
        <f t="shared" si="47"/>
        <v>0000</v>
      </c>
      <c r="AW223" s="91" t="str">
        <f t="shared" si="48"/>
        <v>0000</v>
      </c>
      <c r="AX223" s="91" t="str">
        <f t="shared" si="49"/>
        <v>0000</v>
      </c>
    </row>
    <row r="224" spans="1:50" s="83" customFormat="1" ht="14.1" customHeight="1">
      <c r="A224" s="82"/>
      <c r="B224" s="84">
        <v>3</v>
      </c>
      <c r="C224" s="85">
        <v>0</v>
      </c>
      <c r="D224" s="85">
        <v>0</v>
      </c>
      <c r="E224" s="85">
        <v>0</v>
      </c>
      <c r="F224" s="85">
        <v>0</v>
      </c>
      <c r="G224" s="85">
        <v>0</v>
      </c>
      <c r="H224" s="85">
        <v>0</v>
      </c>
      <c r="I224" s="85">
        <v>0</v>
      </c>
      <c r="J224" s="85">
        <v>0</v>
      </c>
      <c r="K224" s="85">
        <v>0</v>
      </c>
      <c r="L224" s="85">
        <v>0</v>
      </c>
      <c r="M224" s="85">
        <v>0</v>
      </c>
      <c r="N224" s="85">
        <v>0</v>
      </c>
      <c r="O224" s="85">
        <v>0</v>
      </c>
      <c r="P224" s="85">
        <v>0</v>
      </c>
      <c r="Q224" s="85">
        <v>0</v>
      </c>
      <c r="R224" s="85">
        <v>0</v>
      </c>
      <c r="S224" s="85">
        <v>0</v>
      </c>
      <c r="T224" s="85">
        <v>0</v>
      </c>
      <c r="U224" s="85">
        <v>0</v>
      </c>
      <c r="V224" s="85">
        <v>0</v>
      </c>
      <c r="W224" s="85">
        <v>0</v>
      </c>
      <c r="X224" s="85">
        <v>0</v>
      </c>
      <c r="Y224" s="85">
        <v>0</v>
      </c>
      <c r="Z224" s="85">
        <v>0</v>
      </c>
      <c r="AA224" s="85">
        <v>0</v>
      </c>
      <c r="AB224" s="85">
        <v>0</v>
      </c>
      <c r="AC224" s="85">
        <v>0</v>
      </c>
      <c r="AD224" s="85">
        <v>0</v>
      </c>
      <c r="AE224" s="85">
        <v>0</v>
      </c>
      <c r="AF224" s="85">
        <v>0</v>
      </c>
      <c r="AG224" s="85">
        <v>0</v>
      </c>
      <c r="AH224" s="85">
        <v>0</v>
      </c>
      <c r="AP224" s="92">
        <f t="shared" si="50"/>
        <v>3</v>
      </c>
      <c r="AQ224" s="91" t="str">
        <f t="shared" si="51"/>
        <v>0000</v>
      </c>
      <c r="AR224" s="91" t="str">
        <f t="shared" si="52"/>
        <v>0000</v>
      </c>
      <c r="AS224" s="91" t="str">
        <f t="shared" si="53"/>
        <v>0000</v>
      </c>
      <c r="AT224" s="91" t="str">
        <f t="shared" si="54"/>
        <v>0000</v>
      </c>
      <c r="AU224" s="91" t="str">
        <f t="shared" si="46"/>
        <v>0000</v>
      </c>
      <c r="AV224" s="91" t="str">
        <f t="shared" si="47"/>
        <v>0000</v>
      </c>
      <c r="AW224" s="91" t="str">
        <f t="shared" si="48"/>
        <v>0000</v>
      </c>
      <c r="AX224" s="91" t="str">
        <f t="shared" si="49"/>
        <v>0000</v>
      </c>
    </row>
    <row r="225" spans="1:50" s="83" customFormat="1" ht="14.1" customHeight="1">
      <c r="A225" s="82"/>
      <c r="B225" s="84">
        <v>4</v>
      </c>
      <c r="C225" s="85">
        <v>0</v>
      </c>
      <c r="D225" s="85">
        <v>0</v>
      </c>
      <c r="E225" s="85">
        <v>0</v>
      </c>
      <c r="F225" s="85">
        <v>0</v>
      </c>
      <c r="G225" s="85">
        <v>0</v>
      </c>
      <c r="H225" s="85">
        <v>0</v>
      </c>
      <c r="I225" s="85">
        <v>0</v>
      </c>
      <c r="J225" s="85">
        <v>0</v>
      </c>
      <c r="K225" s="85">
        <v>0</v>
      </c>
      <c r="L225" s="85">
        <v>0</v>
      </c>
      <c r="M225" s="85">
        <v>0</v>
      </c>
      <c r="N225" s="85">
        <v>0</v>
      </c>
      <c r="O225" s="85">
        <v>0</v>
      </c>
      <c r="P225" s="85">
        <v>0</v>
      </c>
      <c r="Q225" s="85">
        <v>0</v>
      </c>
      <c r="R225" s="85">
        <v>0</v>
      </c>
      <c r="S225" s="85">
        <v>0</v>
      </c>
      <c r="T225" s="85">
        <v>0</v>
      </c>
      <c r="U225" s="85">
        <v>0</v>
      </c>
      <c r="V225" s="85">
        <v>0</v>
      </c>
      <c r="W225" s="85">
        <v>0</v>
      </c>
      <c r="X225" s="85">
        <v>0</v>
      </c>
      <c r="Y225" s="85">
        <v>0</v>
      </c>
      <c r="Z225" s="85">
        <v>0</v>
      </c>
      <c r="AA225" s="85">
        <v>0</v>
      </c>
      <c r="AB225" s="85">
        <v>0</v>
      </c>
      <c r="AC225" s="85">
        <v>0</v>
      </c>
      <c r="AD225" s="85">
        <v>0</v>
      </c>
      <c r="AE225" s="85">
        <v>0</v>
      </c>
      <c r="AF225" s="85">
        <v>0</v>
      </c>
      <c r="AG225" s="85">
        <v>0</v>
      </c>
      <c r="AH225" s="85">
        <v>0</v>
      </c>
      <c r="AP225" s="92">
        <f t="shared" si="50"/>
        <v>4</v>
      </c>
      <c r="AQ225" s="91" t="str">
        <f t="shared" si="51"/>
        <v>0000</v>
      </c>
      <c r="AR225" s="91" t="str">
        <f t="shared" si="52"/>
        <v>0000</v>
      </c>
      <c r="AS225" s="91" t="str">
        <f t="shared" si="53"/>
        <v>0000</v>
      </c>
      <c r="AT225" s="91" t="str">
        <f t="shared" si="54"/>
        <v>0000</v>
      </c>
      <c r="AU225" s="91" t="str">
        <f t="shared" si="46"/>
        <v>0000</v>
      </c>
      <c r="AV225" s="91" t="str">
        <f t="shared" si="47"/>
        <v>0000</v>
      </c>
      <c r="AW225" s="91" t="str">
        <f t="shared" si="48"/>
        <v>0000</v>
      </c>
      <c r="AX225" s="91" t="str">
        <f t="shared" si="49"/>
        <v>0000</v>
      </c>
    </row>
    <row r="226" spans="1:50" s="83" customFormat="1" ht="14.1" customHeight="1">
      <c r="A226" s="82"/>
      <c r="B226" s="84">
        <v>5</v>
      </c>
      <c r="C226" s="85">
        <v>0</v>
      </c>
      <c r="D226" s="85">
        <v>0</v>
      </c>
      <c r="E226" s="85">
        <v>0</v>
      </c>
      <c r="F226" s="85">
        <v>0</v>
      </c>
      <c r="G226" s="85">
        <v>0</v>
      </c>
      <c r="H226" s="85">
        <v>0</v>
      </c>
      <c r="I226" s="85">
        <v>0</v>
      </c>
      <c r="J226" s="85">
        <v>0</v>
      </c>
      <c r="K226" s="85">
        <v>0</v>
      </c>
      <c r="L226" s="85">
        <v>0</v>
      </c>
      <c r="M226" s="85">
        <v>0</v>
      </c>
      <c r="N226" s="85">
        <v>0</v>
      </c>
      <c r="O226" s="85">
        <v>0</v>
      </c>
      <c r="P226" s="85">
        <v>0</v>
      </c>
      <c r="Q226" s="85">
        <v>0</v>
      </c>
      <c r="R226" s="85">
        <v>0</v>
      </c>
      <c r="S226" s="85">
        <v>0</v>
      </c>
      <c r="T226" s="85">
        <v>0</v>
      </c>
      <c r="U226" s="85">
        <v>0</v>
      </c>
      <c r="V226" s="85">
        <v>0</v>
      </c>
      <c r="W226" s="85">
        <v>0</v>
      </c>
      <c r="X226" s="85">
        <v>0</v>
      </c>
      <c r="Y226" s="85">
        <v>0</v>
      </c>
      <c r="Z226" s="85">
        <v>0</v>
      </c>
      <c r="AA226" s="85">
        <v>0</v>
      </c>
      <c r="AB226" s="85">
        <v>0</v>
      </c>
      <c r="AC226" s="85">
        <v>0</v>
      </c>
      <c r="AD226" s="85">
        <v>0</v>
      </c>
      <c r="AE226" s="85">
        <v>0</v>
      </c>
      <c r="AF226" s="85">
        <v>0</v>
      </c>
      <c r="AG226" s="85">
        <v>0</v>
      </c>
      <c r="AH226" s="85">
        <v>0</v>
      </c>
      <c r="AP226" s="92">
        <f t="shared" si="50"/>
        <v>5</v>
      </c>
      <c r="AQ226" s="91" t="str">
        <f t="shared" si="51"/>
        <v>0000</v>
      </c>
      <c r="AR226" s="91" t="str">
        <f t="shared" si="52"/>
        <v>0000</v>
      </c>
      <c r="AS226" s="91" t="str">
        <f t="shared" si="53"/>
        <v>0000</v>
      </c>
      <c r="AT226" s="91" t="str">
        <f t="shared" si="54"/>
        <v>0000</v>
      </c>
      <c r="AU226" s="91" t="str">
        <f t="shared" si="46"/>
        <v>0000</v>
      </c>
      <c r="AV226" s="91" t="str">
        <f t="shared" si="47"/>
        <v>0000</v>
      </c>
      <c r="AW226" s="91" t="str">
        <f t="shared" si="48"/>
        <v>0000</v>
      </c>
      <c r="AX226" s="91" t="str">
        <f t="shared" si="49"/>
        <v>0000</v>
      </c>
    </row>
    <row r="227" spans="1:50" s="83" customFormat="1" ht="14.1" customHeight="1">
      <c r="A227" s="82"/>
      <c r="B227" s="84">
        <v>6</v>
      </c>
      <c r="C227" s="85">
        <v>0</v>
      </c>
      <c r="D227" s="85">
        <v>0</v>
      </c>
      <c r="E227" s="85">
        <v>0</v>
      </c>
      <c r="F227" s="85">
        <v>0</v>
      </c>
      <c r="G227" s="85">
        <v>0</v>
      </c>
      <c r="H227" s="85">
        <v>0</v>
      </c>
      <c r="I227" s="85">
        <v>0</v>
      </c>
      <c r="J227" s="85">
        <v>0</v>
      </c>
      <c r="K227" s="85">
        <v>0</v>
      </c>
      <c r="L227" s="85">
        <v>0</v>
      </c>
      <c r="M227" s="85">
        <v>0</v>
      </c>
      <c r="N227" s="85">
        <v>0</v>
      </c>
      <c r="O227" s="85">
        <v>0</v>
      </c>
      <c r="P227" s="85">
        <v>0</v>
      </c>
      <c r="Q227" s="85">
        <v>7</v>
      </c>
      <c r="R227" s="85">
        <v>7</v>
      </c>
      <c r="S227" s="85">
        <v>7</v>
      </c>
      <c r="T227" s="85">
        <v>7</v>
      </c>
      <c r="U227" s="85">
        <v>0</v>
      </c>
      <c r="V227" s="85">
        <v>0</v>
      </c>
      <c r="W227" s="85">
        <v>0</v>
      </c>
      <c r="X227" s="85">
        <v>0</v>
      </c>
      <c r="Y227" s="85">
        <v>0</v>
      </c>
      <c r="Z227" s="85">
        <v>0</v>
      </c>
      <c r="AA227" s="85">
        <v>0</v>
      </c>
      <c r="AB227" s="85">
        <v>0</v>
      </c>
      <c r="AC227" s="85">
        <v>0</v>
      </c>
      <c r="AD227" s="85">
        <v>0</v>
      </c>
      <c r="AE227" s="85">
        <v>0</v>
      </c>
      <c r="AF227" s="85">
        <v>0</v>
      </c>
      <c r="AG227" s="85">
        <v>0</v>
      </c>
      <c r="AH227" s="85">
        <v>0</v>
      </c>
      <c r="AP227" s="92">
        <f t="shared" si="50"/>
        <v>6</v>
      </c>
      <c r="AQ227" s="91" t="str">
        <f t="shared" si="51"/>
        <v>0000</v>
      </c>
      <c r="AR227" s="91" t="str">
        <f t="shared" si="52"/>
        <v>0000</v>
      </c>
      <c r="AS227" s="91" t="str">
        <f t="shared" si="53"/>
        <v>0000</v>
      </c>
      <c r="AT227" s="91" t="str">
        <f t="shared" si="54"/>
        <v>0077</v>
      </c>
      <c r="AU227" s="91" t="str">
        <f t="shared" si="46"/>
        <v>7700</v>
      </c>
      <c r="AV227" s="91" t="str">
        <f t="shared" si="47"/>
        <v>0000</v>
      </c>
      <c r="AW227" s="91" t="str">
        <f t="shared" si="48"/>
        <v>0000</v>
      </c>
      <c r="AX227" s="91" t="str">
        <f t="shared" si="49"/>
        <v>0000</v>
      </c>
    </row>
    <row r="228" spans="1:50" s="83" customFormat="1" ht="14.1" customHeight="1">
      <c r="A228" s="82"/>
      <c r="B228" s="84">
        <v>7</v>
      </c>
      <c r="C228" s="85">
        <v>0</v>
      </c>
      <c r="D228" s="85">
        <v>0</v>
      </c>
      <c r="E228" s="85">
        <v>0</v>
      </c>
      <c r="F228" s="85">
        <v>0</v>
      </c>
      <c r="G228" s="85">
        <v>0</v>
      </c>
      <c r="H228" s="85">
        <v>0</v>
      </c>
      <c r="I228" s="85">
        <v>0</v>
      </c>
      <c r="J228" s="85">
        <v>0</v>
      </c>
      <c r="K228" s="85">
        <v>0</v>
      </c>
      <c r="L228" s="85">
        <v>0</v>
      </c>
      <c r="M228" s="85">
        <v>0</v>
      </c>
      <c r="N228" s="85">
        <v>0</v>
      </c>
      <c r="O228" s="85">
        <v>0</v>
      </c>
      <c r="P228" s="85">
        <v>0</v>
      </c>
      <c r="Q228" s="85">
        <v>7</v>
      </c>
      <c r="R228" s="85">
        <v>7</v>
      </c>
      <c r="S228" s="85">
        <v>7</v>
      </c>
      <c r="T228" s="85">
        <v>7</v>
      </c>
      <c r="U228" s="85">
        <v>0</v>
      </c>
      <c r="V228" s="85">
        <v>0</v>
      </c>
      <c r="W228" s="85">
        <v>0</v>
      </c>
      <c r="X228" s="85">
        <v>0</v>
      </c>
      <c r="Y228" s="85">
        <v>0</v>
      </c>
      <c r="Z228" s="85">
        <v>0</v>
      </c>
      <c r="AA228" s="85">
        <v>0</v>
      </c>
      <c r="AB228" s="85">
        <v>0</v>
      </c>
      <c r="AC228" s="85">
        <v>0</v>
      </c>
      <c r="AD228" s="85">
        <v>0</v>
      </c>
      <c r="AE228" s="85">
        <v>0</v>
      </c>
      <c r="AF228" s="85">
        <v>0</v>
      </c>
      <c r="AG228" s="85">
        <v>0</v>
      </c>
      <c r="AH228" s="85">
        <v>0</v>
      </c>
      <c r="AP228" s="92">
        <f t="shared" si="50"/>
        <v>7</v>
      </c>
      <c r="AQ228" s="91" t="str">
        <f t="shared" si="51"/>
        <v>0000</v>
      </c>
      <c r="AR228" s="91" t="str">
        <f t="shared" si="52"/>
        <v>0000</v>
      </c>
      <c r="AS228" s="91" t="str">
        <f t="shared" si="53"/>
        <v>0000</v>
      </c>
      <c r="AT228" s="91" t="str">
        <f t="shared" si="54"/>
        <v>0077</v>
      </c>
      <c r="AU228" s="91" t="str">
        <f t="shared" si="46"/>
        <v>7700</v>
      </c>
      <c r="AV228" s="91" t="str">
        <f t="shared" si="47"/>
        <v>0000</v>
      </c>
      <c r="AW228" s="91" t="str">
        <f t="shared" si="48"/>
        <v>0000</v>
      </c>
      <c r="AX228" s="91" t="str">
        <f t="shared" si="49"/>
        <v>0000</v>
      </c>
    </row>
    <row r="229" spans="1:50" s="83" customFormat="1" ht="14.1" customHeight="1">
      <c r="A229" s="82"/>
      <c r="B229" s="84">
        <v>8</v>
      </c>
      <c r="C229" s="85">
        <v>0</v>
      </c>
      <c r="D229" s="85">
        <v>0</v>
      </c>
      <c r="E229" s="85">
        <v>0</v>
      </c>
      <c r="F229" s="85">
        <v>0</v>
      </c>
      <c r="G229" s="85">
        <v>0</v>
      </c>
      <c r="H229" s="85">
        <v>0</v>
      </c>
      <c r="I229" s="85">
        <v>0</v>
      </c>
      <c r="J229" s="85">
        <v>0</v>
      </c>
      <c r="K229" s="85">
        <v>0</v>
      </c>
      <c r="L229" s="85">
        <v>0</v>
      </c>
      <c r="M229" s="85">
        <v>7</v>
      </c>
      <c r="N229" s="85">
        <v>7</v>
      </c>
      <c r="O229" s="85">
        <v>7</v>
      </c>
      <c r="P229" s="85">
        <v>7</v>
      </c>
      <c r="Q229" s="85">
        <v>7</v>
      </c>
      <c r="R229" s="85">
        <v>7</v>
      </c>
      <c r="S229" s="85">
        <v>7</v>
      </c>
      <c r="T229" s="85">
        <v>7</v>
      </c>
      <c r="U229" s="85">
        <v>7</v>
      </c>
      <c r="V229" s="85">
        <v>7</v>
      </c>
      <c r="W229" s="85">
        <v>0</v>
      </c>
      <c r="X229" s="85">
        <v>0</v>
      </c>
      <c r="Y229" s="85">
        <v>0</v>
      </c>
      <c r="Z229" s="85">
        <v>0</v>
      </c>
      <c r="AA229" s="85">
        <v>0</v>
      </c>
      <c r="AB229" s="85">
        <v>0</v>
      </c>
      <c r="AC229" s="85">
        <v>0</v>
      </c>
      <c r="AD229" s="85">
        <v>0</v>
      </c>
      <c r="AE229" s="85">
        <v>0</v>
      </c>
      <c r="AF229" s="85">
        <v>0</v>
      </c>
      <c r="AG229" s="85">
        <v>0</v>
      </c>
      <c r="AH229" s="85">
        <v>0</v>
      </c>
      <c r="AP229" s="92">
        <f t="shared" si="50"/>
        <v>8</v>
      </c>
      <c r="AQ229" s="91" t="str">
        <f t="shared" si="51"/>
        <v>0000</v>
      </c>
      <c r="AR229" s="91" t="str">
        <f t="shared" si="52"/>
        <v>0000</v>
      </c>
      <c r="AS229" s="91" t="str">
        <f t="shared" si="53"/>
        <v>0077</v>
      </c>
      <c r="AT229" s="91" t="str">
        <f t="shared" si="54"/>
        <v>7777</v>
      </c>
      <c r="AU229" s="91" t="str">
        <f t="shared" si="46"/>
        <v>7777</v>
      </c>
      <c r="AV229" s="91" t="str">
        <f t="shared" si="47"/>
        <v>0000</v>
      </c>
      <c r="AW229" s="91" t="str">
        <f t="shared" si="48"/>
        <v>0000</v>
      </c>
      <c r="AX229" s="91" t="str">
        <f t="shared" si="49"/>
        <v>0000</v>
      </c>
    </row>
    <row r="230" spans="1:50" s="83" customFormat="1" ht="14.1" customHeight="1">
      <c r="A230" s="82"/>
      <c r="B230" s="84">
        <v>9</v>
      </c>
      <c r="C230" s="85">
        <v>0</v>
      </c>
      <c r="D230" s="85">
        <v>0</v>
      </c>
      <c r="E230" s="85">
        <v>0</v>
      </c>
      <c r="F230" s="85">
        <v>0</v>
      </c>
      <c r="G230" s="85">
        <v>0</v>
      </c>
      <c r="H230" s="85">
        <v>0</v>
      </c>
      <c r="I230" s="85">
        <v>0</v>
      </c>
      <c r="J230" s="85">
        <v>0</v>
      </c>
      <c r="K230" s="85">
        <v>0</v>
      </c>
      <c r="L230" s="85">
        <v>0</v>
      </c>
      <c r="M230" s="85">
        <v>7</v>
      </c>
      <c r="N230" s="85">
        <v>7</v>
      </c>
      <c r="O230" s="85">
        <v>7</v>
      </c>
      <c r="P230" s="85">
        <v>7</v>
      </c>
      <c r="Q230" s="85">
        <v>7</v>
      </c>
      <c r="R230" s="85">
        <v>7</v>
      </c>
      <c r="S230" s="85">
        <v>7</v>
      </c>
      <c r="T230" s="85">
        <v>7</v>
      </c>
      <c r="U230" s="85">
        <v>7</v>
      </c>
      <c r="V230" s="85">
        <v>7</v>
      </c>
      <c r="W230" s="85">
        <v>0</v>
      </c>
      <c r="X230" s="85">
        <v>0</v>
      </c>
      <c r="Y230" s="85">
        <v>0</v>
      </c>
      <c r="Z230" s="85">
        <v>0</v>
      </c>
      <c r="AA230" s="85">
        <v>0</v>
      </c>
      <c r="AB230" s="85">
        <v>0</v>
      </c>
      <c r="AC230" s="85">
        <v>0</v>
      </c>
      <c r="AD230" s="85">
        <v>0</v>
      </c>
      <c r="AE230" s="85">
        <v>0</v>
      </c>
      <c r="AF230" s="85">
        <v>0</v>
      </c>
      <c r="AG230" s="85">
        <v>0</v>
      </c>
      <c r="AH230" s="85">
        <v>0</v>
      </c>
      <c r="AP230" s="92">
        <f t="shared" si="50"/>
        <v>9</v>
      </c>
      <c r="AQ230" s="91" t="str">
        <f t="shared" si="51"/>
        <v>0000</v>
      </c>
      <c r="AR230" s="91" t="str">
        <f t="shared" si="52"/>
        <v>0000</v>
      </c>
      <c r="AS230" s="91" t="str">
        <f t="shared" si="53"/>
        <v>0077</v>
      </c>
      <c r="AT230" s="91" t="str">
        <f t="shared" si="54"/>
        <v>7777</v>
      </c>
      <c r="AU230" s="91" t="str">
        <f t="shared" si="46"/>
        <v>7777</v>
      </c>
      <c r="AV230" s="91" t="str">
        <f t="shared" si="47"/>
        <v>0000</v>
      </c>
      <c r="AW230" s="91" t="str">
        <f t="shared" si="48"/>
        <v>0000</v>
      </c>
      <c r="AX230" s="91" t="str">
        <f t="shared" si="49"/>
        <v>0000</v>
      </c>
    </row>
    <row r="231" spans="1:50" s="83" customFormat="1" ht="14.1" customHeight="1">
      <c r="A231" s="82"/>
      <c r="B231" s="84">
        <v>10</v>
      </c>
      <c r="C231" s="85">
        <v>0</v>
      </c>
      <c r="D231" s="85">
        <v>0</v>
      </c>
      <c r="E231" s="85">
        <v>0</v>
      </c>
      <c r="F231" s="85">
        <v>0</v>
      </c>
      <c r="G231" s="85">
        <v>0</v>
      </c>
      <c r="H231" s="85">
        <v>0</v>
      </c>
      <c r="I231" s="85">
        <v>0</v>
      </c>
      <c r="J231" s="85">
        <v>0</v>
      </c>
      <c r="K231" s="85">
        <v>7</v>
      </c>
      <c r="L231" s="85">
        <v>7</v>
      </c>
      <c r="M231" s="85">
        <v>7</v>
      </c>
      <c r="N231" s="85">
        <v>7</v>
      </c>
      <c r="O231" s="85">
        <v>11</v>
      </c>
      <c r="P231" s="85">
        <v>11</v>
      </c>
      <c r="Q231" s="85">
        <v>11</v>
      </c>
      <c r="R231" s="85">
        <v>11</v>
      </c>
      <c r="S231" s="85">
        <v>11</v>
      </c>
      <c r="T231" s="85">
        <v>11</v>
      </c>
      <c r="U231" s="85">
        <v>11</v>
      </c>
      <c r="V231" s="85">
        <v>11</v>
      </c>
      <c r="W231" s="85">
        <v>7</v>
      </c>
      <c r="X231" s="85">
        <v>7</v>
      </c>
      <c r="Y231" s="85">
        <v>7</v>
      </c>
      <c r="Z231" s="85">
        <v>7</v>
      </c>
      <c r="AA231" s="85">
        <v>0</v>
      </c>
      <c r="AB231" s="85">
        <v>0</v>
      </c>
      <c r="AC231" s="85">
        <v>0</v>
      </c>
      <c r="AD231" s="85">
        <v>0</v>
      </c>
      <c r="AE231" s="85">
        <v>0</v>
      </c>
      <c r="AF231" s="85">
        <v>0</v>
      </c>
      <c r="AG231" s="85">
        <v>0</v>
      </c>
      <c r="AH231" s="85">
        <v>0</v>
      </c>
      <c r="AP231" s="92">
        <f t="shared" si="50"/>
        <v>10</v>
      </c>
      <c r="AQ231" s="91" t="str">
        <f t="shared" si="51"/>
        <v>0000</v>
      </c>
      <c r="AR231" s="91" t="str">
        <f t="shared" si="52"/>
        <v>0000</v>
      </c>
      <c r="AS231" s="91" t="str">
        <f t="shared" si="53"/>
        <v>7777</v>
      </c>
      <c r="AT231" s="91" t="str">
        <f t="shared" si="54"/>
        <v>BBBB</v>
      </c>
      <c r="AU231" s="91" t="str">
        <f t="shared" si="46"/>
        <v>BBBB</v>
      </c>
      <c r="AV231" s="91" t="str">
        <f t="shared" si="47"/>
        <v>7777</v>
      </c>
      <c r="AW231" s="91" t="str">
        <f t="shared" si="48"/>
        <v>0000</v>
      </c>
      <c r="AX231" s="91" t="str">
        <f t="shared" si="49"/>
        <v>0000</v>
      </c>
    </row>
    <row r="232" spans="1:50" s="83" customFormat="1" ht="14.1" customHeight="1">
      <c r="A232" s="82"/>
      <c r="B232" s="84">
        <v>11</v>
      </c>
      <c r="C232" s="85">
        <v>0</v>
      </c>
      <c r="D232" s="85">
        <v>0</v>
      </c>
      <c r="E232" s="85">
        <v>0</v>
      </c>
      <c r="F232" s="85">
        <v>0</v>
      </c>
      <c r="G232" s="85">
        <v>0</v>
      </c>
      <c r="H232" s="85">
        <v>0</v>
      </c>
      <c r="I232" s="85">
        <v>0</v>
      </c>
      <c r="J232" s="85">
        <v>0</v>
      </c>
      <c r="K232" s="85">
        <v>7</v>
      </c>
      <c r="L232" s="85">
        <v>7</v>
      </c>
      <c r="M232" s="85">
        <v>7</v>
      </c>
      <c r="N232" s="85">
        <v>7</v>
      </c>
      <c r="O232" s="85">
        <v>11</v>
      </c>
      <c r="P232" s="85">
        <v>11</v>
      </c>
      <c r="Q232" s="85">
        <v>11</v>
      </c>
      <c r="R232" s="85">
        <v>11</v>
      </c>
      <c r="S232" s="85">
        <v>11</v>
      </c>
      <c r="T232" s="85">
        <v>11</v>
      </c>
      <c r="U232" s="85">
        <v>11</v>
      </c>
      <c r="V232" s="85">
        <v>11</v>
      </c>
      <c r="W232" s="85">
        <v>7</v>
      </c>
      <c r="X232" s="85">
        <v>7</v>
      </c>
      <c r="Y232" s="85">
        <v>7</v>
      </c>
      <c r="Z232" s="85">
        <v>7</v>
      </c>
      <c r="AA232" s="85">
        <v>0</v>
      </c>
      <c r="AB232" s="85">
        <v>0</v>
      </c>
      <c r="AC232" s="85">
        <v>0</v>
      </c>
      <c r="AD232" s="85">
        <v>0</v>
      </c>
      <c r="AE232" s="85">
        <v>0</v>
      </c>
      <c r="AF232" s="85">
        <v>0</v>
      </c>
      <c r="AG232" s="85">
        <v>0</v>
      </c>
      <c r="AH232" s="85">
        <v>0</v>
      </c>
      <c r="AP232" s="92">
        <f t="shared" si="50"/>
        <v>11</v>
      </c>
      <c r="AQ232" s="91" t="str">
        <f t="shared" si="51"/>
        <v>0000</v>
      </c>
      <c r="AR232" s="91" t="str">
        <f t="shared" si="52"/>
        <v>0000</v>
      </c>
      <c r="AS232" s="91" t="str">
        <f t="shared" si="53"/>
        <v>7777</v>
      </c>
      <c r="AT232" s="91" t="str">
        <f t="shared" si="54"/>
        <v>BBBB</v>
      </c>
      <c r="AU232" s="91" t="str">
        <f t="shared" si="46"/>
        <v>BBBB</v>
      </c>
      <c r="AV232" s="91" t="str">
        <f t="shared" si="47"/>
        <v>7777</v>
      </c>
      <c r="AW232" s="91" t="str">
        <f t="shared" si="48"/>
        <v>0000</v>
      </c>
      <c r="AX232" s="91" t="str">
        <f t="shared" si="49"/>
        <v>0000</v>
      </c>
    </row>
    <row r="233" spans="1:50" s="83" customFormat="1" ht="14.1" customHeight="1">
      <c r="A233" s="82"/>
      <c r="B233" s="84">
        <v>12</v>
      </c>
      <c r="C233" s="85">
        <v>0</v>
      </c>
      <c r="D233" s="85">
        <v>0</v>
      </c>
      <c r="E233" s="85">
        <v>0</v>
      </c>
      <c r="F233" s="85">
        <v>0</v>
      </c>
      <c r="G233" s="85">
        <v>0</v>
      </c>
      <c r="H233" s="85">
        <v>0</v>
      </c>
      <c r="I233" s="85">
        <v>0</v>
      </c>
      <c r="J233" s="85">
        <v>0</v>
      </c>
      <c r="K233" s="85">
        <v>7</v>
      </c>
      <c r="L233" s="85">
        <v>7</v>
      </c>
      <c r="M233" s="85">
        <v>11</v>
      </c>
      <c r="N233" s="85">
        <v>11</v>
      </c>
      <c r="O233" s="85">
        <v>13</v>
      </c>
      <c r="P233" s="85">
        <v>13</v>
      </c>
      <c r="Q233" s="85">
        <v>13</v>
      </c>
      <c r="R233" s="85">
        <v>13</v>
      </c>
      <c r="S233" s="85">
        <v>13</v>
      </c>
      <c r="T233" s="85">
        <v>13</v>
      </c>
      <c r="U233" s="85">
        <v>13</v>
      </c>
      <c r="V233" s="85">
        <v>13</v>
      </c>
      <c r="W233" s="85">
        <v>11</v>
      </c>
      <c r="X233" s="85">
        <v>11</v>
      </c>
      <c r="Y233" s="85">
        <v>7</v>
      </c>
      <c r="Z233" s="85">
        <v>7</v>
      </c>
      <c r="AA233" s="85">
        <v>0</v>
      </c>
      <c r="AB233" s="85">
        <v>0</v>
      </c>
      <c r="AC233" s="85">
        <v>0</v>
      </c>
      <c r="AD233" s="85">
        <v>0</v>
      </c>
      <c r="AE233" s="85">
        <v>0</v>
      </c>
      <c r="AF233" s="85">
        <v>0</v>
      </c>
      <c r="AG233" s="85">
        <v>0</v>
      </c>
      <c r="AH233" s="85">
        <v>0</v>
      </c>
      <c r="AP233" s="92">
        <f t="shared" si="50"/>
        <v>12</v>
      </c>
      <c r="AQ233" s="91" t="str">
        <f t="shared" si="51"/>
        <v>0000</v>
      </c>
      <c r="AR233" s="91" t="str">
        <f t="shared" si="52"/>
        <v>0000</v>
      </c>
      <c r="AS233" s="91" t="str">
        <f t="shared" si="53"/>
        <v>77BB</v>
      </c>
      <c r="AT233" s="91" t="str">
        <f t="shared" si="54"/>
        <v>DDDD</v>
      </c>
      <c r="AU233" s="91" t="str">
        <f t="shared" si="46"/>
        <v>DDDD</v>
      </c>
      <c r="AV233" s="91" t="str">
        <f t="shared" si="47"/>
        <v>BB77</v>
      </c>
      <c r="AW233" s="91" t="str">
        <f t="shared" si="48"/>
        <v>0000</v>
      </c>
      <c r="AX233" s="91" t="str">
        <f t="shared" si="49"/>
        <v>0000</v>
      </c>
    </row>
    <row r="234" spans="1:50" s="83" customFormat="1" ht="14.1" customHeight="1">
      <c r="A234" s="82"/>
      <c r="B234" s="84">
        <v>13</v>
      </c>
      <c r="C234" s="85">
        <v>0</v>
      </c>
      <c r="D234" s="85">
        <v>0</v>
      </c>
      <c r="E234" s="85">
        <v>0</v>
      </c>
      <c r="F234" s="85">
        <v>0</v>
      </c>
      <c r="G234" s="85">
        <v>0</v>
      </c>
      <c r="H234" s="85">
        <v>0</v>
      </c>
      <c r="I234" s="85">
        <v>0</v>
      </c>
      <c r="J234" s="85">
        <v>0</v>
      </c>
      <c r="K234" s="85">
        <v>7</v>
      </c>
      <c r="L234" s="85">
        <v>7</v>
      </c>
      <c r="M234" s="85">
        <v>11</v>
      </c>
      <c r="N234" s="85">
        <v>11</v>
      </c>
      <c r="O234" s="85">
        <v>13</v>
      </c>
      <c r="P234" s="85">
        <v>13</v>
      </c>
      <c r="Q234" s="85">
        <v>13</v>
      </c>
      <c r="R234" s="85">
        <v>13</v>
      </c>
      <c r="S234" s="85">
        <v>13</v>
      </c>
      <c r="T234" s="85">
        <v>13</v>
      </c>
      <c r="U234" s="85">
        <v>13</v>
      </c>
      <c r="V234" s="85">
        <v>13</v>
      </c>
      <c r="W234" s="85">
        <v>11</v>
      </c>
      <c r="X234" s="85">
        <v>11</v>
      </c>
      <c r="Y234" s="85">
        <v>7</v>
      </c>
      <c r="Z234" s="85">
        <v>7</v>
      </c>
      <c r="AA234" s="85">
        <v>0</v>
      </c>
      <c r="AB234" s="85">
        <v>0</v>
      </c>
      <c r="AC234" s="85">
        <v>0</v>
      </c>
      <c r="AD234" s="85">
        <v>0</v>
      </c>
      <c r="AE234" s="85">
        <v>0</v>
      </c>
      <c r="AF234" s="85">
        <v>0</v>
      </c>
      <c r="AG234" s="85">
        <v>0</v>
      </c>
      <c r="AH234" s="85">
        <v>0</v>
      </c>
      <c r="AP234" s="92">
        <f t="shared" si="50"/>
        <v>13</v>
      </c>
      <c r="AQ234" s="91" t="str">
        <f t="shared" si="51"/>
        <v>0000</v>
      </c>
      <c r="AR234" s="91" t="str">
        <f t="shared" si="52"/>
        <v>0000</v>
      </c>
      <c r="AS234" s="91" t="str">
        <f t="shared" si="53"/>
        <v>77BB</v>
      </c>
      <c r="AT234" s="91" t="str">
        <f t="shared" si="54"/>
        <v>DDDD</v>
      </c>
      <c r="AU234" s="91" t="str">
        <f t="shared" si="46"/>
        <v>DDDD</v>
      </c>
      <c r="AV234" s="91" t="str">
        <f t="shared" si="47"/>
        <v>BB77</v>
      </c>
      <c r="AW234" s="91" t="str">
        <f t="shared" si="48"/>
        <v>0000</v>
      </c>
      <c r="AX234" s="91" t="str">
        <f t="shared" si="49"/>
        <v>0000</v>
      </c>
    </row>
    <row r="235" spans="1:50" s="83" customFormat="1" ht="14.1" customHeight="1">
      <c r="A235" s="82"/>
      <c r="B235" s="84">
        <v>14</v>
      </c>
      <c r="C235" s="85">
        <v>0</v>
      </c>
      <c r="D235" s="85">
        <v>0</v>
      </c>
      <c r="E235" s="85">
        <v>0</v>
      </c>
      <c r="F235" s="85">
        <v>0</v>
      </c>
      <c r="G235" s="85">
        <v>0</v>
      </c>
      <c r="H235" s="85">
        <v>0</v>
      </c>
      <c r="I235" s="85">
        <v>0</v>
      </c>
      <c r="J235" s="85">
        <v>0</v>
      </c>
      <c r="K235" s="85">
        <v>7</v>
      </c>
      <c r="L235" s="85">
        <v>7</v>
      </c>
      <c r="M235" s="85">
        <v>11</v>
      </c>
      <c r="N235" s="85">
        <v>11</v>
      </c>
      <c r="O235" s="85">
        <v>13</v>
      </c>
      <c r="P235" s="85">
        <v>13</v>
      </c>
      <c r="Q235" s="85">
        <v>15</v>
      </c>
      <c r="R235" s="85">
        <v>15</v>
      </c>
      <c r="S235" s="85">
        <v>15</v>
      </c>
      <c r="T235" s="85">
        <v>15</v>
      </c>
      <c r="U235" s="85">
        <v>13</v>
      </c>
      <c r="V235" s="85">
        <v>13</v>
      </c>
      <c r="W235" s="85">
        <v>11</v>
      </c>
      <c r="X235" s="85">
        <v>11</v>
      </c>
      <c r="Y235" s="85">
        <v>7</v>
      </c>
      <c r="Z235" s="85">
        <v>7</v>
      </c>
      <c r="AA235" s="85">
        <v>0</v>
      </c>
      <c r="AB235" s="85">
        <v>0</v>
      </c>
      <c r="AC235" s="85">
        <v>0</v>
      </c>
      <c r="AD235" s="85">
        <v>0</v>
      </c>
      <c r="AE235" s="85">
        <v>0</v>
      </c>
      <c r="AF235" s="85">
        <v>0</v>
      </c>
      <c r="AG235" s="85">
        <v>0</v>
      </c>
      <c r="AH235" s="85">
        <v>0</v>
      </c>
      <c r="AP235" s="92">
        <f t="shared" si="50"/>
        <v>14</v>
      </c>
      <c r="AQ235" s="91" t="str">
        <f t="shared" si="51"/>
        <v>0000</v>
      </c>
      <c r="AR235" s="91" t="str">
        <f t="shared" si="52"/>
        <v>0000</v>
      </c>
      <c r="AS235" s="91" t="str">
        <f t="shared" si="53"/>
        <v>77BB</v>
      </c>
      <c r="AT235" s="91" t="str">
        <f t="shared" si="54"/>
        <v>DDFF</v>
      </c>
      <c r="AU235" s="91" t="str">
        <f t="shared" si="46"/>
        <v>FFDD</v>
      </c>
      <c r="AV235" s="91" t="str">
        <f t="shared" si="47"/>
        <v>BB77</v>
      </c>
      <c r="AW235" s="91" t="str">
        <f t="shared" si="48"/>
        <v>0000</v>
      </c>
      <c r="AX235" s="91" t="str">
        <f t="shared" si="49"/>
        <v>0000</v>
      </c>
    </row>
    <row r="236" spans="1:50" s="83" customFormat="1" ht="14.1" customHeight="1">
      <c r="A236" s="82"/>
      <c r="B236" s="84">
        <v>15</v>
      </c>
      <c r="C236" s="85">
        <v>0</v>
      </c>
      <c r="D236" s="85">
        <v>0</v>
      </c>
      <c r="E236" s="85">
        <v>0</v>
      </c>
      <c r="F236" s="85">
        <v>0</v>
      </c>
      <c r="G236" s="85">
        <v>0</v>
      </c>
      <c r="H236" s="85">
        <v>0</v>
      </c>
      <c r="I236" s="85">
        <v>0</v>
      </c>
      <c r="J236" s="85">
        <v>0</v>
      </c>
      <c r="K236" s="85">
        <v>7</v>
      </c>
      <c r="L236" s="85">
        <v>7</v>
      </c>
      <c r="M236" s="85">
        <v>11</v>
      </c>
      <c r="N236" s="85">
        <v>11</v>
      </c>
      <c r="O236" s="85">
        <v>13</v>
      </c>
      <c r="P236" s="85">
        <v>13</v>
      </c>
      <c r="Q236" s="85">
        <v>15</v>
      </c>
      <c r="R236" s="85">
        <v>15</v>
      </c>
      <c r="S236" s="85">
        <v>15</v>
      </c>
      <c r="T236" s="85">
        <v>15</v>
      </c>
      <c r="U236" s="85">
        <v>13</v>
      </c>
      <c r="V236" s="85">
        <v>13</v>
      </c>
      <c r="W236" s="85">
        <v>11</v>
      </c>
      <c r="X236" s="85">
        <v>11</v>
      </c>
      <c r="Y236" s="85">
        <v>7</v>
      </c>
      <c r="Z236" s="85">
        <v>7</v>
      </c>
      <c r="AA236" s="85">
        <v>0</v>
      </c>
      <c r="AB236" s="85">
        <v>0</v>
      </c>
      <c r="AC236" s="85">
        <v>0</v>
      </c>
      <c r="AD236" s="85">
        <v>0</v>
      </c>
      <c r="AE236" s="85">
        <v>0</v>
      </c>
      <c r="AF236" s="85">
        <v>0</v>
      </c>
      <c r="AG236" s="85">
        <v>0</v>
      </c>
      <c r="AH236" s="85">
        <v>0</v>
      </c>
      <c r="AP236" s="92">
        <f t="shared" si="50"/>
        <v>15</v>
      </c>
      <c r="AQ236" s="91" t="str">
        <f t="shared" si="51"/>
        <v>0000</v>
      </c>
      <c r="AR236" s="91" t="str">
        <f t="shared" si="52"/>
        <v>0000</v>
      </c>
      <c r="AS236" s="91" t="str">
        <f t="shared" si="53"/>
        <v>77BB</v>
      </c>
      <c r="AT236" s="91" t="str">
        <f t="shared" si="54"/>
        <v>DDFF</v>
      </c>
      <c r="AU236" s="91" t="str">
        <f t="shared" si="46"/>
        <v>FFDD</v>
      </c>
      <c r="AV236" s="91" t="str">
        <f t="shared" si="47"/>
        <v>BB77</v>
      </c>
      <c r="AW236" s="91" t="str">
        <f t="shared" si="48"/>
        <v>0000</v>
      </c>
      <c r="AX236" s="91" t="str">
        <f t="shared" si="49"/>
        <v>0000</v>
      </c>
    </row>
    <row r="237" spans="1:50" s="83" customFormat="1" ht="14.1" customHeight="1">
      <c r="A237" s="82"/>
      <c r="B237" s="84">
        <v>16</v>
      </c>
      <c r="C237" s="85">
        <v>0</v>
      </c>
      <c r="D237" s="85">
        <v>0</v>
      </c>
      <c r="E237" s="85">
        <v>0</v>
      </c>
      <c r="F237" s="85">
        <v>0</v>
      </c>
      <c r="G237" s="85">
        <v>0</v>
      </c>
      <c r="H237" s="85">
        <v>0</v>
      </c>
      <c r="I237" s="85">
        <v>0</v>
      </c>
      <c r="J237" s="85">
        <v>0</v>
      </c>
      <c r="K237" s="85">
        <v>7</v>
      </c>
      <c r="L237" s="85">
        <v>7</v>
      </c>
      <c r="M237" s="85">
        <v>11</v>
      </c>
      <c r="N237" s="85">
        <v>11</v>
      </c>
      <c r="O237" s="85">
        <v>13</v>
      </c>
      <c r="P237" s="85">
        <v>13</v>
      </c>
      <c r="Q237" s="85">
        <v>15</v>
      </c>
      <c r="R237" s="85">
        <v>15</v>
      </c>
      <c r="S237" s="85">
        <v>15</v>
      </c>
      <c r="T237" s="85">
        <v>15</v>
      </c>
      <c r="U237" s="85">
        <v>13</v>
      </c>
      <c r="V237" s="85">
        <v>13</v>
      </c>
      <c r="W237" s="85">
        <v>11</v>
      </c>
      <c r="X237" s="85">
        <v>11</v>
      </c>
      <c r="Y237" s="85">
        <v>7</v>
      </c>
      <c r="Z237" s="85">
        <v>7</v>
      </c>
      <c r="AA237" s="85">
        <v>0</v>
      </c>
      <c r="AB237" s="85">
        <v>0</v>
      </c>
      <c r="AC237" s="85">
        <v>0</v>
      </c>
      <c r="AD237" s="85">
        <v>0</v>
      </c>
      <c r="AE237" s="85">
        <v>0</v>
      </c>
      <c r="AF237" s="85">
        <v>0</v>
      </c>
      <c r="AG237" s="85">
        <v>0</v>
      </c>
      <c r="AH237" s="85">
        <v>0</v>
      </c>
      <c r="AP237" s="92">
        <f t="shared" si="50"/>
        <v>16</v>
      </c>
      <c r="AQ237" s="91" t="str">
        <f t="shared" si="51"/>
        <v>0000</v>
      </c>
      <c r="AR237" s="91" t="str">
        <f t="shared" si="52"/>
        <v>0000</v>
      </c>
      <c r="AS237" s="91" t="str">
        <f t="shared" si="53"/>
        <v>77BB</v>
      </c>
      <c r="AT237" s="91" t="str">
        <f t="shared" si="54"/>
        <v>DDFF</v>
      </c>
      <c r="AU237" s="91" t="str">
        <f t="shared" si="46"/>
        <v>FFDD</v>
      </c>
      <c r="AV237" s="91" t="str">
        <f t="shared" si="47"/>
        <v>BB77</v>
      </c>
      <c r="AW237" s="91" t="str">
        <f t="shared" si="48"/>
        <v>0000</v>
      </c>
      <c r="AX237" s="91" t="str">
        <f t="shared" si="49"/>
        <v>0000</v>
      </c>
    </row>
    <row r="238" spans="1:50" s="83" customFormat="1" ht="14.1" customHeight="1">
      <c r="A238" s="82"/>
      <c r="B238" s="84">
        <v>17</v>
      </c>
      <c r="C238" s="85">
        <v>0</v>
      </c>
      <c r="D238" s="85">
        <v>0</v>
      </c>
      <c r="E238" s="85">
        <v>0</v>
      </c>
      <c r="F238" s="85">
        <v>0</v>
      </c>
      <c r="G238" s="85">
        <v>0</v>
      </c>
      <c r="H238" s="85">
        <v>0</v>
      </c>
      <c r="I238" s="85">
        <v>0</v>
      </c>
      <c r="J238" s="85">
        <v>0</v>
      </c>
      <c r="K238" s="85">
        <v>7</v>
      </c>
      <c r="L238" s="85">
        <v>7</v>
      </c>
      <c r="M238" s="85">
        <v>11</v>
      </c>
      <c r="N238" s="85">
        <v>11</v>
      </c>
      <c r="O238" s="85">
        <v>13</v>
      </c>
      <c r="P238" s="85">
        <v>13</v>
      </c>
      <c r="Q238" s="85">
        <v>15</v>
      </c>
      <c r="R238" s="85">
        <v>15</v>
      </c>
      <c r="S238" s="85">
        <v>15</v>
      </c>
      <c r="T238" s="85">
        <v>15</v>
      </c>
      <c r="U238" s="85">
        <v>13</v>
      </c>
      <c r="V238" s="85">
        <v>13</v>
      </c>
      <c r="W238" s="85">
        <v>11</v>
      </c>
      <c r="X238" s="85">
        <v>11</v>
      </c>
      <c r="Y238" s="85">
        <v>7</v>
      </c>
      <c r="Z238" s="85">
        <v>7</v>
      </c>
      <c r="AA238" s="85">
        <v>0</v>
      </c>
      <c r="AB238" s="85">
        <v>0</v>
      </c>
      <c r="AC238" s="85">
        <v>0</v>
      </c>
      <c r="AD238" s="85">
        <v>0</v>
      </c>
      <c r="AE238" s="85">
        <v>0</v>
      </c>
      <c r="AF238" s="85">
        <v>0</v>
      </c>
      <c r="AG238" s="85">
        <v>0</v>
      </c>
      <c r="AH238" s="85">
        <v>0</v>
      </c>
      <c r="AP238" s="92">
        <f t="shared" si="50"/>
        <v>17</v>
      </c>
      <c r="AQ238" s="91" t="str">
        <f t="shared" si="51"/>
        <v>0000</v>
      </c>
      <c r="AR238" s="91" t="str">
        <f t="shared" si="52"/>
        <v>0000</v>
      </c>
      <c r="AS238" s="91" t="str">
        <f t="shared" si="53"/>
        <v>77BB</v>
      </c>
      <c r="AT238" s="91" t="str">
        <f t="shared" si="54"/>
        <v>DDFF</v>
      </c>
      <c r="AU238" s="91" t="str">
        <f t="shared" si="46"/>
        <v>FFDD</v>
      </c>
      <c r="AV238" s="91" t="str">
        <f t="shared" si="47"/>
        <v>BB77</v>
      </c>
      <c r="AW238" s="91" t="str">
        <f t="shared" si="48"/>
        <v>0000</v>
      </c>
      <c r="AX238" s="91" t="str">
        <f t="shared" si="49"/>
        <v>0000</v>
      </c>
    </row>
    <row r="239" spans="1:50" s="83" customFormat="1" ht="14.1" customHeight="1">
      <c r="A239" s="82"/>
      <c r="B239" s="84">
        <v>18</v>
      </c>
      <c r="C239" s="85">
        <v>0</v>
      </c>
      <c r="D239" s="85">
        <v>0</v>
      </c>
      <c r="E239" s="85">
        <v>0</v>
      </c>
      <c r="F239" s="85">
        <v>0</v>
      </c>
      <c r="G239" s="85">
        <v>0</v>
      </c>
      <c r="H239" s="85">
        <v>0</v>
      </c>
      <c r="I239" s="85">
        <v>0</v>
      </c>
      <c r="J239" s="85">
        <v>0</v>
      </c>
      <c r="K239" s="85">
        <v>7</v>
      </c>
      <c r="L239" s="85">
        <v>7</v>
      </c>
      <c r="M239" s="85">
        <v>11</v>
      </c>
      <c r="N239" s="85">
        <v>11</v>
      </c>
      <c r="O239" s="85">
        <v>13</v>
      </c>
      <c r="P239" s="85">
        <v>13</v>
      </c>
      <c r="Q239" s="85">
        <v>13</v>
      </c>
      <c r="R239" s="85">
        <v>13</v>
      </c>
      <c r="S239" s="85">
        <v>13</v>
      </c>
      <c r="T239" s="85">
        <v>13</v>
      </c>
      <c r="U239" s="85">
        <v>13</v>
      </c>
      <c r="V239" s="85">
        <v>13</v>
      </c>
      <c r="W239" s="85">
        <v>11</v>
      </c>
      <c r="X239" s="85">
        <v>11</v>
      </c>
      <c r="Y239" s="85">
        <v>7</v>
      </c>
      <c r="Z239" s="85">
        <v>7</v>
      </c>
      <c r="AA239" s="85">
        <v>0</v>
      </c>
      <c r="AB239" s="85">
        <v>0</v>
      </c>
      <c r="AC239" s="85">
        <v>0</v>
      </c>
      <c r="AD239" s="85">
        <v>0</v>
      </c>
      <c r="AE239" s="85">
        <v>0</v>
      </c>
      <c r="AF239" s="85">
        <v>0</v>
      </c>
      <c r="AG239" s="85">
        <v>0</v>
      </c>
      <c r="AH239" s="85">
        <v>0</v>
      </c>
      <c r="AP239" s="92">
        <f t="shared" si="50"/>
        <v>18</v>
      </c>
      <c r="AQ239" s="91" t="str">
        <f t="shared" si="51"/>
        <v>0000</v>
      </c>
      <c r="AR239" s="91" t="str">
        <f t="shared" si="52"/>
        <v>0000</v>
      </c>
      <c r="AS239" s="91" t="str">
        <f t="shared" si="53"/>
        <v>77BB</v>
      </c>
      <c r="AT239" s="91" t="str">
        <f t="shared" si="54"/>
        <v>DDDD</v>
      </c>
      <c r="AU239" s="91" t="str">
        <f t="shared" si="46"/>
        <v>DDDD</v>
      </c>
      <c r="AV239" s="91" t="str">
        <f t="shared" si="47"/>
        <v>BB77</v>
      </c>
      <c r="AW239" s="91" t="str">
        <f t="shared" si="48"/>
        <v>0000</v>
      </c>
      <c r="AX239" s="91" t="str">
        <f t="shared" si="49"/>
        <v>0000</v>
      </c>
    </row>
    <row r="240" spans="1:50" s="83" customFormat="1" ht="14.1" customHeight="1">
      <c r="A240" s="82"/>
      <c r="B240" s="84">
        <v>19</v>
      </c>
      <c r="C240" s="85">
        <v>0</v>
      </c>
      <c r="D240" s="85">
        <v>0</v>
      </c>
      <c r="E240" s="85">
        <v>0</v>
      </c>
      <c r="F240" s="85">
        <v>0</v>
      </c>
      <c r="G240" s="85">
        <v>0</v>
      </c>
      <c r="H240" s="85">
        <v>0</v>
      </c>
      <c r="I240" s="85">
        <v>0</v>
      </c>
      <c r="J240" s="85">
        <v>0</v>
      </c>
      <c r="K240" s="85">
        <v>7</v>
      </c>
      <c r="L240" s="85">
        <v>7</v>
      </c>
      <c r="M240" s="85">
        <v>11</v>
      </c>
      <c r="N240" s="85">
        <v>11</v>
      </c>
      <c r="O240" s="85">
        <v>13</v>
      </c>
      <c r="P240" s="85">
        <v>13</v>
      </c>
      <c r="Q240" s="85">
        <v>13</v>
      </c>
      <c r="R240" s="85">
        <v>13</v>
      </c>
      <c r="S240" s="85">
        <v>13</v>
      </c>
      <c r="T240" s="85">
        <v>13</v>
      </c>
      <c r="U240" s="85">
        <v>13</v>
      </c>
      <c r="V240" s="85">
        <v>13</v>
      </c>
      <c r="W240" s="85">
        <v>11</v>
      </c>
      <c r="X240" s="85">
        <v>11</v>
      </c>
      <c r="Y240" s="85">
        <v>7</v>
      </c>
      <c r="Z240" s="85">
        <v>7</v>
      </c>
      <c r="AA240" s="85">
        <v>0</v>
      </c>
      <c r="AB240" s="85">
        <v>0</v>
      </c>
      <c r="AC240" s="85">
        <v>0</v>
      </c>
      <c r="AD240" s="85">
        <v>0</v>
      </c>
      <c r="AE240" s="85">
        <v>0</v>
      </c>
      <c r="AF240" s="85">
        <v>0</v>
      </c>
      <c r="AG240" s="85">
        <v>0</v>
      </c>
      <c r="AH240" s="85">
        <v>0</v>
      </c>
      <c r="AP240" s="92">
        <f t="shared" si="50"/>
        <v>19</v>
      </c>
      <c r="AQ240" s="91" t="str">
        <f t="shared" si="51"/>
        <v>0000</v>
      </c>
      <c r="AR240" s="91" t="str">
        <f t="shared" si="52"/>
        <v>0000</v>
      </c>
      <c r="AS240" s="91" t="str">
        <f t="shared" si="53"/>
        <v>77BB</v>
      </c>
      <c r="AT240" s="91" t="str">
        <f t="shared" si="54"/>
        <v>DDDD</v>
      </c>
      <c r="AU240" s="91" t="str">
        <f t="shared" si="46"/>
        <v>DDDD</v>
      </c>
      <c r="AV240" s="91" t="str">
        <f t="shared" si="47"/>
        <v>BB77</v>
      </c>
      <c r="AW240" s="91" t="str">
        <f t="shared" si="48"/>
        <v>0000</v>
      </c>
      <c r="AX240" s="91" t="str">
        <f t="shared" si="49"/>
        <v>0000</v>
      </c>
    </row>
    <row r="241" spans="1:50" s="83" customFormat="1" ht="14.1" customHeight="1">
      <c r="A241" s="82"/>
      <c r="B241" s="84">
        <v>20</v>
      </c>
      <c r="C241" s="85">
        <v>0</v>
      </c>
      <c r="D241" s="85">
        <v>0</v>
      </c>
      <c r="E241" s="85">
        <v>0</v>
      </c>
      <c r="F241" s="85">
        <v>0</v>
      </c>
      <c r="G241" s="85">
        <v>0</v>
      </c>
      <c r="H241" s="85">
        <v>0</v>
      </c>
      <c r="I241" s="85">
        <v>0</v>
      </c>
      <c r="J241" s="85">
        <v>0</v>
      </c>
      <c r="K241" s="85">
        <v>7</v>
      </c>
      <c r="L241" s="85">
        <v>7</v>
      </c>
      <c r="M241" s="85">
        <v>7</v>
      </c>
      <c r="N241" s="85">
        <v>7</v>
      </c>
      <c r="O241" s="85">
        <v>11</v>
      </c>
      <c r="P241" s="85">
        <v>11</v>
      </c>
      <c r="Q241" s="85">
        <v>11</v>
      </c>
      <c r="R241" s="85">
        <v>11</v>
      </c>
      <c r="S241" s="85">
        <v>11</v>
      </c>
      <c r="T241" s="85">
        <v>11</v>
      </c>
      <c r="U241" s="85">
        <v>11</v>
      </c>
      <c r="V241" s="85">
        <v>11</v>
      </c>
      <c r="W241" s="85">
        <v>7</v>
      </c>
      <c r="X241" s="85">
        <v>7</v>
      </c>
      <c r="Y241" s="85">
        <v>7</v>
      </c>
      <c r="Z241" s="85">
        <v>7</v>
      </c>
      <c r="AA241" s="85">
        <v>0</v>
      </c>
      <c r="AB241" s="85">
        <v>0</v>
      </c>
      <c r="AC241" s="85">
        <v>0</v>
      </c>
      <c r="AD241" s="85">
        <v>0</v>
      </c>
      <c r="AE241" s="85">
        <v>0</v>
      </c>
      <c r="AF241" s="85">
        <v>0</v>
      </c>
      <c r="AG241" s="85">
        <v>0</v>
      </c>
      <c r="AH241" s="85">
        <v>0</v>
      </c>
      <c r="AP241" s="92">
        <f t="shared" si="50"/>
        <v>20</v>
      </c>
      <c r="AQ241" s="91" t="str">
        <f t="shared" si="51"/>
        <v>0000</v>
      </c>
      <c r="AR241" s="91" t="str">
        <f t="shared" si="52"/>
        <v>0000</v>
      </c>
      <c r="AS241" s="91" t="str">
        <f t="shared" si="53"/>
        <v>7777</v>
      </c>
      <c r="AT241" s="91" t="str">
        <f t="shared" si="54"/>
        <v>BBBB</v>
      </c>
      <c r="AU241" s="91" t="str">
        <f t="shared" si="46"/>
        <v>BBBB</v>
      </c>
      <c r="AV241" s="91" t="str">
        <f t="shared" si="47"/>
        <v>7777</v>
      </c>
      <c r="AW241" s="91" t="str">
        <f t="shared" si="48"/>
        <v>0000</v>
      </c>
      <c r="AX241" s="91" t="str">
        <f t="shared" si="49"/>
        <v>0000</v>
      </c>
    </row>
    <row r="242" spans="1:50" s="83" customFormat="1" ht="14.1" customHeight="1">
      <c r="A242" s="82"/>
      <c r="B242" s="84">
        <v>21</v>
      </c>
      <c r="C242" s="85">
        <v>0</v>
      </c>
      <c r="D242" s="85">
        <v>0</v>
      </c>
      <c r="E242" s="85">
        <v>0</v>
      </c>
      <c r="F242" s="85">
        <v>0</v>
      </c>
      <c r="G242" s="85">
        <v>0</v>
      </c>
      <c r="H242" s="85">
        <v>0</v>
      </c>
      <c r="I242" s="85">
        <v>0</v>
      </c>
      <c r="J242" s="85">
        <v>0</v>
      </c>
      <c r="K242" s="85">
        <v>7</v>
      </c>
      <c r="L242" s="85">
        <v>7</v>
      </c>
      <c r="M242" s="85">
        <v>7</v>
      </c>
      <c r="N242" s="85">
        <v>7</v>
      </c>
      <c r="O242" s="85">
        <v>11</v>
      </c>
      <c r="P242" s="85">
        <v>11</v>
      </c>
      <c r="Q242" s="85">
        <v>11</v>
      </c>
      <c r="R242" s="85">
        <v>11</v>
      </c>
      <c r="S242" s="85">
        <v>11</v>
      </c>
      <c r="T242" s="85">
        <v>11</v>
      </c>
      <c r="U242" s="85">
        <v>11</v>
      </c>
      <c r="V242" s="85">
        <v>11</v>
      </c>
      <c r="W242" s="85">
        <v>7</v>
      </c>
      <c r="X242" s="85">
        <v>7</v>
      </c>
      <c r="Y242" s="85">
        <v>7</v>
      </c>
      <c r="Z242" s="85">
        <v>7</v>
      </c>
      <c r="AA242" s="85">
        <v>0</v>
      </c>
      <c r="AB242" s="85">
        <v>0</v>
      </c>
      <c r="AC242" s="85">
        <v>0</v>
      </c>
      <c r="AD242" s="85">
        <v>0</v>
      </c>
      <c r="AE242" s="85">
        <v>0</v>
      </c>
      <c r="AF242" s="85">
        <v>0</v>
      </c>
      <c r="AG242" s="85">
        <v>0</v>
      </c>
      <c r="AH242" s="85">
        <v>0</v>
      </c>
      <c r="AP242" s="92">
        <f t="shared" si="50"/>
        <v>21</v>
      </c>
      <c r="AQ242" s="91" t="str">
        <f t="shared" si="51"/>
        <v>0000</v>
      </c>
      <c r="AR242" s="91" t="str">
        <f t="shared" si="52"/>
        <v>0000</v>
      </c>
      <c r="AS242" s="91" t="str">
        <f t="shared" si="53"/>
        <v>7777</v>
      </c>
      <c r="AT242" s="91" t="str">
        <f t="shared" si="54"/>
        <v>BBBB</v>
      </c>
      <c r="AU242" s="91" t="str">
        <f t="shared" si="46"/>
        <v>BBBB</v>
      </c>
      <c r="AV242" s="91" t="str">
        <f t="shared" si="47"/>
        <v>7777</v>
      </c>
      <c r="AW242" s="91" t="str">
        <f t="shared" si="48"/>
        <v>0000</v>
      </c>
      <c r="AX242" s="91" t="str">
        <f t="shared" si="49"/>
        <v>0000</v>
      </c>
    </row>
    <row r="243" spans="1:50" s="83" customFormat="1" ht="14.1" customHeight="1">
      <c r="A243" s="82"/>
      <c r="B243" s="84">
        <v>22</v>
      </c>
      <c r="C243" s="85">
        <v>0</v>
      </c>
      <c r="D243" s="85">
        <v>0</v>
      </c>
      <c r="E243" s="85">
        <v>0</v>
      </c>
      <c r="F243" s="85">
        <v>0</v>
      </c>
      <c r="G243" s="85">
        <v>0</v>
      </c>
      <c r="H243" s="85">
        <v>0</v>
      </c>
      <c r="I243" s="85">
        <v>0</v>
      </c>
      <c r="J243" s="85">
        <v>0</v>
      </c>
      <c r="K243" s="85">
        <v>0</v>
      </c>
      <c r="L243" s="85">
        <v>0</v>
      </c>
      <c r="M243" s="85">
        <v>7</v>
      </c>
      <c r="N243" s="85">
        <v>7</v>
      </c>
      <c r="O243" s="85">
        <v>7</v>
      </c>
      <c r="P243" s="85">
        <v>7</v>
      </c>
      <c r="Q243" s="85">
        <v>7</v>
      </c>
      <c r="R243" s="85">
        <v>7</v>
      </c>
      <c r="S243" s="85">
        <v>7</v>
      </c>
      <c r="T243" s="85">
        <v>7</v>
      </c>
      <c r="U243" s="85">
        <v>7</v>
      </c>
      <c r="V243" s="85">
        <v>7</v>
      </c>
      <c r="W243" s="85">
        <v>0</v>
      </c>
      <c r="X243" s="85">
        <v>0</v>
      </c>
      <c r="Y243" s="85">
        <v>0</v>
      </c>
      <c r="Z243" s="85">
        <v>0</v>
      </c>
      <c r="AA243" s="85">
        <v>0</v>
      </c>
      <c r="AB243" s="85">
        <v>0</v>
      </c>
      <c r="AC243" s="85">
        <v>0</v>
      </c>
      <c r="AD243" s="85">
        <v>0</v>
      </c>
      <c r="AE243" s="85">
        <v>0</v>
      </c>
      <c r="AF243" s="85">
        <v>0</v>
      </c>
      <c r="AG243" s="85">
        <v>0</v>
      </c>
      <c r="AH243" s="85">
        <v>0</v>
      </c>
      <c r="AP243" s="92">
        <f t="shared" si="50"/>
        <v>22</v>
      </c>
      <c r="AQ243" s="91" t="str">
        <f t="shared" si="51"/>
        <v>0000</v>
      </c>
      <c r="AR243" s="91" t="str">
        <f t="shared" si="52"/>
        <v>0000</v>
      </c>
      <c r="AS243" s="91" t="str">
        <f t="shared" si="53"/>
        <v>0077</v>
      </c>
      <c r="AT243" s="91" t="str">
        <f t="shared" si="54"/>
        <v>7777</v>
      </c>
      <c r="AU243" s="91" t="str">
        <f t="shared" si="46"/>
        <v>7777</v>
      </c>
      <c r="AV243" s="91" t="str">
        <f t="shared" si="47"/>
        <v>0000</v>
      </c>
      <c r="AW243" s="91" t="str">
        <f t="shared" si="48"/>
        <v>0000</v>
      </c>
      <c r="AX243" s="91" t="str">
        <f t="shared" si="49"/>
        <v>0000</v>
      </c>
    </row>
    <row r="244" spans="1:50" s="83" customFormat="1" ht="14.1" customHeight="1">
      <c r="A244" s="82"/>
      <c r="B244" s="84">
        <v>23</v>
      </c>
      <c r="C244" s="85">
        <v>0</v>
      </c>
      <c r="D244" s="85">
        <v>0</v>
      </c>
      <c r="E244" s="85">
        <v>0</v>
      </c>
      <c r="F244" s="85">
        <v>0</v>
      </c>
      <c r="G244" s="85">
        <v>0</v>
      </c>
      <c r="H244" s="85">
        <v>0</v>
      </c>
      <c r="I244" s="85">
        <v>0</v>
      </c>
      <c r="J244" s="85">
        <v>0</v>
      </c>
      <c r="K244" s="85">
        <v>0</v>
      </c>
      <c r="L244" s="85">
        <v>0</v>
      </c>
      <c r="M244" s="85">
        <v>7</v>
      </c>
      <c r="N244" s="85">
        <v>7</v>
      </c>
      <c r="O244" s="85">
        <v>7</v>
      </c>
      <c r="P244" s="85">
        <v>7</v>
      </c>
      <c r="Q244" s="85">
        <v>7</v>
      </c>
      <c r="R244" s="85">
        <v>7</v>
      </c>
      <c r="S244" s="85">
        <v>7</v>
      </c>
      <c r="T244" s="85">
        <v>7</v>
      </c>
      <c r="U244" s="85">
        <v>7</v>
      </c>
      <c r="V244" s="85">
        <v>7</v>
      </c>
      <c r="W244" s="85">
        <v>0</v>
      </c>
      <c r="X244" s="85">
        <v>0</v>
      </c>
      <c r="Y244" s="85">
        <v>0</v>
      </c>
      <c r="Z244" s="85">
        <v>0</v>
      </c>
      <c r="AA244" s="85">
        <v>0</v>
      </c>
      <c r="AB244" s="85">
        <v>0</v>
      </c>
      <c r="AC244" s="85">
        <v>0</v>
      </c>
      <c r="AD244" s="85">
        <v>0</v>
      </c>
      <c r="AE244" s="85">
        <v>0</v>
      </c>
      <c r="AF244" s="85">
        <v>0</v>
      </c>
      <c r="AG244" s="85">
        <v>0</v>
      </c>
      <c r="AH244" s="85">
        <v>0</v>
      </c>
      <c r="AP244" s="92">
        <f t="shared" si="50"/>
        <v>23</v>
      </c>
      <c r="AQ244" s="91" t="str">
        <f t="shared" si="51"/>
        <v>0000</v>
      </c>
      <c r="AR244" s="91" t="str">
        <f t="shared" si="52"/>
        <v>0000</v>
      </c>
      <c r="AS244" s="91" t="str">
        <f t="shared" si="53"/>
        <v>0077</v>
      </c>
      <c r="AT244" s="91" t="str">
        <f t="shared" si="54"/>
        <v>7777</v>
      </c>
      <c r="AU244" s="91" t="str">
        <f t="shared" si="46"/>
        <v>7777</v>
      </c>
      <c r="AV244" s="91" t="str">
        <f t="shared" si="47"/>
        <v>0000</v>
      </c>
      <c r="AW244" s="91" t="str">
        <f t="shared" si="48"/>
        <v>0000</v>
      </c>
      <c r="AX244" s="91" t="str">
        <f t="shared" si="49"/>
        <v>0000</v>
      </c>
    </row>
    <row r="245" spans="1:50" s="83" customFormat="1" ht="14.1" customHeight="1">
      <c r="A245" s="82"/>
      <c r="B245" s="84">
        <v>24</v>
      </c>
      <c r="C245" s="85">
        <v>0</v>
      </c>
      <c r="D245" s="85">
        <v>0</v>
      </c>
      <c r="E245" s="85">
        <v>0</v>
      </c>
      <c r="F245" s="85">
        <v>0</v>
      </c>
      <c r="G245" s="85">
        <v>0</v>
      </c>
      <c r="H245" s="85">
        <v>0</v>
      </c>
      <c r="I245" s="85">
        <v>0</v>
      </c>
      <c r="J245" s="85">
        <v>0</v>
      </c>
      <c r="K245" s="85">
        <v>0</v>
      </c>
      <c r="L245" s="85">
        <v>0</v>
      </c>
      <c r="M245" s="85">
        <v>0</v>
      </c>
      <c r="N245" s="85">
        <v>0</v>
      </c>
      <c r="O245" s="85">
        <v>0</v>
      </c>
      <c r="P245" s="85">
        <v>0</v>
      </c>
      <c r="Q245" s="85">
        <v>7</v>
      </c>
      <c r="R245" s="85">
        <v>7</v>
      </c>
      <c r="S245" s="85">
        <v>7</v>
      </c>
      <c r="T245" s="85">
        <v>7</v>
      </c>
      <c r="U245" s="85">
        <v>0</v>
      </c>
      <c r="V245" s="85">
        <v>0</v>
      </c>
      <c r="W245" s="85">
        <v>0</v>
      </c>
      <c r="X245" s="85">
        <v>0</v>
      </c>
      <c r="Y245" s="85">
        <v>0</v>
      </c>
      <c r="Z245" s="85">
        <v>0</v>
      </c>
      <c r="AA245" s="85">
        <v>0</v>
      </c>
      <c r="AB245" s="85">
        <v>0</v>
      </c>
      <c r="AC245" s="85">
        <v>0</v>
      </c>
      <c r="AD245" s="85">
        <v>0</v>
      </c>
      <c r="AE245" s="85">
        <v>0</v>
      </c>
      <c r="AF245" s="85">
        <v>0</v>
      </c>
      <c r="AG245" s="85">
        <v>0</v>
      </c>
      <c r="AH245" s="85">
        <v>0</v>
      </c>
      <c r="AP245" s="92">
        <f t="shared" si="50"/>
        <v>24</v>
      </c>
      <c r="AQ245" s="91" t="str">
        <f t="shared" si="51"/>
        <v>0000</v>
      </c>
      <c r="AR245" s="91" t="str">
        <f t="shared" si="52"/>
        <v>0000</v>
      </c>
      <c r="AS245" s="91" t="str">
        <f t="shared" si="53"/>
        <v>0000</v>
      </c>
      <c r="AT245" s="91" t="str">
        <f t="shared" si="54"/>
        <v>0077</v>
      </c>
      <c r="AU245" s="91" t="str">
        <f t="shared" si="46"/>
        <v>7700</v>
      </c>
      <c r="AV245" s="91" t="str">
        <f t="shared" si="47"/>
        <v>0000</v>
      </c>
      <c r="AW245" s="91" t="str">
        <f t="shared" si="48"/>
        <v>0000</v>
      </c>
      <c r="AX245" s="91" t="str">
        <f t="shared" si="49"/>
        <v>0000</v>
      </c>
    </row>
    <row r="246" spans="1:50" s="83" customFormat="1" ht="14.1" customHeight="1">
      <c r="A246" s="82"/>
      <c r="B246" s="84">
        <v>25</v>
      </c>
      <c r="C246" s="85">
        <v>0</v>
      </c>
      <c r="D246" s="85">
        <v>0</v>
      </c>
      <c r="E246" s="85">
        <v>0</v>
      </c>
      <c r="F246" s="85">
        <v>0</v>
      </c>
      <c r="G246" s="85">
        <v>0</v>
      </c>
      <c r="H246" s="85">
        <v>0</v>
      </c>
      <c r="I246" s="85">
        <v>0</v>
      </c>
      <c r="J246" s="85">
        <v>0</v>
      </c>
      <c r="K246" s="85">
        <v>0</v>
      </c>
      <c r="L246" s="85">
        <v>0</v>
      </c>
      <c r="M246" s="85">
        <v>0</v>
      </c>
      <c r="N246" s="85">
        <v>0</v>
      </c>
      <c r="O246" s="85">
        <v>0</v>
      </c>
      <c r="P246" s="85">
        <v>0</v>
      </c>
      <c r="Q246" s="85">
        <v>7</v>
      </c>
      <c r="R246" s="85">
        <v>7</v>
      </c>
      <c r="S246" s="85">
        <v>7</v>
      </c>
      <c r="T246" s="85">
        <v>7</v>
      </c>
      <c r="U246" s="85">
        <v>0</v>
      </c>
      <c r="V246" s="85">
        <v>0</v>
      </c>
      <c r="W246" s="85">
        <v>0</v>
      </c>
      <c r="X246" s="85">
        <v>0</v>
      </c>
      <c r="Y246" s="85">
        <v>0</v>
      </c>
      <c r="Z246" s="85">
        <v>0</v>
      </c>
      <c r="AA246" s="85">
        <v>0</v>
      </c>
      <c r="AB246" s="85">
        <v>0</v>
      </c>
      <c r="AC246" s="85">
        <v>0</v>
      </c>
      <c r="AD246" s="85">
        <v>0</v>
      </c>
      <c r="AE246" s="85">
        <v>0</v>
      </c>
      <c r="AF246" s="85">
        <v>0</v>
      </c>
      <c r="AG246" s="85">
        <v>0</v>
      </c>
      <c r="AH246" s="85">
        <v>0</v>
      </c>
      <c r="AP246" s="92">
        <f t="shared" si="50"/>
        <v>25</v>
      </c>
      <c r="AQ246" s="91" t="str">
        <f t="shared" si="51"/>
        <v>0000</v>
      </c>
      <c r="AR246" s="91" t="str">
        <f t="shared" si="52"/>
        <v>0000</v>
      </c>
      <c r="AS246" s="91" t="str">
        <f t="shared" si="53"/>
        <v>0000</v>
      </c>
      <c r="AT246" s="91" t="str">
        <f t="shared" si="54"/>
        <v>0077</v>
      </c>
      <c r="AU246" s="91" t="str">
        <f t="shared" si="46"/>
        <v>7700</v>
      </c>
      <c r="AV246" s="91" t="str">
        <f t="shared" si="47"/>
        <v>0000</v>
      </c>
      <c r="AW246" s="91" t="str">
        <f t="shared" si="48"/>
        <v>0000</v>
      </c>
      <c r="AX246" s="91" t="str">
        <f t="shared" si="49"/>
        <v>0000</v>
      </c>
    </row>
    <row r="247" spans="1:50" s="83" customFormat="1" ht="14.1" customHeight="1">
      <c r="A247" s="82"/>
      <c r="B247" s="84">
        <v>26</v>
      </c>
      <c r="C247" s="85">
        <v>0</v>
      </c>
      <c r="D247" s="85">
        <v>0</v>
      </c>
      <c r="E247" s="85">
        <v>0</v>
      </c>
      <c r="F247" s="85">
        <v>0</v>
      </c>
      <c r="G247" s="85">
        <v>0</v>
      </c>
      <c r="H247" s="85">
        <v>0</v>
      </c>
      <c r="I247" s="85">
        <v>0</v>
      </c>
      <c r="J247" s="85">
        <v>0</v>
      </c>
      <c r="K247" s="85">
        <v>0</v>
      </c>
      <c r="L247" s="85">
        <v>0</v>
      </c>
      <c r="M247" s="85">
        <v>0</v>
      </c>
      <c r="N247" s="85">
        <v>0</v>
      </c>
      <c r="O247" s="85">
        <v>0</v>
      </c>
      <c r="P247" s="85">
        <v>0</v>
      </c>
      <c r="Q247" s="85">
        <v>0</v>
      </c>
      <c r="R247" s="85">
        <v>0</v>
      </c>
      <c r="S247" s="85">
        <v>0</v>
      </c>
      <c r="T247" s="85">
        <v>0</v>
      </c>
      <c r="U247" s="85">
        <v>0</v>
      </c>
      <c r="V247" s="85">
        <v>0</v>
      </c>
      <c r="W247" s="85">
        <v>0</v>
      </c>
      <c r="X247" s="85">
        <v>0</v>
      </c>
      <c r="Y247" s="85">
        <v>0</v>
      </c>
      <c r="Z247" s="85">
        <v>0</v>
      </c>
      <c r="AA247" s="85">
        <v>0</v>
      </c>
      <c r="AB247" s="85">
        <v>0</v>
      </c>
      <c r="AC247" s="85">
        <v>0</v>
      </c>
      <c r="AD247" s="85">
        <v>0</v>
      </c>
      <c r="AE247" s="85">
        <v>0</v>
      </c>
      <c r="AF247" s="85">
        <v>0</v>
      </c>
      <c r="AG247" s="85">
        <v>0</v>
      </c>
      <c r="AH247" s="85">
        <v>0</v>
      </c>
      <c r="AP247" s="92">
        <f t="shared" si="50"/>
        <v>26</v>
      </c>
      <c r="AQ247" s="91" t="str">
        <f t="shared" si="51"/>
        <v>0000</v>
      </c>
      <c r="AR247" s="91" t="str">
        <f t="shared" si="52"/>
        <v>0000</v>
      </c>
      <c r="AS247" s="91" t="str">
        <f t="shared" si="53"/>
        <v>0000</v>
      </c>
      <c r="AT247" s="91" t="str">
        <f t="shared" si="54"/>
        <v>0000</v>
      </c>
      <c r="AU247" s="91" t="str">
        <f t="shared" si="46"/>
        <v>0000</v>
      </c>
      <c r="AV247" s="91" t="str">
        <f t="shared" si="47"/>
        <v>0000</v>
      </c>
      <c r="AW247" s="91" t="str">
        <f t="shared" si="48"/>
        <v>0000</v>
      </c>
      <c r="AX247" s="91" t="str">
        <f t="shared" si="49"/>
        <v>0000</v>
      </c>
    </row>
    <row r="248" spans="1:50" s="83" customFormat="1" ht="14.1" customHeight="1">
      <c r="A248" s="82"/>
      <c r="B248" s="84">
        <v>27</v>
      </c>
      <c r="C248" s="85">
        <v>0</v>
      </c>
      <c r="D248" s="85">
        <v>0</v>
      </c>
      <c r="E248" s="85">
        <v>0</v>
      </c>
      <c r="F248" s="85">
        <v>0</v>
      </c>
      <c r="G248" s="85">
        <v>0</v>
      </c>
      <c r="H248" s="85">
        <v>0</v>
      </c>
      <c r="I248" s="85">
        <v>0</v>
      </c>
      <c r="J248" s="85">
        <v>0</v>
      </c>
      <c r="K248" s="85">
        <v>0</v>
      </c>
      <c r="L248" s="85">
        <v>0</v>
      </c>
      <c r="M248" s="85">
        <v>0</v>
      </c>
      <c r="N248" s="85">
        <v>0</v>
      </c>
      <c r="O248" s="85">
        <v>0</v>
      </c>
      <c r="P248" s="85">
        <v>0</v>
      </c>
      <c r="Q248" s="85">
        <v>0</v>
      </c>
      <c r="R248" s="85">
        <v>0</v>
      </c>
      <c r="S248" s="85">
        <v>0</v>
      </c>
      <c r="T248" s="85">
        <v>0</v>
      </c>
      <c r="U248" s="85">
        <v>0</v>
      </c>
      <c r="V248" s="85">
        <v>0</v>
      </c>
      <c r="W248" s="85">
        <v>0</v>
      </c>
      <c r="X248" s="85">
        <v>0</v>
      </c>
      <c r="Y248" s="85">
        <v>0</v>
      </c>
      <c r="Z248" s="85">
        <v>0</v>
      </c>
      <c r="AA248" s="85">
        <v>0</v>
      </c>
      <c r="AB248" s="85">
        <v>0</v>
      </c>
      <c r="AC248" s="85">
        <v>0</v>
      </c>
      <c r="AD248" s="85">
        <v>0</v>
      </c>
      <c r="AE248" s="85">
        <v>0</v>
      </c>
      <c r="AF248" s="85">
        <v>0</v>
      </c>
      <c r="AG248" s="85">
        <v>0</v>
      </c>
      <c r="AH248" s="85">
        <v>0</v>
      </c>
      <c r="AP248" s="92">
        <f t="shared" si="50"/>
        <v>27</v>
      </c>
      <c r="AQ248" s="91" t="str">
        <f t="shared" si="51"/>
        <v>0000</v>
      </c>
      <c r="AR248" s="91" t="str">
        <f t="shared" si="52"/>
        <v>0000</v>
      </c>
      <c r="AS248" s="91" t="str">
        <f t="shared" si="53"/>
        <v>0000</v>
      </c>
      <c r="AT248" s="91" t="str">
        <f t="shared" si="54"/>
        <v>0000</v>
      </c>
      <c r="AU248" s="91" t="str">
        <f t="shared" si="46"/>
        <v>0000</v>
      </c>
      <c r="AV248" s="91" t="str">
        <f t="shared" si="47"/>
        <v>0000</v>
      </c>
      <c r="AW248" s="91" t="str">
        <f t="shared" si="48"/>
        <v>0000</v>
      </c>
      <c r="AX248" s="91" t="str">
        <f t="shared" si="49"/>
        <v>0000</v>
      </c>
    </row>
    <row r="249" spans="1:50" s="83" customFormat="1" ht="14.1" customHeight="1">
      <c r="A249" s="82"/>
      <c r="B249" s="84">
        <v>28</v>
      </c>
      <c r="C249" s="85">
        <v>0</v>
      </c>
      <c r="D249" s="85">
        <v>0</v>
      </c>
      <c r="E249" s="85">
        <v>0</v>
      </c>
      <c r="F249" s="85">
        <v>0</v>
      </c>
      <c r="G249" s="85">
        <v>0</v>
      </c>
      <c r="H249" s="85">
        <v>0</v>
      </c>
      <c r="I249" s="85">
        <v>0</v>
      </c>
      <c r="J249" s="85">
        <v>0</v>
      </c>
      <c r="K249" s="85">
        <v>0</v>
      </c>
      <c r="L249" s="85">
        <v>0</v>
      </c>
      <c r="M249" s="85">
        <v>0</v>
      </c>
      <c r="N249" s="85">
        <v>0</v>
      </c>
      <c r="O249" s="85">
        <v>0</v>
      </c>
      <c r="P249" s="85">
        <v>0</v>
      </c>
      <c r="Q249" s="85">
        <v>0</v>
      </c>
      <c r="R249" s="85">
        <v>0</v>
      </c>
      <c r="S249" s="85">
        <v>0</v>
      </c>
      <c r="T249" s="85">
        <v>0</v>
      </c>
      <c r="U249" s="85">
        <v>0</v>
      </c>
      <c r="V249" s="85">
        <v>0</v>
      </c>
      <c r="W249" s="85">
        <v>0</v>
      </c>
      <c r="X249" s="85">
        <v>0</v>
      </c>
      <c r="Y249" s="85">
        <v>0</v>
      </c>
      <c r="Z249" s="85">
        <v>0</v>
      </c>
      <c r="AA249" s="85">
        <v>0</v>
      </c>
      <c r="AB249" s="85">
        <v>0</v>
      </c>
      <c r="AC249" s="85">
        <v>0</v>
      </c>
      <c r="AD249" s="85">
        <v>0</v>
      </c>
      <c r="AE249" s="85">
        <v>0</v>
      </c>
      <c r="AF249" s="85">
        <v>0</v>
      </c>
      <c r="AG249" s="85">
        <v>0</v>
      </c>
      <c r="AH249" s="85">
        <v>0</v>
      </c>
      <c r="AP249" s="92">
        <f t="shared" si="50"/>
        <v>28</v>
      </c>
      <c r="AQ249" s="91" t="str">
        <f t="shared" si="51"/>
        <v>0000</v>
      </c>
      <c r="AR249" s="91" t="str">
        <f t="shared" si="52"/>
        <v>0000</v>
      </c>
      <c r="AS249" s="91" t="str">
        <f t="shared" si="53"/>
        <v>0000</v>
      </c>
      <c r="AT249" s="91" t="str">
        <f t="shared" si="54"/>
        <v>0000</v>
      </c>
      <c r="AU249" s="91" t="str">
        <f t="shared" si="46"/>
        <v>0000</v>
      </c>
      <c r="AV249" s="91" t="str">
        <f t="shared" si="47"/>
        <v>0000</v>
      </c>
      <c r="AW249" s="91" t="str">
        <f t="shared" si="48"/>
        <v>0000</v>
      </c>
      <c r="AX249" s="91" t="str">
        <f t="shared" si="49"/>
        <v>0000</v>
      </c>
    </row>
    <row r="250" spans="1:50" s="83" customFormat="1" ht="14.1" customHeight="1">
      <c r="A250" s="82"/>
      <c r="B250" s="84">
        <v>29</v>
      </c>
      <c r="C250" s="85">
        <v>0</v>
      </c>
      <c r="D250" s="85">
        <v>0</v>
      </c>
      <c r="E250" s="85">
        <v>0</v>
      </c>
      <c r="F250" s="85">
        <v>0</v>
      </c>
      <c r="G250" s="85">
        <v>0</v>
      </c>
      <c r="H250" s="85">
        <v>0</v>
      </c>
      <c r="I250" s="85">
        <v>0</v>
      </c>
      <c r="J250" s="85">
        <v>0</v>
      </c>
      <c r="K250" s="85">
        <v>0</v>
      </c>
      <c r="L250" s="85">
        <v>0</v>
      </c>
      <c r="M250" s="85">
        <v>0</v>
      </c>
      <c r="N250" s="85">
        <v>0</v>
      </c>
      <c r="O250" s="85">
        <v>0</v>
      </c>
      <c r="P250" s="85">
        <v>0</v>
      </c>
      <c r="Q250" s="85">
        <v>0</v>
      </c>
      <c r="R250" s="85">
        <v>0</v>
      </c>
      <c r="S250" s="85">
        <v>0</v>
      </c>
      <c r="T250" s="85">
        <v>0</v>
      </c>
      <c r="U250" s="85">
        <v>0</v>
      </c>
      <c r="V250" s="85">
        <v>0</v>
      </c>
      <c r="W250" s="85">
        <v>0</v>
      </c>
      <c r="X250" s="85">
        <v>0</v>
      </c>
      <c r="Y250" s="85">
        <v>0</v>
      </c>
      <c r="Z250" s="85">
        <v>0</v>
      </c>
      <c r="AA250" s="85">
        <v>0</v>
      </c>
      <c r="AB250" s="85">
        <v>0</v>
      </c>
      <c r="AC250" s="85">
        <v>0</v>
      </c>
      <c r="AD250" s="85">
        <v>0</v>
      </c>
      <c r="AE250" s="85">
        <v>0</v>
      </c>
      <c r="AF250" s="85">
        <v>0</v>
      </c>
      <c r="AG250" s="85">
        <v>0</v>
      </c>
      <c r="AH250" s="85">
        <v>0</v>
      </c>
      <c r="AP250" s="92">
        <f t="shared" si="50"/>
        <v>29</v>
      </c>
      <c r="AQ250" s="91" t="str">
        <f t="shared" si="51"/>
        <v>0000</v>
      </c>
      <c r="AR250" s="91" t="str">
        <f t="shared" si="52"/>
        <v>0000</v>
      </c>
      <c r="AS250" s="91" t="str">
        <f t="shared" si="53"/>
        <v>0000</v>
      </c>
      <c r="AT250" s="91" t="str">
        <f t="shared" si="54"/>
        <v>0000</v>
      </c>
      <c r="AU250" s="91" t="str">
        <f t="shared" si="46"/>
        <v>0000</v>
      </c>
      <c r="AV250" s="91" t="str">
        <f t="shared" si="47"/>
        <v>0000</v>
      </c>
      <c r="AW250" s="91" t="str">
        <f t="shared" si="48"/>
        <v>0000</v>
      </c>
      <c r="AX250" s="91" t="str">
        <f t="shared" si="49"/>
        <v>0000</v>
      </c>
    </row>
    <row r="251" spans="1:50" s="83" customFormat="1" ht="14.1" customHeight="1">
      <c r="A251" s="82"/>
      <c r="B251" s="84">
        <v>30</v>
      </c>
      <c r="C251" s="85">
        <v>0</v>
      </c>
      <c r="D251" s="85">
        <v>0</v>
      </c>
      <c r="E251" s="85">
        <v>0</v>
      </c>
      <c r="F251" s="85">
        <v>0</v>
      </c>
      <c r="G251" s="85">
        <v>0</v>
      </c>
      <c r="H251" s="85">
        <v>0</v>
      </c>
      <c r="I251" s="85">
        <v>0</v>
      </c>
      <c r="J251" s="85">
        <v>0</v>
      </c>
      <c r="K251" s="85">
        <v>0</v>
      </c>
      <c r="L251" s="85">
        <v>0</v>
      </c>
      <c r="M251" s="85">
        <v>0</v>
      </c>
      <c r="N251" s="85">
        <v>0</v>
      </c>
      <c r="O251" s="85">
        <v>0</v>
      </c>
      <c r="P251" s="85">
        <v>0</v>
      </c>
      <c r="Q251" s="85">
        <v>0</v>
      </c>
      <c r="R251" s="85">
        <v>0</v>
      </c>
      <c r="S251" s="85">
        <v>0</v>
      </c>
      <c r="T251" s="85">
        <v>0</v>
      </c>
      <c r="U251" s="85">
        <v>0</v>
      </c>
      <c r="V251" s="85">
        <v>0</v>
      </c>
      <c r="W251" s="85">
        <v>0</v>
      </c>
      <c r="X251" s="85">
        <v>0</v>
      </c>
      <c r="Y251" s="85">
        <v>0</v>
      </c>
      <c r="Z251" s="85">
        <v>0</v>
      </c>
      <c r="AA251" s="85">
        <v>0</v>
      </c>
      <c r="AB251" s="85">
        <v>0</v>
      </c>
      <c r="AC251" s="85">
        <v>0</v>
      </c>
      <c r="AD251" s="85">
        <v>0</v>
      </c>
      <c r="AE251" s="85">
        <v>0</v>
      </c>
      <c r="AF251" s="85">
        <v>0</v>
      </c>
      <c r="AG251" s="85">
        <v>0</v>
      </c>
      <c r="AH251" s="85">
        <v>0</v>
      </c>
      <c r="AP251" s="92">
        <f t="shared" si="50"/>
        <v>30</v>
      </c>
      <c r="AQ251" s="91" t="str">
        <f t="shared" si="51"/>
        <v>0000</v>
      </c>
      <c r="AR251" s="91" t="str">
        <f t="shared" si="52"/>
        <v>0000</v>
      </c>
      <c r="AS251" s="91" t="str">
        <f t="shared" si="53"/>
        <v>0000</v>
      </c>
      <c r="AT251" s="91" t="str">
        <f t="shared" si="54"/>
        <v>0000</v>
      </c>
      <c r="AU251" s="91" t="str">
        <f t="shared" si="46"/>
        <v>0000</v>
      </c>
      <c r="AV251" s="91" t="str">
        <f t="shared" si="47"/>
        <v>0000</v>
      </c>
      <c r="AW251" s="91" t="str">
        <f t="shared" si="48"/>
        <v>0000</v>
      </c>
      <c r="AX251" s="91" t="str">
        <f t="shared" si="49"/>
        <v>0000</v>
      </c>
    </row>
    <row r="252" spans="1:50" s="83" customFormat="1" ht="14.1" customHeight="1">
      <c r="A252" s="82"/>
      <c r="B252" s="84">
        <v>31</v>
      </c>
      <c r="C252" s="85">
        <v>0</v>
      </c>
      <c r="D252" s="85">
        <v>0</v>
      </c>
      <c r="E252" s="85">
        <v>0</v>
      </c>
      <c r="F252" s="85">
        <v>0</v>
      </c>
      <c r="G252" s="85">
        <v>0</v>
      </c>
      <c r="H252" s="85">
        <v>0</v>
      </c>
      <c r="I252" s="85">
        <v>0</v>
      </c>
      <c r="J252" s="85">
        <v>0</v>
      </c>
      <c r="K252" s="85">
        <v>0</v>
      </c>
      <c r="L252" s="85">
        <v>0</v>
      </c>
      <c r="M252" s="85">
        <v>0</v>
      </c>
      <c r="N252" s="85">
        <v>0</v>
      </c>
      <c r="O252" s="85">
        <v>0</v>
      </c>
      <c r="P252" s="85">
        <v>0</v>
      </c>
      <c r="Q252" s="85">
        <v>0</v>
      </c>
      <c r="R252" s="85">
        <v>0</v>
      </c>
      <c r="S252" s="85">
        <v>0</v>
      </c>
      <c r="T252" s="85">
        <v>0</v>
      </c>
      <c r="U252" s="85">
        <v>0</v>
      </c>
      <c r="V252" s="85">
        <v>0</v>
      </c>
      <c r="W252" s="85">
        <v>0</v>
      </c>
      <c r="X252" s="85">
        <v>0</v>
      </c>
      <c r="Y252" s="85">
        <v>0</v>
      </c>
      <c r="Z252" s="85">
        <v>0</v>
      </c>
      <c r="AA252" s="85">
        <v>0</v>
      </c>
      <c r="AB252" s="85">
        <v>0</v>
      </c>
      <c r="AC252" s="85">
        <v>0</v>
      </c>
      <c r="AD252" s="85">
        <v>0</v>
      </c>
      <c r="AE252" s="85">
        <v>0</v>
      </c>
      <c r="AF252" s="85">
        <v>0</v>
      </c>
      <c r="AG252" s="85">
        <v>0</v>
      </c>
      <c r="AH252" s="85">
        <v>0</v>
      </c>
      <c r="AP252" s="92">
        <f t="shared" si="50"/>
        <v>31</v>
      </c>
      <c r="AQ252" s="91" t="str">
        <f t="shared" si="51"/>
        <v>0000</v>
      </c>
      <c r="AR252" s="91" t="str">
        <f t="shared" si="52"/>
        <v>0000</v>
      </c>
      <c r="AS252" s="91" t="str">
        <f t="shared" si="53"/>
        <v>0000</v>
      </c>
      <c r="AT252" s="91" t="str">
        <f t="shared" si="54"/>
        <v>0000</v>
      </c>
      <c r="AU252" s="91" t="str">
        <f t="shared" si="46"/>
        <v>0000</v>
      </c>
      <c r="AV252" s="91" t="str">
        <f t="shared" si="47"/>
        <v>0000</v>
      </c>
      <c r="AW252" s="91" t="str">
        <f t="shared" si="48"/>
        <v>0000</v>
      </c>
      <c r="AX252" s="91" t="str">
        <f t="shared" si="49"/>
        <v>0000</v>
      </c>
    </row>
    <row r="253" spans="1:50" s="83" customFormat="1">
      <c r="A253" s="82"/>
      <c r="AP253" s="106"/>
      <c r="AU253" s="91"/>
      <c r="AV253" s="91"/>
      <c r="AW253" s="91"/>
      <c r="AX253" s="91"/>
    </row>
    <row r="254" spans="1:50" s="83" customFormat="1">
      <c r="A254" s="82"/>
      <c r="AP254" s="90"/>
      <c r="AU254" s="91"/>
      <c r="AV254" s="91"/>
      <c r="AW254" s="91"/>
      <c r="AX254" s="91"/>
    </row>
    <row r="255" spans="1:50" s="83" customFormat="1">
      <c r="A255" s="82" t="s">
        <v>344</v>
      </c>
      <c r="AP255" s="88" t="str">
        <f>A255</f>
        <v>8.Used by Touch AE (Storage to ROM)</v>
      </c>
      <c r="AU255" s="91"/>
      <c r="AV255" s="91"/>
      <c r="AW255" s="91"/>
      <c r="AX255" s="91"/>
    </row>
    <row r="256" spans="1:50" s="83" customFormat="1">
      <c r="A256" s="82"/>
      <c r="B256" s="84"/>
      <c r="C256" s="84">
        <v>0</v>
      </c>
      <c r="D256" s="84">
        <v>1</v>
      </c>
      <c r="E256" s="84">
        <v>2</v>
      </c>
      <c r="F256" s="84">
        <v>3</v>
      </c>
      <c r="G256" s="84">
        <v>4</v>
      </c>
      <c r="H256" s="84">
        <v>5</v>
      </c>
      <c r="I256" s="84">
        <v>6</v>
      </c>
      <c r="J256" s="84">
        <v>7</v>
      </c>
      <c r="K256" s="84">
        <v>8</v>
      </c>
      <c r="L256" s="84">
        <v>9</v>
      </c>
      <c r="M256" s="84">
        <v>10</v>
      </c>
      <c r="N256" s="84">
        <v>11</v>
      </c>
      <c r="O256" s="84">
        <v>12</v>
      </c>
      <c r="P256" s="84">
        <v>13</v>
      </c>
      <c r="Q256" s="84">
        <v>14</v>
      </c>
      <c r="R256" s="84">
        <v>15</v>
      </c>
      <c r="S256" s="84">
        <v>16</v>
      </c>
      <c r="T256" s="84">
        <v>17</v>
      </c>
      <c r="U256" s="84">
        <v>18</v>
      </c>
      <c r="V256" s="84">
        <v>19</v>
      </c>
      <c r="W256" s="84">
        <v>20</v>
      </c>
      <c r="X256" s="84">
        <v>21</v>
      </c>
      <c r="Y256" s="84">
        <v>22</v>
      </c>
      <c r="Z256" s="84">
        <v>23</v>
      </c>
      <c r="AA256" s="84">
        <v>24</v>
      </c>
      <c r="AB256" s="84">
        <v>25</v>
      </c>
      <c r="AC256" s="84">
        <v>26</v>
      </c>
      <c r="AD256" s="84">
        <v>27</v>
      </c>
      <c r="AE256" s="84">
        <v>28</v>
      </c>
      <c r="AF256" s="84">
        <v>29</v>
      </c>
      <c r="AG256" s="84">
        <v>30</v>
      </c>
      <c r="AH256" s="84">
        <v>31</v>
      </c>
      <c r="AP256" s="90"/>
      <c r="AQ256" s="91" t="str">
        <f>C256&amp;D256&amp;E256&amp;F256</f>
        <v>0123</v>
      </c>
      <c r="AR256" s="91" t="str">
        <f>G256&amp;H256&amp;I256&amp;J256</f>
        <v>4567</v>
      </c>
      <c r="AS256" s="91" t="str">
        <f>K256&amp;L256&amp;M256&amp;N256</f>
        <v>891011</v>
      </c>
      <c r="AT256" s="91" t="str">
        <f>O256&amp;P256&amp;Q256&amp;R256</f>
        <v>12131415</v>
      </c>
      <c r="AU256" s="83">
        <v>16171819</v>
      </c>
      <c r="AV256" s="83">
        <v>20212223</v>
      </c>
      <c r="AW256" s="83">
        <v>24252627</v>
      </c>
      <c r="AX256" s="83">
        <v>28293031</v>
      </c>
    </row>
    <row r="257" spans="1:50" s="83" customFormat="1" ht="14.1" customHeight="1">
      <c r="A257" s="82"/>
      <c r="B257" s="84">
        <v>0</v>
      </c>
      <c r="C257" s="107">
        <v>0</v>
      </c>
      <c r="D257" s="107">
        <v>0</v>
      </c>
      <c r="E257" s="107">
        <v>0</v>
      </c>
      <c r="F257" s="107">
        <v>0</v>
      </c>
      <c r="G257" s="107">
        <v>0</v>
      </c>
      <c r="H257" s="107">
        <v>0</v>
      </c>
      <c r="I257" s="107">
        <v>0</v>
      </c>
      <c r="J257" s="107">
        <v>0</v>
      </c>
      <c r="K257" s="107">
        <v>0</v>
      </c>
      <c r="L257" s="107">
        <v>0</v>
      </c>
      <c r="M257" s="107">
        <v>0</v>
      </c>
      <c r="N257" s="107">
        <v>0</v>
      </c>
      <c r="O257" s="107">
        <v>0</v>
      </c>
      <c r="P257" s="107">
        <v>0</v>
      </c>
      <c r="Q257" s="107">
        <v>0</v>
      </c>
      <c r="R257" s="107">
        <v>0</v>
      </c>
      <c r="S257" s="107">
        <v>0</v>
      </c>
      <c r="T257" s="107">
        <v>0</v>
      </c>
      <c r="U257" s="107">
        <v>0</v>
      </c>
      <c r="V257" s="107">
        <v>0</v>
      </c>
      <c r="W257" s="107">
        <v>0</v>
      </c>
      <c r="X257" s="107">
        <v>0</v>
      </c>
      <c r="Y257" s="107">
        <v>0</v>
      </c>
      <c r="Z257" s="107">
        <v>0</v>
      </c>
      <c r="AA257" s="107">
        <v>0</v>
      </c>
      <c r="AB257" s="107">
        <v>0</v>
      </c>
      <c r="AC257" s="107">
        <v>0</v>
      </c>
      <c r="AD257" s="107">
        <v>0</v>
      </c>
      <c r="AE257" s="107">
        <v>0</v>
      </c>
      <c r="AF257" s="107">
        <v>0</v>
      </c>
      <c r="AG257" s="107">
        <v>0</v>
      </c>
      <c r="AH257" s="107">
        <v>0</v>
      </c>
      <c r="AP257" s="92">
        <f t="shared" ref="AP257:AP288" si="55">B257</f>
        <v>0</v>
      </c>
      <c r="AQ257" s="91" t="str">
        <f t="shared" ref="AQ257:AQ288" si="56">DEC2HEX(C257)&amp;DEC2HEX(D257)&amp;DEC2HEX(E257)&amp;DEC2HEX(F257)</f>
        <v>0000</v>
      </c>
      <c r="AR257" s="91" t="str">
        <f t="shared" ref="AR257:AR288" si="57">DEC2HEX(G257)&amp;DEC2HEX(H257)&amp;DEC2HEX(I257)&amp;DEC2HEX(J257)</f>
        <v>0000</v>
      </c>
      <c r="AS257" s="91" t="str">
        <f t="shared" ref="AS257:AS288" si="58">DEC2HEX(K257)&amp;DEC2HEX(L257)&amp;DEC2HEX(M257)&amp;DEC2HEX(N257)</f>
        <v>0000</v>
      </c>
      <c r="AT257" s="91" t="str">
        <f t="shared" ref="AT257:AT288" si="59">DEC2HEX(O257)&amp;DEC2HEX(P257)&amp;DEC2HEX(Q257)&amp;DEC2HEX(R257)</f>
        <v>0000</v>
      </c>
      <c r="AU257" s="91" t="str">
        <f t="shared" si="46"/>
        <v>0000</v>
      </c>
      <c r="AV257" s="91" t="str">
        <f t="shared" si="47"/>
        <v>0000</v>
      </c>
      <c r="AW257" s="91" t="str">
        <f t="shared" si="48"/>
        <v>0000</v>
      </c>
      <c r="AX257" s="91" t="str">
        <f t="shared" si="49"/>
        <v>0000</v>
      </c>
    </row>
    <row r="258" spans="1:50" s="83" customFormat="1" ht="14.1" customHeight="1">
      <c r="A258" s="82"/>
      <c r="B258" s="84">
        <v>1</v>
      </c>
      <c r="C258" s="107">
        <v>0</v>
      </c>
      <c r="D258" s="107">
        <v>0</v>
      </c>
      <c r="E258" s="107">
        <v>0</v>
      </c>
      <c r="F258" s="107">
        <v>0</v>
      </c>
      <c r="G258" s="107">
        <v>0</v>
      </c>
      <c r="H258" s="107">
        <v>0</v>
      </c>
      <c r="I258" s="107">
        <v>0</v>
      </c>
      <c r="J258" s="107">
        <v>0</v>
      </c>
      <c r="K258" s="107">
        <v>0</v>
      </c>
      <c r="L258" s="107">
        <v>0</v>
      </c>
      <c r="M258" s="107">
        <v>0</v>
      </c>
      <c r="N258" s="107">
        <v>0</v>
      </c>
      <c r="O258" s="107">
        <v>0</v>
      </c>
      <c r="P258" s="107">
        <v>0</v>
      </c>
      <c r="Q258" s="107">
        <v>0</v>
      </c>
      <c r="R258" s="107">
        <v>0</v>
      </c>
      <c r="S258" s="107">
        <v>0</v>
      </c>
      <c r="T258" s="107">
        <v>0</v>
      </c>
      <c r="U258" s="107">
        <v>0</v>
      </c>
      <c r="V258" s="107">
        <v>0</v>
      </c>
      <c r="W258" s="107">
        <v>0</v>
      </c>
      <c r="X258" s="107">
        <v>0</v>
      </c>
      <c r="Y258" s="107">
        <v>0</v>
      </c>
      <c r="Z258" s="107">
        <v>0</v>
      </c>
      <c r="AA258" s="107">
        <v>0</v>
      </c>
      <c r="AB258" s="107">
        <v>0</v>
      </c>
      <c r="AC258" s="107">
        <v>0</v>
      </c>
      <c r="AD258" s="107">
        <v>0</v>
      </c>
      <c r="AE258" s="107">
        <v>0</v>
      </c>
      <c r="AF258" s="107">
        <v>0</v>
      </c>
      <c r="AG258" s="107">
        <v>0</v>
      </c>
      <c r="AH258" s="107">
        <v>0</v>
      </c>
      <c r="AP258" s="92">
        <f t="shared" si="55"/>
        <v>1</v>
      </c>
      <c r="AQ258" s="91" t="str">
        <f t="shared" si="56"/>
        <v>0000</v>
      </c>
      <c r="AR258" s="91" t="str">
        <f t="shared" si="57"/>
        <v>0000</v>
      </c>
      <c r="AS258" s="91" t="str">
        <f t="shared" si="58"/>
        <v>0000</v>
      </c>
      <c r="AT258" s="91" t="str">
        <f t="shared" si="59"/>
        <v>0000</v>
      </c>
      <c r="AU258" s="91" t="str">
        <f t="shared" si="46"/>
        <v>0000</v>
      </c>
      <c r="AV258" s="91" t="str">
        <f t="shared" si="47"/>
        <v>0000</v>
      </c>
      <c r="AW258" s="91" t="str">
        <f t="shared" si="48"/>
        <v>0000</v>
      </c>
      <c r="AX258" s="91" t="str">
        <f t="shared" si="49"/>
        <v>0000</v>
      </c>
    </row>
    <row r="259" spans="1:50" s="83" customFormat="1" ht="14.1" customHeight="1">
      <c r="A259" s="82"/>
      <c r="B259" s="84">
        <v>2</v>
      </c>
      <c r="C259" s="107">
        <v>0</v>
      </c>
      <c r="D259" s="107">
        <v>0</v>
      </c>
      <c r="E259" s="107">
        <v>0</v>
      </c>
      <c r="F259" s="107">
        <v>0</v>
      </c>
      <c r="G259" s="107">
        <v>0</v>
      </c>
      <c r="H259" s="107">
        <v>0</v>
      </c>
      <c r="I259" s="107">
        <v>0</v>
      </c>
      <c r="J259" s="107">
        <v>0</v>
      </c>
      <c r="K259" s="107">
        <v>0</v>
      </c>
      <c r="L259" s="107">
        <v>0</v>
      </c>
      <c r="M259" s="107">
        <v>0</v>
      </c>
      <c r="N259" s="107">
        <v>0</v>
      </c>
      <c r="O259" s="107">
        <v>0</v>
      </c>
      <c r="P259" s="107">
        <v>0</v>
      </c>
      <c r="Q259" s="107">
        <v>0</v>
      </c>
      <c r="R259" s="107">
        <v>0</v>
      </c>
      <c r="S259" s="107">
        <v>0</v>
      </c>
      <c r="T259" s="107">
        <v>0</v>
      </c>
      <c r="U259" s="107">
        <v>0</v>
      </c>
      <c r="V259" s="107">
        <v>0</v>
      </c>
      <c r="W259" s="107">
        <v>0</v>
      </c>
      <c r="X259" s="107">
        <v>0</v>
      </c>
      <c r="Y259" s="107">
        <v>0</v>
      </c>
      <c r="Z259" s="107">
        <v>0</v>
      </c>
      <c r="AA259" s="107">
        <v>0</v>
      </c>
      <c r="AB259" s="107">
        <v>0</v>
      </c>
      <c r="AC259" s="107">
        <v>0</v>
      </c>
      <c r="AD259" s="107">
        <v>0</v>
      </c>
      <c r="AE259" s="107">
        <v>0</v>
      </c>
      <c r="AF259" s="107">
        <v>0</v>
      </c>
      <c r="AG259" s="107">
        <v>0</v>
      </c>
      <c r="AH259" s="107">
        <v>0</v>
      </c>
      <c r="AP259" s="92">
        <f t="shared" si="55"/>
        <v>2</v>
      </c>
      <c r="AQ259" s="91" t="str">
        <f t="shared" si="56"/>
        <v>0000</v>
      </c>
      <c r="AR259" s="91" t="str">
        <f t="shared" si="57"/>
        <v>0000</v>
      </c>
      <c r="AS259" s="91" t="str">
        <f t="shared" si="58"/>
        <v>0000</v>
      </c>
      <c r="AT259" s="91" t="str">
        <f t="shared" si="59"/>
        <v>0000</v>
      </c>
      <c r="AU259" s="91" t="str">
        <f t="shared" si="46"/>
        <v>0000</v>
      </c>
      <c r="AV259" s="91" t="str">
        <f t="shared" si="47"/>
        <v>0000</v>
      </c>
      <c r="AW259" s="91" t="str">
        <f t="shared" si="48"/>
        <v>0000</v>
      </c>
      <c r="AX259" s="91" t="str">
        <f t="shared" si="49"/>
        <v>0000</v>
      </c>
    </row>
    <row r="260" spans="1:50" s="83" customFormat="1" ht="14.1" customHeight="1">
      <c r="A260" s="82"/>
      <c r="B260" s="84">
        <v>3</v>
      </c>
      <c r="C260" s="107">
        <v>0</v>
      </c>
      <c r="D260" s="107">
        <v>0</v>
      </c>
      <c r="E260" s="107">
        <v>0</v>
      </c>
      <c r="F260" s="107">
        <v>0</v>
      </c>
      <c r="G260" s="107">
        <v>0</v>
      </c>
      <c r="H260" s="107">
        <v>0</v>
      </c>
      <c r="I260" s="107">
        <v>0</v>
      </c>
      <c r="J260" s="107">
        <v>0</v>
      </c>
      <c r="K260" s="107">
        <v>0</v>
      </c>
      <c r="L260" s="107">
        <v>0</v>
      </c>
      <c r="M260" s="107">
        <v>0</v>
      </c>
      <c r="N260" s="107">
        <v>0</v>
      </c>
      <c r="O260" s="107">
        <v>0</v>
      </c>
      <c r="P260" s="107">
        <v>0</v>
      </c>
      <c r="Q260" s="107">
        <v>0</v>
      </c>
      <c r="R260" s="107">
        <v>0</v>
      </c>
      <c r="S260" s="107">
        <v>0</v>
      </c>
      <c r="T260" s="107">
        <v>0</v>
      </c>
      <c r="U260" s="107">
        <v>0</v>
      </c>
      <c r="V260" s="107">
        <v>0</v>
      </c>
      <c r="W260" s="107">
        <v>0</v>
      </c>
      <c r="X260" s="107">
        <v>0</v>
      </c>
      <c r="Y260" s="107">
        <v>0</v>
      </c>
      <c r="Z260" s="107">
        <v>0</v>
      </c>
      <c r="AA260" s="107">
        <v>0</v>
      </c>
      <c r="AB260" s="107">
        <v>0</v>
      </c>
      <c r="AC260" s="107">
        <v>0</v>
      </c>
      <c r="AD260" s="107">
        <v>0</v>
      </c>
      <c r="AE260" s="107">
        <v>0</v>
      </c>
      <c r="AF260" s="107">
        <v>0</v>
      </c>
      <c r="AG260" s="107">
        <v>0</v>
      </c>
      <c r="AH260" s="107">
        <v>0</v>
      </c>
      <c r="AP260" s="92">
        <f t="shared" si="55"/>
        <v>3</v>
      </c>
      <c r="AQ260" s="91" t="str">
        <f t="shared" si="56"/>
        <v>0000</v>
      </c>
      <c r="AR260" s="91" t="str">
        <f t="shared" si="57"/>
        <v>0000</v>
      </c>
      <c r="AS260" s="91" t="str">
        <f t="shared" si="58"/>
        <v>0000</v>
      </c>
      <c r="AT260" s="91" t="str">
        <f t="shared" si="59"/>
        <v>0000</v>
      </c>
      <c r="AU260" s="91" t="str">
        <f t="shared" si="46"/>
        <v>0000</v>
      </c>
      <c r="AV260" s="91" t="str">
        <f t="shared" si="47"/>
        <v>0000</v>
      </c>
      <c r="AW260" s="91" t="str">
        <f t="shared" si="48"/>
        <v>0000</v>
      </c>
      <c r="AX260" s="91" t="str">
        <f t="shared" si="49"/>
        <v>0000</v>
      </c>
    </row>
    <row r="261" spans="1:50" s="83" customFormat="1" ht="14.1" customHeight="1">
      <c r="A261" s="82"/>
      <c r="B261" s="84">
        <v>4</v>
      </c>
      <c r="C261" s="107">
        <v>0</v>
      </c>
      <c r="D261" s="107">
        <v>0</v>
      </c>
      <c r="E261" s="107">
        <v>0</v>
      </c>
      <c r="F261" s="107">
        <v>0</v>
      </c>
      <c r="G261" s="107">
        <v>0</v>
      </c>
      <c r="H261" s="107">
        <v>0</v>
      </c>
      <c r="I261" s="107">
        <v>0</v>
      </c>
      <c r="J261" s="107">
        <v>0</v>
      </c>
      <c r="K261" s="107">
        <v>0</v>
      </c>
      <c r="L261" s="107">
        <v>0</v>
      </c>
      <c r="M261" s="107">
        <v>0</v>
      </c>
      <c r="N261" s="107">
        <v>0</v>
      </c>
      <c r="O261" s="107">
        <v>0</v>
      </c>
      <c r="P261" s="107">
        <v>0</v>
      </c>
      <c r="Q261" s="107">
        <v>0</v>
      </c>
      <c r="R261" s="107">
        <v>0</v>
      </c>
      <c r="S261" s="107">
        <v>0</v>
      </c>
      <c r="T261" s="107">
        <v>0</v>
      </c>
      <c r="U261" s="107">
        <v>0</v>
      </c>
      <c r="V261" s="107">
        <v>0</v>
      </c>
      <c r="W261" s="107">
        <v>0</v>
      </c>
      <c r="X261" s="107">
        <v>0</v>
      </c>
      <c r="Y261" s="107">
        <v>0</v>
      </c>
      <c r="Z261" s="107">
        <v>0</v>
      </c>
      <c r="AA261" s="107">
        <v>0</v>
      </c>
      <c r="AB261" s="107">
        <v>0</v>
      </c>
      <c r="AC261" s="107">
        <v>0</v>
      </c>
      <c r="AD261" s="107">
        <v>0</v>
      </c>
      <c r="AE261" s="107">
        <v>0</v>
      </c>
      <c r="AF261" s="107">
        <v>0</v>
      </c>
      <c r="AG261" s="107">
        <v>0</v>
      </c>
      <c r="AH261" s="107">
        <v>0</v>
      </c>
      <c r="AP261" s="92">
        <f t="shared" si="55"/>
        <v>4</v>
      </c>
      <c r="AQ261" s="91" t="str">
        <f t="shared" si="56"/>
        <v>0000</v>
      </c>
      <c r="AR261" s="91" t="str">
        <f t="shared" si="57"/>
        <v>0000</v>
      </c>
      <c r="AS261" s="91" t="str">
        <f t="shared" si="58"/>
        <v>0000</v>
      </c>
      <c r="AT261" s="91" t="str">
        <f t="shared" si="59"/>
        <v>0000</v>
      </c>
      <c r="AU261" s="91" t="str">
        <f t="shared" si="46"/>
        <v>0000</v>
      </c>
      <c r="AV261" s="91" t="str">
        <f t="shared" si="47"/>
        <v>0000</v>
      </c>
      <c r="AW261" s="91" t="str">
        <f t="shared" si="48"/>
        <v>0000</v>
      </c>
      <c r="AX261" s="91" t="str">
        <f t="shared" si="49"/>
        <v>0000</v>
      </c>
    </row>
    <row r="262" spans="1:50" s="83" customFormat="1" ht="14.1" customHeight="1">
      <c r="A262" s="82"/>
      <c r="B262" s="84">
        <v>5</v>
      </c>
      <c r="C262" s="107">
        <v>0</v>
      </c>
      <c r="D262" s="107">
        <v>0</v>
      </c>
      <c r="E262" s="107">
        <v>0</v>
      </c>
      <c r="F262" s="107">
        <v>0</v>
      </c>
      <c r="G262" s="107">
        <v>0</v>
      </c>
      <c r="H262" s="107">
        <v>0</v>
      </c>
      <c r="I262" s="107">
        <v>0</v>
      </c>
      <c r="J262" s="107">
        <v>0</v>
      </c>
      <c r="K262" s="107">
        <v>0</v>
      </c>
      <c r="L262" s="107">
        <v>0</v>
      </c>
      <c r="M262" s="107">
        <v>0</v>
      </c>
      <c r="N262" s="107">
        <v>0</v>
      </c>
      <c r="O262" s="107">
        <v>0</v>
      </c>
      <c r="P262" s="107">
        <v>0</v>
      </c>
      <c r="Q262" s="107">
        <v>1</v>
      </c>
      <c r="R262" s="107">
        <v>1</v>
      </c>
      <c r="S262" s="107">
        <v>1</v>
      </c>
      <c r="T262" s="107">
        <v>1</v>
      </c>
      <c r="U262" s="107">
        <v>0</v>
      </c>
      <c r="V262" s="107">
        <v>0</v>
      </c>
      <c r="W262" s="107">
        <v>0</v>
      </c>
      <c r="X262" s="107">
        <v>0</v>
      </c>
      <c r="Y262" s="107">
        <v>0</v>
      </c>
      <c r="Z262" s="107">
        <v>0</v>
      </c>
      <c r="AA262" s="107">
        <v>0</v>
      </c>
      <c r="AB262" s="107">
        <v>0</v>
      </c>
      <c r="AC262" s="107">
        <v>0</v>
      </c>
      <c r="AD262" s="107">
        <v>0</v>
      </c>
      <c r="AE262" s="107">
        <v>0</v>
      </c>
      <c r="AF262" s="107">
        <v>0</v>
      </c>
      <c r="AG262" s="107">
        <v>0</v>
      </c>
      <c r="AH262" s="107">
        <v>0</v>
      </c>
      <c r="AP262" s="92">
        <f t="shared" si="55"/>
        <v>5</v>
      </c>
      <c r="AQ262" s="91" t="str">
        <f t="shared" si="56"/>
        <v>0000</v>
      </c>
      <c r="AR262" s="91" t="str">
        <f t="shared" si="57"/>
        <v>0000</v>
      </c>
      <c r="AS262" s="91" t="str">
        <f t="shared" si="58"/>
        <v>0000</v>
      </c>
      <c r="AT262" s="91" t="str">
        <f t="shared" si="59"/>
        <v>0011</v>
      </c>
      <c r="AU262" s="91" t="str">
        <f t="shared" si="46"/>
        <v>1100</v>
      </c>
      <c r="AV262" s="91" t="str">
        <f t="shared" si="47"/>
        <v>0000</v>
      </c>
      <c r="AW262" s="91" t="str">
        <f t="shared" si="48"/>
        <v>0000</v>
      </c>
      <c r="AX262" s="91" t="str">
        <f t="shared" si="49"/>
        <v>0000</v>
      </c>
    </row>
    <row r="263" spans="1:50" s="83" customFormat="1" ht="14.1" customHeight="1">
      <c r="A263" s="82"/>
      <c r="B263" s="84">
        <v>6</v>
      </c>
      <c r="C263" s="107">
        <v>0</v>
      </c>
      <c r="D263" s="107">
        <v>0</v>
      </c>
      <c r="E263" s="107">
        <v>0</v>
      </c>
      <c r="F263" s="107">
        <v>0</v>
      </c>
      <c r="G263" s="107">
        <v>0</v>
      </c>
      <c r="H263" s="107">
        <v>0</v>
      </c>
      <c r="I263" s="107">
        <v>0</v>
      </c>
      <c r="J263" s="107">
        <v>0</v>
      </c>
      <c r="K263" s="107">
        <v>0</v>
      </c>
      <c r="L263" s="107">
        <v>0</v>
      </c>
      <c r="M263" s="107">
        <v>0</v>
      </c>
      <c r="N263" s="107">
        <v>0</v>
      </c>
      <c r="O263" s="107">
        <v>0</v>
      </c>
      <c r="P263" s="107">
        <v>0</v>
      </c>
      <c r="Q263" s="107">
        <v>0</v>
      </c>
      <c r="R263" s="107">
        <v>0</v>
      </c>
      <c r="S263" s="107">
        <v>0</v>
      </c>
      <c r="T263" s="107">
        <v>0</v>
      </c>
      <c r="U263" s="107">
        <v>0</v>
      </c>
      <c r="V263" s="107">
        <v>0</v>
      </c>
      <c r="W263" s="107">
        <v>0</v>
      </c>
      <c r="X263" s="107">
        <v>0</v>
      </c>
      <c r="Y263" s="107">
        <v>0</v>
      </c>
      <c r="Z263" s="107">
        <v>0</v>
      </c>
      <c r="AA263" s="107">
        <v>0</v>
      </c>
      <c r="AB263" s="107">
        <v>0</v>
      </c>
      <c r="AC263" s="107">
        <v>0</v>
      </c>
      <c r="AD263" s="107">
        <v>0</v>
      </c>
      <c r="AE263" s="107">
        <v>0</v>
      </c>
      <c r="AF263" s="107">
        <v>0</v>
      </c>
      <c r="AG263" s="107">
        <v>0</v>
      </c>
      <c r="AH263" s="107">
        <v>0</v>
      </c>
      <c r="AP263" s="92">
        <f t="shared" si="55"/>
        <v>6</v>
      </c>
      <c r="AQ263" s="91" t="str">
        <f t="shared" si="56"/>
        <v>0000</v>
      </c>
      <c r="AR263" s="91" t="str">
        <f t="shared" si="57"/>
        <v>0000</v>
      </c>
      <c r="AS263" s="91" t="str">
        <f t="shared" si="58"/>
        <v>0000</v>
      </c>
      <c r="AT263" s="91" t="str">
        <f t="shared" si="59"/>
        <v>0000</v>
      </c>
      <c r="AU263" s="91" t="str">
        <f t="shared" si="46"/>
        <v>0000</v>
      </c>
      <c r="AV263" s="91" t="str">
        <f t="shared" si="47"/>
        <v>0000</v>
      </c>
      <c r="AW263" s="91" t="str">
        <f t="shared" si="48"/>
        <v>0000</v>
      </c>
      <c r="AX263" s="91" t="str">
        <f t="shared" si="49"/>
        <v>0000</v>
      </c>
    </row>
    <row r="264" spans="1:50" s="83" customFormat="1" ht="14.1" customHeight="1">
      <c r="A264" s="82"/>
      <c r="B264" s="84">
        <v>7</v>
      </c>
      <c r="C264" s="107">
        <v>0</v>
      </c>
      <c r="D264" s="107">
        <v>0</v>
      </c>
      <c r="E264" s="107">
        <v>0</v>
      </c>
      <c r="F264" s="107">
        <v>0</v>
      </c>
      <c r="G264" s="107">
        <v>0</v>
      </c>
      <c r="H264" s="107">
        <v>0</v>
      </c>
      <c r="I264" s="107">
        <v>0</v>
      </c>
      <c r="J264" s="107">
        <v>0</v>
      </c>
      <c r="K264" s="107">
        <v>0</v>
      </c>
      <c r="L264" s="107">
        <v>0</v>
      </c>
      <c r="M264" s="107">
        <v>0</v>
      </c>
      <c r="N264" s="107">
        <v>0</v>
      </c>
      <c r="O264" s="107">
        <v>1</v>
      </c>
      <c r="P264" s="107">
        <v>1</v>
      </c>
      <c r="Q264" s="107">
        <v>0</v>
      </c>
      <c r="R264" s="107">
        <v>0</v>
      </c>
      <c r="S264" s="107">
        <v>0</v>
      </c>
      <c r="T264" s="107">
        <v>0</v>
      </c>
      <c r="U264" s="107">
        <v>1</v>
      </c>
      <c r="V264" s="107">
        <v>1</v>
      </c>
      <c r="W264" s="107">
        <v>0</v>
      </c>
      <c r="X264" s="107">
        <v>0</v>
      </c>
      <c r="Y264" s="107">
        <v>0</v>
      </c>
      <c r="Z264" s="107">
        <v>0</v>
      </c>
      <c r="AA264" s="107">
        <v>0</v>
      </c>
      <c r="AB264" s="107">
        <v>0</v>
      </c>
      <c r="AC264" s="107">
        <v>0</v>
      </c>
      <c r="AD264" s="107">
        <v>0</v>
      </c>
      <c r="AE264" s="107">
        <v>0</v>
      </c>
      <c r="AF264" s="107">
        <v>0</v>
      </c>
      <c r="AG264" s="107">
        <v>0</v>
      </c>
      <c r="AH264" s="107">
        <v>0</v>
      </c>
      <c r="AP264" s="92">
        <f t="shared" si="55"/>
        <v>7</v>
      </c>
      <c r="AQ264" s="91" t="str">
        <f t="shared" si="56"/>
        <v>0000</v>
      </c>
      <c r="AR264" s="91" t="str">
        <f t="shared" si="57"/>
        <v>0000</v>
      </c>
      <c r="AS264" s="91" t="str">
        <f t="shared" si="58"/>
        <v>0000</v>
      </c>
      <c r="AT264" s="91" t="str">
        <f t="shared" si="59"/>
        <v>1100</v>
      </c>
      <c r="AU264" s="91" t="str">
        <f t="shared" si="46"/>
        <v>0011</v>
      </c>
      <c r="AV264" s="91" t="str">
        <f t="shared" si="47"/>
        <v>0000</v>
      </c>
      <c r="AW264" s="91" t="str">
        <f t="shared" si="48"/>
        <v>0000</v>
      </c>
      <c r="AX264" s="91" t="str">
        <f t="shared" si="49"/>
        <v>0000</v>
      </c>
    </row>
    <row r="265" spans="1:50" s="83" customFormat="1" ht="14.1" customHeight="1">
      <c r="A265" s="82"/>
      <c r="B265" s="84">
        <v>8</v>
      </c>
      <c r="C265" s="107">
        <v>0</v>
      </c>
      <c r="D265" s="107">
        <v>0</v>
      </c>
      <c r="E265" s="107">
        <v>0</v>
      </c>
      <c r="F265" s="107">
        <v>0</v>
      </c>
      <c r="G265" s="107">
        <v>0</v>
      </c>
      <c r="H265" s="107">
        <v>0</v>
      </c>
      <c r="I265" s="107">
        <v>0</v>
      </c>
      <c r="J265" s="107">
        <v>0</v>
      </c>
      <c r="K265" s="107">
        <v>0</v>
      </c>
      <c r="L265" s="107">
        <v>0</v>
      </c>
      <c r="M265" s="107">
        <v>0</v>
      </c>
      <c r="N265" s="107">
        <v>0</v>
      </c>
      <c r="O265" s="107">
        <v>0</v>
      </c>
      <c r="P265" s="107">
        <v>0</v>
      </c>
      <c r="Q265" s="107">
        <v>0</v>
      </c>
      <c r="R265" s="107">
        <v>0</v>
      </c>
      <c r="S265" s="107">
        <v>0</v>
      </c>
      <c r="T265" s="107">
        <v>0</v>
      </c>
      <c r="U265" s="107">
        <v>0</v>
      </c>
      <c r="V265" s="107">
        <v>0</v>
      </c>
      <c r="W265" s="107">
        <v>0</v>
      </c>
      <c r="X265" s="107">
        <v>0</v>
      </c>
      <c r="Y265" s="107">
        <v>0</v>
      </c>
      <c r="Z265" s="107">
        <v>0</v>
      </c>
      <c r="AA265" s="107">
        <v>0</v>
      </c>
      <c r="AB265" s="107">
        <v>0</v>
      </c>
      <c r="AC265" s="107">
        <v>0</v>
      </c>
      <c r="AD265" s="107">
        <v>0</v>
      </c>
      <c r="AE265" s="107">
        <v>0</v>
      </c>
      <c r="AF265" s="107">
        <v>0</v>
      </c>
      <c r="AG265" s="107">
        <v>0</v>
      </c>
      <c r="AH265" s="107">
        <v>0</v>
      </c>
      <c r="AP265" s="92">
        <f t="shared" si="55"/>
        <v>8</v>
      </c>
      <c r="AQ265" s="91" t="str">
        <f t="shared" si="56"/>
        <v>0000</v>
      </c>
      <c r="AR265" s="91" t="str">
        <f t="shared" si="57"/>
        <v>0000</v>
      </c>
      <c r="AS265" s="91" t="str">
        <f t="shared" si="58"/>
        <v>0000</v>
      </c>
      <c r="AT265" s="91" t="str">
        <f t="shared" si="59"/>
        <v>0000</v>
      </c>
      <c r="AU265" s="91" t="str">
        <f t="shared" ref="AU265:AU324" si="60">DEC2HEX(S265)&amp;DEC2HEX(T265)&amp;DEC2HEX(U265)&amp;DEC2HEX(V265)</f>
        <v>0000</v>
      </c>
      <c r="AV265" s="91" t="str">
        <f t="shared" ref="AV265:AV324" si="61">DEC2HEX(W265)&amp;DEC2HEX(X265)&amp;DEC2HEX(Y265)&amp;DEC2HEX(Z265)</f>
        <v>0000</v>
      </c>
      <c r="AW265" s="91" t="str">
        <f t="shared" ref="AW265:AW324" si="62">DEC2HEX(AA265)&amp;DEC2HEX(AB265)&amp;DEC2HEX(AC265)&amp;DEC2HEX(AD265)</f>
        <v>0000</v>
      </c>
      <c r="AX265" s="91" t="str">
        <f t="shared" ref="AX265:AX324" si="63">DEC2HEX(AE265)&amp;DEC2HEX(AF265)&amp;DEC2HEX(AG265)&amp;DEC2HEX(AH265)</f>
        <v>0000</v>
      </c>
    </row>
    <row r="266" spans="1:50" s="83" customFormat="1" ht="14.1" customHeight="1">
      <c r="A266" s="82"/>
      <c r="B266" s="84">
        <v>9</v>
      </c>
      <c r="C266" s="107">
        <v>0</v>
      </c>
      <c r="D266" s="107">
        <v>0</v>
      </c>
      <c r="E266" s="107">
        <v>0</v>
      </c>
      <c r="F266" s="107">
        <v>0</v>
      </c>
      <c r="G266" s="107">
        <v>0</v>
      </c>
      <c r="H266" s="107">
        <v>0</v>
      </c>
      <c r="I266" s="107">
        <v>0</v>
      </c>
      <c r="J266" s="107">
        <v>0</v>
      </c>
      <c r="K266" s="107">
        <v>0</v>
      </c>
      <c r="L266" s="107">
        <v>0</v>
      </c>
      <c r="M266" s="107">
        <v>1</v>
      </c>
      <c r="N266" s="107">
        <v>1</v>
      </c>
      <c r="O266" s="107">
        <v>0</v>
      </c>
      <c r="P266" s="107">
        <v>0</v>
      </c>
      <c r="Q266" s="107">
        <v>1</v>
      </c>
      <c r="R266" s="107">
        <v>1</v>
      </c>
      <c r="S266" s="107">
        <v>1</v>
      </c>
      <c r="T266" s="107">
        <v>1</v>
      </c>
      <c r="U266" s="107">
        <v>0</v>
      </c>
      <c r="V266" s="107">
        <v>0</v>
      </c>
      <c r="W266" s="107">
        <v>1</v>
      </c>
      <c r="X266" s="107">
        <v>1</v>
      </c>
      <c r="Y266" s="107">
        <v>0</v>
      </c>
      <c r="Z266" s="107">
        <v>0</v>
      </c>
      <c r="AA266" s="107">
        <v>0</v>
      </c>
      <c r="AB266" s="107">
        <v>0</v>
      </c>
      <c r="AC266" s="107">
        <v>0</v>
      </c>
      <c r="AD266" s="107">
        <v>0</v>
      </c>
      <c r="AE266" s="107">
        <v>0</v>
      </c>
      <c r="AF266" s="107">
        <v>0</v>
      </c>
      <c r="AG266" s="107">
        <v>0</v>
      </c>
      <c r="AH266" s="107">
        <v>0</v>
      </c>
      <c r="AP266" s="92">
        <f t="shared" si="55"/>
        <v>9</v>
      </c>
      <c r="AQ266" s="91" t="str">
        <f t="shared" si="56"/>
        <v>0000</v>
      </c>
      <c r="AR266" s="91" t="str">
        <f t="shared" si="57"/>
        <v>0000</v>
      </c>
      <c r="AS266" s="91" t="str">
        <f t="shared" si="58"/>
        <v>0011</v>
      </c>
      <c r="AT266" s="91" t="str">
        <f t="shared" si="59"/>
        <v>0011</v>
      </c>
      <c r="AU266" s="91" t="str">
        <f t="shared" si="60"/>
        <v>1100</v>
      </c>
      <c r="AV266" s="91" t="str">
        <f t="shared" si="61"/>
        <v>1100</v>
      </c>
      <c r="AW266" s="91" t="str">
        <f t="shared" si="62"/>
        <v>0000</v>
      </c>
      <c r="AX266" s="91" t="str">
        <f t="shared" si="63"/>
        <v>0000</v>
      </c>
    </row>
    <row r="267" spans="1:50" s="83" customFormat="1" ht="14.1" customHeight="1">
      <c r="A267" s="82"/>
      <c r="B267" s="84">
        <v>10</v>
      </c>
      <c r="C267" s="107">
        <v>0</v>
      </c>
      <c r="D267" s="107">
        <v>0</v>
      </c>
      <c r="E267" s="107">
        <v>0</v>
      </c>
      <c r="F267" s="107">
        <v>0</v>
      </c>
      <c r="G267" s="107">
        <v>0</v>
      </c>
      <c r="H267" s="107">
        <v>0</v>
      </c>
      <c r="I267" s="107">
        <v>0</v>
      </c>
      <c r="J267" s="107">
        <v>0</v>
      </c>
      <c r="K267" s="107">
        <v>0</v>
      </c>
      <c r="L267" s="107">
        <v>0</v>
      </c>
      <c r="M267" s="107">
        <v>0</v>
      </c>
      <c r="N267" s="107">
        <v>0</v>
      </c>
      <c r="O267" s="107">
        <v>0</v>
      </c>
      <c r="P267" s="107">
        <v>0</v>
      </c>
      <c r="Q267" s="107">
        <v>0</v>
      </c>
      <c r="R267" s="107">
        <v>0</v>
      </c>
      <c r="S267" s="107">
        <v>0</v>
      </c>
      <c r="T267" s="107">
        <v>0</v>
      </c>
      <c r="U267" s="107">
        <v>0</v>
      </c>
      <c r="V267" s="107">
        <v>0</v>
      </c>
      <c r="W267" s="107">
        <v>0</v>
      </c>
      <c r="X267" s="107">
        <v>0</v>
      </c>
      <c r="Y267" s="107">
        <v>0</v>
      </c>
      <c r="Z267" s="107">
        <v>0</v>
      </c>
      <c r="AA267" s="107">
        <v>0</v>
      </c>
      <c r="AB267" s="107">
        <v>0</v>
      </c>
      <c r="AC267" s="107">
        <v>0</v>
      </c>
      <c r="AD267" s="107">
        <v>0</v>
      </c>
      <c r="AE267" s="107">
        <v>0</v>
      </c>
      <c r="AF267" s="107">
        <v>0</v>
      </c>
      <c r="AG267" s="107">
        <v>0</v>
      </c>
      <c r="AH267" s="107">
        <v>0</v>
      </c>
      <c r="AP267" s="92">
        <f t="shared" si="55"/>
        <v>10</v>
      </c>
      <c r="AQ267" s="91" t="str">
        <f t="shared" si="56"/>
        <v>0000</v>
      </c>
      <c r="AR267" s="91" t="str">
        <f t="shared" si="57"/>
        <v>0000</v>
      </c>
      <c r="AS267" s="91" t="str">
        <f t="shared" si="58"/>
        <v>0000</v>
      </c>
      <c r="AT267" s="91" t="str">
        <f t="shared" si="59"/>
        <v>0000</v>
      </c>
      <c r="AU267" s="91" t="str">
        <f t="shared" si="60"/>
        <v>0000</v>
      </c>
      <c r="AV267" s="91" t="str">
        <f t="shared" si="61"/>
        <v>0000</v>
      </c>
      <c r="AW267" s="91" t="str">
        <f t="shared" si="62"/>
        <v>0000</v>
      </c>
      <c r="AX267" s="91" t="str">
        <f t="shared" si="63"/>
        <v>0000</v>
      </c>
    </row>
    <row r="268" spans="1:50" s="83" customFormat="1" ht="14.1" customHeight="1">
      <c r="A268" s="82"/>
      <c r="B268" s="84">
        <v>11</v>
      </c>
      <c r="C268" s="107">
        <v>0</v>
      </c>
      <c r="D268" s="107">
        <v>0</v>
      </c>
      <c r="E268" s="107">
        <v>0</v>
      </c>
      <c r="F268" s="107">
        <v>0</v>
      </c>
      <c r="G268" s="107">
        <v>0</v>
      </c>
      <c r="H268" s="107">
        <v>0</v>
      </c>
      <c r="I268" s="107">
        <v>0</v>
      </c>
      <c r="J268" s="107">
        <v>0</v>
      </c>
      <c r="K268" s="107">
        <v>1</v>
      </c>
      <c r="L268" s="107">
        <v>1</v>
      </c>
      <c r="M268" s="107">
        <v>0</v>
      </c>
      <c r="N268" s="107">
        <v>0</v>
      </c>
      <c r="O268" s="107">
        <v>1</v>
      </c>
      <c r="P268" s="107">
        <v>1</v>
      </c>
      <c r="Q268" s="107">
        <v>0</v>
      </c>
      <c r="R268" s="107">
        <v>0</v>
      </c>
      <c r="S268" s="107">
        <v>0</v>
      </c>
      <c r="T268" s="107">
        <v>0</v>
      </c>
      <c r="U268" s="107">
        <v>1</v>
      </c>
      <c r="V268" s="107">
        <v>1</v>
      </c>
      <c r="W268" s="107">
        <v>0</v>
      </c>
      <c r="X268" s="107">
        <v>0</v>
      </c>
      <c r="Y268" s="107">
        <v>1</v>
      </c>
      <c r="Z268" s="107">
        <v>1</v>
      </c>
      <c r="AA268" s="107">
        <v>0</v>
      </c>
      <c r="AB268" s="107">
        <v>0</v>
      </c>
      <c r="AC268" s="107">
        <v>0</v>
      </c>
      <c r="AD268" s="107">
        <v>0</v>
      </c>
      <c r="AE268" s="107">
        <v>0</v>
      </c>
      <c r="AF268" s="107">
        <v>0</v>
      </c>
      <c r="AG268" s="107">
        <v>0</v>
      </c>
      <c r="AH268" s="107">
        <v>0</v>
      </c>
      <c r="AP268" s="92">
        <f t="shared" si="55"/>
        <v>11</v>
      </c>
      <c r="AQ268" s="91" t="str">
        <f t="shared" si="56"/>
        <v>0000</v>
      </c>
      <c r="AR268" s="91" t="str">
        <f t="shared" si="57"/>
        <v>0000</v>
      </c>
      <c r="AS268" s="91" t="str">
        <f t="shared" si="58"/>
        <v>1100</v>
      </c>
      <c r="AT268" s="91" t="str">
        <f t="shared" si="59"/>
        <v>1100</v>
      </c>
      <c r="AU268" s="91" t="str">
        <f t="shared" si="60"/>
        <v>0011</v>
      </c>
      <c r="AV268" s="91" t="str">
        <f t="shared" si="61"/>
        <v>0011</v>
      </c>
      <c r="AW268" s="91" t="str">
        <f t="shared" si="62"/>
        <v>0000</v>
      </c>
      <c r="AX268" s="91" t="str">
        <f t="shared" si="63"/>
        <v>0000</v>
      </c>
    </row>
    <row r="269" spans="1:50" s="83" customFormat="1" ht="14.1" customHeight="1">
      <c r="A269" s="82"/>
      <c r="B269" s="84">
        <v>12</v>
      </c>
      <c r="C269" s="107">
        <v>0</v>
      </c>
      <c r="D269" s="107">
        <v>0</v>
      </c>
      <c r="E269" s="107">
        <v>0</v>
      </c>
      <c r="F269" s="107">
        <v>0</v>
      </c>
      <c r="G269" s="107">
        <v>0</v>
      </c>
      <c r="H269" s="107">
        <v>0</v>
      </c>
      <c r="I269" s="107">
        <v>0</v>
      </c>
      <c r="J269" s="107">
        <v>0</v>
      </c>
      <c r="K269" s="107">
        <v>0</v>
      </c>
      <c r="L269" s="107">
        <v>0</v>
      </c>
      <c r="M269" s="107">
        <v>0</v>
      </c>
      <c r="N269" s="107">
        <v>0</v>
      </c>
      <c r="O269" s="107">
        <v>0</v>
      </c>
      <c r="P269" s="107">
        <v>0</v>
      </c>
      <c r="Q269" s="107">
        <v>0</v>
      </c>
      <c r="R269" s="107">
        <v>0</v>
      </c>
      <c r="S269" s="107">
        <v>0</v>
      </c>
      <c r="T269" s="107">
        <v>0</v>
      </c>
      <c r="U269" s="107">
        <v>0</v>
      </c>
      <c r="V269" s="107">
        <v>0</v>
      </c>
      <c r="W269" s="107">
        <v>0</v>
      </c>
      <c r="X269" s="107">
        <v>0</v>
      </c>
      <c r="Y269" s="107">
        <v>0</v>
      </c>
      <c r="Z269" s="107">
        <v>0</v>
      </c>
      <c r="AA269" s="107">
        <v>0</v>
      </c>
      <c r="AB269" s="107">
        <v>0</v>
      </c>
      <c r="AC269" s="107">
        <v>0</v>
      </c>
      <c r="AD269" s="107">
        <v>0</v>
      </c>
      <c r="AE269" s="107">
        <v>0</v>
      </c>
      <c r="AF269" s="107">
        <v>0</v>
      </c>
      <c r="AG269" s="107">
        <v>0</v>
      </c>
      <c r="AH269" s="107">
        <v>0</v>
      </c>
      <c r="AP269" s="92">
        <f t="shared" si="55"/>
        <v>12</v>
      </c>
      <c r="AQ269" s="91" t="str">
        <f t="shared" si="56"/>
        <v>0000</v>
      </c>
      <c r="AR269" s="91" t="str">
        <f t="shared" si="57"/>
        <v>0000</v>
      </c>
      <c r="AS269" s="91" t="str">
        <f t="shared" si="58"/>
        <v>0000</v>
      </c>
      <c r="AT269" s="91" t="str">
        <f t="shared" si="59"/>
        <v>0000</v>
      </c>
      <c r="AU269" s="91" t="str">
        <f t="shared" si="60"/>
        <v>0000</v>
      </c>
      <c r="AV269" s="91" t="str">
        <f t="shared" si="61"/>
        <v>0000</v>
      </c>
      <c r="AW269" s="91" t="str">
        <f t="shared" si="62"/>
        <v>0000</v>
      </c>
      <c r="AX269" s="91" t="str">
        <f t="shared" si="63"/>
        <v>0000</v>
      </c>
    </row>
    <row r="270" spans="1:50" s="83" customFormat="1" ht="14.1" customHeight="1">
      <c r="A270" s="82"/>
      <c r="B270" s="84">
        <v>13</v>
      </c>
      <c r="C270" s="107">
        <v>0</v>
      </c>
      <c r="D270" s="107">
        <v>0</v>
      </c>
      <c r="E270" s="107">
        <v>0</v>
      </c>
      <c r="F270" s="107">
        <v>0</v>
      </c>
      <c r="G270" s="107">
        <v>0</v>
      </c>
      <c r="H270" s="107">
        <v>0</v>
      </c>
      <c r="I270" s="107">
        <v>1</v>
      </c>
      <c r="J270" s="107">
        <v>1</v>
      </c>
      <c r="K270" s="107">
        <v>0</v>
      </c>
      <c r="L270" s="107">
        <v>0</v>
      </c>
      <c r="M270" s="107">
        <v>1</v>
      </c>
      <c r="N270" s="107">
        <v>1</v>
      </c>
      <c r="O270" s="107">
        <v>0</v>
      </c>
      <c r="P270" s="107">
        <v>0</v>
      </c>
      <c r="Q270" s="107">
        <v>1</v>
      </c>
      <c r="R270" s="107">
        <v>1</v>
      </c>
      <c r="S270" s="107">
        <v>1</v>
      </c>
      <c r="T270" s="107">
        <v>1</v>
      </c>
      <c r="U270" s="107">
        <v>0</v>
      </c>
      <c r="V270" s="107">
        <v>0</v>
      </c>
      <c r="W270" s="107">
        <v>1</v>
      </c>
      <c r="X270" s="107">
        <v>1</v>
      </c>
      <c r="Y270" s="107">
        <v>0</v>
      </c>
      <c r="Z270" s="107">
        <v>0</v>
      </c>
      <c r="AA270" s="107">
        <v>1</v>
      </c>
      <c r="AB270" s="107">
        <v>1</v>
      </c>
      <c r="AC270" s="107">
        <v>0</v>
      </c>
      <c r="AD270" s="107">
        <v>0</v>
      </c>
      <c r="AE270" s="107">
        <v>0</v>
      </c>
      <c r="AF270" s="107">
        <v>0</v>
      </c>
      <c r="AG270" s="107">
        <v>0</v>
      </c>
      <c r="AH270" s="107">
        <v>0</v>
      </c>
      <c r="AP270" s="92">
        <f t="shared" si="55"/>
        <v>13</v>
      </c>
      <c r="AQ270" s="91" t="str">
        <f t="shared" si="56"/>
        <v>0000</v>
      </c>
      <c r="AR270" s="91" t="str">
        <f t="shared" si="57"/>
        <v>0011</v>
      </c>
      <c r="AS270" s="91" t="str">
        <f t="shared" si="58"/>
        <v>0011</v>
      </c>
      <c r="AT270" s="91" t="str">
        <f t="shared" si="59"/>
        <v>0011</v>
      </c>
      <c r="AU270" s="91" t="str">
        <f t="shared" si="60"/>
        <v>1100</v>
      </c>
      <c r="AV270" s="91" t="str">
        <f t="shared" si="61"/>
        <v>1100</v>
      </c>
      <c r="AW270" s="91" t="str">
        <f t="shared" si="62"/>
        <v>1100</v>
      </c>
      <c r="AX270" s="91" t="str">
        <f t="shared" si="63"/>
        <v>0000</v>
      </c>
    </row>
    <row r="271" spans="1:50" s="83" customFormat="1" ht="14.1" customHeight="1">
      <c r="A271" s="82"/>
      <c r="B271" s="84">
        <v>14</v>
      </c>
      <c r="C271" s="107">
        <v>0</v>
      </c>
      <c r="D271" s="107">
        <v>0</v>
      </c>
      <c r="E271" s="107">
        <v>0</v>
      </c>
      <c r="F271" s="107">
        <v>0</v>
      </c>
      <c r="G271" s="107">
        <v>0</v>
      </c>
      <c r="H271" s="107">
        <v>0</v>
      </c>
      <c r="I271" s="107">
        <v>0</v>
      </c>
      <c r="J271" s="107">
        <v>0</v>
      </c>
      <c r="K271" s="107">
        <v>0</v>
      </c>
      <c r="L271" s="107">
        <v>0</v>
      </c>
      <c r="M271" s="107">
        <v>0</v>
      </c>
      <c r="N271" s="107">
        <v>0</v>
      </c>
      <c r="O271" s="107">
        <v>0</v>
      </c>
      <c r="P271" s="107">
        <v>0</v>
      </c>
      <c r="Q271" s="107">
        <v>0</v>
      </c>
      <c r="R271" s="107">
        <v>0</v>
      </c>
      <c r="S271" s="107">
        <v>0</v>
      </c>
      <c r="T271" s="107">
        <v>0</v>
      </c>
      <c r="U271" s="107">
        <v>0</v>
      </c>
      <c r="V271" s="107">
        <v>0</v>
      </c>
      <c r="W271" s="107">
        <v>0</v>
      </c>
      <c r="X271" s="107">
        <v>0</v>
      </c>
      <c r="Y271" s="107">
        <v>0</v>
      </c>
      <c r="Z271" s="107">
        <v>0</v>
      </c>
      <c r="AA271" s="107">
        <v>0</v>
      </c>
      <c r="AB271" s="107">
        <v>0</v>
      </c>
      <c r="AC271" s="107">
        <v>0</v>
      </c>
      <c r="AD271" s="107">
        <v>0</v>
      </c>
      <c r="AE271" s="107">
        <v>0</v>
      </c>
      <c r="AF271" s="107">
        <v>0</v>
      </c>
      <c r="AG271" s="107">
        <v>0</v>
      </c>
      <c r="AH271" s="107">
        <v>0</v>
      </c>
      <c r="AP271" s="92">
        <f t="shared" si="55"/>
        <v>14</v>
      </c>
      <c r="AQ271" s="91" t="str">
        <f t="shared" si="56"/>
        <v>0000</v>
      </c>
      <c r="AR271" s="91" t="str">
        <f t="shared" si="57"/>
        <v>0000</v>
      </c>
      <c r="AS271" s="91" t="str">
        <f t="shared" si="58"/>
        <v>0000</v>
      </c>
      <c r="AT271" s="91" t="str">
        <f t="shared" si="59"/>
        <v>0000</v>
      </c>
      <c r="AU271" s="91" t="str">
        <f t="shared" si="60"/>
        <v>0000</v>
      </c>
      <c r="AV271" s="91" t="str">
        <f t="shared" si="61"/>
        <v>0000</v>
      </c>
      <c r="AW271" s="91" t="str">
        <f t="shared" si="62"/>
        <v>0000</v>
      </c>
      <c r="AX271" s="91" t="str">
        <f t="shared" si="63"/>
        <v>0000</v>
      </c>
    </row>
    <row r="272" spans="1:50" s="83" customFormat="1" ht="14.1" customHeight="1">
      <c r="A272" s="82"/>
      <c r="B272" s="84">
        <v>15</v>
      </c>
      <c r="C272" s="107">
        <v>0</v>
      </c>
      <c r="D272" s="107">
        <v>0</v>
      </c>
      <c r="E272" s="107">
        <v>0</v>
      </c>
      <c r="F272" s="107">
        <v>0</v>
      </c>
      <c r="G272" s="107">
        <v>1</v>
      </c>
      <c r="H272" s="107">
        <v>1</v>
      </c>
      <c r="I272" s="107">
        <v>0</v>
      </c>
      <c r="J272" s="107">
        <v>0</v>
      </c>
      <c r="K272" s="107">
        <v>1</v>
      </c>
      <c r="L272" s="107">
        <v>1</v>
      </c>
      <c r="M272" s="107">
        <v>0</v>
      </c>
      <c r="N272" s="107">
        <v>0</v>
      </c>
      <c r="O272" s="107">
        <v>1</v>
      </c>
      <c r="P272" s="107">
        <v>1</v>
      </c>
      <c r="Q272" s="107">
        <v>0</v>
      </c>
      <c r="R272" s="107">
        <v>0</v>
      </c>
      <c r="S272" s="107">
        <v>0</v>
      </c>
      <c r="T272" s="107">
        <v>0</v>
      </c>
      <c r="U272" s="107">
        <v>1</v>
      </c>
      <c r="V272" s="107">
        <v>1</v>
      </c>
      <c r="W272" s="107">
        <v>0</v>
      </c>
      <c r="X272" s="107">
        <v>0</v>
      </c>
      <c r="Y272" s="107">
        <v>1</v>
      </c>
      <c r="Z272" s="107">
        <v>1</v>
      </c>
      <c r="AA272" s="107">
        <v>0</v>
      </c>
      <c r="AB272" s="107">
        <v>0</v>
      </c>
      <c r="AC272" s="107">
        <v>1</v>
      </c>
      <c r="AD272" s="107">
        <v>1</v>
      </c>
      <c r="AE272" s="107">
        <v>0</v>
      </c>
      <c r="AF272" s="107">
        <v>0</v>
      </c>
      <c r="AG272" s="107">
        <v>0</v>
      </c>
      <c r="AH272" s="107">
        <v>0</v>
      </c>
      <c r="AP272" s="92">
        <f t="shared" si="55"/>
        <v>15</v>
      </c>
      <c r="AQ272" s="91" t="str">
        <f t="shared" si="56"/>
        <v>0000</v>
      </c>
      <c r="AR272" s="91" t="str">
        <f t="shared" si="57"/>
        <v>1100</v>
      </c>
      <c r="AS272" s="91" t="str">
        <f t="shared" si="58"/>
        <v>1100</v>
      </c>
      <c r="AT272" s="91" t="str">
        <f t="shared" si="59"/>
        <v>1100</v>
      </c>
      <c r="AU272" s="91" t="str">
        <f t="shared" si="60"/>
        <v>0011</v>
      </c>
      <c r="AV272" s="91" t="str">
        <f t="shared" si="61"/>
        <v>0011</v>
      </c>
      <c r="AW272" s="91" t="str">
        <f t="shared" si="62"/>
        <v>0011</v>
      </c>
      <c r="AX272" s="91" t="str">
        <f t="shared" si="63"/>
        <v>0000</v>
      </c>
    </row>
    <row r="273" spans="1:50" s="83" customFormat="1">
      <c r="A273" s="82"/>
      <c r="B273" s="84">
        <v>16</v>
      </c>
      <c r="C273" s="107">
        <v>0</v>
      </c>
      <c r="D273" s="107">
        <v>0</v>
      </c>
      <c r="E273" s="107">
        <v>0</v>
      </c>
      <c r="F273" s="107">
        <v>0</v>
      </c>
      <c r="G273" s="107">
        <v>0</v>
      </c>
      <c r="H273" s="107">
        <v>0</v>
      </c>
      <c r="I273" s="107">
        <v>0</v>
      </c>
      <c r="J273" s="107">
        <v>0</v>
      </c>
      <c r="K273" s="107">
        <v>0</v>
      </c>
      <c r="L273" s="107">
        <v>0</v>
      </c>
      <c r="M273" s="107">
        <v>0</v>
      </c>
      <c r="N273" s="107">
        <v>0</v>
      </c>
      <c r="O273" s="107">
        <v>0</v>
      </c>
      <c r="P273" s="107">
        <v>0</v>
      </c>
      <c r="Q273" s="107">
        <v>0</v>
      </c>
      <c r="R273" s="107">
        <v>0</v>
      </c>
      <c r="S273" s="107">
        <v>0</v>
      </c>
      <c r="T273" s="107">
        <v>0</v>
      </c>
      <c r="U273" s="107">
        <v>0</v>
      </c>
      <c r="V273" s="107">
        <v>0</v>
      </c>
      <c r="W273" s="107">
        <v>0</v>
      </c>
      <c r="X273" s="107">
        <v>0</v>
      </c>
      <c r="Y273" s="107">
        <v>0</v>
      </c>
      <c r="Z273" s="107">
        <v>0</v>
      </c>
      <c r="AA273" s="107">
        <v>0</v>
      </c>
      <c r="AB273" s="107">
        <v>0</v>
      </c>
      <c r="AC273" s="107">
        <v>0</v>
      </c>
      <c r="AD273" s="107">
        <v>0</v>
      </c>
      <c r="AE273" s="107">
        <v>0</v>
      </c>
      <c r="AF273" s="107">
        <v>0</v>
      </c>
      <c r="AG273" s="107">
        <v>0</v>
      </c>
      <c r="AH273" s="107">
        <v>0</v>
      </c>
      <c r="AP273" s="92">
        <f t="shared" si="55"/>
        <v>16</v>
      </c>
      <c r="AQ273" s="91" t="str">
        <f t="shared" si="56"/>
        <v>0000</v>
      </c>
      <c r="AR273" s="91" t="str">
        <f t="shared" si="57"/>
        <v>0000</v>
      </c>
      <c r="AS273" s="91" t="str">
        <f t="shared" si="58"/>
        <v>0000</v>
      </c>
      <c r="AT273" s="91" t="str">
        <f t="shared" si="59"/>
        <v>0000</v>
      </c>
      <c r="AU273" s="91" t="str">
        <f t="shared" si="60"/>
        <v>0000</v>
      </c>
      <c r="AV273" s="91" t="str">
        <f t="shared" si="61"/>
        <v>0000</v>
      </c>
      <c r="AW273" s="91" t="str">
        <f t="shared" si="62"/>
        <v>0000</v>
      </c>
      <c r="AX273" s="91" t="str">
        <f t="shared" si="63"/>
        <v>0000</v>
      </c>
    </row>
    <row r="274" spans="1:50" s="83" customFormat="1">
      <c r="A274" s="82"/>
      <c r="B274" s="84">
        <v>17</v>
      </c>
      <c r="C274" s="107">
        <v>0</v>
      </c>
      <c r="D274" s="107">
        <v>0</v>
      </c>
      <c r="E274" s="107">
        <v>0</v>
      </c>
      <c r="F274" s="107">
        <v>0</v>
      </c>
      <c r="G274" s="107">
        <v>0</v>
      </c>
      <c r="H274" s="107">
        <v>0</v>
      </c>
      <c r="I274" s="107">
        <v>1</v>
      </c>
      <c r="J274" s="107">
        <v>1</v>
      </c>
      <c r="K274" s="107">
        <v>0</v>
      </c>
      <c r="L274" s="107">
        <v>0</v>
      </c>
      <c r="M274" s="107">
        <v>1</v>
      </c>
      <c r="N274" s="107">
        <v>1</v>
      </c>
      <c r="O274" s="107">
        <v>0</v>
      </c>
      <c r="P274" s="107">
        <v>0</v>
      </c>
      <c r="Q274" s="107">
        <v>1</v>
      </c>
      <c r="R274" s="107">
        <v>1</v>
      </c>
      <c r="S274" s="107">
        <v>1</v>
      </c>
      <c r="T274" s="107">
        <v>1</v>
      </c>
      <c r="U274" s="107">
        <v>0</v>
      </c>
      <c r="V274" s="107">
        <v>0</v>
      </c>
      <c r="W274" s="107">
        <v>1</v>
      </c>
      <c r="X274" s="107">
        <v>1</v>
      </c>
      <c r="Y274" s="107">
        <v>0</v>
      </c>
      <c r="Z274" s="107">
        <v>0</v>
      </c>
      <c r="AA274" s="107">
        <v>1</v>
      </c>
      <c r="AB274" s="107">
        <v>1</v>
      </c>
      <c r="AC274" s="107">
        <v>0</v>
      </c>
      <c r="AD274" s="107">
        <v>0</v>
      </c>
      <c r="AE274" s="107">
        <v>0</v>
      </c>
      <c r="AF274" s="107">
        <v>0</v>
      </c>
      <c r="AG274" s="107">
        <v>0</v>
      </c>
      <c r="AH274" s="107">
        <v>0</v>
      </c>
      <c r="AP274" s="92">
        <f t="shared" si="55"/>
        <v>17</v>
      </c>
      <c r="AQ274" s="91" t="str">
        <f t="shared" si="56"/>
        <v>0000</v>
      </c>
      <c r="AR274" s="91" t="str">
        <f t="shared" si="57"/>
        <v>0011</v>
      </c>
      <c r="AS274" s="91" t="str">
        <f t="shared" si="58"/>
        <v>0011</v>
      </c>
      <c r="AT274" s="91" t="str">
        <f t="shared" si="59"/>
        <v>0011</v>
      </c>
      <c r="AU274" s="91" t="str">
        <f t="shared" si="60"/>
        <v>1100</v>
      </c>
      <c r="AV274" s="91" t="str">
        <f t="shared" si="61"/>
        <v>1100</v>
      </c>
      <c r="AW274" s="91" t="str">
        <f t="shared" si="62"/>
        <v>1100</v>
      </c>
      <c r="AX274" s="91" t="str">
        <f t="shared" si="63"/>
        <v>0000</v>
      </c>
    </row>
    <row r="275" spans="1:50" s="83" customFormat="1">
      <c r="A275" s="82"/>
      <c r="B275" s="84">
        <v>18</v>
      </c>
      <c r="C275" s="107">
        <v>0</v>
      </c>
      <c r="D275" s="107">
        <v>0</v>
      </c>
      <c r="E275" s="107">
        <v>0</v>
      </c>
      <c r="F275" s="107">
        <v>0</v>
      </c>
      <c r="G275" s="107">
        <v>0</v>
      </c>
      <c r="H275" s="107">
        <v>0</v>
      </c>
      <c r="I275" s="107">
        <v>0</v>
      </c>
      <c r="J275" s="107">
        <v>0</v>
      </c>
      <c r="K275" s="107">
        <v>0</v>
      </c>
      <c r="L275" s="107">
        <v>0</v>
      </c>
      <c r="M275" s="107">
        <v>0</v>
      </c>
      <c r="N275" s="107">
        <v>0</v>
      </c>
      <c r="O275" s="107">
        <v>0</v>
      </c>
      <c r="P275" s="107">
        <v>0</v>
      </c>
      <c r="Q275" s="107">
        <v>0</v>
      </c>
      <c r="R275" s="107">
        <v>0</v>
      </c>
      <c r="S275" s="107">
        <v>0</v>
      </c>
      <c r="T275" s="107">
        <v>0</v>
      </c>
      <c r="U275" s="107">
        <v>0</v>
      </c>
      <c r="V275" s="107">
        <v>0</v>
      </c>
      <c r="W275" s="107">
        <v>0</v>
      </c>
      <c r="X275" s="107">
        <v>0</v>
      </c>
      <c r="Y275" s="107">
        <v>0</v>
      </c>
      <c r="Z275" s="107">
        <v>0</v>
      </c>
      <c r="AA275" s="107">
        <v>0</v>
      </c>
      <c r="AB275" s="107">
        <v>0</v>
      </c>
      <c r="AC275" s="107">
        <v>0</v>
      </c>
      <c r="AD275" s="107">
        <v>0</v>
      </c>
      <c r="AE275" s="107">
        <v>0</v>
      </c>
      <c r="AF275" s="107">
        <v>0</v>
      </c>
      <c r="AG275" s="107">
        <v>0</v>
      </c>
      <c r="AH275" s="107">
        <v>0</v>
      </c>
      <c r="AP275" s="92">
        <f t="shared" si="55"/>
        <v>18</v>
      </c>
      <c r="AQ275" s="91" t="str">
        <f t="shared" si="56"/>
        <v>0000</v>
      </c>
      <c r="AR275" s="91" t="str">
        <f t="shared" si="57"/>
        <v>0000</v>
      </c>
      <c r="AS275" s="91" t="str">
        <f t="shared" si="58"/>
        <v>0000</v>
      </c>
      <c r="AT275" s="91" t="str">
        <f t="shared" si="59"/>
        <v>0000</v>
      </c>
      <c r="AU275" s="91" t="str">
        <f t="shared" si="60"/>
        <v>0000</v>
      </c>
      <c r="AV275" s="91" t="str">
        <f t="shared" si="61"/>
        <v>0000</v>
      </c>
      <c r="AW275" s="91" t="str">
        <f t="shared" si="62"/>
        <v>0000</v>
      </c>
      <c r="AX275" s="91" t="str">
        <f t="shared" si="63"/>
        <v>0000</v>
      </c>
    </row>
    <row r="276" spans="1:50" s="83" customFormat="1">
      <c r="A276" s="82"/>
      <c r="B276" s="84">
        <v>19</v>
      </c>
      <c r="C276" s="107">
        <v>0</v>
      </c>
      <c r="D276" s="107">
        <v>0</v>
      </c>
      <c r="E276" s="107">
        <v>0</v>
      </c>
      <c r="F276" s="107">
        <v>0</v>
      </c>
      <c r="G276" s="107">
        <v>1</v>
      </c>
      <c r="H276" s="107">
        <v>1</v>
      </c>
      <c r="I276" s="107">
        <v>0</v>
      </c>
      <c r="J276" s="107">
        <v>0</v>
      </c>
      <c r="K276" s="107">
        <v>1</v>
      </c>
      <c r="L276" s="107">
        <v>1</v>
      </c>
      <c r="M276" s="107">
        <v>0</v>
      </c>
      <c r="N276" s="107">
        <v>0</v>
      </c>
      <c r="O276" s="107">
        <v>1</v>
      </c>
      <c r="P276" s="107">
        <v>1</v>
      </c>
      <c r="Q276" s="107">
        <v>0</v>
      </c>
      <c r="R276" s="107">
        <v>0</v>
      </c>
      <c r="S276" s="107">
        <v>0</v>
      </c>
      <c r="T276" s="107">
        <v>0</v>
      </c>
      <c r="U276" s="107">
        <v>1</v>
      </c>
      <c r="V276" s="107">
        <v>1</v>
      </c>
      <c r="W276" s="107">
        <v>0</v>
      </c>
      <c r="X276" s="107">
        <v>0</v>
      </c>
      <c r="Y276" s="107">
        <v>1</v>
      </c>
      <c r="Z276" s="107">
        <v>1</v>
      </c>
      <c r="AA276" s="107">
        <v>0</v>
      </c>
      <c r="AB276" s="107">
        <v>0</v>
      </c>
      <c r="AC276" s="107">
        <v>1</v>
      </c>
      <c r="AD276" s="107">
        <v>1</v>
      </c>
      <c r="AE276" s="107">
        <v>0</v>
      </c>
      <c r="AF276" s="107">
        <v>0</v>
      </c>
      <c r="AG276" s="107">
        <v>0</v>
      </c>
      <c r="AH276" s="107">
        <v>0</v>
      </c>
      <c r="AP276" s="92">
        <f t="shared" si="55"/>
        <v>19</v>
      </c>
      <c r="AQ276" s="91" t="str">
        <f t="shared" si="56"/>
        <v>0000</v>
      </c>
      <c r="AR276" s="91" t="str">
        <f t="shared" si="57"/>
        <v>1100</v>
      </c>
      <c r="AS276" s="91" t="str">
        <f t="shared" si="58"/>
        <v>1100</v>
      </c>
      <c r="AT276" s="91" t="str">
        <f t="shared" si="59"/>
        <v>1100</v>
      </c>
      <c r="AU276" s="91" t="str">
        <f t="shared" si="60"/>
        <v>0011</v>
      </c>
      <c r="AV276" s="91" t="str">
        <f t="shared" si="61"/>
        <v>0011</v>
      </c>
      <c r="AW276" s="91" t="str">
        <f t="shared" si="62"/>
        <v>0011</v>
      </c>
      <c r="AX276" s="91" t="str">
        <f t="shared" si="63"/>
        <v>0000</v>
      </c>
    </row>
    <row r="277" spans="1:50" s="83" customFormat="1">
      <c r="A277" s="82"/>
      <c r="B277" s="84">
        <v>20</v>
      </c>
      <c r="C277" s="107">
        <v>0</v>
      </c>
      <c r="D277" s="107">
        <v>0</v>
      </c>
      <c r="E277" s="107">
        <v>0</v>
      </c>
      <c r="F277" s="107">
        <v>0</v>
      </c>
      <c r="G277" s="107">
        <v>0</v>
      </c>
      <c r="H277" s="107">
        <v>0</v>
      </c>
      <c r="I277" s="107">
        <v>0</v>
      </c>
      <c r="J277" s="107">
        <v>0</v>
      </c>
      <c r="K277" s="107">
        <v>0</v>
      </c>
      <c r="L277" s="107">
        <v>0</v>
      </c>
      <c r="M277" s="107">
        <v>0</v>
      </c>
      <c r="N277" s="107">
        <v>0</v>
      </c>
      <c r="O277" s="107">
        <v>0</v>
      </c>
      <c r="P277" s="107">
        <v>0</v>
      </c>
      <c r="Q277" s="107">
        <v>0</v>
      </c>
      <c r="R277" s="107">
        <v>0</v>
      </c>
      <c r="S277" s="107">
        <v>0</v>
      </c>
      <c r="T277" s="107">
        <v>0</v>
      </c>
      <c r="U277" s="107">
        <v>0</v>
      </c>
      <c r="V277" s="107">
        <v>0</v>
      </c>
      <c r="W277" s="107">
        <v>0</v>
      </c>
      <c r="X277" s="107">
        <v>0</v>
      </c>
      <c r="Y277" s="107">
        <v>0</v>
      </c>
      <c r="Z277" s="107">
        <v>0</v>
      </c>
      <c r="AA277" s="107">
        <v>0</v>
      </c>
      <c r="AB277" s="107">
        <v>0</v>
      </c>
      <c r="AC277" s="107">
        <v>0</v>
      </c>
      <c r="AD277" s="107">
        <v>0</v>
      </c>
      <c r="AE277" s="107">
        <v>0</v>
      </c>
      <c r="AF277" s="107">
        <v>0</v>
      </c>
      <c r="AG277" s="107">
        <v>0</v>
      </c>
      <c r="AH277" s="107">
        <v>0</v>
      </c>
      <c r="AP277" s="92">
        <f t="shared" si="55"/>
        <v>20</v>
      </c>
      <c r="AQ277" s="91" t="str">
        <f t="shared" si="56"/>
        <v>0000</v>
      </c>
      <c r="AR277" s="91" t="str">
        <f t="shared" si="57"/>
        <v>0000</v>
      </c>
      <c r="AS277" s="91" t="str">
        <f t="shared" si="58"/>
        <v>0000</v>
      </c>
      <c r="AT277" s="91" t="str">
        <f t="shared" si="59"/>
        <v>0000</v>
      </c>
      <c r="AU277" s="91" t="str">
        <f t="shared" si="60"/>
        <v>0000</v>
      </c>
      <c r="AV277" s="91" t="str">
        <f t="shared" si="61"/>
        <v>0000</v>
      </c>
      <c r="AW277" s="91" t="str">
        <f t="shared" si="62"/>
        <v>0000</v>
      </c>
      <c r="AX277" s="91" t="str">
        <f t="shared" si="63"/>
        <v>0000</v>
      </c>
    </row>
    <row r="278" spans="1:50" s="83" customFormat="1">
      <c r="A278" s="82"/>
      <c r="B278" s="84">
        <v>21</v>
      </c>
      <c r="C278" s="107">
        <v>0</v>
      </c>
      <c r="D278" s="107">
        <v>0</v>
      </c>
      <c r="E278" s="107">
        <v>0</v>
      </c>
      <c r="F278" s="107">
        <v>0</v>
      </c>
      <c r="G278" s="107">
        <v>0</v>
      </c>
      <c r="H278" s="107">
        <v>0</v>
      </c>
      <c r="I278" s="107">
        <v>1</v>
      </c>
      <c r="J278" s="107">
        <v>1</v>
      </c>
      <c r="K278" s="107">
        <v>0</v>
      </c>
      <c r="L278" s="107">
        <v>0</v>
      </c>
      <c r="M278" s="107">
        <v>1</v>
      </c>
      <c r="N278" s="107">
        <v>1</v>
      </c>
      <c r="O278" s="107">
        <v>0</v>
      </c>
      <c r="P278" s="107">
        <v>0</v>
      </c>
      <c r="Q278" s="107">
        <v>1</v>
      </c>
      <c r="R278" s="107">
        <v>1</v>
      </c>
      <c r="S278" s="107">
        <v>1</v>
      </c>
      <c r="T278" s="107">
        <v>1</v>
      </c>
      <c r="U278" s="107">
        <v>0</v>
      </c>
      <c r="V278" s="107">
        <v>0</v>
      </c>
      <c r="W278" s="107">
        <v>1</v>
      </c>
      <c r="X278" s="107">
        <v>1</v>
      </c>
      <c r="Y278" s="107">
        <v>0</v>
      </c>
      <c r="Z278" s="107">
        <v>0</v>
      </c>
      <c r="AA278" s="107">
        <v>1</v>
      </c>
      <c r="AB278" s="107">
        <v>1</v>
      </c>
      <c r="AC278" s="107">
        <v>0</v>
      </c>
      <c r="AD278" s="107">
        <v>0</v>
      </c>
      <c r="AE278" s="107">
        <v>0</v>
      </c>
      <c r="AF278" s="107">
        <v>0</v>
      </c>
      <c r="AG278" s="107">
        <v>0</v>
      </c>
      <c r="AH278" s="107">
        <v>0</v>
      </c>
      <c r="AP278" s="92">
        <f t="shared" si="55"/>
        <v>21</v>
      </c>
      <c r="AQ278" s="91" t="str">
        <f t="shared" si="56"/>
        <v>0000</v>
      </c>
      <c r="AR278" s="91" t="str">
        <f t="shared" si="57"/>
        <v>0011</v>
      </c>
      <c r="AS278" s="91" t="str">
        <f t="shared" si="58"/>
        <v>0011</v>
      </c>
      <c r="AT278" s="91" t="str">
        <f t="shared" si="59"/>
        <v>0011</v>
      </c>
      <c r="AU278" s="91" t="str">
        <f t="shared" si="60"/>
        <v>1100</v>
      </c>
      <c r="AV278" s="91" t="str">
        <f t="shared" si="61"/>
        <v>1100</v>
      </c>
      <c r="AW278" s="91" t="str">
        <f t="shared" si="62"/>
        <v>1100</v>
      </c>
      <c r="AX278" s="91" t="str">
        <f t="shared" si="63"/>
        <v>0000</v>
      </c>
    </row>
    <row r="279" spans="1:50" s="83" customFormat="1">
      <c r="A279" s="82"/>
      <c r="B279" s="84">
        <v>22</v>
      </c>
      <c r="C279" s="107">
        <v>0</v>
      </c>
      <c r="D279" s="107">
        <v>0</v>
      </c>
      <c r="E279" s="107">
        <v>0</v>
      </c>
      <c r="F279" s="107">
        <v>0</v>
      </c>
      <c r="G279" s="107">
        <v>0</v>
      </c>
      <c r="H279" s="107">
        <v>0</v>
      </c>
      <c r="I279" s="107">
        <v>0</v>
      </c>
      <c r="J279" s="107">
        <v>0</v>
      </c>
      <c r="K279" s="107">
        <v>0</v>
      </c>
      <c r="L279" s="107">
        <v>0</v>
      </c>
      <c r="M279" s="107">
        <v>0</v>
      </c>
      <c r="N279" s="107">
        <v>0</v>
      </c>
      <c r="O279" s="107">
        <v>0</v>
      </c>
      <c r="P279" s="107">
        <v>0</v>
      </c>
      <c r="Q279" s="107">
        <v>0</v>
      </c>
      <c r="R279" s="107">
        <v>0</v>
      </c>
      <c r="S279" s="107">
        <v>0</v>
      </c>
      <c r="T279" s="107">
        <v>0</v>
      </c>
      <c r="U279" s="107">
        <v>0</v>
      </c>
      <c r="V279" s="107">
        <v>0</v>
      </c>
      <c r="W279" s="107">
        <v>0</v>
      </c>
      <c r="X279" s="107">
        <v>0</v>
      </c>
      <c r="Y279" s="107">
        <v>0</v>
      </c>
      <c r="Z279" s="107">
        <v>0</v>
      </c>
      <c r="AA279" s="107">
        <v>0</v>
      </c>
      <c r="AB279" s="107">
        <v>0</v>
      </c>
      <c r="AC279" s="107">
        <v>0</v>
      </c>
      <c r="AD279" s="107">
        <v>0</v>
      </c>
      <c r="AE279" s="107">
        <v>0</v>
      </c>
      <c r="AF279" s="107">
        <v>0</v>
      </c>
      <c r="AG279" s="107">
        <v>0</v>
      </c>
      <c r="AH279" s="107">
        <v>0</v>
      </c>
      <c r="AP279" s="92">
        <f t="shared" si="55"/>
        <v>22</v>
      </c>
      <c r="AQ279" s="91" t="str">
        <f t="shared" si="56"/>
        <v>0000</v>
      </c>
      <c r="AR279" s="91" t="str">
        <f t="shared" si="57"/>
        <v>0000</v>
      </c>
      <c r="AS279" s="91" t="str">
        <f t="shared" si="58"/>
        <v>0000</v>
      </c>
      <c r="AT279" s="91" t="str">
        <f t="shared" si="59"/>
        <v>0000</v>
      </c>
      <c r="AU279" s="91" t="str">
        <f t="shared" si="60"/>
        <v>0000</v>
      </c>
      <c r="AV279" s="91" t="str">
        <f t="shared" si="61"/>
        <v>0000</v>
      </c>
      <c r="AW279" s="91" t="str">
        <f t="shared" si="62"/>
        <v>0000</v>
      </c>
      <c r="AX279" s="91" t="str">
        <f t="shared" si="63"/>
        <v>0000</v>
      </c>
    </row>
    <row r="280" spans="1:50" s="83" customFormat="1">
      <c r="A280" s="82"/>
      <c r="B280" s="84">
        <v>23</v>
      </c>
      <c r="C280" s="107">
        <v>0</v>
      </c>
      <c r="D280" s="107">
        <v>0</v>
      </c>
      <c r="E280" s="107">
        <v>0</v>
      </c>
      <c r="F280" s="107">
        <v>0</v>
      </c>
      <c r="G280" s="107">
        <v>1</v>
      </c>
      <c r="H280" s="107">
        <v>1</v>
      </c>
      <c r="I280" s="107">
        <v>0</v>
      </c>
      <c r="J280" s="107">
        <v>0</v>
      </c>
      <c r="K280" s="107">
        <v>1</v>
      </c>
      <c r="L280" s="107">
        <v>1</v>
      </c>
      <c r="M280" s="107">
        <v>0</v>
      </c>
      <c r="N280" s="107">
        <v>0</v>
      </c>
      <c r="O280" s="107">
        <v>1</v>
      </c>
      <c r="P280" s="107">
        <v>1</v>
      </c>
      <c r="Q280" s="107">
        <v>0</v>
      </c>
      <c r="R280" s="107">
        <v>0</v>
      </c>
      <c r="S280" s="107">
        <v>0</v>
      </c>
      <c r="T280" s="107">
        <v>0</v>
      </c>
      <c r="U280" s="107">
        <v>1</v>
      </c>
      <c r="V280" s="107">
        <v>1</v>
      </c>
      <c r="W280" s="107">
        <v>0</v>
      </c>
      <c r="X280" s="107">
        <v>0</v>
      </c>
      <c r="Y280" s="107">
        <v>1</v>
      </c>
      <c r="Z280" s="107">
        <v>1</v>
      </c>
      <c r="AA280" s="107">
        <v>0</v>
      </c>
      <c r="AB280" s="107">
        <v>0</v>
      </c>
      <c r="AC280" s="107">
        <v>1</v>
      </c>
      <c r="AD280" s="107">
        <v>1</v>
      </c>
      <c r="AE280" s="107">
        <v>0</v>
      </c>
      <c r="AF280" s="107">
        <v>0</v>
      </c>
      <c r="AG280" s="107">
        <v>0</v>
      </c>
      <c r="AH280" s="107">
        <v>0</v>
      </c>
      <c r="AP280" s="92">
        <f t="shared" si="55"/>
        <v>23</v>
      </c>
      <c r="AQ280" s="91" t="str">
        <f t="shared" si="56"/>
        <v>0000</v>
      </c>
      <c r="AR280" s="91" t="str">
        <f t="shared" si="57"/>
        <v>1100</v>
      </c>
      <c r="AS280" s="91" t="str">
        <f t="shared" si="58"/>
        <v>1100</v>
      </c>
      <c r="AT280" s="91" t="str">
        <f t="shared" si="59"/>
        <v>1100</v>
      </c>
      <c r="AU280" s="91" t="str">
        <f t="shared" si="60"/>
        <v>0011</v>
      </c>
      <c r="AV280" s="91" t="str">
        <f t="shared" si="61"/>
        <v>0011</v>
      </c>
      <c r="AW280" s="91" t="str">
        <f t="shared" si="62"/>
        <v>0011</v>
      </c>
      <c r="AX280" s="91" t="str">
        <f t="shared" si="63"/>
        <v>0000</v>
      </c>
    </row>
    <row r="281" spans="1:50" s="83" customFormat="1">
      <c r="A281" s="82"/>
      <c r="B281" s="84">
        <v>24</v>
      </c>
      <c r="C281" s="107">
        <v>0</v>
      </c>
      <c r="D281" s="107">
        <v>0</v>
      </c>
      <c r="E281" s="107">
        <v>0</v>
      </c>
      <c r="F281" s="107">
        <v>0</v>
      </c>
      <c r="G281" s="107">
        <v>0</v>
      </c>
      <c r="H281" s="107">
        <v>0</v>
      </c>
      <c r="I281" s="107">
        <v>0</v>
      </c>
      <c r="J281" s="107">
        <v>0</v>
      </c>
      <c r="K281" s="107">
        <v>0</v>
      </c>
      <c r="L281" s="107">
        <v>0</v>
      </c>
      <c r="M281" s="107">
        <v>0</v>
      </c>
      <c r="N281" s="107">
        <v>0</v>
      </c>
      <c r="O281" s="107">
        <v>0</v>
      </c>
      <c r="P281" s="107">
        <v>0</v>
      </c>
      <c r="Q281" s="107">
        <v>0</v>
      </c>
      <c r="R281" s="107">
        <v>0</v>
      </c>
      <c r="S281" s="107">
        <v>0</v>
      </c>
      <c r="T281" s="107">
        <v>0</v>
      </c>
      <c r="U281" s="107">
        <v>0</v>
      </c>
      <c r="V281" s="107">
        <v>0</v>
      </c>
      <c r="W281" s="107">
        <v>0</v>
      </c>
      <c r="X281" s="107">
        <v>0</v>
      </c>
      <c r="Y281" s="107">
        <v>0</v>
      </c>
      <c r="Z281" s="107">
        <v>0</v>
      </c>
      <c r="AA281" s="107">
        <v>0</v>
      </c>
      <c r="AB281" s="107">
        <v>0</v>
      </c>
      <c r="AC281" s="107">
        <v>0</v>
      </c>
      <c r="AD281" s="107">
        <v>0</v>
      </c>
      <c r="AE281" s="107">
        <v>0</v>
      </c>
      <c r="AF281" s="107">
        <v>0</v>
      </c>
      <c r="AG281" s="107">
        <v>0</v>
      </c>
      <c r="AH281" s="107">
        <v>0</v>
      </c>
      <c r="AP281" s="92">
        <f t="shared" si="55"/>
        <v>24</v>
      </c>
      <c r="AQ281" s="91" t="str">
        <f t="shared" si="56"/>
        <v>0000</v>
      </c>
      <c r="AR281" s="91" t="str">
        <f t="shared" si="57"/>
        <v>0000</v>
      </c>
      <c r="AS281" s="91" t="str">
        <f t="shared" si="58"/>
        <v>0000</v>
      </c>
      <c r="AT281" s="91" t="str">
        <f t="shared" si="59"/>
        <v>0000</v>
      </c>
      <c r="AU281" s="91" t="str">
        <f t="shared" si="60"/>
        <v>0000</v>
      </c>
      <c r="AV281" s="91" t="str">
        <f t="shared" si="61"/>
        <v>0000</v>
      </c>
      <c r="AW281" s="91" t="str">
        <f t="shared" si="62"/>
        <v>0000</v>
      </c>
      <c r="AX281" s="91" t="str">
        <f t="shared" si="63"/>
        <v>0000</v>
      </c>
    </row>
    <row r="282" spans="1:50" s="83" customFormat="1">
      <c r="A282" s="82"/>
      <c r="B282" s="84">
        <v>25</v>
      </c>
      <c r="C282" s="107">
        <v>0</v>
      </c>
      <c r="D282" s="107">
        <v>0</v>
      </c>
      <c r="E282" s="107">
        <v>0</v>
      </c>
      <c r="F282" s="107">
        <v>0</v>
      </c>
      <c r="G282" s="107">
        <v>0</v>
      </c>
      <c r="H282" s="107">
        <v>0</v>
      </c>
      <c r="I282" s="107">
        <v>1</v>
      </c>
      <c r="J282" s="107">
        <v>1</v>
      </c>
      <c r="K282" s="107">
        <v>0</v>
      </c>
      <c r="L282" s="107">
        <v>0</v>
      </c>
      <c r="M282" s="107">
        <v>1</v>
      </c>
      <c r="N282" s="107">
        <v>1</v>
      </c>
      <c r="O282" s="107">
        <v>0</v>
      </c>
      <c r="P282" s="107">
        <v>0</v>
      </c>
      <c r="Q282" s="107">
        <v>1</v>
      </c>
      <c r="R282" s="107">
        <v>1</v>
      </c>
      <c r="S282" s="107">
        <v>1</v>
      </c>
      <c r="T282" s="107">
        <v>1</v>
      </c>
      <c r="U282" s="107">
        <v>0</v>
      </c>
      <c r="V282" s="107">
        <v>0</v>
      </c>
      <c r="W282" s="107">
        <v>1</v>
      </c>
      <c r="X282" s="107">
        <v>1</v>
      </c>
      <c r="Y282" s="107">
        <v>0</v>
      </c>
      <c r="Z282" s="107">
        <v>0</v>
      </c>
      <c r="AA282" s="107">
        <v>1</v>
      </c>
      <c r="AB282" s="107">
        <v>1</v>
      </c>
      <c r="AC282" s="107">
        <v>0</v>
      </c>
      <c r="AD282" s="107">
        <v>0</v>
      </c>
      <c r="AE282" s="107">
        <v>0</v>
      </c>
      <c r="AF282" s="107">
        <v>0</v>
      </c>
      <c r="AG282" s="107">
        <v>0</v>
      </c>
      <c r="AH282" s="107">
        <v>0</v>
      </c>
      <c r="AP282" s="92">
        <f t="shared" si="55"/>
        <v>25</v>
      </c>
      <c r="AQ282" s="91" t="str">
        <f t="shared" si="56"/>
        <v>0000</v>
      </c>
      <c r="AR282" s="91" t="str">
        <f t="shared" si="57"/>
        <v>0011</v>
      </c>
      <c r="AS282" s="91" t="str">
        <f t="shared" si="58"/>
        <v>0011</v>
      </c>
      <c r="AT282" s="91" t="str">
        <f t="shared" si="59"/>
        <v>0011</v>
      </c>
      <c r="AU282" s="91" t="str">
        <f t="shared" si="60"/>
        <v>1100</v>
      </c>
      <c r="AV282" s="91" t="str">
        <f t="shared" si="61"/>
        <v>1100</v>
      </c>
      <c r="AW282" s="91" t="str">
        <f t="shared" si="62"/>
        <v>1100</v>
      </c>
      <c r="AX282" s="91" t="str">
        <f t="shared" si="63"/>
        <v>0000</v>
      </c>
    </row>
    <row r="283" spans="1:50" s="83" customFormat="1">
      <c r="A283" s="82"/>
      <c r="B283" s="84">
        <v>26</v>
      </c>
      <c r="C283" s="107">
        <v>0</v>
      </c>
      <c r="D283" s="107">
        <v>0</v>
      </c>
      <c r="E283" s="107">
        <v>0</v>
      </c>
      <c r="F283" s="107">
        <v>0</v>
      </c>
      <c r="G283" s="107">
        <v>0</v>
      </c>
      <c r="H283" s="107">
        <v>0</v>
      </c>
      <c r="I283" s="107">
        <v>0</v>
      </c>
      <c r="J283" s="107">
        <v>0</v>
      </c>
      <c r="K283" s="107">
        <v>0</v>
      </c>
      <c r="L283" s="107">
        <v>0</v>
      </c>
      <c r="M283" s="107">
        <v>0</v>
      </c>
      <c r="N283" s="107">
        <v>0</v>
      </c>
      <c r="O283" s="107">
        <v>0</v>
      </c>
      <c r="P283" s="107">
        <v>0</v>
      </c>
      <c r="Q283" s="107">
        <v>0</v>
      </c>
      <c r="R283" s="107">
        <v>0</v>
      </c>
      <c r="S283" s="107">
        <v>0</v>
      </c>
      <c r="T283" s="107">
        <v>0</v>
      </c>
      <c r="U283" s="107">
        <v>0</v>
      </c>
      <c r="V283" s="107">
        <v>0</v>
      </c>
      <c r="W283" s="107">
        <v>0</v>
      </c>
      <c r="X283" s="107">
        <v>0</v>
      </c>
      <c r="Y283" s="107">
        <v>0</v>
      </c>
      <c r="Z283" s="107">
        <v>0</v>
      </c>
      <c r="AA283" s="107">
        <v>0</v>
      </c>
      <c r="AB283" s="107">
        <v>0</v>
      </c>
      <c r="AC283" s="107">
        <v>0</v>
      </c>
      <c r="AD283" s="107">
        <v>0</v>
      </c>
      <c r="AE283" s="107">
        <v>0</v>
      </c>
      <c r="AF283" s="107">
        <v>0</v>
      </c>
      <c r="AG283" s="107">
        <v>0</v>
      </c>
      <c r="AH283" s="107">
        <v>0</v>
      </c>
      <c r="AP283" s="92">
        <f t="shared" si="55"/>
        <v>26</v>
      </c>
      <c r="AQ283" s="91" t="str">
        <f t="shared" si="56"/>
        <v>0000</v>
      </c>
      <c r="AR283" s="91" t="str">
        <f t="shared" si="57"/>
        <v>0000</v>
      </c>
      <c r="AS283" s="91" t="str">
        <f t="shared" si="58"/>
        <v>0000</v>
      </c>
      <c r="AT283" s="91" t="str">
        <f t="shared" si="59"/>
        <v>0000</v>
      </c>
      <c r="AU283" s="91" t="str">
        <f t="shared" si="60"/>
        <v>0000</v>
      </c>
      <c r="AV283" s="91" t="str">
        <f t="shared" si="61"/>
        <v>0000</v>
      </c>
      <c r="AW283" s="91" t="str">
        <f t="shared" si="62"/>
        <v>0000</v>
      </c>
      <c r="AX283" s="91" t="str">
        <f t="shared" si="63"/>
        <v>0000</v>
      </c>
    </row>
    <row r="284" spans="1:50" s="83" customFormat="1">
      <c r="A284" s="82"/>
      <c r="B284" s="84">
        <v>27</v>
      </c>
      <c r="C284" s="107">
        <v>0</v>
      </c>
      <c r="D284" s="107">
        <v>0</v>
      </c>
      <c r="E284" s="107">
        <v>0</v>
      </c>
      <c r="F284" s="107">
        <v>0</v>
      </c>
      <c r="G284" s="107">
        <v>0</v>
      </c>
      <c r="H284" s="107">
        <v>0</v>
      </c>
      <c r="I284" s="107">
        <v>0</v>
      </c>
      <c r="J284" s="107">
        <v>0</v>
      </c>
      <c r="K284" s="107">
        <v>1</v>
      </c>
      <c r="L284" s="107">
        <v>1</v>
      </c>
      <c r="M284" s="107">
        <v>0</v>
      </c>
      <c r="N284" s="107">
        <v>0</v>
      </c>
      <c r="O284" s="107">
        <v>1</v>
      </c>
      <c r="P284" s="107">
        <v>1</v>
      </c>
      <c r="Q284" s="107">
        <v>0</v>
      </c>
      <c r="R284" s="107">
        <v>0</v>
      </c>
      <c r="S284" s="107">
        <v>0</v>
      </c>
      <c r="T284" s="107">
        <v>0</v>
      </c>
      <c r="U284" s="107">
        <v>1</v>
      </c>
      <c r="V284" s="107">
        <v>1</v>
      </c>
      <c r="W284" s="107">
        <v>0</v>
      </c>
      <c r="X284" s="107">
        <v>0</v>
      </c>
      <c r="Y284" s="107">
        <v>1</v>
      </c>
      <c r="Z284" s="107">
        <v>1</v>
      </c>
      <c r="AA284" s="107">
        <v>0</v>
      </c>
      <c r="AB284" s="107">
        <v>0</v>
      </c>
      <c r="AC284" s="107">
        <v>0</v>
      </c>
      <c r="AD284" s="107">
        <v>0</v>
      </c>
      <c r="AE284" s="107">
        <v>0</v>
      </c>
      <c r="AF284" s="107">
        <v>0</v>
      </c>
      <c r="AG284" s="107">
        <v>0</v>
      </c>
      <c r="AH284" s="107">
        <v>0</v>
      </c>
      <c r="AP284" s="92">
        <f t="shared" si="55"/>
        <v>27</v>
      </c>
      <c r="AQ284" s="91" t="str">
        <f t="shared" si="56"/>
        <v>0000</v>
      </c>
      <c r="AR284" s="91" t="str">
        <f t="shared" si="57"/>
        <v>0000</v>
      </c>
      <c r="AS284" s="91" t="str">
        <f t="shared" si="58"/>
        <v>1100</v>
      </c>
      <c r="AT284" s="91" t="str">
        <f t="shared" si="59"/>
        <v>1100</v>
      </c>
      <c r="AU284" s="91" t="str">
        <f t="shared" si="60"/>
        <v>0011</v>
      </c>
      <c r="AV284" s="91" t="str">
        <f t="shared" si="61"/>
        <v>0011</v>
      </c>
      <c r="AW284" s="91" t="str">
        <f t="shared" si="62"/>
        <v>0000</v>
      </c>
      <c r="AX284" s="91" t="str">
        <f t="shared" si="63"/>
        <v>0000</v>
      </c>
    </row>
    <row r="285" spans="1:50" s="83" customFormat="1">
      <c r="A285" s="82"/>
      <c r="B285" s="84">
        <v>28</v>
      </c>
      <c r="C285" s="107">
        <v>0</v>
      </c>
      <c r="D285" s="107">
        <v>0</v>
      </c>
      <c r="E285" s="107">
        <v>0</v>
      </c>
      <c r="F285" s="107">
        <v>0</v>
      </c>
      <c r="G285" s="107">
        <v>0</v>
      </c>
      <c r="H285" s="107">
        <v>0</v>
      </c>
      <c r="I285" s="107">
        <v>0</v>
      </c>
      <c r="J285" s="107">
        <v>0</v>
      </c>
      <c r="K285" s="107">
        <v>0</v>
      </c>
      <c r="L285" s="107">
        <v>0</v>
      </c>
      <c r="M285" s="107">
        <v>0</v>
      </c>
      <c r="N285" s="107">
        <v>0</v>
      </c>
      <c r="O285" s="107">
        <v>0</v>
      </c>
      <c r="P285" s="107">
        <v>0</v>
      </c>
      <c r="Q285" s="107">
        <v>0</v>
      </c>
      <c r="R285" s="107">
        <v>0</v>
      </c>
      <c r="S285" s="107">
        <v>0</v>
      </c>
      <c r="T285" s="107">
        <v>0</v>
      </c>
      <c r="U285" s="107">
        <v>0</v>
      </c>
      <c r="V285" s="107">
        <v>0</v>
      </c>
      <c r="W285" s="107">
        <v>0</v>
      </c>
      <c r="X285" s="107">
        <v>0</v>
      </c>
      <c r="Y285" s="107">
        <v>0</v>
      </c>
      <c r="Z285" s="107">
        <v>0</v>
      </c>
      <c r="AA285" s="107">
        <v>0</v>
      </c>
      <c r="AB285" s="107">
        <v>0</v>
      </c>
      <c r="AC285" s="107">
        <v>0</v>
      </c>
      <c r="AD285" s="107">
        <v>0</v>
      </c>
      <c r="AE285" s="107">
        <v>0</v>
      </c>
      <c r="AF285" s="107">
        <v>0</v>
      </c>
      <c r="AG285" s="107">
        <v>0</v>
      </c>
      <c r="AH285" s="107">
        <v>0</v>
      </c>
      <c r="AP285" s="92">
        <f t="shared" si="55"/>
        <v>28</v>
      </c>
      <c r="AQ285" s="91" t="str">
        <f t="shared" si="56"/>
        <v>0000</v>
      </c>
      <c r="AR285" s="91" t="str">
        <f t="shared" si="57"/>
        <v>0000</v>
      </c>
      <c r="AS285" s="91" t="str">
        <f t="shared" si="58"/>
        <v>0000</v>
      </c>
      <c r="AT285" s="91" t="str">
        <f t="shared" si="59"/>
        <v>0000</v>
      </c>
      <c r="AU285" s="91" t="str">
        <f t="shared" si="60"/>
        <v>0000</v>
      </c>
      <c r="AV285" s="91" t="str">
        <f t="shared" si="61"/>
        <v>0000</v>
      </c>
      <c r="AW285" s="91" t="str">
        <f t="shared" si="62"/>
        <v>0000</v>
      </c>
      <c r="AX285" s="91" t="str">
        <f t="shared" si="63"/>
        <v>0000</v>
      </c>
    </row>
    <row r="286" spans="1:50" s="83" customFormat="1">
      <c r="A286" s="82"/>
      <c r="B286" s="84">
        <v>29</v>
      </c>
      <c r="C286" s="107">
        <v>0</v>
      </c>
      <c r="D286" s="107">
        <v>0</v>
      </c>
      <c r="E286" s="107">
        <v>0</v>
      </c>
      <c r="F286" s="107">
        <v>0</v>
      </c>
      <c r="G286" s="107">
        <v>0</v>
      </c>
      <c r="H286" s="107">
        <v>0</v>
      </c>
      <c r="I286" s="107">
        <v>1</v>
      </c>
      <c r="J286" s="107">
        <v>1</v>
      </c>
      <c r="K286" s="107">
        <v>0</v>
      </c>
      <c r="L286" s="107">
        <v>0</v>
      </c>
      <c r="M286" s="107">
        <v>1</v>
      </c>
      <c r="N286" s="107">
        <v>1</v>
      </c>
      <c r="O286" s="107">
        <v>0</v>
      </c>
      <c r="P286" s="107">
        <v>0</v>
      </c>
      <c r="Q286" s="107">
        <v>1</v>
      </c>
      <c r="R286" s="107">
        <v>1</v>
      </c>
      <c r="S286" s="107">
        <v>1</v>
      </c>
      <c r="T286" s="107">
        <v>1</v>
      </c>
      <c r="U286" s="107">
        <v>0</v>
      </c>
      <c r="V286" s="107">
        <v>0</v>
      </c>
      <c r="W286" s="107">
        <v>1</v>
      </c>
      <c r="X286" s="107">
        <v>1</v>
      </c>
      <c r="Y286" s="107">
        <v>0</v>
      </c>
      <c r="Z286" s="107">
        <v>0</v>
      </c>
      <c r="AA286" s="107">
        <v>1</v>
      </c>
      <c r="AB286" s="107">
        <v>1</v>
      </c>
      <c r="AC286" s="107">
        <v>0</v>
      </c>
      <c r="AD286" s="107">
        <v>0</v>
      </c>
      <c r="AE286" s="107">
        <v>0</v>
      </c>
      <c r="AF286" s="107">
        <v>0</v>
      </c>
      <c r="AG286" s="107">
        <v>0</v>
      </c>
      <c r="AH286" s="107">
        <v>0</v>
      </c>
      <c r="AP286" s="92">
        <f t="shared" si="55"/>
        <v>29</v>
      </c>
      <c r="AQ286" s="91" t="str">
        <f t="shared" si="56"/>
        <v>0000</v>
      </c>
      <c r="AR286" s="91" t="str">
        <f t="shared" si="57"/>
        <v>0011</v>
      </c>
      <c r="AS286" s="91" t="str">
        <f t="shared" si="58"/>
        <v>0011</v>
      </c>
      <c r="AT286" s="91" t="str">
        <f t="shared" si="59"/>
        <v>0011</v>
      </c>
      <c r="AU286" s="91" t="str">
        <f t="shared" si="60"/>
        <v>1100</v>
      </c>
      <c r="AV286" s="91" t="str">
        <f t="shared" si="61"/>
        <v>1100</v>
      </c>
      <c r="AW286" s="91" t="str">
        <f t="shared" si="62"/>
        <v>1100</v>
      </c>
      <c r="AX286" s="91" t="str">
        <f t="shared" si="63"/>
        <v>0000</v>
      </c>
    </row>
    <row r="287" spans="1:50" s="83" customFormat="1">
      <c r="A287" s="82"/>
      <c r="B287" s="84">
        <v>30</v>
      </c>
      <c r="C287" s="107">
        <v>0</v>
      </c>
      <c r="D287" s="107">
        <v>0</v>
      </c>
      <c r="E287" s="107">
        <v>0</v>
      </c>
      <c r="F287" s="107">
        <v>0</v>
      </c>
      <c r="G287" s="107">
        <v>0</v>
      </c>
      <c r="H287" s="107">
        <v>0</v>
      </c>
      <c r="I287" s="107">
        <v>0</v>
      </c>
      <c r="J287" s="107">
        <v>0</v>
      </c>
      <c r="K287" s="107">
        <v>0</v>
      </c>
      <c r="L287" s="107">
        <v>0</v>
      </c>
      <c r="M287" s="107">
        <v>0</v>
      </c>
      <c r="N287" s="107">
        <v>0</v>
      </c>
      <c r="O287" s="107">
        <v>0</v>
      </c>
      <c r="P287" s="107">
        <v>0</v>
      </c>
      <c r="Q287" s="107">
        <v>0</v>
      </c>
      <c r="R287" s="107">
        <v>0</v>
      </c>
      <c r="S287" s="107">
        <v>0</v>
      </c>
      <c r="T287" s="107">
        <v>0</v>
      </c>
      <c r="U287" s="107">
        <v>0</v>
      </c>
      <c r="V287" s="107">
        <v>0</v>
      </c>
      <c r="W287" s="107">
        <v>0</v>
      </c>
      <c r="X287" s="107">
        <v>0</v>
      </c>
      <c r="Y287" s="107">
        <v>0</v>
      </c>
      <c r="Z287" s="107">
        <v>0</v>
      </c>
      <c r="AA287" s="107">
        <v>0</v>
      </c>
      <c r="AB287" s="107">
        <v>0</v>
      </c>
      <c r="AC287" s="107">
        <v>0</v>
      </c>
      <c r="AD287" s="107">
        <v>0</v>
      </c>
      <c r="AE287" s="107">
        <v>0</v>
      </c>
      <c r="AF287" s="107">
        <v>0</v>
      </c>
      <c r="AG287" s="107">
        <v>0</v>
      </c>
      <c r="AH287" s="107">
        <v>0</v>
      </c>
      <c r="AP287" s="92">
        <f t="shared" si="55"/>
        <v>30</v>
      </c>
      <c r="AQ287" s="91" t="str">
        <f t="shared" si="56"/>
        <v>0000</v>
      </c>
      <c r="AR287" s="91" t="str">
        <f t="shared" si="57"/>
        <v>0000</v>
      </c>
      <c r="AS287" s="91" t="str">
        <f t="shared" si="58"/>
        <v>0000</v>
      </c>
      <c r="AT287" s="91" t="str">
        <f t="shared" si="59"/>
        <v>0000</v>
      </c>
      <c r="AU287" s="91" t="str">
        <f t="shared" si="60"/>
        <v>0000</v>
      </c>
      <c r="AV287" s="91" t="str">
        <f t="shared" si="61"/>
        <v>0000</v>
      </c>
      <c r="AW287" s="91" t="str">
        <f t="shared" si="62"/>
        <v>0000</v>
      </c>
      <c r="AX287" s="91" t="str">
        <f t="shared" si="63"/>
        <v>0000</v>
      </c>
    </row>
    <row r="288" spans="1:50" s="83" customFormat="1">
      <c r="A288" s="82"/>
      <c r="B288" s="84">
        <v>31</v>
      </c>
      <c r="C288" s="107">
        <v>0</v>
      </c>
      <c r="D288" s="107">
        <v>0</v>
      </c>
      <c r="E288" s="107">
        <v>0</v>
      </c>
      <c r="F288" s="107">
        <v>0</v>
      </c>
      <c r="G288" s="107">
        <v>0</v>
      </c>
      <c r="H288" s="107">
        <v>0</v>
      </c>
      <c r="I288" s="107">
        <v>0</v>
      </c>
      <c r="J288" s="107">
        <v>0</v>
      </c>
      <c r="K288" s="107">
        <v>1</v>
      </c>
      <c r="L288" s="107">
        <v>1</v>
      </c>
      <c r="M288" s="107">
        <v>0</v>
      </c>
      <c r="N288" s="107">
        <v>0</v>
      </c>
      <c r="O288" s="107">
        <v>1</v>
      </c>
      <c r="P288" s="107">
        <v>1</v>
      </c>
      <c r="Q288" s="107">
        <v>0</v>
      </c>
      <c r="R288" s="107">
        <v>0</v>
      </c>
      <c r="S288" s="107">
        <v>0</v>
      </c>
      <c r="T288" s="107">
        <v>0</v>
      </c>
      <c r="U288" s="107">
        <v>1</v>
      </c>
      <c r="V288" s="107">
        <v>1</v>
      </c>
      <c r="W288" s="107">
        <v>0</v>
      </c>
      <c r="X288" s="107">
        <v>0</v>
      </c>
      <c r="Y288" s="107">
        <v>1</v>
      </c>
      <c r="Z288" s="107">
        <v>1</v>
      </c>
      <c r="AA288" s="107">
        <v>0</v>
      </c>
      <c r="AB288" s="107">
        <v>0</v>
      </c>
      <c r="AC288" s="107">
        <v>0</v>
      </c>
      <c r="AD288" s="107">
        <v>0</v>
      </c>
      <c r="AE288" s="107">
        <v>0</v>
      </c>
      <c r="AF288" s="107">
        <v>0</v>
      </c>
      <c r="AG288" s="107">
        <v>0</v>
      </c>
      <c r="AH288" s="107">
        <v>0</v>
      </c>
      <c r="AP288" s="92">
        <f t="shared" si="55"/>
        <v>31</v>
      </c>
      <c r="AQ288" s="91" t="str">
        <f t="shared" si="56"/>
        <v>0000</v>
      </c>
      <c r="AR288" s="91" t="str">
        <f t="shared" si="57"/>
        <v>0000</v>
      </c>
      <c r="AS288" s="91" t="str">
        <f t="shared" si="58"/>
        <v>1100</v>
      </c>
      <c r="AT288" s="91" t="str">
        <f t="shared" si="59"/>
        <v>1100</v>
      </c>
      <c r="AU288" s="91" t="str">
        <f t="shared" si="60"/>
        <v>0011</v>
      </c>
      <c r="AV288" s="91" t="str">
        <f t="shared" si="61"/>
        <v>0011</v>
      </c>
      <c r="AW288" s="91" t="str">
        <f t="shared" si="62"/>
        <v>0000</v>
      </c>
      <c r="AX288" s="91" t="str">
        <f t="shared" si="63"/>
        <v>0000</v>
      </c>
    </row>
    <row r="289" spans="1:50" s="83" customFormat="1">
      <c r="A289" s="82"/>
      <c r="AP289" s="90"/>
      <c r="AU289" s="91"/>
      <c r="AV289" s="91"/>
      <c r="AW289" s="91"/>
      <c r="AX289" s="91"/>
    </row>
    <row r="290" spans="1:50" s="83" customFormat="1">
      <c r="A290" s="82"/>
      <c r="AP290" s="90"/>
      <c r="AU290" s="91"/>
      <c r="AV290" s="91"/>
      <c r="AW290" s="91"/>
      <c r="AX290" s="91"/>
    </row>
    <row r="291" spans="1:50" s="83" customFormat="1">
      <c r="A291" s="82" t="s">
        <v>343</v>
      </c>
      <c r="AP291" s="88" t="str">
        <f>A291</f>
        <v>9.Used by FD (Storage to ROM)</v>
      </c>
      <c r="AU291" s="91"/>
      <c r="AV291" s="91"/>
      <c r="AW291" s="91"/>
      <c r="AX291" s="91"/>
    </row>
    <row r="292" spans="1:50" s="83" customFormat="1">
      <c r="A292" s="82"/>
      <c r="C292" s="84">
        <v>0</v>
      </c>
      <c r="D292" s="84">
        <v>1</v>
      </c>
      <c r="E292" s="84">
        <v>2</v>
      </c>
      <c r="F292" s="84">
        <v>3</v>
      </c>
      <c r="G292" s="84">
        <v>4</v>
      </c>
      <c r="H292" s="84">
        <v>5</v>
      </c>
      <c r="I292" s="84">
        <v>6</v>
      </c>
      <c r="J292" s="84">
        <v>7</v>
      </c>
      <c r="K292" s="84">
        <v>8</v>
      </c>
      <c r="L292" s="84">
        <v>9</v>
      </c>
      <c r="M292" s="84">
        <v>10</v>
      </c>
      <c r="N292" s="84">
        <v>11</v>
      </c>
      <c r="O292" s="84">
        <v>12</v>
      </c>
      <c r="P292" s="84">
        <v>13</v>
      </c>
      <c r="Q292" s="84">
        <v>14</v>
      </c>
      <c r="R292" s="84">
        <v>15</v>
      </c>
      <c r="S292" s="84">
        <v>16</v>
      </c>
      <c r="T292" s="84">
        <v>17</v>
      </c>
      <c r="U292" s="84">
        <v>18</v>
      </c>
      <c r="V292" s="84">
        <v>19</v>
      </c>
      <c r="W292" s="84">
        <v>20</v>
      </c>
      <c r="X292" s="84">
        <v>21</v>
      </c>
      <c r="Y292" s="84">
        <v>22</v>
      </c>
      <c r="Z292" s="84">
        <v>23</v>
      </c>
      <c r="AA292" s="84">
        <v>24</v>
      </c>
      <c r="AB292" s="84">
        <v>25</v>
      </c>
      <c r="AC292" s="84">
        <v>26</v>
      </c>
      <c r="AD292" s="84">
        <v>27</v>
      </c>
      <c r="AE292" s="84">
        <v>28</v>
      </c>
      <c r="AF292" s="84">
        <v>29</v>
      </c>
      <c r="AG292" s="84">
        <v>30</v>
      </c>
      <c r="AH292" s="84">
        <v>31</v>
      </c>
      <c r="AP292" s="90"/>
      <c r="AQ292" s="91" t="str">
        <f>C292&amp;D292&amp;E292&amp;F292</f>
        <v>0123</v>
      </c>
      <c r="AR292" s="91" t="str">
        <f>G292&amp;H292&amp;I292&amp;J292</f>
        <v>4567</v>
      </c>
      <c r="AS292" s="91" t="str">
        <f>K292&amp;L292&amp;M292&amp;N292</f>
        <v>891011</v>
      </c>
      <c r="AT292" s="91" t="str">
        <f>O292&amp;P292&amp;Q292&amp;R292</f>
        <v>12131415</v>
      </c>
      <c r="AU292" s="83">
        <v>16171819</v>
      </c>
      <c r="AV292" s="83">
        <v>20212223</v>
      </c>
      <c r="AW292" s="83">
        <v>24252627</v>
      </c>
      <c r="AX292" s="83">
        <v>28293031</v>
      </c>
    </row>
    <row r="293" spans="1:50" s="83" customFormat="1" ht="14.1" customHeight="1">
      <c r="A293" s="82"/>
      <c r="B293" s="84">
        <v>0</v>
      </c>
      <c r="C293" s="107">
        <v>0</v>
      </c>
      <c r="D293" s="107">
        <v>0</v>
      </c>
      <c r="E293" s="107">
        <v>0</v>
      </c>
      <c r="F293" s="107">
        <v>0</v>
      </c>
      <c r="G293" s="107">
        <v>0</v>
      </c>
      <c r="H293" s="107">
        <v>0</v>
      </c>
      <c r="I293" s="107">
        <v>0</v>
      </c>
      <c r="J293" s="107">
        <v>0</v>
      </c>
      <c r="K293" s="107">
        <v>0</v>
      </c>
      <c r="L293" s="107">
        <v>0</v>
      </c>
      <c r="M293" s="107">
        <v>0</v>
      </c>
      <c r="N293" s="107">
        <v>0</v>
      </c>
      <c r="O293" s="107">
        <v>0</v>
      </c>
      <c r="P293" s="107">
        <v>0</v>
      </c>
      <c r="Q293" s="107">
        <v>0</v>
      </c>
      <c r="R293" s="107">
        <v>0</v>
      </c>
      <c r="S293" s="107">
        <v>0</v>
      </c>
      <c r="T293" s="107">
        <v>0</v>
      </c>
      <c r="U293" s="107">
        <v>0</v>
      </c>
      <c r="V293" s="107">
        <v>0</v>
      </c>
      <c r="W293" s="107">
        <v>0</v>
      </c>
      <c r="X293" s="107">
        <v>0</v>
      </c>
      <c r="Y293" s="107">
        <v>0</v>
      </c>
      <c r="Z293" s="107">
        <v>0</v>
      </c>
      <c r="AA293" s="107">
        <v>0</v>
      </c>
      <c r="AB293" s="107">
        <v>0</v>
      </c>
      <c r="AC293" s="107">
        <v>0</v>
      </c>
      <c r="AD293" s="107">
        <v>0</v>
      </c>
      <c r="AE293" s="107">
        <v>0</v>
      </c>
      <c r="AF293" s="107">
        <v>0</v>
      </c>
      <c r="AG293" s="107">
        <v>0</v>
      </c>
      <c r="AH293" s="107">
        <v>0</v>
      </c>
      <c r="AP293" s="92">
        <f t="shared" ref="AP293:AP324" si="64">B293</f>
        <v>0</v>
      </c>
      <c r="AQ293" s="91" t="str">
        <f t="shared" ref="AQ293:AQ324" si="65">DEC2HEX(C293)&amp;DEC2HEX(D293)&amp;DEC2HEX(E293)&amp;DEC2HEX(F293)</f>
        <v>0000</v>
      </c>
      <c r="AR293" s="91" t="str">
        <f t="shared" ref="AR293:AR324" si="66">DEC2HEX(G293)&amp;DEC2HEX(H293)&amp;DEC2HEX(I293)&amp;DEC2HEX(J293)</f>
        <v>0000</v>
      </c>
      <c r="AS293" s="91" t="str">
        <f t="shared" ref="AS293:AS324" si="67">DEC2HEX(K293)&amp;DEC2HEX(L293)&amp;DEC2HEX(M293)&amp;DEC2HEX(N293)</f>
        <v>0000</v>
      </c>
      <c r="AT293" s="91" t="str">
        <f t="shared" ref="AT293:AT324" si="68">DEC2HEX(O293)&amp;DEC2HEX(P293)&amp;DEC2HEX(Q293)&amp;DEC2HEX(R293)</f>
        <v>0000</v>
      </c>
      <c r="AU293" s="91" t="str">
        <f t="shared" si="60"/>
        <v>0000</v>
      </c>
      <c r="AV293" s="91" t="str">
        <f t="shared" si="61"/>
        <v>0000</v>
      </c>
      <c r="AW293" s="91" t="str">
        <f t="shared" si="62"/>
        <v>0000</v>
      </c>
      <c r="AX293" s="91" t="str">
        <f t="shared" si="63"/>
        <v>0000</v>
      </c>
    </row>
    <row r="294" spans="1:50" s="83" customFormat="1" ht="14.1" customHeight="1">
      <c r="A294" s="82"/>
      <c r="B294" s="84">
        <v>1</v>
      </c>
      <c r="C294" s="107">
        <v>0</v>
      </c>
      <c r="D294" s="107">
        <v>0</v>
      </c>
      <c r="E294" s="107">
        <v>0</v>
      </c>
      <c r="F294" s="107">
        <v>0</v>
      </c>
      <c r="G294" s="107">
        <v>0</v>
      </c>
      <c r="H294" s="107">
        <v>0</v>
      </c>
      <c r="I294" s="107">
        <v>0</v>
      </c>
      <c r="J294" s="107">
        <v>0</v>
      </c>
      <c r="K294" s="107">
        <v>0</v>
      </c>
      <c r="L294" s="107">
        <v>0</v>
      </c>
      <c r="M294" s="107">
        <v>0</v>
      </c>
      <c r="N294" s="107">
        <v>0</v>
      </c>
      <c r="O294" s="107">
        <v>0</v>
      </c>
      <c r="P294" s="107">
        <v>0</v>
      </c>
      <c r="Q294" s="107">
        <v>0</v>
      </c>
      <c r="R294" s="107">
        <v>0</v>
      </c>
      <c r="S294" s="107">
        <v>0</v>
      </c>
      <c r="T294" s="107">
        <v>0</v>
      </c>
      <c r="U294" s="107">
        <v>0</v>
      </c>
      <c r="V294" s="107">
        <v>0</v>
      </c>
      <c r="W294" s="107">
        <v>0</v>
      </c>
      <c r="X294" s="107">
        <v>0</v>
      </c>
      <c r="Y294" s="107">
        <v>0</v>
      </c>
      <c r="Z294" s="107">
        <v>0</v>
      </c>
      <c r="AA294" s="107">
        <v>0</v>
      </c>
      <c r="AB294" s="107">
        <v>0</v>
      </c>
      <c r="AC294" s="107">
        <v>0</v>
      </c>
      <c r="AD294" s="107">
        <v>0</v>
      </c>
      <c r="AE294" s="107">
        <v>0</v>
      </c>
      <c r="AF294" s="107">
        <v>0</v>
      </c>
      <c r="AG294" s="107">
        <v>0</v>
      </c>
      <c r="AH294" s="107">
        <v>0</v>
      </c>
      <c r="AP294" s="92">
        <f t="shared" si="64"/>
        <v>1</v>
      </c>
      <c r="AQ294" s="91" t="str">
        <f t="shared" si="65"/>
        <v>0000</v>
      </c>
      <c r="AR294" s="91" t="str">
        <f t="shared" si="66"/>
        <v>0000</v>
      </c>
      <c r="AS294" s="91" t="str">
        <f t="shared" si="67"/>
        <v>0000</v>
      </c>
      <c r="AT294" s="91" t="str">
        <f t="shared" si="68"/>
        <v>0000</v>
      </c>
      <c r="AU294" s="91" t="str">
        <f t="shared" si="60"/>
        <v>0000</v>
      </c>
      <c r="AV294" s="91" t="str">
        <f t="shared" si="61"/>
        <v>0000</v>
      </c>
      <c r="AW294" s="91" t="str">
        <f t="shared" si="62"/>
        <v>0000</v>
      </c>
      <c r="AX294" s="91" t="str">
        <f t="shared" si="63"/>
        <v>0000</v>
      </c>
    </row>
    <row r="295" spans="1:50" s="83" customFormat="1" ht="14.1" customHeight="1">
      <c r="A295" s="82"/>
      <c r="B295" s="84">
        <v>2</v>
      </c>
      <c r="C295" s="107">
        <v>0</v>
      </c>
      <c r="D295" s="107">
        <v>0</v>
      </c>
      <c r="E295" s="107">
        <v>0</v>
      </c>
      <c r="F295" s="107">
        <v>0</v>
      </c>
      <c r="G295" s="107">
        <v>0</v>
      </c>
      <c r="H295" s="107">
        <v>0</v>
      </c>
      <c r="I295" s="107">
        <v>0</v>
      </c>
      <c r="J295" s="107">
        <v>0</v>
      </c>
      <c r="K295" s="107">
        <v>0</v>
      </c>
      <c r="L295" s="107">
        <v>0</v>
      </c>
      <c r="M295" s="107">
        <v>0</v>
      </c>
      <c r="N295" s="107">
        <v>0</v>
      </c>
      <c r="O295" s="107">
        <v>0</v>
      </c>
      <c r="P295" s="107">
        <v>0</v>
      </c>
      <c r="Q295" s="107">
        <v>0</v>
      </c>
      <c r="R295" s="107">
        <v>0</v>
      </c>
      <c r="S295" s="107">
        <v>0</v>
      </c>
      <c r="T295" s="107">
        <v>0</v>
      </c>
      <c r="U295" s="107">
        <v>0</v>
      </c>
      <c r="V295" s="107">
        <v>0</v>
      </c>
      <c r="W295" s="107">
        <v>0</v>
      </c>
      <c r="X295" s="107">
        <v>0</v>
      </c>
      <c r="Y295" s="107">
        <v>0</v>
      </c>
      <c r="Z295" s="107">
        <v>0</v>
      </c>
      <c r="AA295" s="107">
        <v>0</v>
      </c>
      <c r="AB295" s="107">
        <v>0</v>
      </c>
      <c r="AC295" s="107">
        <v>0</v>
      </c>
      <c r="AD295" s="107">
        <v>0</v>
      </c>
      <c r="AE295" s="107">
        <v>0</v>
      </c>
      <c r="AF295" s="107">
        <v>0</v>
      </c>
      <c r="AG295" s="107">
        <v>0</v>
      </c>
      <c r="AH295" s="107">
        <v>0</v>
      </c>
      <c r="AP295" s="92">
        <f t="shared" si="64"/>
        <v>2</v>
      </c>
      <c r="AQ295" s="91" t="str">
        <f t="shared" si="65"/>
        <v>0000</v>
      </c>
      <c r="AR295" s="91" t="str">
        <f t="shared" si="66"/>
        <v>0000</v>
      </c>
      <c r="AS295" s="91" t="str">
        <f t="shared" si="67"/>
        <v>0000</v>
      </c>
      <c r="AT295" s="91" t="str">
        <f t="shared" si="68"/>
        <v>0000</v>
      </c>
      <c r="AU295" s="91" t="str">
        <f t="shared" si="60"/>
        <v>0000</v>
      </c>
      <c r="AV295" s="91" t="str">
        <f t="shared" si="61"/>
        <v>0000</v>
      </c>
      <c r="AW295" s="91" t="str">
        <f t="shared" si="62"/>
        <v>0000</v>
      </c>
      <c r="AX295" s="91" t="str">
        <f t="shared" si="63"/>
        <v>0000</v>
      </c>
    </row>
    <row r="296" spans="1:50" s="83" customFormat="1" ht="14.1" customHeight="1">
      <c r="A296" s="82"/>
      <c r="B296" s="84">
        <v>3</v>
      </c>
      <c r="C296" s="107">
        <v>0</v>
      </c>
      <c r="D296" s="107">
        <v>0</v>
      </c>
      <c r="E296" s="107">
        <v>0</v>
      </c>
      <c r="F296" s="107">
        <v>0</v>
      </c>
      <c r="G296" s="107">
        <v>0</v>
      </c>
      <c r="H296" s="107">
        <v>0</v>
      </c>
      <c r="I296" s="107">
        <v>0</v>
      </c>
      <c r="J296" s="107">
        <v>0</v>
      </c>
      <c r="K296" s="107">
        <v>0</v>
      </c>
      <c r="L296" s="107">
        <v>0</v>
      </c>
      <c r="M296" s="107">
        <v>0</v>
      </c>
      <c r="N296" s="107">
        <v>0</v>
      </c>
      <c r="O296" s="107">
        <v>0</v>
      </c>
      <c r="P296" s="107">
        <v>0</v>
      </c>
      <c r="Q296" s="107">
        <v>0</v>
      </c>
      <c r="R296" s="107">
        <v>0</v>
      </c>
      <c r="S296" s="107">
        <v>0</v>
      </c>
      <c r="T296" s="107">
        <v>0</v>
      </c>
      <c r="U296" s="107">
        <v>0</v>
      </c>
      <c r="V296" s="107">
        <v>0</v>
      </c>
      <c r="W296" s="107">
        <v>0</v>
      </c>
      <c r="X296" s="107">
        <v>0</v>
      </c>
      <c r="Y296" s="107">
        <v>0</v>
      </c>
      <c r="Z296" s="107">
        <v>0</v>
      </c>
      <c r="AA296" s="107">
        <v>0</v>
      </c>
      <c r="AB296" s="107">
        <v>0</v>
      </c>
      <c r="AC296" s="107">
        <v>0</v>
      </c>
      <c r="AD296" s="107">
        <v>0</v>
      </c>
      <c r="AE296" s="107">
        <v>0</v>
      </c>
      <c r="AF296" s="107">
        <v>0</v>
      </c>
      <c r="AG296" s="107">
        <v>0</v>
      </c>
      <c r="AH296" s="107">
        <v>0</v>
      </c>
      <c r="AP296" s="92">
        <f t="shared" si="64"/>
        <v>3</v>
      </c>
      <c r="AQ296" s="91" t="str">
        <f t="shared" si="65"/>
        <v>0000</v>
      </c>
      <c r="AR296" s="91" t="str">
        <f t="shared" si="66"/>
        <v>0000</v>
      </c>
      <c r="AS296" s="91" t="str">
        <f t="shared" si="67"/>
        <v>0000</v>
      </c>
      <c r="AT296" s="91" t="str">
        <f t="shared" si="68"/>
        <v>0000</v>
      </c>
      <c r="AU296" s="91" t="str">
        <f t="shared" si="60"/>
        <v>0000</v>
      </c>
      <c r="AV296" s="91" t="str">
        <f t="shared" si="61"/>
        <v>0000</v>
      </c>
      <c r="AW296" s="91" t="str">
        <f t="shared" si="62"/>
        <v>0000</v>
      </c>
      <c r="AX296" s="91" t="str">
        <f t="shared" si="63"/>
        <v>0000</v>
      </c>
    </row>
    <row r="297" spans="1:50" s="83" customFormat="1" ht="14.1" customHeight="1">
      <c r="A297" s="82"/>
      <c r="B297" s="84">
        <v>4</v>
      </c>
      <c r="C297" s="107">
        <v>0</v>
      </c>
      <c r="D297" s="107">
        <v>0</v>
      </c>
      <c r="E297" s="107">
        <v>0</v>
      </c>
      <c r="F297" s="107">
        <v>0</v>
      </c>
      <c r="G297" s="107">
        <v>0</v>
      </c>
      <c r="H297" s="107">
        <v>0</v>
      </c>
      <c r="I297" s="107">
        <v>0</v>
      </c>
      <c r="J297" s="107">
        <v>0</v>
      </c>
      <c r="K297" s="107">
        <v>0</v>
      </c>
      <c r="L297" s="107">
        <v>0</v>
      </c>
      <c r="M297" s="107">
        <v>0</v>
      </c>
      <c r="N297" s="107">
        <v>0</v>
      </c>
      <c r="O297" s="107">
        <v>0</v>
      </c>
      <c r="P297" s="107">
        <v>0</v>
      </c>
      <c r="Q297" s="107">
        <v>0</v>
      </c>
      <c r="R297" s="107">
        <v>0</v>
      </c>
      <c r="S297" s="107">
        <v>0</v>
      </c>
      <c r="T297" s="107">
        <v>0</v>
      </c>
      <c r="U297" s="107">
        <v>0</v>
      </c>
      <c r="V297" s="107">
        <v>0</v>
      </c>
      <c r="W297" s="107">
        <v>0</v>
      </c>
      <c r="X297" s="107">
        <v>0</v>
      </c>
      <c r="Y297" s="107">
        <v>0</v>
      </c>
      <c r="Z297" s="107">
        <v>0</v>
      </c>
      <c r="AA297" s="107">
        <v>0</v>
      </c>
      <c r="AB297" s="107">
        <v>0</v>
      </c>
      <c r="AC297" s="107">
        <v>0</v>
      </c>
      <c r="AD297" s="107">
        <v>0</v>
      </c>
      <c r="AE297" s="107">
        <v>0</v>
      </c>
      <c r="AF297" s="107">
        <v>0</v>
      </c>
      <c r="AG297" s="107">
        <v>0</v>
      </c>
      <c r="AH297" s="107">
        <v>0</v>
      </c>
      <c r="AP297" s="92">
        <f t="shared" si="64"/>
        <v>4</v>
      </c>
      <c r="AQ297" s="91" t="str">
        <f t="shared" si="65"/>
        <v>0000</v>
      </c>
      <c r="AR297" s="91" t="str">
        <f t="shared" si="66"/>
        <v>0000</v>
      </c>
      <c r="AS297" s="91" t="str">
        <f t="shared" si="67"/>
        <v>0000</v>
      </c>
      <c r="AT297" s="91" t="str">
        <f t="shared" si="68"/>
        <v>0000</v>
      </c>
      <c r="AU297" s="91" t="str">
        <f t="shared" si="60"/>
        <v>0000</v>
      </c>
      <c r="AV297" s="91" t="str">
        <f t="shared" si="61"/>
        <v>0000</v>
      </c>
      <c r="AW297" s="91" t="str">
        <f t="shared" si="62"/>
        <v>0000</v>
      </c>
      <c r="AX297" s="91" t="str">
        <f t="shared" si="63"/>
        <v>0000</v>
      </c>
    </row>
    <row r="298" spans="1:50" s="83" customFormat="1" ht="14.1" customHeight="1">
      <c r="A298" s="82"/>
      <c r="B298" s="84">
        <v>5</v>
      </c>
      <c r="C298" s="107">
        <v>0</v>
      </c>
      <c r="D298" s="107">
        <v>0</v>
      </c>
      <c r="E298" s="107">
        <v>0</v>
      </c>
      <c r="F298" s="107">
        <v>0</v>
      </c>
      <c r="G298" s="107">
        <v>0</v>
      </c>
      <c r="H298" s="107">
        <v>0</v>
      </c>
      <c r="I298" s="107">
        <v>0</v>
      </c>
      <c r="J298" s="107">
        <v>0</v>
      </c>
      <c r="K298" s="107">
        <v>0</v>
      </c>
      <c r="L298" s="107">
        <v>0</v>
      </c>
      <c r="M298" s="107">
        <v>0</v>
      </c>
      <c r="N298" s="107">
        <v>0</v>
      </c>
      <c r="O298" s="107">
        <v>0</v>
      </c>
      <c r="P298" s="107">
        <v>0</v>
      </c>
      <c r="Q298" s="107">
        <v>0</v>
      </c>
      <c r="R298" s="107">
        <v>0</v>
      </c>
      <c r="S298" s="107">
        <v>0</v>
      </c>
      <c r="T298" s="107">
        <v>0</v>
      </c>
      <c r="U298" s="107">
        <v>0</v>
      </c>
      <c r="V298" s="107">
        <v>0</v>
      </c>
      <c r="W298" s="107">
        <v>0</v>
      </c>
      <c r="X298" s="107">
        <v>0</v>
      </c>
      <c r="Y298" s="107">
        <v>0</v>
      </c>
      <c r="Z298" s="107">
        <v>0</v>
      </c>
      <c r="AA298" s="107">
        <v>0</v>
      </c>
      <c r="AB298" s="107">
        <v>0</v>
      </c>
      <c r="AC298" s="107">
        <v>0</v>
      </c>
      <c r="AD298" s="107">
        <v>0</v>
      </c>
      <c r="AE298" s="107">
        <v>0</v>
      </c>
      <c r="AF298" s="107">
        <v>0</v>
      </c>
      <c r="AG298" s="107">
        <v>0</v>
      </c>
      <c r="AH298" s="107">
        <v>0</v>
      </c>
      <c r="AP298" s="92">
        <f t="shared" si="64"/>
        <v>5</v>
      </c>
      <c r="AQ298" s="91" t="str">
        <f t="shared" si="65"/>
        <v>0000</v>
      </c>
      <c r="AR298" s="91" t="str">
        <f t="shared" si="66"/>
        <v>0000</v>
      </c>
      <c r="AS298" s="91" t="str">
        <f t="shared" si="67"/>
        <v>0000</v>
      </c>
      <c r="AT298" s="91" t="str">
        <f t="shared" si="68"/>
        <v>0000</v>
      </c>
      <c r="AU298" s="91" t="str">
        <f t="shared" si="60"/>
        <v>0000</v>
      </c>
      <c r="AV298" s="91" t="str">
        <f t="shared" si="61"/>
        <v>0000</v>
      </c>
      <c r="AW298" s="91" t="str">
        <f t="shared" si="62"/>
        <v>0000</v>
      </c>
      <c r="AX298" s="91" t="str">
        <f t="shared" si="63"/>
        <v>0000</v>
      </c>
    </row>
    <row r="299" spans="1:50" s="83" customFormat="1" ht="14.1" customHeight="1">
      <c r="A299" s="82"/>
      <c r="B299" s="84">
        <v>6</v>
      </c>
      <c r="C299" s="107">
        <v>0</v>
      </c>
      <c r="D299" s="107">
        <v>0</v>
      </c>
      <c r="E299" s="107">
        <v>0</v>
      </c>
      <c r="F299" s="107">
        <v>0</v>
      </c>
      <c r="G299" s="107">
        <v>0</v>
      </c>
      <c r="H299" s="107">
        <v>0</v>
      </c>
      <c r="I299" s="107">
        <v>0</v>
      </c>
      <c r="J299" s="107">
        <v>0</v>
      </c>
      <c r="K299" s="107">
        <v>0</v>
      </c>
      <c r="L299" s="107">
        <v>0</v>
      </c>
      <c r="M299" s="107">
        <v>0</v>
      </c>
      <c r="N299" s="107">
        <v>0</v>
      </c>
      <c r="O299" s="107">
        <v>0</v>
      </c>
      <c r="P299" s="107">
        <v>0</v>
      </c>
      <c r="Q299" s="107">
        <v>0</v>
      </c>
      <c r="R299" s="107">
        <v>0</v>
      </c>
      <c r="S299" s="107">
        <v>0</v>
      </c>
      <c r="T299" s="107">
        <v>0</v>
      </c>
      <c r="U299" s="107">
        <v>0</v>
      </c>
      <c r="V299" s="107">
        <v>0</v>
      </c>
      <c r="W299" s="107">
        <v>0</v>
      </c>
      <c r="X299" s="107">
        <v>0</v>
      </c>
      <c r="Y299" s="107">
        <v>0</v>
      </c>
      <c r="Z299" s="107">
        <v>0</v>
      </c>
      <c r="AA299" s="107">
        <v>0</v>
      </c>
      <c r="AB299" s="107">
        <v>0</v>
      </c>
      <c r="AC299" s="107">
        <v>0</v>
      </c>
      <c r="AD299" s="107">
        <v>0</v>
      </c>
      <c r="AE299" s="107">
        <v>0</v>
      </c>
      <c r="AF299" s="107">
        <v>0</v>
      </c>
      <c r="AG299" s="107">
        <v>0</v>
      </c>
      <c r="AH299" s="107">
        <v>0</v>
      </c>
      <c r="AP299" s="92">
        <f t="shared" si="64"/>
        <v>6</v>
      </c>
      <c r="AQ299" s="91" t="str">
        <f t="shared" si="65"/>
        <v>0000</v>
      </c>
      <c r="AR299" s="91" t="str">
        <f t="shared" si="66"/>
        <v>0000</v>
      </c>
      <c r="AS299" s="91" t="str">
        <f t="shared" si="67"/>
        <v>0000</v>
      </c>
      <c r="AT299" s="91" t="str">
        <f t="shared" si="68"/>
        <v>0000</v>
      </c>
      <c r="AU299" s="91" t="str">
        <f t="shared" si="60"/>
        <v>0000</v>
      </c>
      <c r="AV299" s="91" t="str">
        <f t="shared" si="61"/>
        <v>0000</v>
      </c>
      <c r="AW299" s="91" t="str">
        <f t="shared" si="62"/>
        <v>0000</v>
      </c>
      <c r="AX299" s="91" t="str">
        <f t="shared" si="63"/>
        <v>0000</v>
      </c>
    </row>
    <row r="300" spans="1:50" s="83" customFormat="1" ht="14.1" customHeight="1">
      <c r="A300" s="82"/>
      <c r="B300" s="84">
        <v>7</v>
      </c>
      <c r="C300" s="107">
        <v>0</v>
      </c>
      <c r="D300" s="107">
        <v>0</v>
      </c>
      <c r="E300" s="107">
        <v>0</v>
      </c>
      <c r="F300" s="107">
        <v>0</v>
      </c>
      <c r="G300" s="107">
        <v>0</v>
      </c>
      <c r="H300" s="107">
        <v>0</v>
      </c>
      <c r="I300" s="107">
        <v>0</v>
      </c>
      <c r="J300" s="107">
        <v>0</v>
      </c>
      <c r="K300" s="107">
        <v>0</v>
      </c>
      <c r="L300" s="107">
        <v>0</v>
      </c>
      <c r="M300" s="107">
        <v>0</v>
      </c>
      <c r="N300" s="107">
        <v>0</v>
      </c>
      <c r="O300" s="107">
        <v>0</v>
      </c>
      <c r="P300" s="107">
        <v>0</v>
      </c>
      <c r="Q300" s="107">
        <v>0</v>
      </c>
      <c r="R300" s="107">
        <v>0</v>
      </c>
      <c r="S300" s="107">
        <v>0</v>
      </c>
      <c r="T300" s="107">
        <v>0</v>
      </c>
      <c r="U300" s="107">
        <v>0</v>
      </c>
      <c r="V300" s="107">
        <v>0</v>
      </c>
      <c r="W300" s="107">
        <v>0</v>
      </c>
      <c r="X300" s="107">
        <v>0</v>
      </c>
      <c r="Y300" s="107">
        <v>0</v>
      </c>
      <c r="Z300" s="107">
        <v>0</v>
      </c>
      <c r="AA300" s="107">
        <v>0</v>
      </c>
      <c r="AB300" s="107">
        <v>0</v>
      </c>
      <c r="AC300" s="107">
        <v>0</v>
      </c>
      <c r="AD300" s="107">
        <v>0</v>
      </c>
      <c r="AE300" s="107">
        <v>0</v>
      </c>
      <c r="AF300" s="107">
        <v>0</v>
      </c>
      <c r="AG300" s="107">
        <v>0</v>
      </c>
      <c r="AH300" s="107">
        <v>0</v>
      </c>
      <c r="AP300" s="92">
        <f t="shared" si="64"/>
        <v>7</v>
      </c>
      <c r="AQ300" s="91" t="str">
        <f t="shared" si="65"/>
        <v>0000</v>
      </c>
      <c r="AR300" s="91" t="str">
        <f t="shared" si="66"/>
        <v>0000</v>
      </c>
      <c r="AS300" s="91" t="str">
        <f t="shared" si="67"/>
        <v>0000</v>
      </c>
      <c r="AT300" s="91" t="str">
        <f t="shared" si="68"/>
        <v>0000</v>
      </c>
      <c r="AU300" s="91" t="str">
        <f t="shared" si="60"/>
        <v>0000</v>
      </c>
      <c r="AV300" s="91" t="str">
        <f t="shared" si="61"/>
        <v>0000</v>
      </c>
      <c r="AW300" s="91" t="str">
        <f t="shared" si="62"/>
        <v>0000</v>
      </c>
      <c r="AX300" s="91" t="str">
        <f t="shared" si="63"/>
        <v>0000</v>
      </c>
    </row>
    <row r="301" spans="1:50" s="83" customFormat="1" ht="14.1" customHeight="1">
      <c r="A301" s="82"/>
      <c r="B301" s="84">
        <v>8</v>
      </c>
      <c r="C301" s="107">
        <v>0</v>
      </c>
      <c r="D301" s="107">
        <v>0</v>
      </c>
      <c r="E301" s="107">
        <v>0</v>
      </c>
      <c r="F301" s="107">
        <v>0</v>
      </c>
      <c r="G301" s="107">
        <v>0</v>
      </c>
      <c r="H301" s="107">
        <v>0</v>
      </c>
      <c r="I301" s="107">
        <v>0</v>
      </c>
      <c r="J301" s="107">
        <v>0</v>
      </c>
      <c r="K301" s="107">
        <v>0</v>
      </c>
      <c r="L301" s="107">
        <v>0</v>
      </c>
      <c r="M301" s="107">
        <v>0</v>
      </c>
      <c r="N301" s="107">
        <v>0</v>
      </c>
      <c r="O301" s="107">
        <v>0</v>
      </c>
      <c r="P301" s="107">
        <v>0</v>
      </c>
      <c r="Q301" s="107">
        <v>0</v>
      </c>
      <c r="R301" s="107">
        <v>0</v>
      </c>
      <c r="S301" s="107">
        <v>0</v>
      </c>
      <c r="T301" s="107">
        <v>0</v>
      </c>
      <c r="U301" s="107">
        <v>0</v>
      </c>
      <c r="V301" s="107">
        <v>0</v>
      </c>
      <c r="W301" s="107">
        <v>0</v>
      </c>
      <c r="X301" s="107">
        <v>0</v>
      </c>
      <c r="Y301" s="107">
        <v>0</v>
      </c>
      <c r="Z301" s="107">
        <v>0</v>
      </c>
      <c r="AA301" s="107">
        <v>0</v>
      </c>
      <c r="AB301" s="107">
        <v>0</v>
      </c>
      <c r="AC301" s="107">
        <v>0</v>
      </c>
      <c r="AD301" s="107">
        <v>0</v>
      </c>
      <c r="AE301" s="107">
        <v>0</v>
      </c>
      <c r="AF301" s="107">
        <v>0</v>
      </c>
      <c r="AG301" s="107">
        <v>0</v>
      </c>
      <c r="AH301" s="107">
        <v>0</v>
      </c>
      <c r="AP301" s="92">
        <f t="shared" si="64"/>
        <v>8</v>
      </c>
      <c r="AQ301" s="91" t="str">
        <f t="shared" si="65"/>
        <v>0000</v>
      </c>
      <c r="AR301" s="91" t="str">
        <f t="shared" si="66"/>
        <v>0000</v>
      </c>
      <c r="AS301" s="91" t="str">
        <f t="shared" si="67"/>
        <v>0000</v>
      </c>
      <c r="AT301" s="91" t="str">
        <f t="shared" si="68"/>
        <v>0000</v>
      </c>
      <c r="AU301" s="91" t="str">
        <f t="shared" si="60"/>
        <v>0000</v>
      </c>
      <c r="AV301" s="91" t="str">
        <f t="shared" si="61"/>
        <v>0000</v>
      </c>
      <c r="AW301" s="91" t="str">
        <f t="shared" si="62"/>
        <v>0000</v>
      </c>
      <c r="AX301" s="91" t="str">
        <f t="shared" si="63"/>
        <v>0000</v>
      </c>
    </row>
    <row r="302" spans="1:50" s="83" customFormat="1" ht="14.1" customHeight="1">
      <c r="A302" s="82"/>
      <c r="B302" s="84">
        <v>9</v>
      </c>
      <c r="C302" s="107">
        <v>0</v>
      </c>
      <c r="D302" s="107">
        <v>0</v>
      </c>
      <c r="E302" s="107">
        <v>0</v>
      </c>
      <c r="F302" s="107">
        <v>0</v>
      </c>
      <c r="G302" s="107">
        <v>0</v>
      </c>
      <c r="H302" s="107">
        <v>0</v>
      </c>
      <c r="I302" s="107">
        <v>0</v>
      </c>
      <c r="J302" s="107">
        <v>0</v>
      </c>
      <c r="K302" s="107">
        <v>0</v>
      </c>
      <c r="L302" s="107">
        <v>0</v>
      </c>
      <c r="M302" s="107">
        <v>0</v>
      </c>
      <c r="N302" s="107">
        <v>0</v>
      </c>
      <c r="O302" s="107">
        <v>0</v>
      </c>
      <c r="P302" s="107">
        <v>0</v>
      </c>
      <c r="Q302" s="107">
        <v>0</v>
      </c>
      <c r="R302" s="107">
        <v>0</v>
      </c>
      <c r="S302" s="107">
        <v>0</v>
      </c>
      <c r="T302" s="107">
        <v>0</v>
      </c>
      <c r="U302" s="107">
        <v>0</v>
      </c>
      <c r="V302" s="107">
        <v>0</v>
      </c>
      <c r="W302" s="107">
        <v>0</v>
      </c>
      <c r="X302" s="107">
        <v>0</v>
      </c>
      <c r="Y302" s="107">
        <v>0</v>
      </c>
      <c r="Z302" s="107">
        <v>0</v>
      </c>
      <c r="AA302" s="107">
        <v>0</v>
      </c>
      <c r="AB302" s="107">
        <v>0</v>
      </c>
      <c r="AC302" s="107">
        <v>0</v>
      </c>
      <c r="AD302" s="107">
        <v>0</v>
      </c>
      <c r="AE302" s="107">
        <v>0</v>
      </c>
      <c r="AF302" s="107">
        <v>0</v>
      </c>
      <c r="AG302" s="107">
        <v>0</v>
      </c>
      <c r="AH302" s="107">
        <v>0</v>
      </c>
      <c r="AP302" s="92">
        <f t="shared" si="64"/>
        <v>9</v>
      </c>
      <c r="AQ302" s="91" t="str">
        <f t="shared" si="65"/>
        <v>0000</v>
      </c>
      <c r="AR302" s="91" t="str">
        <f t="shared" si="66"/>
        <v>0000</v>
      </c>
      <c r="AS302" s="91" t="str">
        <f t="shared" si="67"/>
        <v>0000</v>
      </c>
      <c r="AT302" s="91" t="str">
        <f t="shared" si="68"/>
        <v>0000</v>
      </c>
      <c r="AU302" s="91" t="str">
        <f t="shared" si="60"/>
        <v>0000</v>
      </c>
      <c r="AV302" s="91" t="str">
        <f t="shared" si="61"/>
        <v>0000</v>
      </c>
      <c r="AW302" s="91" t="str">
        <f t="shared" si="62"/>
        <v>0000</v>
      </c>
      <c r="AX302" s="91" t="str">
        <f t="shared" si="63"/>
        <v>0000</v>
      </c>
    </row>
    <row r="303" spans="1:50" s="83" customFormat="1" ht="14.1" customHeight="1">
      <c r="A303" s="82"/>
      <c r="B303" s="84">
        <v>10</v>
      </c>
      <c r="C303" s="107">
        <v>0</v>
      </c>
      <c r="D303" s="107">
        <v>0</v>
      </c>
      <c r="E303" s="107">
        <v>0</v>
      </c>
      <c r="F303" s="107">
        <v>0</v>
      </c>
      <c r="G303" s="107">
        <v>0</v>
      </c>
      <c r="H303" s="107">
        <v>0</v>
      </c>
      <c r="I303" s="107">
        <v>0</v>
      </c>
      <c r="J303" s="107">
        <v>0</v>
      </c>
      <c r="K303" s="107">
        <v>0</v>
      </c>
      <c r="L303" s="107">
        <v>0</v>
      </c>
      <c r="M303" s="107">
        <v>0</v>
      </c>
      <c r="N303" s="107">
        <v>0</v>
      </c>
      <c r="O303" s="107">
        <v>0</v>
      </c>
      <c r="P303" s="107">
        <v>0</v>
      </c>
      <c r="Q303" s="107">
        <v>0</v>
      </c>
      <c r="R303" s="107">
        <v>0</v>
      </c>
      <c r="S303" s="107">
        <v>0</v>
      </c>
      <c r="T303" s="107">
        <v>0</v>
      </c>
      <c r="U303" s="107">
        <v>0</v>
      </c>
      <c r="V303" s="107">
        <v>0</v>
      </c>
      <c r="W303" s="107">
        <v>0</v>
      </c>
      <c r="X303" s="107">
        <v>0</v>
      </c>
      <c r="Y303" s="107">
        <v>0</v>
      </c>
      <c r="Z303" s="107">
        <v>0</v>
      </c>
      <c r="AA303" s="107">
        <v>0</v>
      </c>
      <c r="AB303" s="107">
        <v>0</v>
      </c>
      <c r="AC303" s="107">
        <v>0</v>
      </c>
      <c r="AD303" s="107">
        <v>0</v>
      </c>
      <c r="AE303" s="107">
        <v>0</v>
      </c>
      <c r="AF303" s="107">
        <v>0</v>
      </c>
      <c r="AG303" s="107">
        <v>0</v>
      </c>
      <c r="AH303" s="107">
        <v>0</v>
      </c>
      <c r="AP303" s="92">
        <f t="shared" si="64"/>
        <v>10</v>
      </c>
      <c r="AQ303" s="91" t="str">
        <f t="shared" si="65"/>
        <v>0000</v>
      </c>
      <c r="AR303" s="91" t="str">
        <f t="shared" si="66"/>
        <v>0000</v>
      </c>
      <c r="AS303" s="91" t="str">
        <f t="shared" si="67"/>
        <v>0000</v>
      </c>
      <c r="AT303" s="91" t="str">
        <f t="shared" si="68"/>
        <v>0000</v>
      </c>
      <c r="AU303" s="91" t="str">
        <f t="shared" si="60"/>
        <v>0000</v>
      </c>
      <c r="AV303" s="91" t="str">
        <f t="shared" si="61"/>
        <v>0000</v>
      </c>
      <c r="AW303" s="91" t="str">
        <f t="shared" si="62"/>
        <v>0000</v>
      </c>
      <c r="AX303" s="91" t="str">
        <f t="shared" si="63"/>
        <v>0000</v>
      </c>
    </row>
    <row r="304" spans="1:50" s="83" customFormat="1" ht="14.1" customHeight="1">
      <c r="A304" s="82"/>
      <c r="B304" s="84">
        <v>11</v>
      </c>
      <c r="C304" s="107">
        <v>0</v>
      </c>
      <c r="D304" s="107">
        <v>0</v>
      </c>
      <c r="E304" s="107">
        <v>0</v>
      </c>
      <c r="F304" s="107">
        <v>0</v>
      </c>
      <c r="G304" s="107">
        <v>0</v>
      </c>
      <c r="H304" s="107">
        <v>0</v>
      </c>
      <c r="I304" s="107">
        <v>0</v>
      </c>
      <c r="J304" s="107">
        <v>0</v>
      </c>
      <c r="K304" s="107">
        <v>0</v>
      </c>
      <c r="L304" s="107">
        <v>0</v>
      </c>
      <c r="M304" s="107">
        <v>0</v>
      </c>
      <c r="N304" s="107">
        <v>0</v>
      </c>
      <c r="O304" s="107">
        <v>1</v>
      </c>
      <c r="P304" s="107">
        <v>1</v>
      </c>
      <c r="Q304" s="107">
        <v>0</v>
      </c>
      <c r="R304" s="107">
        <v>0</v>
      </c>
      <c r="S304" s="107">
        <v>0</v>
      </c>
      <c r="T304" s="107">
        <v>0</v>
      </c>
      <c r="U304" s="107">
        <v>1</v>
      </c>
      <c r="V304" s="107">
        <v>1</v>
      </c>
      <c r="W304" s="107">
        <v>0</v>
      </c>
      <c r="X304" s="107">
        <v>0</v>
      </c>
      <c r="Y304" s="107">
        <v>0</v>
      </c>
      <c r="Z304" s="107">
        <v>0</v>
      </c>
      <c r="AA304" s="107">
        <v>0</v>
      </c>
      <c r="AB304" s="107">
        <v>0</v>
      </c>
      <c r="AC304" s="107">
        <v>0</v>
      </c>
      <c r="AD304" s="107">
        <v>0</v>
      </c>
      <c r="AE304" s="107">
        <v>0</v>
      </c>
      <c r="AF304" s="107">
        <v>0</v>
      </c>
      <c r="AG304" s="107">
        <v>0</v>
      </c>
      <c r="AH304" s="107">
        <v>0</v>
      </c>
      <c r="AP304" s="92">
        <f t="shared" si="64"/>
        <v>11</v>
      </c>
      <c r="AQ304" s="91" t="str">
        <f t="shared" si="65"/>
        <v>0000</v>
      </c>
      <c r="AR304" s="91" t="str">
        <f t="shared" si="66"/>
        <v>0000</v>
      </c>
      <c r="AS304" s="91" t="str">
        <f t="shared" si="67"/>
        <v>0000</v>
      </c>
      <c r="AT304" s="91" t="str">
        <f t="shared" si="68"/>
        <v>1100</v>
      </c>
      <c r="AU304" s="91" t="str">
        <f t="shared" si="60"/>
        <v>0011</v>
      </c>
      <c r="AV304" s="91" t="str">
        <f t="shared" si="61"/>
        <v>0000</v>
      </c>
      <c r="AW304" s="91" t="str">
        <f t="shared" si="62"/>
        <v>0000</v>
      </c>
      <c r="AX304" s="91" t="str">
        <f t="shared" si="63"/>
        <v>0000</v>
      </c>
    </row>
    <row r="305" spans="1:50" s="83" customFormat="1" ht="14.1" customHeight="1">
      <c r="A305" s="82"/>
      <c r="B305" s="84">
        <v>12</v>
      </c>
      <c r="C305" s="107">
        <v>0</v>
      </c>
      <c r="D305" s="107">
        <v>0</v>
      </c>
      <c r="E305" s="107">
        <v>0</v>
      </c>
      <c r="F305" s="107">
        <v>0</v>
      </c>
      <c r="G305" s="107">
        <v>0</v>
      </c>
      <c r="H305" s="107">
        <v>0</v>
      </c>
      <c r="I305" s="107">
        <v>0</v>
      </c>
      <c r="J305" s="107">
        <v>0</v>
      </c>
      <c r="K305" s="107">
        <v>0</v>
      </c>
      <c r="L305" s="107">
        <v>0</v>
      </c>
      <c r="M305" s="107">
        <v>0</v>
      </c>
      <c r="N305" s="107">
        <v>0</v>
      </c>
      <c r="O305" s="107">
        <v>0</v>
      </c>
      <c r="P305" s="107">
        <v>0</v>
      </c>
      <c r="Q305" s="107">
        <v>0</v>
      </c>
      <c r="R305" s="107">
        <v>0</v>
      </c>
      <c r="S305" s="107">
        <v>0</v>
      </c>
      <c r="T305" s="107">
        <v>0</v>
      </c>
      <c r="U305" s="107">
        <v>0</v>
      </c>
      <c r="V305" s="107">
        <v>0</v>
      </c>
      <c r="W305" s="107">
        <v>0</v>
      </c>
      <c r="X305" s="107">
        <v>0</v>
      </c>
      <c r="Y305" s="107">
        <v>0</v>
      </c>
      <c r="Z305" s="107">
        <v>0</v>
      </c>
      <c r="AA305" s="107">
        <v>0</v>
      </c>
      <c r="AB305" s="107">
        <v>0</v>
      </c>
      <c r="AC305" s="107">
        <v>0</v>
      </c>
      <c r="AD305" s="107">
        <v>0</v>
      </c>
      <c r="AE305" s="107">
        <v>0</v>
      </c>
      <c r="AF305" s="107">
        <v>0</v>
      </c>
      <c r="AG305" s="107">
        <v>0</v>
      </c>
      <c r="AH305" s="107">
        <v>0</v>
      </c>
      <c r="AP305" s="92">
        <f t="shared" si="64"/>
        <v>12</v>
      </c>
      <c r="AQ305" s="91" t="str">
        <f t="shared" si="65"/>
        <v>0000</v>
      </c>
      <c r="AR305" s="91" t="str">
        <f t="shared" si="66"/>
        <v>0000</v>
      </c>
      <c r="AS305" s="91" t="str">
        <f t="shared" si="67"/>
        <v>0000</v>
      </c>
      <c r="AT305" s="91" t="str">
        <f t="shared" si="68"/>
        <v>0000</v>
      </c>
      <c r="AU305" s="91" t="str">
        <f t="shared" si="60"/>
        <v>0000</v>
      </c>
      <c r="AV305" s="91" t="str">
        <f t="shared" si="61"/>
        <v>0000</v>
      </c>
      <c r="AW305" s="91" t="str">
        <f t="shared" si="62"/>
        <v>0000</v>
      </c>
      <c r="AX305" s="91" t="str">
        <f t="shared" si="63"/>
        <v>0000</v>
      </c>
    </row>
    <row r="306" spans="1:50" s="83" customFormat="1" ht="14.1" customHeight="1">
      <c r="A306" s="82"/>
      <c r="B306" s="84">
        <v>13</v>
      </c>
      <c r="C306" s="107">
        <v>0</v>
      </c>
      <c r="D306" s="107">
        <v>0</v>
      </c>
      <c r="E306" s="107">
        <v>0</v>
      </c>
      <c r="F306" s="107">
        <v>0</v>
      </c>
      <c r="G306" s="107">
        <v>0</v>
      </c>
      <c r="H306" s="107">
        <v>0</v>
      </c>
      <c r="I306" s="107">
        <v>0</v>
      </c>
      <c r="J306" s="107">
        <v>0</v>
      </c>
      <c r="K306" s="107">
        <v>0</v>
      </c>
      <c r="L306" s="107">
        <v>0</v>
      </c>
      <c r="M306" s="107">
        <v>0</v>
      </c>
      <c r="N306" s="107">
        <v>0</v>
      </c>
      <c r="O306" s="107">
        <v>0</v>
      </c>
      <c r="P306" s="107">
        <v>0</v>
      </c>
      <c r="Q306" s="107">
        <v>0</v>
      </c>
      <c r="R306" s="107">
        <v>0</v>
      </c>
      <c r="S306" s="107">
        <v>0</v>
      </c>
      <c r="T306" s="107">
        <v>0</v>
      </c>
      <c r="U306" s="107">
        <v>0</v>
      </c>
      <c r="V306" s="107">
        <v>0</v>
      </c>
      <c r="W306" s="107">
        <v>0</v>
      </c>
      <c r="X306" s="107">
        <v>0</v>
      </c>
      <c r="Y306" s="107">
        <v>0</v>
      </c>
      <c r="Z306" s="107">
        <v>0</v>
      </c>
      <c r="AA306" s="107">
        <v>0</v>
      </c>
      <c r="AB306" s="107">
        <v>0</v>
      </c>
      <c r="AC306" s="107">
        <v>0</v>
      </c>
      <c r="AD306" s="107">
        <v>0</v>
      </c>
      <c r="AE306" s="107">
        <v>0</v>
      </c>
      <c r="AF306" s="107">
        <v>0</v>
      </c>
      <c r="AG306" s="107">
        <v>0</v>
      </c>
      <c r="AH306" s="107">
        <v>0</v>
      </c>
      <c r="AP306" s="92">
        <f t="shared" si="64"/>
        <v>13</v>
      </c>
      <c r="AQ306" s="91" t="str">
        <f t="shared" si="65"/>
        <v>0000</v>
      </c>
      <c r="AR306" s="91" t="str">
        <f t="shared" si="66"/>
        <v>0000</v>
      </c>
      <c r="AS306" s="91" t="str">
        <f t="shared" si="67"/>
        <v>0000</v>
      </c>
      <c r="AT306" s="91" t="str">
        <f t="shared" si="68"/>
        <v>0000</v>
      </c>
      <c r="AU306" s="91" t="str">
        <f t="shared" si="60"/>
        <v>0000</v>
      </c>
      <c r="AV306" s="91" t="str">
        <f t="shared" si="61"/>
        <v>0000</v>
      </c>
      <c r="AW306" s="91" t="str">
        <f t="shared" si="62"/>
        <v>0000</v>
      </c>
      <c r="AX306" s="91" t="str">
        <f t="shared" si="63"/>
        <v>0000</v>
      </c>
    </row>
    <row r="307" spans="1:50" s="83" customFormat="1" ht="14.1" customHeight="1">
      <c r="A307" s="82"/>
      <c r="B307" s="84">
        <v>14</v>
      </c>
      <c r="C307" s="107">
        <v>0</v>
      </c>
      <c r="D307" s="107">
        <v>0</v>
      </c>
      <c r="E307" s="107">
        <v>0</v>
      </c>
      <c r="F307" s="107">
        <v>0</v>
      </c>
      <c r="G307" s="107">
        <v>0</v>
      </c>
      <c r="H307" s="107">
        <v>0</v>
      </c>
      <c r="I307" s="107">
        <v>0</v>
      </c>
      <c r="J307" s="107">
        <v>0</v>
      </c>
      <c r="K307" s="107">
        <v>0</v>
      </c>
      <c r="L307" s="107">
        <v>0</v>
      </c>
      <c r="M307" s="107">
        <v>0</v>
      </c>
      <c r="N307" s="107">
        <v>0</v>
      </c>
      <c r="O307" s="107">
        <v>0</v>
      </c>
      <c r="P307" s="107">
        <v>0</v>
      </c>
      <c r="Q307" s="107">
        <v>0</v>
      </c>
      <c r="R307" s="107">
        <v>0</v>
      </c>
      <c r="S307" s="107">
        <v>0</v>
      </c>
      <c r="T307" s="107">
        <v>0</v>
      </c>
      <c r="U307" s="107">
        <v>0</v>
      </c>
      <c r="V307" s="107">
        <v>0</v>
      </c>
      <c r="W307" s="107">
        <v>0</v>
      </c>
      <c r="X307" s="107">
        <v>0</v>
      </c>
      <c r="Y307" s="107">
        <v>0</v>
      </c>
      <c r="Z307" s="107">
        <v>0</v>
      </c>
      <c r="AA307" s="107">
        <v>0</v>
      </c>
      <c r="AB307" s="107">
        <v>0</v>
      </c>
      <c r="AC307" s="107">
        <v>0</v>
      </c>
      <c r="AD307" s="107">
        <v>0</v>
      </c>
      <c r="AE307" s="107">
        <v>0</v>
      </c>
      <c r="AF307" s="107">
        <v>0</v>
      </c>
      <c r="AG307" s="107">
        <v>0</v>
      </c>
      <c r="AH307" s="107">
        <v>0</v>
      </c>
      <c r="AP307" s="92">
        <f t="shared" si="64"/>
        <v>14</v>
      </c>
      <c r="AQ307" s="91" t="str">
        <f t="shared" si="65"/>
        <v>0000</v>
      </c>
      <c r="AR307" s="91" t="str">
        <f t="shared" si="66"/>
        <v>0000</v>
      </c>
      <c r="AS307" s="91" t="str">
        <f t="shared" si="67"/>
        <v>0000</v>
      </c>
      <c r="AT307" s="91" t="str">
        <f t="shared" si="68"/>
        <v>0000</v>
      </c>
      <c r="AU307" s="91" t="str">
        <f t="shared" si="60"/>
        <v>0000</v>
      </c>
      <c r="AV307" s="91" t="str">
        <f t="shared" si="61"/>
        <v>0000</v>
      </c>
      <c r="AW307" s="91" t="str">
        <f t="shared" si="62"/>
        <v>0000</v>
      </c>
      <c r="AX307" s="91" t="str">
        <f t="shared" si="63"/>
        <v>0000</v>
      </c>
    </row>
    <row r="308" spans="1:50" s="83" customFormat="1" ht="14.1" customHeight="1">
      <c r="A308" s="82"/>
      <c r="B308" s="84">
        <v>15</v>
      </c>
      <c r="C308" s="107">
        <v>0</v>
      </c>
      <c r="D308" s="107">
        <v>0</v>
      </c>
      <c r="E308" s="107">
        <v>0</v>
      </c>
      <c r="F308" s="107">
        <v>0</v>
      </c>
      <c r="G308" s="107">
        <v>0</v>
      </c>
      <c r="H308" s="107">
        <v>0</v>
      </c>
      <c r="I308" s="107">
        <v>0</v>
      </c>
      <c r="J308" s="107">
        <v>0</v>
      </c>
      <c r="K308" s="107">
        <v>1</v>
      </c>
      <c r="L308" s="107">
        <v>1</v>
      </c>
      <c r="M308" s="107">
        <v>0</v>
      </c>
      <c r="N308" s="107">
        <v>0</v>
      </c>
      <c r="O308" s="107">
        <v>0</v>
      </c>
      <c r="P308" s="107">
        <v>0</v>
      </c>
      <c r="Q308" s="107">
        <v>0</v>
      </c>
      <c r="R308" s="107">
        <v>0</v>
      </c>
      <c r="S308" s="107">
        <v>0</v>
      </c>
      <c r="T308" s="107">
        <v>0</v>
      </c>
      <c r="U308" s="107">
        <v>0</v>
      </c>
      <c r="V308" s="107">
        <v>0</v>
      </c>
      <c r="W308" s="107">
        <v>0</v>
      </c>
      <c r="X308" s="107">
        <v>0</v>
      </c>
      <c r="Y308" s="107">
        <v>1</v>
      </c>
      <c r="Z308" s="107">
        <v>1</v>
      </c>
      <c r="AA308" s="107">
        <v>0</v>
      </c>
      <c r="AB308" s="107">
        <v>0</v>
      </c>
      <c r="AC308" s="107">
        <v>0</v>
      </c>
      <c r="AD308" s="107">
        <v>0</v>
      </c>
      <c r="AE308" s="107">
        <v>0</v>
      </c>
      <c r="AF308" s="107">
        <v>0</v>
      </c>
      <c r="AG308" s="107">
        <v>0</v>
      </c>
      <c r="AH308" s="107">
        <v>0</v>
      </c>
      <c r="AP308" s="92">
        <f t="shared" si="64"/>
        <v>15</v>
      </c>
      <c r="AQ308" s="91" t="str">
        <f t="shared" si="65"/>
        <v>0000</v>
      </c>
      <c r="AR308" s="91" t="str">
        <f t="shared" si="66"/>
        <v>0000</v>
      </c>
      <c r="AS308" s="91" t="str">
        <f t="shared" si="67"/>
        <v>1100</v>
      </c>
      <c r="AT308" s="91" t="str">
        <f t="shared" si="68"/>
        <v>0000</v>
      </c>
      <c r="AU308" s="91" t="str">
        <f t="shared" si="60"/>
        <v>0000</v>
      </c>
      <c r="AV308" s="91" t="str">
        <f t="shared" si="61"/>
        <v>0011</v>
      </c>
      <c r="AW308" s="91" t="str">
        <f t="shared" si="62"/>
        <v>0000</v>
      </c>
      <c r="AX308" s="91" t="str">
        <f t="shared" si="63"/>
        <v>0000</v>
      </c>
    </row>
    <row r="309" spans="1:50" s="83" customFormat="1" ht="14.1" customHeight="1">
      <c r="A309" s="82"/>
      <c r="B309" s="84">
        <v>16</v>
      </c>
      <c r="C309" s="107">
        <v>0</v>
      </c>
      <c r="D309" s="107">
        <v>0</v>
      </c>
      <c r="E309" s="107">
        <v>0</v>
      </c>
      <c r="F309" s="107">
        <v>0</v>
      </c>
      <c r="G309" s="107">
        <v>0</v>
      </c>
      <c r="H309" s="107">
        <v>0</v>
      </c>
      <c r="I309" s="107">
        <v>0</v>
      </c>
      <c r="J309" s="107">
        <v>0</v>
      </c>
      <c r="K309" s="107">
        <v>0</v>
      </c>
      <c r="L309" s="107">
        <v>0</v>
      </c>
      <c r="M309" s="107">
        <v>0</v>
      </c>
      <c r="N309" s="107">
        <v>0</v>
      </c>
      <c r="O309" s="107">
        <v>0</v>
      </c>
      <c r="P309" s="107">
        <v>0</v>
      </c>
      <c r="Q309" s="107">
        <v>0</v>
      </c>
      <c r="R309" s="107">
        <v>0</v>
      </c>
      <c r="S309" s="107">
        <v>0</v>
      </c>
      <c r="T309" s="107">
        <v>0</v>
      </c>
      <c r="U309" s="107">
        <v>0</v>
      </c>
      <c r="V309" s="107">
        <v>0</v>
      </c>
      <c r="W309" s="107">
        <v>0</v>
      </c>
      <c r="X309" s="107">
        <v>0</v>
      </c>
      <c r="Y309" s="107">
        <v>0</v>
      </c>
      <c r="Z309" s="107">
        <v>0</v>
      </c>
      <c r="AA309" s="107">
        <v>0</v>
      </c>
      <c r="AB309" s="107">
        <v>0</v>
      </c>
      <c r="AC309" s="107">
        <v>0</v>
      </c>
      <c r="AD309" s="107">
        <v>0</v>
      </c>
      <c r="AE309" s="107">
        <v>0</v>
      </c>
      <c r="AF309" s="107">
        <v>0</v>
      </c>
      <c r="AG309" s="107">
        <v>0</v>
      </c>
      <c r="AH309" s="107">
        <v>0</v>
      </c>
      <c r="AP309" s="92">
        <f t="shared" si="64"/>
        <v>16</v>
      </c>
      <c r="AQ309" s="91" t="str">
        <f t="shared" si="65"/>
        <v>0000</v>
      </c>
      <c r="AR309" s="91" t="str">
        <f t="shared" si="66"/>
        <v>0000</v>
      </c>
      <c r="AS309" s="91" t="str">
        <f t="shared" si="67"/>
        <v>0000</v>
      </c>
      <c r="AT309" s="91" t="str">
        <f t="shared" si="68"/>
        <v>0000</v>
      </c>
      <c r="AU309" s="91" t="str">
        <f t="shared" si="60"/>
        <v>0000</v>
      </c>
      <c r="AV309" s="91" t="str">
        <f t="shared" si="61"/>
        <v>0000</v>
      </c>
      <c r="AW309" s="91" t="str">
        <f t="shared" si="62"/>
        <v>0000</v>
      </c>
      <c r="AX309" s="91" t="str">
        <f t="shared" si="63"/>
        <v>0000</v>
      </c>
    </row>
    <row r="310" spans="1:50" s="83" customFormat="1" ht="14.1" customHeight="1">
      <c r="A310" s="82"/>
      <c r="B310" s="84">
        <v>17</v>
      </c>
      <c r="C310" s="107">
        <v>0</v>
      </c>
      <c r="D310" s="107">
        <v>0</v>
      </c>
      <c r="E310" s="107">
        <v>0</v>
      </c>
      <c r="F310" s="107">
        <v>0</v>
      </c>
      <c r="G310" s="107">
        <v>0</v>
      </c>
      <c r="H310" s="107">
        <v>0</v>
      </c>
      <c r="I310" s="107">
        <v>0</v>
      </c>
      <c r="J310" s="107">
        <v>0</v>
      </c>
      <c r="K310" s="107">
        <v>0</v>
      </c>
      <c r="L310" s="107">
        <v>0</v>
      </c>
      <c r="M310" s="107">
        <v>0</v>
      </c>
      <c r="N310" s="107">
        <v>0</v>
      </c>
      <c r="O310" s="107">
        <v>0</v>
      </c>
      <c r="P310" s="107">
        <v>0</v>
      </c>
      <c r="Q310" s="107">
        <v>0</v>
      </c>
      <c r="R310" s="107">
        <v>0</v>
      </c>
      <c r="S310" s="107">
        <v>0</v>
      </c>
      <c r="T310" s="107">
        <v>0</v>
      </c>
      <c r="U310" s="107">
        <v>0</v>
      </c>
      <c r="V310" s="107">
        <v>0</v>
      </c>
      <c r="W310" s="107">
        <v>0</v>
      </c>
      <c r="X310" s="107">
        <v>0</v>
      </c>
      <c r="Y310" s="107">
        <v>0</v>
      </c>
      <c r="Z310" s="107">
        <v>0</v>
      </c>
      <c r="AA310" s="107">
        <v>0</v>
      </c>
      <c r="AB310" s="107">
        <v>0</v>
      </c>
      <c r="AC310" s="107">
        <v>0</v>
      </c>
      <c r="AD310" s="107">
        <v>0</v>
      </c>
      <c r="AE310" s="107">
        <v>0</v>
      </c>
      <c r="AF310" s="107">
        <v>0</v>
      </c>
      <c r="AG310" s="107">
        <v>0</v>
      </c>
      <c r="AH310" s="107">
        <v>0</v>
      </c>
      <c r="AP310" s="92">
        <f t="shared" si="64"/>
        <v>17</v>
      </c>
      <c r="AQ310" s="91" t="str">
        <f t="shared" si="65"/>
        <v>0000</v>
      </c>
      <c r="AR310" s="91" t="str">
        <f t="shared" si="66"/>
        <v>0000</v>
      </c>
      <c r="AS310" s="91" t="str">
        <f t="shared" si="67"/>
        <v>0000</v>
      </c>
      <c r="AT310" s="91" t="str">
        <f t="shared" si="68"/>
        <v>0000</v>
      </c>
      <c r="AU310" s="91" t="str">
        <f t="shared" si="60"/>
        <v>0000</v>
      </c>
      <c r="AV310" s="91" t="str">
        <f t="shared" si="61"/>
        <v>0000</v>
      </c>
      <c r="AW310" s="91" t="str">
        <f t="shared" si="62"/>
        <v>0000</v>
      </c>
      <c r="AX310" s="91" t="str">
        <f t="shared" si="63"/>
        <v>0000</v>
      </c>
    </row>
    <row r="311" spans="1:50" s="83" customFormat="1" ht="14.1" customHeight="1">
      <c r="A311" s="82"/>
      <c r="B311" s="84">
        <v>18</v>
      </c>
      <c r="C311" s="107">
        <v>0</v>
      </c>
      <c r="D311" s="107">
        <v>0</v>
      </c>
      <c r="E311" s="107">
        <v>0</v>
      </c>
      <c r="F311" s="107">
        <v>0</v>
      </c>
      <c r="G311" s="107">
        <v>0</v>
      </c>
      <c r="H311" s="107">
        <v>0</v>
      </c>
      <c r="I311" s="107">
        <v>0</v>
      </c>
      <c r="J311" s="107">
        <v>0</v>
      </c>
      <c r="K311" s="107">
        <v>0</v>
      </c>
      <c r="L311" s="107">
        <v>0</v>
      </c>
      <c r="M311" s="107">
        <v>0</v>
      </c>
      <c r="N311" s="107">
        <v>0</v>
      </c>
      <c r="O311" s="107">
        <v>0</v>
      </c>
      <c r="P311" s="107">
        <v>0</v>
      </c>
      <c r="Q311" s="107">
        <v>0</v>
      </c>
      <c r="R311" s="107">
        <v>0</v>
      </c>
      <c r="S311" s="107">
        <v>0</v>
      </c>
      <c r="T311" s="107">
        <v>0</v>
      </c>
      <c r="U311" s="107">
        <v>0</v>
      </c>
      <c r="V311" s="107">
        <v>0</v>
      </c>
      <c r="W311" s="107">
        <v>0</v>
      </c>
      <c r="X311" s="107">
        <v>0</v>
      </c>
      <c r="Y311" s="107">
        <v>0</v>
      </c>
      <c r="Z311" s="107">
        <v>0</v>
      </c>
      <c r="AA311" s="107">
        <v>0</v>
      </c>
      <c r="AB311" s="107">
        <v>0</v>
      </c>
      <c r="AC311" s="107">
        <v>0</v>
      </c>
      <c r="AD311" s="107">
        <v>0</v>
      </c>
      <c r="AE311" s="107">
        <v>0</v>
      </c>
      <c r="AF311" s="107">
        <v>0</v>
      </c>
      <c r="AG311" s="107">
        <v>0</v>
      </c>
      <c r="AH311" s="107">
        <v>0</v>
      </c>
      <c r="AP311" s="92">
        <f t="shared" si="64"/>
        <v>18</v>
      </c>
      <c r="AQ311" s="91" t="str">
        <f t="shared" si="65"/>
        <v>0000</v>
      </c>
      <c r="AR311" s="91" t="str">
        <f t="shared" si="66"/>
        <v>0000</v>
      </c>
      <c r="AS311" s="91" t="str">
        <f t="shared" si="67"/>
        <v>0000</v>
      </c>
      <c r="AT311" s="91" t="str">
        <f t="shared" si="68"/>
        <v>0000</v>
      </c>
      <c r="AU311" s="91" t="str">
        <f t="shared" si="60"/>
        <v>0000</v>
      </c>
      <c r="AV311" s="91" t="str">
        <f t="shared" si="61"/>
        <v>0000</v>
      </c>
      <c r="AW311" s="91" t="str">
        <f t="shared" si="62"/>
        <v>0000</v>
      </c>
      <c r="AX311" s="91" t="str">
        <f t="shared" si="63"/>
        <v>0000</v>
      </c>
    </row>
    <row r="312" spans="1:50" s="83" customFormat="1" ht="14.1" customHeight="1">
      <c r="A312" s="82"/>
      <c r="B312" s="84">
        <v>19</v>
      </c>
      <c r="C312" s="107">
        <v>0</v>
      </c>
      <c r="D312" s="107">
        <v>0</v>
      </c>
      <c r="E312" s="107">
        <v>0</v>
      </c>
      <c r="F312" s="107">
        <v>0</v>
      </c>
      <c r="G312" s="107">
        <v>1</v>
      </c>
      <c r="H312" s="107">
        <v>1</v>
      </c>
      <c r="I312" s="107">
        <v>0</v>
      </c>
      <c r="J312" s="107">
        <v>0</v>
      </c>
      <c r="K312" s="107">
        <v>0</v>
      </c>
      <c r="L312" s="107">
        <v>0</v>
      </c>
      <c r="M312" s="107">
        <v>0</v>
      </c>
      <c r="N312" s="107">
        <v>0</v>
      </c>
      <c r="O312" s="107">
        <v>1</v>
      </c>
      <c r="P312" s="107">
        <v>1</v>
      </c>
      <c r="Q312" s="107">
        <v>0</v>
      </c>
      <c r="R312" s="107">
        <v>0</v>
      </c>
      <c r="S312" s="107">
        <v>0</v>
      </c>
      <c r="T312" s="107">
        <v>0</v>
      </c>
      <c r="U312" s="107">
        <v>1</v>
      </c>
      <c r="V312" s="107">
        <v>1</v>
      </c>
      <c r="W312" s="107">
        <v>0</v>
      </c>
      <c r="X312" s="107">
        <v>0</v>
      </c>
      <c r="Y312" s="107">
        <v>0</v>
      </c>
      <c r="Z312" s="107">
        <v>0</v>
      </c>
      <c r="AA312" s="107">
        <v>0</v>
      </c>
      <c r="AB312" s="107">
        <v>0</v>
      </c>
      <c r="AC312" s="107">
        <v>1</v>
      </c>
      <c r="AD312" s="107">
        <v>1</v>
      </c>
      <c r="AE312" s="107">
        <v>0</v>
      </c>
      <c r="AF312" s="107">
        <v>0</v>
      </c>
      <c r="AG312" s="107">
        <v>0</v>
      </c>
      <c r="AH312" s="107">
        <v>0</v>
      </c>
      <c r="AP312" s="92">
        <f t="shared" si="64"/>
        <v>19</v>
      </c>
      <c r="AQ312" s="91" t="str">
        <f t="shared" si="65"/>
        <v>0000</v>
      </c>
      <c r="AR312" s="91" t="str">
        <f t="shared" si="66"/>
        <v>1100</v>
      </c>
      <c r="AS312" s="91" t="str">
        <f t="shared" si="67"/>
        <v>0000</v>
      </c>
      <c r="AT312" s="91" t="str">
        <f t="shared" si="68"/>
        <v>1100</v>
      </c>
      <c r="AU312" s="91" t="str">
        <f t="shared" si="60"/>
        <v>0011</v>
      </c>
      <c r="AV312" s="91" t="str">
        <f t="shared" si="61"/>
        <v>0000</v>
      </c>
      <c r="AW312" s="91" t="str">
        <f t="shared" si="62"/>
        <v>0011</v>
      </c>
      <c r="AX312" s="91" t="str">
        <f t="shared" si="63"/>
        <v>0000</v>
      </c>
    </row>
    <row r="313" spans="1:50" s="83" customFormat="1" ht="14.1" customHeight="1">
      <c r="A313" s="82"/>
      <c r="B313" s="84">
        <v>20</v>
      </c>
      <c r="C313" s="107">
        <v>0</v>
      </c>
      <c r="D313" s="107">
        <v>0</v>
      </c>
      <c r="E313" s="107">
        <v>0</v>
      </c>
      <c r="F313" s="107">
        <v>0</v>
      </c>
      <c r="G313" s="107">
        <v>0</v>
      </c>
      <c r="H313" s="107">
        <v>0</v>
      </c>
      <c r="I313" s="107">
        <v>0</v>
      </c>
      <c r="J313" s="107">
        <v>0</v>
      </c>
      <c r="K313" s="107">
        <v>0</v>
      </c>
      <c r="L313" s="107">
        <v>0</v>
      </c>
      <c r="M313" s="107">
        <v>0</v>
      </c>
      <c r="N313" s="107">
        <v>0</v>
      </c>
      <c r="O313" s="107">
        <v>0</v>
      </c>
      <c r="P313" s="107">
        <v>0</v>
      </c>
      <c r="Q313" s="107">
        <v>0</v>
      </c>
      <c r="R313" s="107">
        <v>0</v>
      </c>
      <c r="S313" s="107">
        <v>0</v>
      </c>
      <c r="T313" s="107">
        <v>0</v>
      </c>
      <c r="U313" s="107">
        <v>0</v>
      </c>
      <c r="V313" s="107">
        <v>0</v>
      </c>
      <c r="W313" s="107">
        <v>0</v>
      </c>
      <c r="X313" s="107">
        <v>0</v>
      </c>
      <c r="Y313" s="107">
        <v>0</v>
      </c>
      <c r="Z313" s="107">
        <v>0</v>
      </c>
      <c r="AA313" s="107">
        <v>0</v>
      </c>
      <c r="AB313" s="107">
        <v>0</v>
      </c>
      <c r="AC313" s="107">
        <v>0</v>
      </c>
      <c r="AD313" s="107">
        <v>0</v>
      </c>
      <c r="AE313" s="107">
        <v>0</v>
      </c>
      <c r="AF313" s="107">
        <v>0</v>
      </c>
      <c r="AG313" s="107">
        <v>0</v>
      </c>
      <c r="AH313" s="107">
        <v>0</v>
      </c>
      <c r="AP313" s="92">
        <f t="shared" si="64"/>
        <v>20</v>
      </c>
      <c r="AQ313" s="91" t="str">
        <f t="shared" si="65"/>
        <v>0000</v>
      </c>
      <c r="AR313" s="91" t="str">
        <f t="shared" si="66"/>
        <v>0000</v>
      </c>
      <c r="AS313" s="91" t="str">
        <f t="shared" si="67"/>
        <v>0000</v>
      </c>
      <c r="AT313" s="91" t="str">
        <f t="shared" si="68"/>
        <v>0000</v>
      </c>
      <c r="AU313" s="91" t="str">
        <f t="shared" si="60"/>
        <v>0000</v>
      </c>
      <c r="AV313" s="91" t="str">
        <f t="shared" si="61"/>
        <v>0000</v>
      </c>
      <c r="AW313" s="91" t="str">
        <f t="shared" si="62"/>
        <v>0000</v>
      </c>
      <c r="AX313" s="91" t="str">
        <f t="shared" si="63"/>
        <v>0000</v>
      </c>
    </row>
    <row r="314" spans="1:50" s="83" customFormat="1" ht="14.1" customHeight="1">
      <c r="A314" s="82"/>
      <c r="B314" s="84">
        <v>21</v>
      </c>
      <c r="C314" s="107">
        <v>0</v>
      </c>
      <c r="D314" s="107">
        <v>0</v>
      </c>
      <c r="E314" s="107">
        <v>0</v>
      </c>
      <c r="F314" s="107">
        <v>0</v>
      </c>
      <c r="G314" s="107">
        <v>0</v>
      </c>
      <c r="H314" s="107">
        <v>0</v>
      </c>
      <c r="I314" s="107">
        <v>0</v>
      </c>
      <c r="J314" s="107">
        <v>0</v>
      </c>
      <c r="K314" s="107">
        <v>0</v>
      </c>
      <c r="L314" s="107">
        <v>0</v>
      </c>
      <c r="M314" s="107">
        <v>0</v>
      </c>
      <c r="N314" s="107">
        <v>0</v>
      </c>
      <c r="O314" s="107">
        <v>0</v>
      </c>
      <c r="P314" s="107">
        <v>0</v>
      </c>
      <c r="Q314" s="107">
        <v>0</v>
      </c>
      <c r="R314" s="107">
        <v>0</v>
      </c>
      <c r="S314" s="107">
        <v>0</v>
      </c>
      <c r="T314" s="107">
        <v>0</v>
      </c>
      <c r="U314" s="107">
        <v>0</v>
      </c>
      <c r="V314" s="107">
        <v>0</v>
      </c>
      <c r="W314" s="107">
        <v>0</v>
      </c>
      <c r="X314" s="107">
        <v>0</v>
      </c>
      <c r="Y314" s="107">
        <v>0</v>
      </c>
      <c r="Z314" s="107">
        <v>0</v>
      </c>
      <c r="AA314" s="107">
        <v>0</v>
      </c>
      <c r="AB314" s="107">
        <v>0</v>
      </c>
      <c r="AC314" s="107">
        <v>0</v>
      </c>
      <c r="AD314" s="107">
        <v>0</v>
      </c>
      <c r="AE314" s="107">
        <v>0</v>
      </c>
      <c r="AF314" s="107">
        <v>0</v>
      </c>
      <c r="AG314" s="107">
        <v>0</v>
      </c>
      <c r="AH314" s="107">
        <v>0</v>
      </c>
      <c r="AP314" s="92">
        <f t="shared" si="64"/>
        <v>21</v>
      </c>
      <c r="AQ314" s="91" t="str">
        <f t="shared" si="65"/>
        <v>0000</v>
      </c>
      <c r="AR314" s="91" t="str">
        <f t="shared" si="66"/>
        <v>0000</v>
      </c>
      <c r="AS314" s="91" t="str">
        <f t="shared" si="67"/>
        <v>0000</v>
      </c>
      <c r="AT314" s="91" t="str">
        <f t="shared" si="68"/>
        <v>0000</v>
      </c>
      <c r="AU314" s="91" t="str">
        <f t="shared" si="60"/>
        <v>0000</v>
      </c>
      <c r="AV314" s="91" t="str">
        <f t="shared" si="61"/>
        <v>0000</v>
      </c>
      <c r="AW314" s="91" t="str">
        <f t="shared" si="62"/>
        <v>0000</v>
      </c>
      <c r="AX314" s="91" t="str">
        <f t="shared" si="63"/>
        <v>0000</v>
      </c>
    </row>
    <row r="315" spans="1:50" s="83" customFormat="1" ht="14.1" customHeight="1">
      <c r="A315" s="82"/>
      <c r="B315" s="84">
        <v>22</v>
      </c>
      <c r="C315" s="107">
        <v>0</v>
      </c>
      <c r="D315" s="107">
        <v>0</v>
      </c>
      <c r="E315" s="107">
        <v>0</v>
      </c>
      <c r="F315" s="107">
        <v>0</v>
      </c>
      <c r="G315" s="107">
        <v>0</v>
      </c>
      <c r="H315" s="107">
        <v>0</v>
      </c>
      <c r="I315" s="107">
        <v>0</v>
      </c>
      <c r="J315" s="107">
        <v>0</v>
      </c>
      <c r="K315" s="107">
        <v>0</v>
      </c>
      <c r="L315" s="107">
        <v>0</v>
      </c>
      <c r="M315" s="107">
        <v>0</v>
      </c>
      <c r="N315" s="107">
        <v>0</v>
      </c>
      <c r="O315" s="107">
        <v>0</v>
      </c>
      <c r="P315" s="107">
        <v>0</v>
      </c>
      <c r="Q315" s="107">
        <v>0</v>
      </c>
      <c r="R315" s="107">
        <v>0</v>
      </c>
      <c r="S315" s="107">
        <v>0</v>
      </c>
      <c r="T315" s="107">
        <v>0</v>
      </c>
      <c r="U315" s="107">
        <v>0</v>
      </c>
      <c r="V315" s="107">
        <v>0</v>
      </c>
      <c r="W315" s="107">
        <v>0</v>
      </c>
      <c r="X315" s="107">
        <v>0</v>
      </c>
      <c r="Y315" s="107">
        <v>0</v>
      </c>
      <c r="Z315" s="107">
        <v>0</v>
      </c>
      <c r="AA315" s="107">
        <v>0</v>
      </c>
      <c r="AB315" s="107">
        <v>0</v>
      </c>
      <c r="AC315" s="107">
        <v>0</v>
      </c>
      <c r="AD315" s="107">
        <v>0</v>
      </c>
      <c r="AE315" s="107">
        <v>0</v>
      </c>
      <c r="AF315" s="107">
        <v>0</v>
      </c>
      <c r="AG315" s="107">
        <v>0</v>
      </c>
      <c r="AH315" s="107">
        <v>0</v>
      </c>
      <c r="AP315" s="92">
        <f t="shared" si="64"/>
        <v>22</v>
      </c>
      <c r="AQ315" s="91" t="str">
        <f t="shared" si="65"/>
        <v>0000</v>
      </c>
      <c r="AR315" s="91" t="str">
        <f t="shared" si="66"/>
        <v>0000</v>
      </c>
      <c r="AS315" s="91" t="str">
        <f t="shared" si="67"/>
        <v>0000</v>
      </c>
      <c r="AT315" s="91" t="str">
        <f t="shared" si="68"/>
        <v>0000</v>
      </c>
      <c r="AU315" s="91" t="str">
        <f t="shared" si="60"/>
        <v>0000</v>
      </c>
      <c r="AV315" s="91" t="str">
        <f t="shared" si="61"/>
        <v>0000</v>
      </c>
      <c r="AW315" s="91" t="str">
        <f t="shared" si="62"/>
        <v>0000</v>
      </c>
      <c r="AX315" s="91" t="str">
        <f t="shared" si="63"/>
        <v>0000</v>
      </c>
    </row>
    <row r="316" spans="1:50" s="83" customFormat="1" ht="14.1" customHeight="1">
      <c r="A316" s="82"/>
      <c r="B316" s="84">
        <v>23</v>
      </c>
      <c r="C316" s="107">
        <v>0</v>
      </c>
      <c r="D316" s="107">
        <v>0</v>
      </c>
      <c r="E316" s="107">
        <v>0</v>
      </c>
      <c r="F316" s="107">
        <v>0</v>
      </c>
      <c r="G316" s="107">
        <v>0</v>
      </c>
      <c r="H316" s="107">
        <v>0</v>
      </c>
      <c r="I316" s="107">
        <v>0</v>
      </c>
      <c r="J316" s="107">
        <v>0</v>
      </c>
      <c r="K316" s="107">
        <v>0</v>
      </c>
      <c r="L316" s="107">
        <v>0</v>
      </c>
      <c r="M316" s="107">
        <v>0</v>
      </c>
      <c r="N316" s="107">
        <v>0</v>
      </c>
      <c r="O316" s="107">
        <v>1</v>
      </c>
      <c r="P316" s="107">
        <v>1</v>
      </c>
      <c r="Q316" s="107">
        <v>0</v>
      </c>
      <c r="R316" s="107">
        <v>0</v>
      </c>
      <c r="S316" s="107">
        <v>0</v>
      </c>
      <c r="T316" s="107">
        <v>0</v>
      </c>
      <c r="U316" s="107">
        <v>1</v>
      </c>
      <c r="V316" s="107">
        <v>1</v>
      </c>
      <c r="W316" s="107">
        <v>0</v>
      </c>
      <c r="X316" s="107">
        <v>0</v>
      </c>
      <c r="Y316" s="107">
        <v>0</v>
      </c>
      <c r="Z316" s="107">
        <v>0</v>
      </c>
      <c r="AA316" s="107">
        <v>0</v>
      </c>
      <c r="AB316" s="107">
        <v>0</v>
      </c>
      <c r="AC316" s="107">
        <v>0</v>
      </c>
      <c r="AD316" s="107">
        <v>0</v>
      </c>
      <c r="AE316" s="107">
        <v>0</v>
      </c>
      <c r="AF316" s="107">
        <v>0</v>
      </c>
      <c r="AG316" s="107">
        <v>0</v>
      </c>
      <c r="AH316" s="107">
        <v>0</v>
      </c>
      <c r="AP316" s="92">
        <f t="shared" si="64"/>
        <v>23</v>
      </c>
      <c r="AQ316" s="91" t="str">
        <f t="shared" si="65"/>
        <v>0000</v>
      </c>
      <c r="AR316" s="91" t="str">
        <f t="shared" si="66"/>
        <v>0000</v>
      </c>
      <c r="AS316" s="91" t="str">
        <f t="shared" si="67"/>
        <v>0000</v>
      </c>
      <c r="AT316" s="91" t="str">
        <f t="shared" si="68"/>
        <v>1100</v>
      </c>
      <c r="AU316" s="91" t="str">
        <f t="shared" si="60"/>
        <v>0011</v>
      </c>
      <c r="AV316" s="91" t="str">
        <f t="shared" si="61"/>
        <v>0000</v>
      </c>
      <c r="AW316" s="91" t="str">
        <f t="shared" si="62"/>
        <v>0000</v>
      </c>
      <c r="AX316" s="91" t="str">
        <f t="shared" si="63"/>
        <v>0000</v>
      </c>
    </row>
    <row r="317" spans="1:50" s="83" customFormat="1" ht="14.1" customHeight="1">
      <c r="A317" s="82"/>
      <c r="B317" s="84">
        <v>24</v>
      </c>
      <c r="C317" s="107">
        <v>0</v>
      </c>
      <c r="D317" s="107">
        <v>0</v>
      </c>
      <c r="E317" s="107">
        <v>0</v>
      </c>
      <c r="F317" s="107">
        <v>0</v>
      </c>
      <c r="G317" s="107">
        <v>0</v>
      </c>
      <c r="H317" s="107">
        <v>0</v>
      </c>
      <c r="I317" s="107">
        <v>0</v>
      </c>
      <c r="J317" s="107">
        <v>0</v>
      </c>
      <c r="K317" s="107">
        <v>0</v>
      </c>
      <c r="L317" s="107">
        <v>0</v>
      </c>
      <c r="M317" s="107">
        <v>0</v>
      </c>
      <c r="N317" s="107">
        <v>0</v>
      </c>
      <c r="O317" s="107">
        <v>0</v>
      </c>
      <c r="P317" s="107">
        <v>0</v>
      </c>
      <c r="Q317" s="107">
        <v>0</v>
      </c>
      <c r="R317" s="107">
        <v>0</v>
      </c>
      <c r="S317" s="107">
        <v>0</v>
      </c>
      <c r="T317" s="107">
        <v>0</v>
      </c>
      <c r="U317" s="107">
        <v>0</v>
      </c>
      <c r="V317" s="107">
        <v>0</v>
      </c>
      <c r="W317" s="107">
        <v>0</v>
      </c>
      <c r="X317" s="107">
        <v>0</v>
      </c>
      <c r="Y317" s="107">
        <v>0</v>
      </c>
      <c r="Z317" s="107">
        <v>0</v>
      </c>
      <c r="AA317" s="107">
        <v>0</v>
      </c>
      <c r="AB317" s="107">
        <v>0</v>
      </c>
      <c r="AC317" s="107">
        <v>0</v>
      </c>
      <c r="AD317" s="107">
        <v>0</v>
      </c>
      <c r="AE317" s="107">
        <v>0</v>
      </c>
      <c r="AF317" s="107">
        <v>0</v>
      </c>
      <c r="AG317" s="107">
        <v>0</v>
      </c>
      <c r="AH317" s="107">
        <v>0</v>
      </c>
      <c r="AP317" s="92">
        <f t="shared" si="64"/>
        <v>24</v>
      </c>
      <c r="AQ317" s="91" t="str">
        <f t="shared" si="65"/>
        <v>0000</v>
      </c>
      <c r="AR317" s="91" t="str">
        <f t="shared" si="66"/>
        <v>0000</v>
      </c>
      <c r="AS317" s="91" t="str">
        <f t="shared" si="67"/>
        <v>0000</v>
      </c>
      <c r="AT317" s="91" t="str">
        <f t="shared" si="68"/>
        <v>0000</v>
      </c>
      <c r="AU317" s="91" t="str">
        <f t="shared" si="60"/>
        <v>0000</v>
      </c>
      <c r="AV317" s="91" t="str">
        <f t="shared" si="61"/>
        <v>0000</v>
      </c>
      <c r="AW317" s="91" t="str">
        <f t="shared" si="62"/>
        <v>0000</v>
      </c>
      <c r="AX317" s="91" t="str">
        <f t="shared" si="63"/>
        <v>0000</v>
      </c>
    </row>
    <row r="318" spans="1:50" s="83" customFormat="1" ht="14.1" customHeight="1">
      <c r="A318" s="82"/>
      <c r="B318" s="84">
        <v>25</v>
      </c>
      <c r="C318" s="107">
        <v>0</v>
      </c>
      <c r="D318" s="107">
        <v>0</v>
      </c>
      <c r="E318" s="107">
        <v>0</v>
      </c>
      <c r="F318" s="107">
        <v>0</v>
      </c>
      <c r="G318" s="107">
        <v>0</v>
      </c>
      <c r="H318" s="107">
        <v>0</v>
      </c>
      <c r="I318" s="107">
        <v>0</v>
      </c>
      <c r="J318" s="107">
        <v>0</v>
      </c>
      <c r="K318" s="107">
        <v>0</v>
      </c>
      <c r="L318" s="107">
        <v>0</v>
      </c>
      <c r="M318" s="107">
        <v>0</v>
      </c>
      <c r="N318" s="107">
        <v>0</v>
      </c>
      <c r="O318" s="107">
        <v>0</v>
      </c>
      <c r="P318" s="107">
        <v>0</v>
      </c>
      <c r="Q318" s="107">
        <v>0</v>
      </c>
      <c r="R318" s="107">
        <v>0</v>
      </c>
      <c r="S318" s="107">
        <v>0</v>
      </c>
      <c r="T318" s="107">
        <v>0</v>
      </c>
      <c r="U318" s="107">
        <v>0</v>
      </c>
      <c r="V318" s="107">
        <v>0</v>
      </c>
      <c r="W318" s="107">
        <v>0</v>
      </c>
      <c r="X318" s="107">
        <v>0</v>
      </c>
      <c r="Y318" s="107">
        <v>0</v>
      </c>
      <c r="Z318" s="107">
        <v>0</v>
      </c>
      <c r="AA318" s="107">
        <v>0</v>
      </c>
      <c r="AB318" s="107">
        <v>0</v>
      </c>
      <c r="AC318" s="107">
        <v>0</v>
      </c>
      <c r="AD318" s="107">
        <v>0</v>
      </c>
      <c r="AE318" s="107">
        <v>0</v>
      </c>
      <c r="AF318" s="107">
        <v>0</v>
      </c>
      <c r="AG318" s="107">
        <v>0</v>
      </c>
      <c r="AH318" s="107">
        <v>0</v>
      </c>
      <c r="AP318" s="92">
        <f t="shared" si="64"/>
        <v>25</v>
      </c>
      <c r="AQ318" s="91" t="str">
        <f t="shared" si="65"/>
        <v>0000</v>
      </c>
      <c r="AR318" s="91" t="str">
        <f t="shared" si="66"/>
        <v>0000</v>
      </c>
      <c r="AS318" s="91" t="str">
        <f t="shared" si="67"/>
        <v>0000</v>
      </c>
      <c r="AT318" s="91" t="str">
        <f t="shared" si="68"/>
        <v>0000</v>
      </c>
      <c r="AU318" s="91" t="str">
        <f t="shared" si="60"/>
        <v>0000</v>
      </c>
      <c r="AV318" s="91" t="str">
        <f t="shared" si="61"/>
        <v>0000</v>
      </c>
      <c r="AW318" s="91" t="str">
        <f t="shared" si="62"/>
        <v>0000</v>
      </c>
      <c r="AX318" s="91" t="str">
        <f t="shared" si="63"/>
        <v>0000</v>
      </c>
    </row>
    <row r="319" spans="1:50" s="83" customFormat="1" ht="14.1" customHeight="1">
      <c r="A319" s="82"/>
      <c r="B319" s="84">
        <v>26</v>
      </c>
      <c r="C319" s="107">
        <v>0</v>
      </c>
      <c r="D319" s="107">
        <v>0</v>
      </c>
      <c r="E319" s="107">
        <v>0</v>
      </c>
      <c r="F319" s="107">
        <v>0</v>
      </c>
      <c r="G319" s="107">
        <v>0</v>
      </c>
      <c r="H319" s="107">
        <v>0</v>
      </c>
      <c r="I319" s="107">
        <v>0</v>
      </c>
      <c r="J319" s="107">
        <v>0</v>
      </c>
      <c r="K319" s="107">
        <v>0</v>
      </c>
      <c r="L319" s="107">
        <v>0</v>
      </c>
      <c r="M319" s="107">
        <v>0</v>
      </c>
      <c r="N319" s="107">
        <v>0</v>
      </c>
      <c r="O319" s="107">
        <v>0</v>
      </c>
      <c r="P319" s="107">
        <v>0</v>
      </c>
      <c r="Q319" s="107">
        <v>0</v>
      </c>
      <c r="R319" s="107">
        <v>0</v>
      </c>
      <c r="S319" s="107">
        <v>0</v>
      </c>
      <c r="T319" s="107">
        <v>0</v>
      </c>
      <c r="U319" s="107">
        <v>0</v>
      </c>
      <c r="V319" s="107">
        <v>0</v>
      </c>
      <c r="W319" s="107">
        <v>0</v>
      </c>
      <c r="X319" s="107">
        <v>0</v>
      </c>
      <c r="Y319" s="107">
        <v>0</v>
      </c>
      <c r="Z319" s="107">
        <v>0</v>
      </c>
      <c r="AA319" s="107">
        <v>0</v>
      </c>
      <c r="AB319" s="107">
        <v>0</v>
      </c>
      <c r="AC319" s="107">
        <v>0</v>
      </c>
      <c r="AD319" s="107">
        <v>0</v>
      </c>
      <c r="AE319" s="107">
        <v>0</v>
      </c>
      <c r="AF319" s="107">
        <v>0</v>
      </c>
      <c r="AG319" s="107">
        <v>0</v>
      </c>
      <c r="AH319" s="107">
        <v>0</v>
      </c>
      <c r="AP319" s="92">
        <f t="shared" si="64"/>
        <v>26</v>
      </c>
      <c r="AQ319" s="91" t="str">
        <f t="shared" si="65"/>
        <v>0000</v>
      </c>
      <c r="AR319" s="91" t="str">
        <f t="shared" si="66"/>
        <v>0000</v>
      </c>
      <c r="AS319" s="91" t="str">
        <f t="shared" si="67"/>
        <v>0000</v>
      </c>
      <c r="AT319" s="91" t="str">
        <f t="shared" si="68"/>
        <v>0000</v>
      </c>
      <c r="AU319" s="91" t="str">
        <f t="shared" si="60"/>
        <v>0000</v>
      </c>
      <c r="AV319" s="91" t="str">
        <f t="shared" si="61"/>
        <v>0000</v>
      </c>
      <c r="AW319" s="91" t="str">
        <f t="shared" si="62"/>
        <v>0000</v>
      </c>
      <c r="AX319" s="91" t="str">
        <f t="shared" si="63"/>
        <v>0000</v>
      </c>
    </row>
    <row r="320" spans="1:50" s="83" customFormat="1" ht="14.1" customHeight="1">
      <c r="A320" s="82"/>
      <c r="B320" s="84">
        <v>27</v>
      </c>
      <c r="C320" s="107">
        <v>0</v>
      </c>
      <c r="D320" s="107">
        <v>0</v>
      </c>
      <c r="E320" s="107">
        <v>0</v>
      </c>
      <c r="F320" s="107">
        <v>0</v>
      </c>
      <c r="G320" s="107">
        <v>0</v>
      </c>
      <c r="H320" s="107">
        <v>0</v>
      </c>
      <c r="I320" s="107">
        <v>0</v>
      </c>
      <c r="J320" s="107">
        <v>0</v>
      </c>
      <c r="K320" s="107">
        <v>0</v>
      </c>
      <c r="L320" s="107">
        <v>0</v>
      </c>
      <c r="M320" s="107">
        <v>0</v>
      </c>
      <c r="N320" s="107">
        <v>0</v>
      </c>
      <c r="O320" s="107">
        <v>1</v>
      </c>
      <c r="P320" s="107">
        <v>1</v>
      </c>
      <c r="Q320" s="107">
        <v>0</v>
      </c>
      <c r="R320" s="107">
        <v>0</v>
      </c>
      <c r="S320" s="107">
        <v>0</v>
      </c>
      <c r="T320" s="107">
        <v>0</v>
      </c>
      <c r="U320" s="107">
        <v>1</v>
      </c>
      <c r="V320" s="107">
        <v>1</v>
      </c>
      <c r="W320" s="107">
        <v>0</v>
      </c>
      <c r="X320" s="107">
        <v>0</v>
      </c>
      <c r="Y320" s="107">
        <v>0</v>
      </c>
      <c r="Z320" s="107">
        <v>0</v>
      </c>
      <c r="AA320" s="107">
        <v>0</v>
      </c>
      <c r="AB320" s="107">
        <v>0</v>
      </c>
      <c r="AC320" s="107">
        <v>0</v>
      </c>
      <c r="AD320" s="107">
        <v>0</v>
      </c>
      <c r="AE320" s="107">
        <v>0</v>
      </c>
      <c r="AF320" s="107">
        <v>0</v>
      </c>
      <c r="AG320" s="107">
        <v>0</v>
      </c>
      <c r="AH320" s="107">
        <v>0</v>
      </c>
      <c r="AP320" s="92">
        <f t="shared" si="64"/>
        <v>27</v>
      </c>
      <c r="AQ320" s="91" t="str">
        <f t="shared" si="65"/>
        <v>0000</v>
      </c>
      <c r="AR320" s="91" t="str">
        <f t="shared" si="66"/>
        <v>0000</v>
      </c>
      <c r="AS320" s="91" t="str">
        <f t="shared" si="67"/>
        <v>0000</v>
      </c>
      <c r="AT320" s="91" t="str">
        <f t="shared" si="68"/>
        <v>1100</v>
      </c>
      <c r="AU320" s="91" t="str">
        <f t="shared" si="60"/>
        <v>0011</v>
      </c>
      <c r="AV320" s="91" t="str">
        <f t="shared" si="61"/>
        <v>0000</v>
      </c>
      <c r="AW320" s="91" t="str">
        <f t="shared" si="62"/>
        <v>0000</v>
      </c>
      <c r="AX320" s="91" t="str">
        <f t="shared" si="63"/>
        <v>0000</v>
      </c>
    </row>
    <row r="321" spans="1:50" s="83" customFormat="1" ht="14.1" customHeight="1">
      <c r="A321" s="82"/>
      <c r="B321" s="84">
        <v>28</v>
      </c>
      <c r="C321" s="107">
        <v>0</v>
      </c>
      <c r="D321" s="107">
        <v>0</v>
      </c>
      <c r="E321" s="107">
        <v>0</v>
      </c>
      <c r="F321" s="107">
        <v>0</v>
      </c>
      <c r="G321" s="107">
        <v>0</v>
      </c>
      <c r="H321" s="107">
        <v>0</v>
      </c>
      <c r="I321" s="107">
        <v>0</v>
      </c>
      <c r="J321" s="107">
        <v>0</v>
      </c>
      <c r="K321" s="107">
        <v>0</v>
      </c>
      <c r="L321" s="107">
        <v>0</v>
      </c>
      <c r="M321" s="107">
        <v>0</v>
      </c>
      <c r="N321" s="107">
        <v>0</v>
      </c>
      <c r="O321" s="107">
        <v>0</v>
      </c>
      <c r="P321" s="107">
        <v>0</v>
      </c>
      <c r="Q321" s="107">
        <v>0</v>
      </c>
      <c r="R321" s="107">
        <v>0</v>
      </c>
      <c r="S321" s="107">
        <v>0</v>
      </c>
      <c r="T321" s="107">
        <v>0</v>
      </c>
      <c r="U321" s="107">
        <v>0</v>
      </c>
      <c r="V321" s="107">
        <v>0</v>
      </c>
      <c r="W321" s="107">
        <v>0</v>
      </c>
      <c r="X321" s="107">
        <v>0</v>
      </c>
      <c r="Y321" s="107">
        <v>0</v>
      </c>
      <c r="Z321" s="107">
        <v>0</v>
      </c>
      <c r="AA321" s="107">
        <v>0</v>
      </c>
      <c r="AB321" s="107">
        <v>0</v>
      </c>
      <c r="AC321" s="107">
        <v>0</v>
      </c>
      <c r="AD321" s="107">
        <v>0</v>
      </c>
      <c r="AE321" s="107">
        <v>0</v>
      </c>
      <c r="AF321" s="107">
        <v>0</v>
      </c>
      <c r="AG321" s="107">
        <v>0</v>
      </c>
      <c r="AH321" s="107">
        <v>0</v>
      </c>
      <c r="AP321" s="92">
        <f t="shared" si="64"/>
        <v>28</v>
      </c>
      <c r="AQ321" s="91" t="str">
        <f t="shared" si="65"/>
        <v>0000</v>
      </c>
      <c r="AR321" s="91" t="str">
        <f t="shared" si="66"/>
        <v>0000</v>
      </c>
      <c r="AS321" s="91" t="str">
        <f t="shared" si="67"/>
        <v>0000</v>
      </c>
      <c r="AT321" s="91" t="str">
        <f t="shared" si="68"/>
        <v>0000</v>
      </c>
      <c r="AU321" s="91" t="str">
        <f t="shared" si="60"/>
        <v>0000</v>
      </c>
      <c r="AV321" s="91" t="str">
        <f t="shared" si="61"/>
        <v>0000</v>
      </c>
      <c r="AW321" s="91" t="str">
        <f t="shared" si="62"/>
        <v>0000</v>
      </c>
      <c r="AX321" s="91" t="str">
        <f t="shared" si="63"/>
        <v>0000</v>
      </c>
    </row>
    <row r="322" spans="1:50" s="83" customFormat="1" ht="14.1" customHeight="1">
      <c r="A322" s="82"/>
      <c r="B322" s="84">
        <v>29</v>
      </c>
      <c r="C322" s="107">
        <v>0</v>
      </c>
      <c r="D322" s="107">
        <v>0</v>
      </c>
      <c r="E322" s="107">
        <v>0</v>
      </c>
      <c r="F322" s="107">
        <v>0</v>
      </c>
      <c r="G322" s="107">
        <v>0</v>
      </c>
      <c r="H322" s="107">
        <v>0</v>
      </c>
      <c r="I322" s="107">
        <v>0</v>
      </c>
      <c r="J322" s="107">
        <v>0</v>
      </c>
      <c r="K322" s="107">
        <v>0</v>
      </c>
      <c r="L322" s="107">
        <v>0</v>
      </c>
      <c r="M322" s="107">
        <v>0</v>
      </c>
      <c r="N322" s="107">
        <v>0</v>
      </c>
      <c r="O322" s="107">
        <v>0</v>
      </c>
      <c r="P322" s="107">
        <v>0</v>
      </c>
      <c r="Q322" s="107">
        <v>0</v>
      </c>
      <c r="R322" s="107">
        <v>0</v>
      </c>
      <c r="S322" s="107">
        <v>0</v>
      </c>
      <c r="T322" s="107">
        <v>0</v>
      </c>
      <c r="U322" s="107">
        <v>0</v>
      </c>
      <c r="V322" s="107">
        <v>0</v>
      </c>
      <c r="W322" s="107">
        <v>0</v>
      </c>
      <c r="X322" s="107">
        <v>0</v>
      </c>
      <c r="Y322" s="107">
        <v>0</v>
      </c>
      <c r="Z322" s="107">
        <v>0</v>
      </c>
      <c r="AA322" s="107">
        <v>0</v>
      </c>
      <c r="AB322" s="107">
        <v>0</v>
      </c>
      <c r="AC322" s="107">
        <v>0</v>
      </c>
      <c r="AD322" s="107">
        <v>0</v>
      </c>
      <c r="AE322" s="107">
        <v>0</v>
      </c>
      <c r="AF322" s="107">
        <v>0</v>
      </c>
      <c r="AG322" s="107">
        <v>0</v>
      </c>
      <c r="AH322" s="107">
        <v>0</v>
      </c>
      <c r="AP322" s="92">
        <f t="shared" si="64"/>
        <v>29</v>
      </c>
      <c r="AQ322" s="91" t="str">
        <f t="shared" si="65"/>
        <v>0000</v>
      </c>
      <c r="AR322" s="91" t="str">
        <f t="shared" si="66"/>
        <v>0000</v>
      </c>
      <c r="AS322" s="91" t="str">
        <f t="shared" si="67"/>
        <v>0000</v>
      </c>
      <c r="AT322" s="91" t="str">
        <f t="shared" si="68"/>
        <v>0000</v>
      </c>
      <c r="AU322" s="91" t="str">
        <f t="shared" si="60"/>
        <v>0000</v>
      </c>
      <c r="AV322" s="91" t="str">
        <f t="shared" si="61"/>
        <v>0000</v>
      </c>
      <c r="AW322" s="91" t="str">
        <f t="shared" si="62"/>
        <v>0000</v>
      </c>
      <c r="AX322" s="91" t="str">
        <f t="shared" si="63"/>
        <v>0000</v>
      </c>
    </row>
    <row r="323" spans="1:50" s="83" customFormat="1" ht="14.1" customHeight="1">
      <c r="A323" s="82"/>
      <c r="B323" s="84">
        <v>30</v>
      </c>
      <c r="C323" s="107">
        <v>0</v>
      </c>
      <c r="D323" s="107">
        <v>0</v>
      </c>
      <c r="E323" s="107">
        <v>0</v>
      </c>
      <c r="F323" s="107">
        <v>0</v>
      </c>
      <c r="G323" s="107">
        <v>0</v>
      </c>
      <c r="H323" s="107">
        <v>0</v>
      </c>
      <c r="I323" s="107">
        <v>0</v>
      </c>
      <c r="J323" s="107">
        <v>0</v>
      </c>
      <c r="K323" s="107">
        <v>0</v>
      </c>
      <c r="L323" s="107">
        <v>0</v>
      </c>
      <c r="M323" s="107">
        <v>0</v>
      </c>
      <c r="N323" s="107">
        <v>0</v>
      </c>
      <c r="O323" s="107">
        <v>0</v>
      </c>
      <c r="P323" s="107">
        <v>0</v>
      </c>
      <c r="Q323" s="107">
        <v>0</v>
      </c>
      <c r="R323" s="107">
        <v>0</v>
      </c>
      <c r="S323" s="107">
        <v>0</v>
      </c>
      <c r="T323" s="107">
        <v>0</v>
      </c>
      <c r="U323" s="107">
        <v>0</v>
      </c>
      <c r="V323" s="107">
        <v>0</v>
      </c>
      <c r="W323" s="107">
        <v>0</v>
      </c>
      <c r="X323" s="107">
        <v>0</v>
      </c>
      <c r="Y323" s="107">
        <v>0</v>
      </c>
      <c r="Z323" s="107">
        <v>0</v>
      </c>
      <c r="AA323" s="107">
        <v>0</v>
      </c>
      <c r="AB323" s="107">
        <v>0</v>
      </c>
      <c r="AC323" s="107">
        <v>0</v>
      </c>
      <c r="AD323" s="107">
        <v>0</v>
      </c>
      <c r="AE323" s="107">
        <v>0</v>
      </c>
      <c r="AF323" s="107">
        <v>0</v>
      </c>
      <c r="AG323" s="107">
        <v>0</v>
      </c>
      <c r="AH323" s="107">
        <v>0</v>
      </c>
      <c r="AP323" s="92">
        <f t="shared" si="64"/>
        <v>30</v>
      </c>
      <c r="AQ323" s="91" t="str">
        <f t="shared" si="65"/>
        <v>0000</v>
      </c>
      <c r="AR323" s="91" t="str">
        <f t="shared" si="66"/>
        <v>0000</v>
      </c>
      <c r="AS323" s="91" t="str">
        <f t="shared" si="67"/>
        <v>0000</v>
      </c>
      <c r="AT323" s="91" t="str">
        <f t="shared" si="68"/>
        <v>0000</v>
      </c>
      <c r="AU323" s="91" t="str">
        <f t="shared" si="60"/>
        <v>0000</v>
      </c>
      <c r="AV323" s="91" t="str">
        <f t="shared" si="61"/>
        <v>0000</v>
      </c>
      <c r="AW323" s="91" t="str">
        <f t="shared" si="62"/>
        <v>0000</v>
      </c>
      <c r="AX323" s="91" t="str">
        <f t="shared" si="63"/>
        <v>0000</v>
      </c>
    </row>
    <row r="324" spans="1:50" s="83" customFormat="1" ht="14.1" customHeight="1">
      <c r="A324" s="82"/>
      <c r="B324" s="84">
        <v>31</v>
      </c>
      <c r="C324" s="107">
        <v>0</v>
      </c>
      <c r="D324" s="107">
        <v>0</v>
      </c>
      <c r="E324" s="107">
        <v>0</v>
      </c>
      <c r="F324" s="107">
        <v>0</v>
      </c>
      <c r="G324" s="107">
        <v>0</v>
      </c>
      <c r="H324" s="107">
        <v>0</v>
      </c>
      <c r="I324" s="107">
        <v>0</v>
      </c>
      <c r="J324" s="107">
        <v>0</v>
      </c>
      <c r="K324" s="107">
        <v>0</v>
      </c>
      <c r="L324" s="107">
        <v>0</v>
      </c>
      <c r="M324" s="107">
        <v>0</v>
      </c>
      <c r="N324" s="107">
        <v>0</v>
      </c>
      <c r="O324" s="107">
        <v>0</v>
      </c>
      <c r="P324" s="107">
        <v>0</v>
      </c>
      <c r="Q324" s="107">
        <v>0</v>
      </c>
      <c r="R324" s="107">
        <v>0</v>
      </c>
      <c r="S324" s="107">
        <v>0</v>
      </c>
      <c r="T324" s="107">
        <v>0</v>
      </c>
      <c r="U324" s="107">
        <v>0</v>
      </c>
      <c r="V324" s="107">
        <v>0</v>
      </c>
      <c r="W324" s="107">
        <v>0</v>
      </c>
      <c r="X324" s="107">
        <v>0</v>
      </c>
      <c r="Y324" s="107">
        <v>0</v>
      </c>
      <c r="Z324" s="107">
        <v>0</v>
      </c>
      <c r="AA324" s="107">
        <v>0</v>
      </c>
      <c r="AB324" s="107">
        <v>0</v>
      </c>
      <c r="AC324" s="107">
        <v>0</v>
      </c>
      <c r="AD324" s="107">
        <v>0</v>
      </c>
      <c r="AE324" s="107">
        <v>0</v>
      </c>
      <c r="AF324" s="107">
        <v>0</v>
      </c>
      <c r="AG324" s="107">
        <v>0</v>
      </c>
      <c r="AH324" s="107">
        <v>0</v>
      </c>
      <c r="AP324" s="92">
        <f t="shared" si="64"/>
        <v>31</v>
      </c>
      <c r="AQ324" s="91" t="str">
        <f t="shared" si="65"/>
        <v>0000</v>
      </c>
      <c r="AR324" s="91" t="str">
        <f t="shared" si="66"/>
        <v>0000</v>
      </c>
      <c r="AS324" s="91" t="str">
        <f t="shared" si="67"/>
        <v>0000</v>
      </c>
      <c r="AT324" s="91" t="str">
        <f t="shared" si="68"/>
        <v>0000</v>
      </c>
      <c r="AU324" s="91" t="str">
        <f t="shared" si="60"/>
        <v>0000</v>
      </c>
      <c r="AV324" s="91" t="str">
        <f t="shared" si="61"/>
        <v>0000</v>
      </c>
      <c r="AW324" s="91" t="str">
        <f t="shared" si="62"/>
        <v>0000</v>
      </c>
      <c r="AX324" s="91" t="str">
        <f t="shared" si="63"/>
        <v>0000</v>
      </c>
    </row>
    <row r="325" spans="1:50" s="83" customFormat="1">
      <c r="A325" s="82"/>
      <c r="AP325" s="90"/>
      <c r="AU325" s="91"/>
      <c r="AV325" s="91"/>
      <c r="AW325" s="91"/>
      <c r="AX325" s="91"/>
    </row>
    <row r="326" spans="1:50" s="83" customFormat="1">
      <c r="A326" s="82"/>
      <c r="AP326" s="90"/>
      <c r="AU326" s="91"/>
      <c r="AV326" s="91"/>
      <c r="AW326" s="91"/>
      <c r="AX326" s="91"/>
    </row>
    <row r="327" spans="1:50" s="83" customFormat="1">
      <c r="A327" s="82" t="s">
        <v>342</v>
      </c>
      <c r="AP327" s="88" t="str">
        <f>A327</f>
        <v>10.Portrait Multi Pattern        ( 0 degree clockwise )</v>
      </c>
      <c r="AU327" s="91"/>
      <c r="AV327" s="91"/>
      <c r="AW327" s="91"/>
      <c r="AX327" s="91"/>
    </row>
    <row r="328" spans="1:50" s="83" customFormat="1">
      <c r="A328" s="82"/>
      <c r="C328" s="84">
        <v>0</v>
      </c>
      <c r="D328" s="84">
        <v>1</v>
      </c>
      <c r="E328" s="84">
        <v>2</v>
      </c>
      <c r="F328" s="84">
        <v>3</v>
      </c>
      <c r="G328" s="84">
        <v>4</v>
      </c>
      <c r="H328" s="84">
        <v>5</v>
      </c>
      <c r="I328" s="84">
        <v>6</v>
      </c>
      <c r="J328" s="84">
        <v>7</v>
      </c>
      <c r="K328" s="84">
        <v>8</v>
      </c>
      <c r="L328" s="84">
        <v>9</v>
      </c>
      <c r="M328" s="84">
        <v>10</v>
      </c>
      <c r="N328" s="84">
        <v>11</v>
      </c>
      <c r="O328" s="84">
        <v>12</v>
      </c>
      <c r="P328" s="84">
        <v>13</v>
      </c>
      <c r="Q328" s="84">
        <v>14</v>
      </c>
      <c r="R328" s="84">
        <v>15</v>
      </c>
      <c r="S328" s="84">
        <v>16</v>
      </c>
      <c r="T328" s="84">
        <v>17</v>
      </c>
      <c r="U328" s="84">
        <v>18</v>
      </c>
      <c r="V328" s="84">
        <v>19</v>
      </c>
      <c r="W328" s="84">
        <v>20</v>
      </c>
      <c r="X328" s="84">
        <v>21</v>
      </c>
      <c r="Y328" s="84">
        <v>22</v>
      </c>
      <c r="Z328" s="84">
        <v>23</v>
      </c>
      <c r="AA328" s="84">
        <v>24</v>
      </c>
      <c r="AB328" s="84">
        <v>25</v>
      </c>
      <c r="AC328" s="84">
        <v>26</v>
      </c>
      <c r="AD328" s="84">
        <v>27</v>
      </c>
      <c r="AE328" s="84">
        <v>28</v>
      </c>
      <c r="AF328" s="84">
        <v>29</v>
      </c>
      <c r="AG328" s="84">
        <v>30</v>
      </c>
      <c r="AH328" s="84">
        <v>31</v>
      </c>
      <c r="AP328" s="90"/>
      <c r="AQ328" s="91" t="str">
        <f>C328&amp;D328&amp;E328&amp;F328</f>
        <v>0123</v>
      </c>
      <c r="AR328" s="91" t="str">
        <f>G328&amp;H328&amp;I328&amp;J328</f>
        <v>4567</v>
      </c>
      <c r="AS328" s="91" t="str">
        <f>K328&amp;L328&amp;M328&amp;N328</f>
        <v>891011</v>
      </c>
      <c r="AT328" s="91" t="str">
        <f>O328&amp;P328&amp;Q328&amp;R328</f>
        <v>12131415</v>
      </c>
      <c r="AU328" s="83">
        <v>16171819</v>
      </c>
      <c r="AV328" s="83">
        <v>20212223</v>
      </c>
      <c r="AW328" s="83">
        <v>24252627</v>
      </c>
      <c r="AX328" s="83">
        <v>28293031</v>
      </c>
    </row>
    <row r="329" spans="1:50" s="83" customFormat="1" ht="14.1" customHeight="1">
      <c r="A329" s="82"/>
      <c r="B329" s="84">
        <v>0</v>
      </c>
      <c r="C329" s="85">
        <v>0</v>
      </c>
      <c r="D329" s="85">
        <v>0</v>
      </c>
      <c r="E329" s="85">
        <v>0</v>
      </c>
      <c r="F329" s="85">
        <v>0</v>
      </c>
      <c r="G329" s="85">
        <v>0</v>
      </c>
      <c r="H329" s="85">
        <v>0</v>
      </c>
      <c r="I329" s="85">
        <v>0</v>
      </c>
      <c r="J329" s="85">
        <v>0</v>
      </c>
      <c r="K329" s="85">
        <v>0</v>
      </c>
      <c r="L329" s="85">
        <v>0</v>
      </c>
      <c r="M329" s="85">
        <v>0</v>
      </c>
      <c r="N329" s="85">
        <v>0</v>
      </c>
      <c r="O329" s="85">
        <v>0</v>
      </c>
      <c r="P329" s="85">
        <v>0</v>
      </c>
      <c r="Q329" s="85">
        <v>0</v>
      </c>
      <c r="R329" s="85">
        <v>0</v>
      </c>
      <c r="S329" s="85">
        <v>0</v>
      </c>
      <c r="T329" s="85">
        <v>0</v>
      </c>
      <c r="U329" s="85">
        <v>0</v>
      </c>
      <c r="V329" s="85">
        <v>0</v>
      </c>
      <c r="W329" s="85">
        <v>0</v>
      </c>
      <c r="X329" s="85">
        <v>0</v>
      </c>
      <c r="Y329" s="85">
        <v>0</v>
      </c>
      <c r="Z329" s="85">
        <v>0</v>
      </c>
      <c r="AA329" s="85">
        <v>0</v>
      </c>
      <c r="AB329" s="85">
        <v>0</v>
      </c>
      <c r="AC329" s="85">
        <v>0</v>
      </c>
      <c r="AD329" s="85">
        <v>0</v>
      </c>
      <c r="AE329" s="85">
        <v>0</v>
      </c>
      <c r="AF329" s="85">
        <v>0</v>
      </c>
      <c r="AG329" s="85">
        <v>0</v>
      </c>
      <c r="AH329" s="85">
        <v>0</v>
      </c>
      <c r="AP329" s="92">
        <f t="shared" ref="AP329:AP360" si="69">B329</f>
        <v>0</v>
      </c>
      <c r="AQ329" s="91" t="str">
        <f t="shared" ref="AQ329:AQ360" si="70">DEC2HEX(C329)&amp;DEC2HEX(D329)&amp;DEC2HEX(E329)&amp;DEC2HEX(F329)</f>
        <v>0000</v>
      </c>
      <c r="AR329" s="91" t="str">
        <f t="shared" ref="AR329:AR360" si="71">DEC2HEX(G329)&amp;DEC2HEX(H329)&amp;DEC2HEX(I329)&amp;DEC2HEX(J329)</f>
        <v>0000</v>
      </c>
      <c r="AS329" s="91" t="str">
        <f t="shared" ref="AS329:AS360" si="72">DEC2HEX(K329)&amp;DEC2HEX(L329)&amp;DEC2HEX(M329)&amp;DEC2HEX(N329)</f>
        <v>0000</v>
      </c>
      <c r="AT329" s="91" t="str">
        <f t="shared" ref="AT329:AT360" si="73">DEC2HEX(O329)&amp;DEC2HEX(P329)&amp;DEC2HEX(Q329)&amp;DEC2HEX(R329)</f>
        <v>0000</v>
      </c>
      <c r="AU329" s="91" t="str">
        <f t="shared" ref="AU329:AU360" si="74">DEC2HEX(S329)&amp;DEC2HEX(T329)&amp;DEC2HEX(U329)&amp;DEC2HEX(V329)</f>
        <v>0000</v>
      </c>
      <c r="AV329" s="91" t="str">
        <f t="shared" ref="AV329:AV360" si="75">DEC2HEX(W329)&amp;DEC2HEX(X329)&amp;DEC2HEX(Y329)&amp;DEC2HEX(Z329)</f>
        <v>0000</v>
      </c>
      <c r="AW329" s="91" t="str">
        <f t="shared" ref="AW329:AW360" si="76">DEC2HEX(AA329)&amp;DEC2HEX(AB329)&amp;DEC2HEX(AC329)&amp;DEC2HEX(AD329)</f>
        <v>0000</v>
      </c>
      <c r="AX329" s="91" t="str">
        <f t="shared" ref="AX329:AX360" si="77">DEC2HEX(AE329)&amp;DEC2HEX(AF329)&amp;DEC2HEX(AG329)&amp;DEC2HEX(AH329)</f>
        <v>0000</v>
      </c>
    </row>
    <row r="330" spans="1:50" s="83" customFormat="1" ht="14.1" customHeight="1">
      <c r="A330" s="82"/>
      <c r="B330" s="84">
        <v>1</v>
      </c>
      <c r="C330" s="85">
        <v>0</v>
      </c>
      <c r="D330" s="85">
        <v>0</v>
      </c>
      <c r="E330" s="85">
        <v>0</v>
      </c>
      <c r="F330" s="85">
        <v>0</v>
      </c>
      <c r="G330" s="85">
        <v>0</v>
      </c>
      <c r="H330" s="85">
        <v>0</v>
      </c>
      <c r="I330" s="85">
        <v>0</v>
      </c>
      <c r="J330" s="85">
        <v>0</v>
      </c>
      <c r="K330" s="85">
        <v>0</v>
      </c>
      <c r="L330" s="85">
        <v>0</v>
      </c>
      <c r="M330" s="85">
        <v>0</v>
      </c>
      <c r="N330" s="85">
        <v>0</v>
      </c>
      <c r="O330" s="85">
        <v>0</v>
      </c>
      <c r="P330" s="85">
        <v>0</v>
      </c>
      <c r="Q330" s="85">
        <v>0</v>
      </c>
      <c r="R330" s="85">
        <v>0</v>
      </c>
      <c r="S330" s="85">
        <v>0</v>
      </c>
      <c r="T330" s="85">
        <v>0</v>
      </c>
      <c r="U330" s="85">
        <v>0</v>
      </c>
      <c r="V330" s="85">
        <v>0</v>
      </c>
      <c r="W330" s="85">
        <v>0</v>
      </c>
      <c r="X330" s="85">
        <v>0</v>
      </c>
      <c r="Y330" s="85">
        <v>0</v>
      </c>
      <c r="Z330" s="85">
        <v>0</v>
      </c>
      <c r="AA330" s="85">
        <v>0</v>
      </c>
      <c r="AB330" s="85">
        <v>0</v>
      </c>
      <c r="AC330" s="85">
        <v>0</v>
      </c>
      <c r="AD330" s="85">
        <v>0</v>
      </c>
      <c r="AE330" s="85">
        <v>0</v>
      </c>
      <c r="AF330" s="85">
        <v>0</v>
      </c>
      <c r="AG330" s="85">
        <v>0</v>
      </c>
      <c r="AH330" s="85">
        <v>0</v>
      </c>
      <c r="AP330" s="92">
        <f t="shared" si="69"/>
        <v>1</v>
      </c>
      <c r="AQ330" s="91" t="str">
        <f t="shared" si="70"/>
        <v>0000</v>
      </c>
      <c r="AR330" s="91" t="str">
        <f t="shared" si="71"/>
        <v>0000</v>
      </c>
      <c r="AS330" s="91" t="str">
        <f t="shared" si="72"/>
        <v>0000</v>
      </c>
      <c r="AT330" s="91" t="str">
        <f t="shared" si="73"/>
        <v>0000</v>
      </c>
      <c r="AU330" s="91" t="str">
        <f t="shared" si="74"/>
        <v>0000</v>
      </c>
      <c r="AV330" s="91" t="str">
        <f t="shared" si="75"/>
        <v>0000</v>
      </c>
      <c r="AW330" s="91" t="str">
        <f t="shared" si="76"/>
        <v>0000</v>
      </c>
      <c r="AX330" s="91" t="str">
        <f t="shared" si="77"/>
        <v>0000</v>
      </c>
    </row>
    <row r="331" spans="1:50" s="83" customFormat="1" ht="14.1" customHeight="1">
      <c r="A331" s="82"/>
      <c r="B331" s="84">
        <v>2</v>
      </c>
      <c r="C331" s="85">
        <v>0</v>
      </c>
      <c r="D331" s="85">
        <v>0</v>
      </c>
      <c r="E331" s="85">
        <v>0</v>
      </c>
      <c r="F331" s="85">
        <v>0</v>
      </c>
      <c r="G331" s="85">
        <v>0</v>
      </c>
      <c r="H331" s="85">
        <v>0</v>
      </c>
      <c r="I331" s="85">
        <v>0</v>
      </c>
      <c r="J331" s="85">
        <v>0</v>
      </c>
      <c r="K331" s="85">
        <v>0</v>
      </c>
      <c r="L331" s="85">
        <v>0</v>
      </c>
      <c r="M331" s="85">
        <v>0</v>
      </c>
      <c r="N331" s="85">
        <v>0</v>
      </c>
      <c r="O331" s="85">
        <v>0</v>
      </c>
      <c r="P331" s="85">
        <v>0</v>
      </c>
      <c r="Q331" s="85">
        <v>0</v>
      </c>
      <c r="R331" s="85">
        <v>0</v>
      </c>
      <c r="S331" s="85">
        <v>0</v>
      </c>
      <c r="T331" s="85">
        <v>0</v>
      </c>
      <c r="U331" s="85">
        <v>0</v>
      </c>
      <c r="V331" s="85">
        <v>0</v>
      </c>
      <c r="W331" s="85">
        <v>0</v>
      </c>
      <c r="X331" s="85">
        <v>0</v>
      </c>
      <c r="Y331" s="85">
        <v>0</v>
      </c>
      <c r="Z331" s="85">
        <v>0</v>
      </c>
      <c r="AA331" s="85">
        <v>0</v>
      </c>
      <c r="AB331" s="85">
        <v>0</v>
      </c>
      <c r="AC331" s="85">
        <v>0</v>
      </c>
      <c r="AD331" s="85">
        <v>0</v>
      </c>
      <c r="AE331" s="85">
        <v>0</v>
      </c>
      <c r="AF331" s="85">
        <v>0</v>
      </c>
      <c r="AG331" s="85">
        <v>0</v>
      </c>
      <c r="AH331" s="85">
        <v>0</v>
      </c>
      <c r="AP331" s="92">
        <f t="shared" si="69"/>
        <v>2</v>
      </c>
      <c r="AQ331" s="91" t="str">
        <f t="shared" si="70"/>
        <v>0000</v>
      </c>
      <c r="AR331" s="91" t="str">
        <f t="shared" si="71"/>
        <v>0000</v>
      </c>
      <c r="AS331" s="91" t="str">
        <f t="shared" si="72"/>
        <v>0000</v>
      </c>
      <c r="AT331" s="91" t="str">
        <f t="shared" si="73"/>
        <v>0000</v>
      </c>
      <c r="AU331" s="91" t="str">
        <f t="shared" si="74"/>
        <v>0000</v>
      </c>
      <c r="AV331" s="91" t="str">
        <f t="shared" si="75"/>
        <v>0000</v>
      </c>
      <c r="AW331" s="91" t="str">
        <f t="shared" si="76"/>
        <v>0000</v>
      </c>
      <c r="AX331" s="91" t="str">
        <f t="shared" si="77"/>
        <v>0000</v>
      </c>
    </row>
    <row r="332" spans="1:50" s="83" customFormat="1" ht="14.1" customHeight="1">
      <c r="A332" s="82"/>
      <c r="B332" s="84">
        <v>3</v>
      </c>
      <c r="C332" s="85">
        <v>0</v>
      </c>
      <c r="D332" s="85">
        <v>0</v>
      </c>
      <c r="E332" s="85">
        <v>0</v>
      </c>
      <c r="F332" s="85">
        <v>0</v>
      </c>
      <c r="G332" s="85">
        <v>0</v>
      </c>
      <c r="H332" s="85">
        <v>0</v>
      </c>
      <c r="I332" s="85">
        <v>0</v>
      </c>
      <c r="J332" s="85">
        <v>0</v>
      </c>
      <c r="K332" s="85">
        <v>0</v>
      </c>
      <c r="L332" s="85">
        <v>0</v>
      </c>
      <c r="M332" s="85">
        <v>0</v>
      </c>
      <c r="N332" s="85">
        <v>0</v>
      </c>
      <c r="O332" s="85">
        <v>1</v>
      </c>
      <c r="P332" s="85">
        <v>1</v>
      </c>
      <c r="Q332" s="85">
        <v>1</v>
      </c>
      <c r="R332" s="85">
        <v>1</v>
      </c>
      <c r="S332" s="85">
        <v>1</v>
      </c>
      <c r="T332" s="85">
        <v>1</v>
      </c>
      <c r="U332" s="85">
        <v>1</v>
      </c>
      <c r="V332" s="85">
        <v>1</v>
      </c>
      <c r="W332" s="85">
        <v>0</v>
      </c>
      <c r="X332" s="85">
        <v>0</v>
      </c>
      <c r="Y332" s="85">
        <v>0</v>
      </c>
      <c r="Z332" s="85">
        <v>0</v>
      </c>
      <c r="AA332" s="85">
        <v>0</v>
      </c>
      <c r="AB332" s="85">
        <v>0</v>
      </c>
      <c r="AC332" s="85">
        <v>0</v>
      </c>
      <c r="AD332" s="85">
        <v>0</v>
      </c>
      <c r="AE332" s="85">
        <v>0</v>
      </c>
      <c r="AF332" s="85">
        <v>0</v>
      </c>
      <c r="AG332" s="85">
        <v>0</v>
      </c>
      <c r="AH332" s="85">
        <v>0</v>
      </c>
      <c r="AP332" s="92">
        <f t="shared" si="69"/>
        <v>3</v>
      </c>
      <c r="AQ332" s="91" t="str">
        <f t="shared" si="70"/>
        <v>0000</v>
      </c>
      <c r="AR332" s="91" t="str">
        <f t="shared" si="71"/>
        <v>0000</v>
      </c>
      <c r="AS332" s="91" t="str">
        <f t="shared" si="72"/>
        <v>0000</v>
      </c>
      <c r="AT332" s="91" t="str">
        <f t="shared" si="73"/>
        <v>1111</v>
      </c>
      <c r="AU332" s="91" t="str">
        <f t="shared" si="74"/>
        <v>1111</v>
      </c>
      <c r="AV332" s="91" t="str">
        <f t="shared" si="75"/>
        <v>0000</v>
      </c>
      <c r="AW332" s="91" t="str">
        <f t="shared" si="76"/>
        <v>0000</v>
      </c>
      <c r="AX332" s="91" t="str">
        <f t="shared" si="77"/>
        <v>0000</v>
      </c>
    </row>
    <row r="333" spans="1:50" s="83" customFormat="1" ht="14.1" customHeight="1">
      <c r="A333" s="82"/>
      <c r="B333" s="84">
        <v>4</v>
      </c>
      <c r="C333" s="85">
        <v>0</v>
      </c>
      <c r="D333" s="85">
        <v>0</v>
      </c>
      <c r="E333" s="85">
        <v>0</v>
      </c>
      <c r="F333" s="85">
        <v>0</v>
      </c>
      <c r="G333" s="85">
        <v>0</v>
      </c>
      <c r="H333" s="85">
        <v>0</v>
      </c>
      <c r="I333" s="85">
        <v>0</v>
      </c>
      <c r="J333" s="85">
        <v>0</v>
      </c>
      <c r="K333" s="85">
        <v>0</v>
      </c>
      <c r="L333" s="85">
        <v>0</v>
      </c>
      <c r="M333" s="85">
        <v>1</v>
      </c>
      <c r="N333" s="85">
        <v>1</v>
      </c>
      <c r="O333" s="85">
        <v>1</v>
      </c>
      <c r="P333" s="85">
        <v>1</v>
      </c>
      <c r="Q333" s="85">
        <v>1</v>
      </c>
      <c r="R333" s="85">
        <v>1</v>
      </c>
      <c r="S333" s="85">
        <v>1</v>
      </c>
      <c r="T333" s="85">
        <v>1</v>
      </c>
      <c r="U333" s="85">
        <v>1</v>
      </c>
      <c r="V333" s="85">
        <v>1</v>
      </c>
      <c r="W333" s="85">
        <v>1</v>
      </c>
      <c r="X333" s="85">
        <v>1</v>
      </c>
      <c r="Y333" s="85">
        <v>0</v>
      </c>
      <c r="Z333" s="85">
        <v>0</v>
      </c>
      <c r="AA333" s="85">
        <v>0</v>
      </c>
      <c r="AB333" s="85">
        <v>0</v>
      </c>
      <c r="AC333" s="85">
        <v>0</v>
      </c>
      <c r="AD333" s="85">
        <v>0</v>
      </c>
      <c r="AE333" s="85">
        <v>0</v>
      </c>
      <c r="AF333" s="85">
        <v>0</v>
      </c>
      <c r="AG333" s="85">
        <v>0</v>
      </c>
      <c r="AH333" s="85">
        <v>0</v>
      </c>
      <c r="AP333" s="92">
        <f t="shared" si="69"/>
        <v>4</v>
      </c>
      <c r="AQ333" s="91" t="str">
        <f t="shared" si="70"/>
        <v>0000</v>
      </c>
      <c r="AR333" s="91" t="str">
        <f t="shared" si="71"/>
        <v>0000</v>
      </c>
      <c r="AS333" s="91" t="str">
        <f t="shared" si="72"/>
        <v>0011</v>
      </c>
      <c r="AT333" s="91" t="str">
        <f t="shared" si="73"/>
        <v>1111</v>
      </c>
      <c r="AU333" s="91" t="str">
        <f t="shared" si="74"/>
        <v>1111</v>
      </c>
      <c r="AV333" s="91" t="str">
        <f t="shared" si="75"/>
        <v>1100</v>
      </c>
      <c r="AW333" s="91" t="str">
        <f t="shared" si="76"/>
        <v>0000</v>
      </c>
      <c r="AX333" s="91" t="str">
        <f t="shared" si="77"/>
        <v>0000</v>
      </c>
    </row>
    <row r="334" spans="1:50" s="83" customFormat="1" ht="14.1" customHeight="1">
      <c r="A334" s="82"/>
      <c r="B334" s="84">
        <v>5</v>
      </c>
      <c r="C334" s="85">
        <v>0</v>
      </c>
      <c r="D334" s="85">
        <v>0</v>
      </c>
      <c r="E334" s="85">
        <v>0</v>
      </c>
      <c r="F334" s="85">
        <v>0</v>
      </c>
      <c r="G334" s="85">
        <v>0</v>
      </c>
      <c r="H334" s="85">
        <v>0</v>
      </c>
      <c r="I334" s="85">
        <v>0</v>
      </c>
      <c r="J334" s="85">
        <v>0</v>
      </c>
      <c r="K334" s="85">
        <v>1</v>
      </c>
      <c r="L334" s="85">
        <v>1</v>
      </c>
      <c r="M334" s="85">
        <v>1</v>
      </c>
      <c r="N334" s="85">
        <v>1</v>
      </c>
      <c r="O334" s="85">
        <v>2</v>
      </c>
      <c r="P334" s="85">
        <v>2</v>
      </c>
      <c r="Q334" s="85">
        <v>2</v>
      </c>
      <c r="R334" s="85">
        <v>2</v>
      </c>
      <c r="S334" s="85">
        <v>2</v>
      </c>
      <c r="T334" s="85">
        <v>2</v>
      </c>
      <c r="U334" s="85">
        <v>2</v>
      </c>
      <c r="V334" s="85">
        <v>2</v>
      </c>
      <c r="W334" s="85">
        <v>1</v>
      </c>
      <c r="X334" s="85">
        <v>1</v>
      </c>
      <c r="Y334" s="85">
        <v>1</v>
      </c>
      <c r="Z334" s="85">
        <v>1</v>
      </c>
      <c r="AA334" s="85">
        <v>0</v>
      </c>
      <c r="AB334" s="85">
        <v>0</v>
      </c>
      <c r="AC334" s="85">
        <v>0</v>
      </c>
      <c r="AD334" s="85">
        <v>0</v>
      </c>
      <c r="AE334" s="85">
        <v>0</v>
      </c>
      <c r="AF334" s="85">
        <v>0</v>
      </c>
      <c r="AG334" s="85">
        <v>0</v>
      </c>
      <c r="AH334" s="85">
        <v>0</v>
      </c>
      <c r="AP334" s="92">
        <f t="shared" si="69"/>
        <v>5</v>
      </c>
      <c r="AQ334" s="91" t="str">
        <f t="shared" si="70"/>
        <v>0000</v>
      </c>
      <c r="AR334" s="91" t="str">
        <f t="shared" si="71"/>
        <v>0000</v>
      </c>
      <c r="AS334" s="91" t="str">
        <f t="shared" si="72"/>
        <v>1111</v>
      </c>
      <c r="AT334" s="91" t="str">
        <f t="shared" si="73"/>
        <v>2222</v>
      </c>
      <c r="AU334" s="91" t="str">
        <f t="shared" si="74"/>
        <v>2222</v>
      </c>
      <c r="AV334" s="91" t="str">
        <f t="shared" si="75"/>
        <v>1111</v>
      </c>
      <c r="AW334" s="91" t="str">
        <f t="shared" si="76"/>
        <v>0000</v>
      </c>
      <c r="AX334" s="91" t="str">
        <f t="shared" si="77"/>
        <v>0000</v>
      </c>
    </row>
    <row r="335" spans="1:50" s="83" customFormat="1" ht="14.1" customHeight="1">
      <c r="A335" s="82"/>
      <c r="B335" s="84">
        <v>6</v>
      </c>
      <c r="C335" s="85">
        <v>0</v>
      </c>
      <c r="D335" s="85">
        <v>0</v>
      </c>
      <c r="E335" s="85">
        <v>0</v>
      </c>
      <c r="F335" s="85">
        <v>0</v>
      </c>
      <c r="G335" s="85">
        <v>0</v>
      </c>
      <c r="H335" s="85">
        <v>0</v>
      </c>
      <c r="I335" s="85">
        <v>1</v>
      </c>
      <c r="J335" s="85">
        <v>1</v>
      </c>
      <c r="K335" s="85">
        <v>1</v>
      </c>
      <c r="L335" s="85">
        <v>1</v>
      </c>
      <c r="M335" s="85">
        <v>2</v>
      </c>
      <c r="N335" s="85">
        <v>2</v>
      </c>
      <c r="O335" s="85">
        <v>2</v>
      </c>
      <c r="P335" s="85">
        <v>2</v>
      </c>
      <c r="Q335" s="85">
        <v>2</v>
      </c>
      <c r="R335" s="85">
        <v>2</v>
      </c>
      <c r="S335" s="85">
        <v>2</v>
      </c>
      <c r="T335" s="85">
        <v>2</v>
      </c>
      <c r="U335" s="85">
        <v>2</v>
      </c>
      <c r="V335" s="85">
        <v>2</v>
      </c>
      <c r="W335" s="85">
        <v>2</v>
      </c>
      <c r="X335" s="85">
        <v>2</v>
      </c>
      <c r="Y335" s="85">
        <v>1</v>
      </c>
      <c r="Z335" s="85">
        <v>1</v>
      </c>
      <c r="AA335" s="85">
        <v>1</v>
      </c>
      <c r="AB335" s="85">
        <v>1</v>
      </c>
      <c r="AC335" s="85">
        <v>0</v>
      </c>
      <c r="AD335" s="85">
        <v>0</v>
      </c>
      <c r="AE335" s="85">
        <v>0</v>
      </c>
      <c r="AF335" s="85">
        <v>0</v>
      </c>
      <c r="AG335" s="85">
        <v>0</v>
      </c>
      <c r="AH335" s="85">
        <v>0</v>
      </c>
      <c r="AP335" s="92">
        <f t="shared" si="69"/>
        <v>6</v>
      </c>
      <c r="AQ335" s="91" t="str">
        <f t="shared" si="70"/>
        <v>0000</v>
      </c>
      <c r="AR335" s="91" t="str">
        <f t="shared" si="71"/>
        <v>0011</v>
      </c>
      <c r="AS335" s="91" t="str">
        <f t="shared" si="72"/>
        <v>1122</v>
      </c>
      <c r="AT335" s="91" t="str">
        <f t="shared" si="73"/>
        <v>2222</v>
      </c>
      <c r="AU335" s="91" t="str">
        <f t="shared" si="74"/>
        <v>2222</v>
      </c>
      <c r="AV335" s="91" t="str">
        <f t="shared" si="75"/>
        <v>2211</v>
      </c>
      <c r="AW335" s="91" t="str">
        <f t="shared" si="76"/>
        <v>1100</v>
      </c>
      <c r="AX335" s="91" t="str">
        <f t="shared" si="77"/>
        <v>0000</v>
      </c>
    </row>
    <row r="336" spans="1:50" s="83" customFormat="1" ht="14.1" customHeight="1">
      <c r="A336" s="82"/>
      <c r="B336" s="84">
        <v>7</v>
      </c>
      <c r="C336" s="85">
        <v>0</v>
      </c>
      <c r="D336" s="85">
        <v>0</v>
      </c>
      <c r="E336" s="85">
        <v>0</v>
      </c>
      <c r="F336" s="85">
        <v>0</v>
      </c>
      <c r="G336" s="85">
        <v>0</v>
      </c>
      <c r="H336" s="85">
        <v>0</v>
      </c>
      <c r="I336" s="85">
        <v>1</v>
      </c>
      <c r="J336" s="85">
        <v>1</v>
      </c>
      <c r="K336" s="85">
        <v>2</v>
      </c>
      <c r="L336" s="85">
        <v>2</v>
      </c>
      <c r="M336" s="85">
        <v>2</v>
      </c>
      <c r="N336" s="85">
        <v>2</v>
      </c>
      <c r="O336" s="85">
        <v>2</v>
      </c>
      <c r="P336" s="85">
        <v>2</v>
      </c>
      <c r="Q336" s="85">
        <v>3</v>
      </c>
      <c r="R336" s="85">
        <v>3</v>
      </c>
      <c r="S336" s="85">
        <v>3</v>
      </c>
      <c r="T336" s="85">
        <v>3</v>
      </c>
      <c r="U336" s="85">
        <v>2</v>
      </c>
      <c r="V336" s="85">
        <v>2</v>
      </c>
      <c r="W336" s="85">
        <v>2</v>
      </c>
      <c r="X336" s="85">
        <v>2</v>
      </c>
      <c r="Y336" s="85">
        <v>2</v>
      </c>
      <c r="Z336" s="85">
        <v>2</v>
      </c>
      <c r="AA336" s="85">
        <v>1</v>
      </c>
      <c r="AB336" s="85">
        <v>1</v>
      </c>
      <c r="AC336" s="85">
        <v>0</v>
      </c>
      <c r="AD336" s="85">
        <v>0</v>
      </c>
      <c r="AE336" s="85">
        <v>0</v>
      </c>
      <c r="AF336" s="85">
        <v>0</v>
      </c>
      <c r="AG336" s="85">
        <v>0</v>
      </c>
      <c r="AH336" s="85">
        <v>0</v>
      </c>
      <c r="AP336" s="92">
        <f t="shared" si="69"/>
        <v>7</v>
      </c>
      <c r="AQ336" s="91" t="str">
        <f t="shared" si="70"/>
        <v>0000</v>
      </c>
      <c r="AR336" s="91" t="str">
        <f t="shared" si="71"/>
        <v>0011</v>
      </c>
      <c r="AS336" s="91" t="str">
        <f t="shared" si="72"/>
        <v>2222</v>
      </c>
      <c r="AT336" s="91" t="str">
        <f t="shared" si="73"/>
        <v>2233</v>
      </c>
      <c r="AU336" s="91" t="str">
        <f t="shared" si="74"/>
        <v>3322</v>
      </c>
      <c r="AV336" s="91" t="str">
        <f t="shared" si="75"/>
        <v>2222</v>
      </c>
      <c r="AW336" s="91" t="str">
        <f t="shared" si="76"/>
        <v>1100</v>
      </c>
      <c r="AX336" s="91" t="str">
        <f t="shared" si="77"/>
        <v>0000</v>
      </c>
    </row>
    <row r="337" spans="1:50" s="83" customFormat="1" ht="14.1" customHeight="1">
      <c r="A337" s="82"/>
      <c r="B337" s="84">
        <v>8</v>
      </c>
      <c r="C337" s="85">
        <v>0</v>
      </c>
      <c r="D337" s="85">
        <v>0</v>
      </c>
      <c r="E337" s="85">
        <v>0</v>
      </c>
      <c r="F337" s="85">
        <v>0</v>
      </c>
      <c r="G337" s="85">
        <v>1</v>
      </c>
      <c r="H337" s="85">
        <v>1</v>
      </c>
      <c r="I337" s="85">
        <v>1</v>
      </c>
      <c r="J337" s="85">
        <v>1</v>
      </c>
      <c r="K337" s="85">
        <v>2</v>
      </c>
      <c r="L337" s="85">
        <v>2</v>
      </c>
      <c r="M337" s="85">
        <v>2</v>
      </c>
      <c r="N337" s="85">
        <v>2</v>
      </c>
      <c r="O337" s="85">
        <v>3</v>
      </c>
      <c r="P337" s="85">
        <v>3</v>
      </c>
      <c r="Q337" s="85">
        <v>3</v>
      </c>
      <c r="R337" s="85">
        <v>3</v>
      </c>
      <c r="S337" s="85">
        <v>3</v>
      </c>
      <c r="T337" s="85">
        <v>3</v>
      </c>
      <c r="U337" s="85">
        <v>3</v>
      </c>
      <c r="V337" s="85">
        <v>3</v>
      </c>
      <c r="W337" s="85">
        <v>2</v>
      </c>
      <c r="X337" s="85">
        <v>2</v>
      </c>
      <c r="Y337" s="85">
        <v>2</v>
      </c>
      <c r="Z337" s="85">
        <v>2</v>
      </c>
      <c r="AA337" s="85">
        <v>1</v>
      </c>
      <c r="AB337" s="85">
        <v>1</v>
      </c>
      <c r="AC337" s="85">
        <v>1</v>
      </c>
      <c r="AD337" s="85">
        <v>1</v>
      </c>
      <c r="AE337" s="85">
        <v>0</v>
      </c>
      <c r="AF337" s="85">
        <v>0</v>
      </c>
      <c r="AG337" s="85">
        <v>0</v>
      </c>
      <c r="AH337" s="85">
        <v>0</v>
      </c>
      <c r="AP337" s="92">
        <f t="shared" si="69"/>
        <v>8</v>
      </c>
      <c r="AQ337" s="91" t="str">
        <f t="shared" si="70"/>
        <v>0000</v>
      </c>
      <c r="AR337" s="91" t="str">
        <f t="shared" si="71"/>
        <v>1111</v>
      </c>
      <c r="AS337" s="91" t="str">
        <f t="shared" si="72"/>
        <v>2222</v>
      </c>
      <c r="AT337" s="91" t="str">
        <f t="shared" si="73"/>
        <v>3333</v>
      </c>
      <c r="AU337" s="91" t="str">
        <f t="shared" si="74"/>
        <v>3333</v>
      </c>
      <c r="AV337" s="91" t="str">
        <f t="shared" si="75"/>
        <v>2222</v>
      </c>
      <c r="AW337" s="91" t="str">
        <f t="shared" si="76"/>
        <v>1111</v>
      </c>
      <c r="AX337" s="91" t="str">
        <f t="shared" si="77"/>
        <v>0000</v>
      </c>
    </row>
    <row r="338" spans="1:50" s="83" customFormat="1" ht="14.1" customHeight="1">
      <c r="A338" s="82"/>
      <c r="B338" s="84">
        <v>9</v>
      </c>
      <c r="C338" s="85">
        <v>0</v>
      </c>
      <c r="D338" s="85">
        <v>0</v>
      </c>
      <c r="E338" s="85">
        <v>0</v>
      </c>
      <c r="F338" s="85">
        <v>0</v>
      </c>
      <c r="G338" s="85">
        <v>1</v>
      </c>
      <c r="H338" s="85">
        <v>1</v>
      </c>
      <c r="I338" s="85">
        <v>2</v>
      </c>
      <c r="J338" s="85">
        <v>2</v>
      </c>
      <c r="K338" s="85">
        <v>2</v>
      </c>
      <c r="L338" s="85">
        <v>2</v>
      </c>
      <c r="M338" s="85">
        <v>3</v>
      </c>
      <c r="N338" s="85">
        <v>3</v>
      </c>
      <c r="O338" s="85">
        <v>3</v>
      </c>
      <c r="P338" s="85">
        <v>3</v>
      </c>
      <c r="Q338" s="85">
        <v>4</v>
      </c>
      <c r="R338" s="85">
        <v>4</v>
      </c>
      <c r="S338" s="85">
        <v>4</v>
      </c>
      <c r="T338" s="85">
        <v>4</v>
      </c>
      <c r="U338" s="85">
        <v>3</v>
      </c>
      <c r="V338" s="85">
        <v>3</v>
      </c>
      <c r="W338" s="85">
        <v>3</v>
      </c>
      <c r="X338" s="85">
        <v>3</v>
      </c>
      <c r="Y338" s="85">
        <v>2</v>
      </c>
      <c r="Z338" s="85">
        <v>2</v>
      </c>
      <c r="AA338" s="85">
        <v>2</v>
      </c>
      <c r="AB338" s="85">
        <v>2</v>
      </c>
      <c r="AC338" s="85">
        <v>1</v>
      </c>
      <c r="AD338" s="85">
        <v>1</v>
      </c>
      <c r="AE338" s="85">
        <v>0</v>
      </c>
      <c r="AF338" s="85">
        <v>0</v>
      </c>
      <c r="AG338" s="85">
        <v>0</v>
      </c>
      <c r="AH338" s="85">
        <v>0</v>
      </c>
      <c r="AP338" s="92">
        <f t="shared" si="69"/>
        <v>9</v>
      </c>
      <c r="AQ338" s="91" t="str">
        <f t="shared" si="70"/>
        <v>0000</v>
      </c>
      <c r="AR338" s="91" t="str">
        <f t="shared" si="71"/>
        <v>1122</v>
      </c>
      <c r="AS338" s="91" t="str">
        <f t="shared" si="72"/>
        <v>2233</v>
      </c>
      <c r="AT338" s="91" t="str">
        <f t="shared" si="73"/>
        <v>3344</v>
      </c>
      <c r="AU338" s="91" t="str">
        <f t="shared" si="74"/>
        <v>4433</v>
      </c>
      <c r="AV338" s="91" t="str">
        <f t="shared" si="75"/>
        <v>3322</v>
      </c>
      <c r="AW338" s="91" t="str">
        <f t="shared" si="76"/>
        <v>2211</v>
      </c>
      <c r="AX338" s="91" t="str">
        <f t="shared" si="77"/>
        <v>0000</v>
      </c>
    </row>
    <row r="339" spans="1:50" s="83" customFormat="1" ht="14.1" customHeight="1">
      <c r="A339" s="82"/>
      <c r="B339" s="84">
        <v>10</v>
      </c>
      <c r="C339" s="85">
        <v>0</v>
      </c>
      <c r="D339" s="85">
        <v>0</v>
      </c>
      <c r="E339" s="85">
        <v>0</v>
      </c>
      <c r="F339" s="85">
        <v>0</v>
      </c>
      <c r="G339" s="85">
        <v>1</v>
      </c>
      <c r="H339" s="85">
        <v>1</v>
      </c>
      <c r="I339" s="85">
        <v>2</v>
      </c>
      <c r="J339" s="85">
        <v>2</v>
      </c>
      <c r="K339" s="85">
        <v>3</v>
      </c>
      <c r="L339" s="85">
        <v>3</v>
      </c>
      <c r="M339" s="85">
        <v>3</v>
      </c>
      <c r="N339" s="85">
        <v>3</v>
      </c>
      <c r="O339" s="85">
        <v>4</v>
      </c>
      <c r="P339" s="85">
        <v>4</v>
      </c>
      <c r="Q339" s="85">
        <v>5</v>
      </c>
      <c r="R339" s="85">
        <v>5</v>
      </c>
      <c r="S339" s="85">
        <v>5</v>
      </c>
      <c r="T339" s="85">
        <v>5</v>
      </c>
      <c r="U339" s="85">
        <v>4</v>
      </c>
      <c r="V339" s="85">
        <v>4</v>
      </c>
      <c r="W339" s="85">
        <v>3</v>
      </c>
      <c r="X339" s="85">
        <v>3</v>
      </c>
      <c r="Y339" s="85">
        <v>3</v>
      </c>
      <c r="Z339" s="85">
        <v>3</v>
      </c>
      <c r="AA339" s="85">
        <v>2</v>
      </c>
      <c r="AB339" s="85">
        <v>2</v>
      </c>
      <c r="AC339" s="85">
        <v>1</v>
      </c>
      <c r="AD339" s="85">
        <v>1</v>
      </c>
      <c r="AE339" s="85">
        <v>0</v>
      </c>
      <c r="AF339" s="85">
        <v>0</v>
      </c>
      <c r="AG339" s="85">
        <v>0</v>
      </c>
      <c r="AH339" s="85">
        <v>0</v>
      </c>
      <c r="AP339" s="92">
        <f t="shared" si="69"/>
        <v>10</v>
      </c>
      <c r="AQ339" s="91" t="str">
        <f t="shared" si="70"/>
        <v>0000</v>
      </c>
      <c r="AR339" s="91" t="str">
        <f t="shared" si="71"/>
        <v>1122</v>
      </c>
      <c r="AS339" s="91" t="str">
        <f t="shared" si="72"/>
        <v>3333</v>
      </c>
      <c r="AT339" s="91" t="str">
        <f t="shared" si="73"/>
        <v>4455</v>
      </c>
      <c r="AU339" s="91" t="str">
        <f t="shared" si="74"/>
        <v>5544</v>
      </c>
      <c r="AV339" s="91" t="str">
        <f t="shared" si="75"/>
        <v>3333</v>
      </c>
      <c r="AW339" s="91" t="str">
        <f t="shared" si="76"/>
        <v>2211</v>
      </c>
      <c r="AX339" s="91" t="str">
        <f t="shared" si="77"/>
        <v>0000</v>
      </c>
    </row>
    <row r="340" spans="1:50" s="83" customFormat="1" ht="14.1" customHeight="1">
      <c r="A340" s="82"/>
      <c r="B340" s="84">
        <v>11</v>
      </c>
      <c r="C340" s="85">
        <v>0</v>
      </c>
      <c r="D340" s="85">
        <v>0</v>
      </c>
      <c r="E340" s="85">
        <v>1</v>
      </c>
      <c r="F340" s="85">
        <v>1</v>
      </c>
      <c r="G340" s="85">
        <v>2</v>
      </c>
      <c r="H340" s="85">
        <v>2</v>
      </c>
      <c r="I340" s="85">
        <v>2</v>
      </c>
      <c r="J340" s="85">
        <v>2</v>
      </c>
      <c r="K340" s="85">
        <v>3</v>
      </c>
      <c r="L340" s="85">
        <v>3</v>
      </c>
      <c r="M340" s="85">
        <v>4</v>
      </c>
      <c r="N340" s="85">
        <v>4</v>
      </c>
      <c r="O340" s="85">
        <v>5</v>
      </c>
      <c r="P340" s="85">
        <v>5</v>
      </c>
      <c r="Q340" s="85">
        <v>5</v>
      </c>
      <c r="R340" s="85">
        <v>5</v>
      </c>
      <c r="S340" s="85">
        <v>5</v>
      </c>
      <c r="T340" s="85">
        <v>5</v>
      </c>
      <c r="U340" s="85">
        <v>5</v>
      </c>
      <c r="V340" s="85">
        <v>5</v>
      </c>
      <c r="W340" s="85">
        <v>4</v>
      </c>
      <c r="X340" s="85">
        <v>4</v>
      </c>
      <c r="Y340" s="85">
        <v>3</v>
      </c>
      <c r="Z340" s="85">
        <v>3</v>
      </c>
      <c r="AA340" s="85">
        <v>2</v>
      </c>
      <c r="AB340" s="85">
        <v>2</v>
      </c>
      <c r="AC340" s="85">
        <v>2</v>
      </c>
      <c r="AD340" s="85">
        <v>2</v>
      </c>
      <c r="AE340" s="85">
        <v>1</v>
      </c>
      <c r="AF340" s="85">
        <v>1</v>
      </c>
      <c r="AG340" s="85">
        <v>0</v>
      </c>
      <c r="AH340" s="85">
        <v>0</v>
      </c>
      <c r="AP340" s="92">
        <f t="shared" si="69"/>
        <v>11</v>
      </c>
      <c r="AQ340" s="91" t="str">
        <f t="shared" si="70"/>
        <v>0011</v>
      </c>
      <c r="AR340" s="91" t="str">
        <f t="shared" si="71"/>
        <v>2222</v>
      </c>
      <c r="AS340" s="91" t="str">
        <f t="shared" si="72"/>
        <v>3344</v>
      </c>
      <c r="AT340" s="91" t="str">
        <f t="shared" si="73"/>
        <v>5555</v>
      </c>
      <c r="AU340" s="91" t="str">
        <f t="shared" si="74"/>
        <v>5555</v>
      </c>
      <c r="AV340" s="91" t="str">
        <f t="shared" si="75"/>
        <v>4433</v>
      </c>
      <c r="AW340" s="91" t="str">
        <f t="shared" si="76"/>
        <v>2222</v>
      </c>
      <c r="AX340" s="91" t="str">
        <f t="shared" si="77"/>
        <v>1100</v>
      </c>
    </row>
    <row r="341" spans="1:50" s="83" customFormat="1" ht="14.1" customHeight="1">
      <c r="A341" s="82"/>
      <c r="B341" s="84">
        <v>12</v>
      </c>
      <c r="C341" s="85">
        <v>0</v>
      </c>
      <c r="D341" s="85">
        <v>0</v>
      </c>
      <c r="E341" s="85">
        <v>1</v>
      </c>
      <c r="F341" s="85">
        <v>1</v>
      </c>
      <c r="G341" s="85">
        <v>2</v>
      </c>
      <c r="H341" s="85">
        <v>2</v>
      </c>
      <c r="I341" s="85">
        <v>3</v>
      </c>
      <c r="J341" s="85">
        <v>3</v>
      </c>
      <c r="K341" s="85">
        <v>3</v>
      </c>
      <c r="L341" s="85">
        <v>3</v>
      </c>
      <c r="M341" s="85">
        <v>5</v>
      </c>
      <c r="N341" s="85">
        <v>5</v>
      </c>
      <c r="O341" s="85">
        <v>5</v>
      </c>
      <c r="P341" s="85">
        <v>5</v>
      </c>
      <c r="Q341" s="85">
        <v>5</v>
      </c>
      <c r="R341" s="85">
        <v>5</v>
      </c>
      <c r="S341" s="85">
        <v>5</v>
      </c>
      <c r="T341" s="85">
        <v>5</v>
      </c>
      <c r="U341" s="85">
        <v>5</v>
      </c>
      <c r="V341" s="85">
        <v>5</v>
      </c>
      <c r="W341" s="85">
        <v>5</v>
      </c>
      <c r="X341" s="85">
        <v>5</v>
      </c>
      <c r="Y341" s="85">
        <v>3</v>
      </c>
      <c r="Z341" s="85">
        <v>3</v>
      </c>
      <c r="AA341" s="85">
        <v>3</v>
      </c>
      <c r="AB341" s="85">
        <v>3</v>
      </c>
      <c r="AC341" s="85">
        <v>2</v>
      </c>
      <c r="AD341" s="85">
        <v>2</v>
      </c>
      <c r="AE341" s="85">
        <v>1</v>
      </c>
      <c r="AF341" s="85">
        <v>1</v>
      </c>
      <c r="AG341" s="85">
        <v>0</v>
      </c>
      <c r="AH341" s="85">
        <v>0</v>
      </c>
      <c r="AP341" s="92">
        <f t="shared" si="69"/>
        <v>12</v>
      </c>
      <c r="AQ341" s="91" t="str">
        <f t="shared" si="70"/>
        <v>0011</v>
      </c>
      <c r="AR341" s="91" t="str">
        <f t="shared" si="71"/>
        <v>2233</v>
      </c>
      <c r="AS341" s="91" t="str">
        <f t="shared" si="72"/>
        <v>3355</v>
      </c>
      <c r="AT341" s="91" t="str">
        <f t="shared" si="73"/>
        <v>5555</v>
      </c>
      <c r="AU341" s="91" t="str">
        <f t="shared" si="74"/>
        <v>5555</v>
      </c>
      <c r="AV341" s="91" t="str">
        <f t="shared" si="75"/>
        <v>5533</v>
      </c>
      <c r="AW341" s="91" t="str">
        <f t="shared" si="76"/>
        <v>3322</v>
      </c>
      <c r="AX341" s="91" t="str">
        <f t="shared" si="77"/>
        <v>1100</v>
      </c>
    </row>
    <row r="342" spans="1:50" s="83" customFormat="1" ht="14.1" customHeight="1">
      <c r="A342" s="82"/>
      <c r="B342" s="84">
        <v>13</v>
      </c>
      <c r="C342" s="85">
        <v>0</v>
      </c>
      <c r="D342" s="85">
        <v>0</v>
      </c>
      <c r="E342" s="85">
        <v>1</v>
      </c>
      <c r="F342" s="85">
        <v>1</v>
      </c>
      <c r="G342" s="85">
        <v>2</v>
      </c>
      <c r="H342" s="85">
        <v>2</v>
      </c>
      <c r="I342" s="85">
        <v>3</v>
      </c>
      <c r="J342" s="85">
        <v>3</v>
      </c>
      <c r="K342" s="85">
        <v>4</v>
      </c>
      <c r="L342" s="85">
        <v>4</v>
      </c>
      <c r="M342" s="85">
        <v>5</v>
      </c>
      <c r="N342" s="85">
        <v>5</v>
      </c>
      <c r="O342" s="85">
        <v>5</v>
      </c>
      <c r="P342" s="85">
        <v>5</v>
      </c>
      <c r="Q342" s="85">
        <v>6</v>
      </c>
      <c r="R342" s="85">
        <v>6</v>
      </c>
      <c r="S342" s="85">
        <v>6</v>
      </c>
      <c r="T342" s="85">
        <v>6</v>
      </c>
      <c r="U342" s="85">
        <v>5</v>
      </c>
      <c r="V342" s="85">
        <v>5</v>
      </c>
      <c r="W342" s="85">
        <v>5</v>
      </c>
      <c r="X342" s="85">
        <v>5</v>
      </c>
      <c r="Y342" s="85">
        <v>4</v>
      </c>
      <c r="Z342" s="85">
        <v>4</v>
      </c>
      <c r="AA342" s="85">
        <v>3</v>
      </c>
      <c r="AB342" s="85">
        <v>3</v>
      </c>
      <c r="AC342" s="85">
        <v>2</v>
      </c>
      <c r="AD342" s="85">
        <v>2</v>
      </c>
      <c r="AE342" s="85">
        <v>1</v>
      </c>
      <c r="AF342" s="85">
        <v>1</v>
      </c>
      <c r="AG342" s="85">
        <v>0</v>
      </c>
      <c r="AH342" s="85">
        <v>0</v>
      </c>
      <c r="AP342" s="92">
        <f t="shared" si="69"/>
        <v>13</v>
      </c>
      <c r="AQ342" s="91" t="str">
        <f t="shared" si="70"/>
        <v>0011</v>
      </c>
      <c r="AR342" s="91" t="str">
        <f t="shared" si="71"/>
        <v>2233</v>
      </c>
      <c r="AS342" s="91" t="str">
        <f t="shared" si="72"/>
        <v>4455</v>
      </c>
      <c r="AT342" s="91" t="str">
        <f t="shared" si="73"/>
        <v>5566</v>
      </c>
      <c r="AU342" s="91" t="str">
        <f t="shared" si="74"/>
        <v>6655</v>
      </c>
      <c r="AV342" s="91" t="str">
        <f t="shared" si="75"/>
        <v>5544</v>
      </c>
      <c r="AW342" s="91" t="str">
        <f t="shared" si="76"/>
        <v>3322</v>
      </c>
      <c r="AX342" s="91" t="str">
        <f t="shared" si="77"/>
        <v>1100</v>
      </c>
    </row>
    <row r="343" spans="1:50" s="83" customFormat="1" ht="14.1" customHeight="1">
      <c r="A343" s="82"/>
      <c r="B343" s="84">
        <v>14</v>
      </c>
      <c r="C343" s="85">
        <v>0</v>
      </c>
      <c r="D343" s="85">
        <v>0</v>
      </c>
      <c r="E343" s="85">
        <v>1</v>
      </c>
      <c r="F343" s="85">
        <v>1</v>
      </c>
      <c r="G343" s="85">
        <v>2</v>
      </c>
      <c r="H343" s="85">
        <v>2</v>
      </c>
      <c r="I343" s="85">
        <v>3</v>
      </c>
      <c r="J343" s="85">
        <v>3</v>
      </c>
      <c r="K343" s="85">
        <v>4</v>
      </c>
      <c r="L343" s="85">
        <v>4</v>
      </c>
      <c r="M343" s="85">
        <v>5</v>
      </c>
      <c r="N343" s="85">
        <v>5</v>
      </c>
      <c r="O343" s="85">
        <v>6</v>
      </c>
      <c r="P343" s="85">
        <v>6</v>
      </c>
      <c r="Q343" s="85">
        <v>6</v>
      </c>
      <c r="R343" s="85">
        <v>6</v>
      </c>
      <c r="S343" s="85">
        <v>6</v>
      </c>
      <c r="T343" s="85">
        <v>6</v>
      </c>
      <c r="U343" s="85">
        <v>6</v>
      </c>
      <c r="V343" s="85">
        <v>6</v>
      </c>
      <c r="W343" s="85">
        <v>5</v>
      </c>
      <c r="X343" s="85">
        <v>5</v>
      </c>
      <c r="Y343" s="85">
        <v>4</v>
      </c>
      <c r="Z343" s="85">
        <v>4</v>
      </c>
      <c r="AA343" s="85">
        <v>3</v>
      </c>
      <c r="AB343" s="85">
        <v>3</v>
      </c>
      <c r="AC343" s="85">
        <v>2</v>
      </c>
      <c r="AD343" s="85">
        <v>2</v>
      </c>
      <c r="AE343" s="85">
        <v>1</v>
      </c>
      <c r="AF343" s="85">
        <v>1</v>
      </c>
      <c r="AG343" s="85">
        <v>0</v>
      </c>
      <c r="AH343" s="85">
        <v>0</v>
      </c>
      <c r="AP343" s="92">
        <f t="shared" si="69"/>
        <v>14</v>
      </c>
      <c r="AQ343" s="91" t="str">
        <f t="shared" si="70"/>
        <v>0011</v>
      </c>
      <c r="AR343" s="91" t="str">
        <f t="shared" si="71"/>
        <v>2233</v>
      </c>
      <c r="AS343" s="91" t="str">
        <f t="shared" si="72"/>
        <v>4455</v>
      </c>
      <c r="AT343" s="91" t="str">
        <f t="shared" si="73"/>
        <v>6666</v>
      </c>
      <c r="AU343" s="91" t="str">
        <f t="shared" si="74"/>
        <v>6666</v>
      </c>
      <c r="AV343" s="91" t="str">
        <f t="shared" si="75"/>
        <v>5544</v>
      </c>
      <c r="AW343" s="91" t="str">
        <f t="shared" si="76"/>
        <v>3322</v>
      </c>
      <c r="AX343" s="91" t="str">
        <f t="shared" si="77"/>
        <v>1100</v>
      </c>
    </row>
    <row r="344" spans="1:50" s="83" customFormat="1" ht="14.1" customHeight="1">
      <c r="A344" s="82"/>
      <c r="B344" s="84">
        <v>15</v>
      </c>
      <c r="C344" s="85">
        <v>0</v>
      </c>
      <c r="D344" s="85">
        <v>0</v>
      </c>
      <c r="E344" s="85">
        <v>1</v>
      </c>
      <c r="F344" s="85">
        <v>1</v>
      </c>
      <c r="G344" s="85">
        <v>2</v>
      </c>
      <c r="H344" s="85">
        <v>2</v>
      </c>
      <c r="I344" s="85">
        <v>3</v>
      </c>
      <c r="J344" s="85">
        <v>3</v>
      </c>
      <c r="K344" s="85">
        <v>4</v>
      </c>
      <c r="L344" s="85">
        <v>4</v>
      </c>
      <c r="M344" s="85">
        <v>5</v>
      </c>
      <c r="N344" s="85">
        <v>5</v>
      </c>
      <c r="O344" s="85">
        <v>6</v>
      </c>
      <c r="P344" s="85">
        <v>6</v>
      </c>
      <c r="Q344" s="85">
        <v>6</v>
      </c>
      <c r="R344" s="85">
        <v>6</v>
      </c>
      <c r="S344" s="85">
        <v>6</v>
      </c>
      <c r="T344" s="85">
        <v>6</v>
      </c>
      <c r="U344" s="85">
        <v>6</v>
      </c>
      <c r="V344" s="85">
        <v>6</v>
      </c>
      <c r="W344" s="85">
        <v>5</v>
      </c>
      <c r="X344" s="85">
        <v>5</v>
      </c>
      <c r="Y344" s="85">
        <v>4</v>
      </c>
      <c r="Z344" s="85">
        <v>4</v>
      </c>
      <c r="AA344" s="85">
        <v>3</v>
      </c>
      <c r="AB344" s="85">
        <v>3</v>
      </c>
      <c r="AC344" s="85">
        <v>2</v>
      </c>
      <c r="AD344" s="85">
        <v>2</v>
      </c>
      <c r="AE344" s="85">
        <v>1</v>
      </c>
      <c r="AF344" s="85">
        <v>1</v>
      </c>
      <c r="AG344" s="85">
        <v>0</v>
      </c>
      <c r="AH344" s="85">
        <v>0</v>
      </c>
      <c r="AP344" s="92">
        <f t="shared" si="69"/>
        <v>15</v>
      </c>
      <c r="AQ344" s="91" t="str">
        <f t="shared" si="70"/>
        <v>0011</v>
      </c>
      <c r="AR344" s="91" t="str">
        <f t="shared" si="71"/>
        <v>2233</v>
      </c>
      <c r="AS344" s="91" t="str">
        <f t="shared" si="72"/>
        <v>4455</v>
      </c>
      <c r="AT344" s="91" t="str">
        <f t="shared" si="73"/>
        <v>6666</v>
      </c>
      <c r="AU344" s="91" t="str">
        <f t="shared" si="74"/>
        <v>6666</v>
      </c>
      <c r="AV344" s="91" t="str">
        <f t="shared" si="75"/>
        <v>5544</v>
      </c>
      <c r="AW344" s="91" t="str">
        <f t="shared" si="76"/>
        <v>3322</v>
      </c>
      <c r="AX344" s="91" t="str">
        <f t="shared" si="77"/>
        <v>1100</v>
      </c>
    </row>
    <row r="345" spans="1:50" s="83" customFormat="1" ht="14.1" customHeight="1">
      <c r="A345" s="82"/>
      <c r="B345" s="84">
        <v>16</v>
      </c>
      <c r="C345" s="85">
        <v>0</v>
      </c>
      <c r="D345" s="85">
        <v>0</v>
      </c>
      <c r="E345" s="85">
        <v>1</v>
      </c>
      <c r="F345" s="85">
        <v>1</v>
      </c>
      <c r="G345" s="85">
        <v>2</v>
      </c>
      <c r="H345" s="85">
        <v>2</v>
      </c>
      <c r="I345" s="85">
        <v>3</v>
      </c>
      <c r="J345" s="85">
        <v>3</v>
      </c>
      <c r="K345" s="85">
        <v>4</v>
      </c>
      <c r="L345" s="85">
        <v>4</v>
      </c>
      <c r="M345" s="85">
        <v>5</v>
      </c>
      <c r="N345" s="85">
        <v>5</v>
      </c>
      <c r="O345" s="85">
        <v>6</v>
      </c>
      <c r="P345" s="85">
        <v>6</v>
      </c>
      <c r="Q345" s="85">
        <v>6</v>
      </c>
      <c r="R345" s="85">
        <v>6</v>
      </c>
      <c r="S345" s="85">
        <v>6</v>
      </c>
      <c r="T345" s="85">
        <v>6</v>
      </c>
      <c r="U345" s="85">
        <v>6</v>
      </c>
      <c r="V345" s="85">
        <v>6</v>
      </c>
      <c r="W345" s="85">
        <v>5</v>
      </c>
      <c r="X345" s="85">
        <v>5</v>
      </c>
      <c r="Y345" s="85">
        <v>4</v>
      </c>
      <c r="Z345" s="85">
        <v>4</v>
      </c>
      <c r="AA345" s="85">
        <v>3</v>
      </c>
      <c r="AB345" s="85">
        <v>3</v>
      </c>
      <c r="AC345" s="85">
        <v>2</v>
      </c>
      <c r="AD345" s="85">
        <v>2</v>
      </c>
      <c r="AE345" s="85">
        <v>1</v>
      </c>
      <c r="AF345" s="85">
        <v>1</v>
      </c>
      <c r="AG345" s="85">
        <v>0</v>
      </c>
      <c r="AH345" s="85">
        <v>0</v>
      </c>
      <c r="AP345" s="92">
        <f t="shared" si="69"/>
        <v>16</v>
      </c>
      <c r="AQ345" s="91" t="str">
        <f t="shared" si="70"/>
        <v>0011</v>
      </c>
      <c r="AR345" s="91" t="str">
        <f t="shared" si="71"/>
        <v>2233</v>
      </c>
      <c r="AS345" s="91" t="str">
        <f t="shared" si="72"/>
        <v>4455</v>
      </c>
      <c r="AT345" s="91" t="str">
        <f t="shared" si="73"/>
        <v>6666</v>
      </c>
      <c r="AU345" s="91" t="str">
        <f t="shared" si="74"/>
        <v>6666</v>
      </c>
      <c r="AV345" s="91" t="str">
        <f t="shared" si="75"/>
        <v>5544</v>
      </c>
      <c r="AW345" s="91" t="str">
        <f t="shared" si="76"/>
        <v>3322</v>
      </c>
      <c r="AX345" s="91" t="str">
        <f t="shared" si="77"/>
        <v>1100</v>
      </c>
    </row>
    <row r="346" spans="1:50" s="83" customFormat="1" ht="14.1" customHeight="1">
      <c r="A346" s="82"/>
      <c r="B346" s="84">
        <v>17</v>
      </c>
      <c r="C346" s="85">
        <v>0</v>
      </c>
      <c r="D346" s="85">
        <v>0</v>
      </c>
      <c r="E346" s="85">
        <v>1</v>
      </c>
      <c r="F346" s="85">
        <v>1</v>
      </c>
      <c r="G346" s="85">
        <v>2</v>
      </c>
      <c r="H346" s="85">
        <v>2</v>
      </c>
      <c r="I346" s="85">
        <v>3</v>
      </c>
      <c r="J346" s="85">
        <v>3</v>
      </c>
      <c r="K346" s="85">
        <v>4</v>
      </c>
      <c r="L346" s="85">
        <v>4</v>
      </c>
      <c r="M346" s="85">
        <v>5</v>
      </c>
      <c r="N346" s="85">
        <v>5</v>
      </c>
      <c r="O346" s="85">
        <v>6</v>
      </c>
      <c r="P346" s="85">
        <v>6</v>
      </c>
      <c r="Q346" s="85">
        <v>6</v>
      </c>
      <c r="R346" s="85">
        <v>6</v>
      </c>
      <c r="S346" s="85">
        <v>6</v>
      </c>
      <c r="T346" s="85">
        <v>6</v>
      </c>
      <c r="U346" s="85">
        <v>6</v>
      </c>
      <c r="V346" s="85">
        <v>6</v>
      </c>
      <c r="W346" s="85">
        <v>5</v>
      </c>
      <c r="X346" s="85">
        <v>5</v>
      </c>
      <c r="Y346" s="85">
        <v>4</v>
      </c>
      <c r="Z346" s="85">
        <v>4</v>
      </c>
      <c r="AA346" s="85">
        <v>3</v>
      </c>
      <c r="AB346" s="85">
        <v>3</v>
      </c>
      <c r="AC346" s="85">
        <v>2</v>
      </c>
      <c r="AD346" s="85">
        <v>2</v>
      </c>
      <c r="AE346" s="85">
        <v>1</v>
      </c>
      <c r="AF346" s="85">
        <v>1</v>
      </c>
      <c r="AG346" s="85">
        <v>0</v>
      </c>
      <c r="AH346" s="85">
        <v>0</v>
      </c>
      <c r="AP346" s="92">
        <f t="shared" si="69"/>
        <v>17</v>
      </c>
      <c r="AQ346" s="91" t="str">
        <f t="shared" si="70"/>
        <v>0011</v>
      </c>
      <c r="AR346" s="91" t="str">
        <f t="shared" si="71"/>
        <v>2233</v>
      </c>
      <c r="AS346" s="91" t="str">
        <f t="shared" si="72"/>
        <v>4455</v>
      </c>
      <c r="AT346" s="91" t="str">
        <f t="shared" si="73"/>
        <v>6666</v>
      </c>
      <c r="AU346" s="91" t="str">
        <f t="shared" si="74"/>
        <v>6666</v>
      </c>
      <c r="AV346" s="91" t="str">
        <f t="shared" si="75"/>
        <v>5544</v>
      </c>
      <c r="AW346" s="91" t="str">
        <f t="shared" si="76"/>
        <v>3322</v>
      </c>
      <c r="AX346" s="91" t="str">
        <f t="shared" si="77"/>
        <v>1100</v>
      </c>
    </row>
    <row r="347" spans="1:50" s="83" customFormat="1" ht="14.1" customHeight="1">
      <c r="A347" s="82"/>
      <c r="B347" s="84">
        <v>18</v>
      </c>
      <c r="C347" s="85">
        <v>0</v>
      </c>
      <c r="D347" s="85">
        <v>0</v>
      </c>
      <c r="E347" s="85">
        <v>1</v>
      </c>
      <c r="F347" s="85">
        <v>1</v>
      </c>
      <c r="G347" s="85">
        <v>2</v>
      </c>
      <c r="H347" s="85">
        <v>2</v>
      </c>
      <c r="I347" s="85">
        <v>3</v>
      </c>
      <c r="J347" s="85">
        <v>3</v>
      </c>
      <c r="K347" s="85">
        <v>4</v>
      </c>
      <c r="L347" s="85">
        <v>4</v>
      </c>
      <c r="M347" s="85">
        <v>5</v>
      </c>
      <c r="N347" s="85">
        <v>5</v>
      </c>
      <c r="O347" s="85">
        <v>6</v>
      </c>
      <c r="P347" s="85">
        <v>6</v>
      </c>
      <c r="Q347" s="85">
        <v>6</v>
      </c>
      <c r="R347" s="85">
        <v>6</v>
      </c>
      <c r="S347" s="85">
        <v>6</v>
      </c>
      <c r="T347" s="85">
        <v>6</v>
      </c>
      <c r="U347" s="85">
        <v>6</v>
      </c>
      <c r="V347" s="85">
        <v>6</v>
      </c>
      <c r="W347" s="85">
        <v>5</v>
      </c>
      <c r="X347" s="85">
        <v>5</v>
      </c>
      <c r="Y347" s="85">
        <v>4</v>
      </c>
      <c r="Z347" s="85">
        <v>4</v>
      </c>
      <c r="AA347" s="85">
        <v>3</v>
      </c>
      <c r="AB347" s="85">
        <v>3</v>
      </c>
      <c r="AC347" s="85">
        <v>2</v>
      </c>
      <c r="AD347" s="85">
        <v>2</v>
      </c>
      <c r="AE347" s="85">
        <v>1</v>
      </c>
      <c r="AF347" s="85">
        <v>1</v>
      </c>
      <c r="AG347" s="85">
        <v>0</v>
      </c>
      <c r="AH347" s="85">
        <v>0</v>
      </c>
      <c r="AP347" s="92">
        <f t="shared" si="69"/>
        <v>18</v>
      </c>
      <c r="AQ347" s="91" t="str">
        <f t="shared" si="70"/>
        <v>0011</v>
      </c>
      <c r="AR347" s="91" t="str">
        <f t="shared" si="71"/>
        <v>2233</v>
      </c>
      <c r="AS347" s="91" t="str">
        <f t="shared" si="72"/>
        <v>4455</v>
      </c>
      <c r="AT347" s="91" t="str">
        <f t="shared" si="73"/>
        <v>6666</v>
      </c>
      <c r="AU347" s="91" t="str">
        <f t="shared" si="74"/>
        <v>6666</v>
      </c>
      <c r="AV347" s="91" t="str">
        <f t="shared" si="75"/>
        <v>5544</v>
      </c>
      <c r="AW347" s="91" t="str">
        <f t="shared" si="76"/>
        <v>3322</v>
      </c>
      <c r="AX347" s="91" t="str">
        <f t="shared" si="77"/>
        <v>1100</v>
      </c>
    </row>
    <row r="348" spans="1:50" s="83" customFormat="1" ht="14.1" customHeight="1">
      <c r="A348" s="82"/>
      <c r="B348" s="84">
        <v>19</v>
      </c>
      <c r="C348" s="85">
        <v>0</v>
      </c>
      <c r="D348" s="85">
        <v>0</v>
      </c>
      <c r="E348" s="85">
        <v>1</v>
      </c>
      <c r="F348" s="85">
        <v>1</v>
      </c>
      <c r="G348" s="85">
        <v>2</v>
      </c>
      <c r="H348" s="85">
        <v>2</v>
      </c>
      <c r="I348" s="85">
        <v>3</v>
      </c>
      <c r="J348" s="85">
        <v>3</v>
      </c>
      <c r="K348" s="85">
        <v>4</v>
      </c>
      <c r="L348" s="85">
        <v>4</v>
      </c>
      <c r="M348" s="85">
        <v>5</v>
      </c>
      <c r="N348" s="85">
        <v>5</v>
      </c>
      <c r="O348" s="85">
        <v>6</v>
      </c>
      <c r="P348" s="85">
        <v>6</v>
      </c>
      <c r="Q348" s="85">
        <v>6</v>
      </c>
      <c r="R348" s="85">
        <v>6</v>
      </c>
      <c r="S348" s="85">
        <v>6</v>
      </c>
      <c r="T348" s="85">
        <v>6</v>
      </c>
      <c r="U348" s="85">
        <v>6</v>
      </c>
      <c r="V348" s="85">
        <v>6</v>
      </c>
      <c r="W348" s="85">
        <v>5</v>
      </c>
      <c r="X348" s="85">
        <v>5</v>
      </c>
      <c r="Y348" s="85">
        <v>4</v>
      </c>
      <c r="Z348" s="85">
        <v>4</v>
      </c>
      <c r="AA348" s="85">
        <v>3</v>
      </c>
      <c r="AB348" s="85">
        <v>3</v>
      </c>
      <c r="AC348" s="85">
        <v>2</v>
      </c>
      <c r="AD348" s="85">
        <v>2</v>
      </c>
      <c r="AE348" s="85">
        <v>1</v>
      </c>
      <c r="AF348" s="85">
        <v>1</v>
      </c>
      <c r="AG348" s="85">
        <v>0</v>
      </c>
      <c r="AH348" s="85">
        <v>0</v>
      </c>
      <c r="AP348" s="92">
        <f t="shared" si="69"/>
        <v>19</v>
      </c>
      <c r="AQ348" s="91" t="str">
        <f t="shared" si="70"/>
        <v>0011</v>
      </c>
      <c r="AR348" s="91" t="str">
        <f t="shared" si="71"/>
        <v>2233</v>
      </c>
      <c r="AS348" s="91" t="str">
        <f t="shared" si="72"/>
        <v>4455</v>
      </c>
      <c r="AT348" s="91" t="str">
        <f t="shared" si="73"/>
        <v>6666</v>
      </c>
      <c r="AU348" s="91" t="str">
        <f t="shared" si="74"/>
        <v>6666</v>
      </c>
      <c r="AV348" s="91" t="str">
        <f t="shared" si="75"/>
        <v>5544</v>
      </c>
      <c r="AW348" s="91" t="str">
        <f t="shared" si="76"/>
        <v>3322</v>
      </c>
      <c r="AX348" s="91" t="str">
        <f t="shared" si="77"/>
        <v>1100</v>
      </c>
    </row>
    <row r="349" spans="1:50" s="83" customFormat="1" ht="14.1" customHeight="1">
      <c r="A349" s="82"/>
      <c r="B349" s="84">
        <v>20</v>
      </c>
      <c r="C349" s="85">
        <v>0</v>
      </c>
      <c r="D349" s="85">
        <v>0</v>
      </c>
      <c r="E349" s="85">
        <v>1</v>
      </c>
      <c r="F349" s="85">
        <v>1</v>
      </c>
      <c r="G349" s="85">
        <v>2</v>
      </c>
      <c r="H349" s="85">
        <v>2</v>
      </c>
      <c r="I349" s="85">
        <v>3</v>
      </c>
      <c r="J349" s="85">
        <v>3</v>
      </c>
      <c r="K349" s="85">
        <v>4</v>
      </c>
      <c r="L349" s="85">
        <v>4</v>
      </c>
      <c r="M349" s="85">
        <v>5</v>
      </c>
      <c r="N349" s="85">
        <v>5</v>
      </c>
      <c r="O349" s="85">
        <v>6</v>
      </c>
      <c r="P349" s="85">
        <v>6</v>
      </c>
      <c r="Q349" s="85">
        <v>6</v>
      </c>
      <c r="R349" s="85">
        <v>6</v>
      </c>
      <c r="S349" s="85">
        <v>6</v>
      </c>
      <c r="T349" s="85">
        <v>6</v>
      </c>
      <c r="U349" s="85">
        <v>6</v>
      </c>
      <c r="V349" s="85">
        <v>6</v>
      </c>
      <c r="W349" s="85">
        <v>5</v>
      </c>
      <c r="X349" s="85">
        <v>5</v>
      </c>
      <c r="Y349" s="85">
        <v>4</v>
      </c>
      <c r="Z349" s="85">
        <v>4</v>
      </c>
      <c r="AA349" s="85">
        <v>3</v>
      </c>
      <c r="AB349" s="85">
        <v>3</v>
      </c>
      <c r="AC349" s="85">
        <v>2</v>
      </c>
      <c r="AD349" s="85">
        <v>2</v>
      </c>
      <c r="AE349" s="85">
        <v>1</v>
      </c>
      <c r="AF349" s="85">
        <v>1</v>
      </c>
      <c r="AG349" s="85">
        <v>0</v>
      </c>
      <c r="AH349" s="85">
        <v>0</v>
      </c>
      <c r="AP349" s="92">
        <f t="shared" si="69"/>
        <v>20</v>
      </c>
      <c r="AQ349" s="91" t="str">
        <f t="shared" si="70"/>
        <v>0011</v>
      </c>
      <c r="AR349" s="91" t="str">
        <f t="shared" si="71"/>
        <v>2233</v>
      </c>
      <c r="AS349" s="91" t="str">
        <f t="shared" si="72"/>
        <v>4455</v>
      </c>
      <c r="AT349" s="91" t="str">
        <f t="shared" si="73"/>
        <v>6666</v>
      </c>
      <c r="AU349" s="91" t="str">
        <f t="shared" si="74"/>
        <v>6666</v>
      </c>
      <c r="AV349" s="91" t="str">
        <f t="shared" si="75"/>
        <v>5544</v>
      </c>
      <c r="AW349" s="91" t="str">
        <f t="shared" si="76"/>
        <v>3322</v>
      </c>
      <c r="AX349" s="91" t="str">
        <f t="shared" si="77"/>
        <v>1100</v>
      </c>
    </row>
    <row r="350" spans="1:50" s="83" customFormat="1" ht="14.1" customHeight="1">
      <c r="A350" s="82"/>
      <c r="B350" s="84">
        <v>21</v>
      </c>
      <c r="C350" s="85">
        <v>0</v>
      </c>
      <c r="D350" s="85">
        <v>0</v>
      </c>
      <c r="E350" s="85">
        <v>1</v>
      </c>
      <c r="F350" s="85">
        <v>1</v>
      </c>
      <c r="G350" s="85">
        <v>2</v>
      </c>
      <c r="H350" s="85">
        <v>2</v>
      </c>
      <c r="I350" s="85">
        <v>3</v>
      </c>
      <c r="J350" s="85">
        <v>3</v>
      </c>
      <c r="K350" s="85">
        <v>4</v>
      </c>
      <c r="L350" s="85">
        <v>4</v>
      </c>
      <c r="M350" s="85">
        <v>5</v>
      </c>
      <c r="N350" s="85">
        <v>5</v>
      </c>
      <c r="O350" s="85">
        <v>5</v>
      </c>
      <c r="P350" s="85">
        <v>5</v>
      </c>
      <c r="Q350" s="85">
        <v>6</v>
      </c>
      <c r="R350" s="85">
        <v>6</v>
      </c>
      <c r="S350" s="85">
        <v>6</v>
      </c>
      <c r="T350" s="85">
        <v>6</v>
      </c>
      <c r="U350" s="85">
        <v>5</v>
      </c>
      <c r="V350" s="85">
        <v>5</v>
      </c>
      <c r="W350" s="85">
        <v>5</v>
      </c>
      <c r="X350" s="85">
        <v>5</v>
      </c>
      <c r="Y350" s="85">
        <v>4</v>
      </c>
      <c r="Z350" s="85">
        <v>4</v>
      </c>
      <c r="AA350" s="85">
        <v>3</v>
      </c>
      <c r="AB350" s="85">
        <v>3</v>
      </c>
      <c r="AC350" s="85">
        <v>2</v>
      </c>
      <c r="AD350" s="85">
        <v>2</v>
      </c>
      <c r="AE350" s="85">
        <v>1</v>
      </c>
      <c r="AF350" s="85">
        <v>1</v>
      </c>
      <c r="AG350" s="85">
        <v>0</v>
      </c>
      <c r="AH350" s="85">
        <v>0</v>
      </c>
      <c r="AP350" s="92">
        <f t="shared" si="69"/>
        <v>21</v>
      </c>
      <c r="AQ350" s="91" t="str">
        <f t="shared" si="70"/>
        <v>0011</v>
      </c>
      <c r="AR350" s="91" t="str">
        <f t="shared" si="71"/>
        <v>2233</v>
      </c>
      <c r="AS350" s="91" t="str">
        <f t="shared" si="72"/>
        <v>4455</v>
      </c>
      <c r="AT350" s="91" t="str">
        <f t="shared" si="73"/>
        <v>5566</v>
      </c>
      <c r="AU350" s="91" t="str">
        <f t="shared" si="74"/>
        <v>6655</v>
      </c>
      <c r="AV350" s="91" t="str">
        <f t="shared" si="75"/>
        <v>5544</v>
      </c>
      <c r="AW350" s="91" t="str">
        <f t="shared" si="76"/>
        <v>3322</v>
      </c>
      <c r="AX350" s="91" t="str">
        <f t="shared" si="77"/>
        <v>1100</v>
      </c>
    </row>
    <row r="351" spans="1:50" s="83" customFormat="1" ht="14.1" customHeight="1">
      <c r="A351" s="82"/>
      <c r="B351" s="84">
        <v>22</v>
      </c>
      <c r="C351" s="85">
        <v>0</v>
      </c>
      <c r="D351" s="85">
        <v>0</v>
      </c>
      <c r="E351" s="85">
        <v>1</v>
      </c>
      <c r="F351" s="85">
        <v>1</v>
      </c>
      <c r="G351" s="85">
        <v>2</v>
      </c>
      <c r="H351" s="85">
        <v>2</v>
      </c>
      <c r="I351" s="85">
        <v>3</v>
      </c>
      <c r="J351" s="85">
        <v>3</v>
      </c>
      <c r="K351" s="85">
        <v>4</v>
      </c>
      <c r="L351" s="85">
        <v>4</v>
      </c>
      <c r="M351" s="85">
        <v>5</v>
      </c>
      <c r="N351" s="85">
        <v>5</v>
      </c>
      <c r="O351" s="85">
        <v>5</v>
      </c>
      <c r="P351" s="85">
        <v>5</v>
      </c>
      <c r="Q351" s="85">
        <v>6</v>
      </c>
      <c r="R351" s="85">
        <v>6</v>
      </c>
      <c r="S351" s="85">
        <v>6</v>
      </c>
      <c r="T351" s="85">
        <v>6</v>
      </c>
      <c r="U351" s="85">
        <v>5</v>
      </c>
      <c r="V351" s="85">
        <v>5</v>
      </c>
      <c r="W351" s="85">
        <v>5</v>
      </c>
      <c r="X351" s="85">
        <v>5</v>
      </c>
      <c r="Y351" s="85">
        <v>4</v>
      </c>
      <c r="Z351" s="85">
        <v>4</v>
      </c>
      <c r="AA351" s="85">
        <v>3</v>
      </c>
      <c r="AB351" s="85">
        <v>3</v>
      </c>
      <c r="AC351" s="85">
        <v>2</v>
      </c>
      <c r="AD351" s="85">
        <v>2</v>
      </c>
      <c r="AE351" s="85">
        <v>1</v>
      </c>
      <c r="AF351" s="85">
        <v>1</v>
      </c>
      <c r="AG351" s="85">
        <v>0</v>
      </c>
      <c r="AH351" s="85">
        <v>0</v>
      </c>
      <c r="AP351" s="92">
        <f t="shared" si="69"/>
        <v>22</v>
      </c>
      <c r="AQ351" s="91" t="str">
        <f t="shared" si="70"/>
        <v>0011</v>
      </c>
      <c r="AR351" s="91" t="str">
        <f t="shared" si="71"/>
        <v>2233</v>
      </c>
      <c r="AS351" s="91" t="str">
        <f t="shared" si="72"/>
        <v>4455</v>
      </c>
      <c r="AT351" s="91" t="str">
        <f t="shared" si="73"/>
        <v>5566</v>
      </c>
      <c r="AU351" s="91" t="str">
        <f t="shared" si="74"/>
        <v>6655</v>
      </c>
      <c r="AV351" s="91" t="str">
        <f t="shared" si="75"/>
        <v>5544</v>
      </c>
      <c r="AW351" s="91" t="str">
        <f t="shared" si="76"/>
        <v>3322</v>
      </c>
      <c r="AX351" s="91" t="str">
        <f t="shared" si="77"/>
        <v>1100</v>
      </c>
    </row>
    <row r="352" spans="1:50" s="83" customFormat="1" ht="14.1" customHeight="1">
      <c r="A352" s="82"/>
      <c r="B352" s="84">
        <v>23</v>
      </c>
      <c r="C352" s="85">
        <v>0</v>
      </c>
      <c r="D352" s="85">
        <v>0</v>
      </c>
      <c r="E352" s="85">
        <v>1</v>
      </c>
      <c r="F352" s="85">
        <v>1</v>
      </c>
      <c r="G352" s="85">
        <v>2</v>
      </c>
      <c r="H352" s="85">
        <v>2</v>
      </c>
      <c r="I352" s="85">
        <v>3</v>
      </c>
      <c r="J352" s="85">
        <v>3</v>
      </c>
      <c r="K352" s="85">
        <v>3</v>
      </c>
      <c r="L352" s="85">
        <v>3</v>
      </c>
      <c r="M352" s="85">
        <v>5</v>
      </c>
      <c r="N352" s="85">
        <v>5</v>
      </c>
      <c r="O352" s="85">
        <v>5</v>
      </c>
      <c r="P352" s="85">
        <v>5</v>
      </c>
      <c r="Q352" s="85">
        <v>6</v>
      </c>
      <c r="R352" s="85">
        <v>6</v>
      </c>
      <c r="S352" s="85">
        <v>6</v>
      </c>
      <c r="T352" s="85">
        <v>6</v>
      </c>
      <c r="U352" s="85">
        <v>5</v>
      </c>
      <c r="V352" s="85">
        <v>5</v>
      </c>
      <c r="W352" s="85">
        <v>5</v>
      </c>
      <c r="X352" s="85">
        <v>5</v>
      </c>
      <c r="Y352" s="85">
        <v>3</v>
      </c>
      <c r="Z352" s="85">
        <v>3</v>
      </c>
      <c r="AA352" s="85">
        <v>3</v>
      </c>
      <c r="AB352" s="85">
        <v>3</v>
      </c>
      <c r="AC352" s="85">
        <v>2</v>
      </c>
      <c r="AD352" s="85">
        <v>2</v>
      </c>
      <c r="AE352" s="85">
        <v>1</v>
      </c>
      <c r="AF352" s="85">
        <v>1</v>
      </c>
      <c r="AG352" s="85">
        <v>0</v>
      </c>
      <c r="AH352" s="85">
        <v>0</v>
      </c>
      <c r="AP352" s="92">
        <f t="shared" si="69"/>
        <v>23</v>
      </c>
      <c r="AQ352" s="91" t="str">
        <f t="shared" si="70"/>
        <v>0011</v>
      </c>
      <c r="AR352" s="91" t="str">
        <f t="shared" si="71"/>
        <v>2233</v>
      </c>
      <c r="AS352" s="91" t="str">
        <f t="shared" si="72"/>
        <v>3355</v>
      </c>
      <c r="AT352" s="91" t="str">
        <f t="shared" si="73"/>
        <v>5566</v>
      </c>
      <c r="AU352" s="91" t="str">
        <f t="shared" si="74"/>
        <v>6655</v>
      </c>
      <c r="AV352" s="91" t="str">
        <f t="shared" si="75"/>
        <v>5533</v>
      </c>
      <c r="AW352" s="91" t="str">
        <f t="shared" si="76"/>
        <v>3322</v>
      </c>
      <c r="AX352" s="91" t="str">
        <f t="shared" si="77"/>
        <v>1100</v>
      </c>
    </row>
    <row r="353" spans="1:51" s="83" customFormat="1" ht="14.1" customHeight="1">
      <c r="A353" s="82"/>
      <c r="B353" s="84">
        <v>24</v>
      </c>
      <c r="C353" s="85">
        <v>0</v>
      </c>
      <c r="D353" s="85">
        <v>0</v>
      </c>
      <c r="E353" s="85">
        <v>1</v>
      </c>
      <c r="F353" s="85">
        <v>1</v>
      </c>
      <c r="G353" s="85">
        <v>2</v>
      </c>
      <c r="H353" s="85">
        <v>2</v>
      </c>
      <c r="I353" s="85">
        <v>3</v>
      </c>
      <c r="J353" s="85">
        <v>3</v>
      </c>
      <c r="K353" s="85">
        <v>3</v>
      </c>
      <c r="L353" s="85">
        <v>3</v>
      </c>
      <c r="M353" s="85">
        <v>4</v>
      </c>
      <c r="N353" s="85">
        <v>4</v>
      </c>
      <c r="O353" s="85">
        <v>5</v>
      </c>
      <c r="P353" s="85">
        <v>5</v>
      </c>
      <c r="Q353" s="85">
        <v>5</v>
      </c>
      <c r="R353" s="85">
        <v>5</v>
      </c>
      <c r="S353" s="85">
        <v>5</v>
      </c>
      <c r="T353" s="85">
        <v>5</v>
      </c>
      <c r="U353" s="85">
        <v>5</v>
      </c>
      <c r="V353" s="85">
        <v>5</v>
      </c>
      <c r="W353" s="85">
        <v>4</v>
      </c>
      <c r="X353" s="85">
        <v>4</v>
      </c>
      <c r="Y353" s="85">
        <v>3</v>
      </c>
      <c r="Z353" s="85">
        <v>3</v>
      </c>
      <c r="AA353" s="85">
        <v>3</v>
      </c>
      <c r="AB353" s="85">
        <v>3</v>
      </c>
      <c r="AC353" s="85">
        <v>2</v>
      </c>
      <c r="AD353" s="85">
        <v>2</v>
      </c>
      <c r="AE353" s="85">
        <v>1</v>
      </c>
      <c r="AF353" s="85">
        <v>1</v>
      </c>
      <c r="AG353" s="85">
        <v>0</v>
      </c>
      <c r="AH353" s="85">
        <v>0</v>
      </c>
      <c r="AP353" s="92">
        <f t="shared" si="69"/>
        <v>24</v>
      </c>
      <c r="AQ353" s="91" t="str">
        <f t="shared" si="70"/>
        <v>0011</v>
      </c>
      <c r="AR353" s="91" t="str">
        <f t="shared" si="71"/>
        <v>2233</v>
      </c>
      <c r="AS353" s="91" t="str">
        <f t="shared" si="72"/>
        <v>3344</v>
      </c>
      <c r="AT353" s="91" t="str">
        <f t="shared" si="73"/>
        <v>5555</v>
      </c>
      <c r="AU353" s="91" t="str">
        <f t="shared" si="74"/>
        <v>5555</v>
      </c>
      <c r="AV353" s="91" t="str">
        <f t="shared" si="75"/>
        <v>4433</v>
      </c>
      <c r="AW353" s="91" t="str">
        <f t="shared" si="76"/>
        <v>3322</v>
      </c>
      <c r="AX353" s="91" t="str">
        <f t="shared" si="77"/>
        <v>1100</v>
      </c>
    </row>
    <row r="354" spans="1:51" s="83" customFormat="1" ht="14.1" customHeight="1">
      <c r="A354" s="82"/>
      <c r="B354" s="84">
        <v>25</v>
      </c>
      <c r="C354" s="85">
        <v>0</v>
      </c>
      <c r="D354" s="85">
        <v>0</v>
      </c>
      <c r="E354" s="85">
        <v>1</v>
      </c>
      <c r="F354" s="85">
        <v>1</v>
      </c>
      <c r="G354" s="85">
        <v>1</v>
      </c>
      <c r="H354" s="85">
        <v>1</v>
      </c>
      <c r="I354" s="85">
        <v>2</v>
      </c>
      <c r="J354" s="85">
        <v>2</v>
      </c>
      <c r="K354" s="85">
        <v>3</v>
      </c>
      <c r="L354" s="85">
        <v>3</v>
      </c>
      <c r="M354" s="85">
        <v>4</v>
      </c>
      <c r="N354" s="85">
        <v>4</v>
      </c>
      <c r="O354" s="85">
        <v>5</v>
      </c>
      <c r="P354" s="85">
        <v>5</v>
      </c>
      <c r="Q354" s="85">
        <v>5</v>
      </c>
      <c r="R354" s="85">
        <v>5</v>
      </c>
      <c r="S354" s="85">
        <v>5</v>
      </c>
      <c r="T354" s="85">
        <v>5</v>
      </c>
      <c r="U354" s="85">
        <v>5</v>
      </c>
      <c r="V354" s="85">
        <v>5</v>
      </c>
      <c r="W354" s="85">
        <v>4</v>
      </c>
      <c r="X354" s="85">
        <v>4</v>
      </c>
      <c r="Y354" s="85">
        <v>3</v>
      </c>
      <c r="Z354" s="85">
        <v>3</v>
      </c>
      <c r="AA354" s="85">
        <v>2</v>
      </c>
      <c r="AB354" s="85">
        <v>2</v>
      </c>
      <c r="AC354" s="85">
        <v>1</v>
      </c>
      <c r="AD354" s="85">
        <v>1</v>
      </c>
      <c r="AE354" s="85">
        <v>1</v>
      </c>
      <c r="AF354" s="85">
        <v>1</v>
      </c>
      <c r="AG354" s="85">
        <v>0</v>
      </c>
      <c r="AH354" s="85">
        <v>0</v>
      </c>
      <c r="AP354" s="92">
        <f t="shared" si="69"/>
        <v>25</v>
      </c>
      <c r="AQ354" s="91" t="str">
        <f t="shared" si="70"/>
        <v>0011</v>
      </c>
      <c r="AR354" s="91" t="str">
        <f t="shared" si="71"/>
        <v>1122</v>
      </c>
      <c r="AS354" s="91" t="str">
        <f t="shared" si="72"/>
        <v>3344</v>
      </c>
      <c r="AT354" s="91" t="str">
        <f t="shared" si="73"/>
        <v>5555</v>
      </c>
      <c r="AU354" s="91" t="str">
        <f t="shared" si="74"/>
        <v>5555</v>
      </c>
      <c r="AV354" s="91" t="str">
        <f t="shared" si="75"/>
        <v>4433</v>
      </c>
      <c r="AW354" s="91" t="str">
        <f t="shared" si="76"/>
        <v>2211</v>
      </c>
      <c r="AX354" s="91" t="str">
        <f t="shared" si="77"/>
        <v>1100</v>
      </c>
    </row>
    <row r="355" spans="1:51" s="83" customFormat="1" ht="14.1" customHeight="1">
      <c r="A355" s="82"/>
      <c r="B355" s="84">
        <v>26</v>
      </c>
      <c r="C355" s="85">
        <v>0</v>
      </c>
      <c r="D355" s="85">
        <v>0</v>
      </c>
      <c r="E355" s="85">
        <v>1</v>
      </c>
      <c r="F355" s="85">
        <v>1</v>
      </c>
      <c r="G355" s="85">
        <v>1</v>
      </c>
      <c r="H355" s="85">
        <v>1</v>
      </c>
      <c r="I355" s="85">
        <v>2</v>
      </c>
      <c r="J355" s="85">
        <v>2</v>
      </c>
      <c r="K355" s="85">
        <v>3</v>
      </c>
      <c r="L355" s="85">
        <v>3</v>
      </c>
      <c r="M355" s="85">
        <v>4</v>
      </c>
      <c r="N355" s="85">
        <v>4</v>
      </c>
      <c r="O355" s="85">
        <v>5</v>
      </c>
      <c r="P355" s="85">
        <v>5</v>
      </c>
      <c r="Q355" s="85">
        <v>5</v>
      </c>
      <c r="R355" s="85">
        <v>5</v>
      </c>
      <c r="S355" s="85">
        <v>5</v>
      </c>
      <c r="T355" s="85">
        <v>5</v>
      </c>
      <c r="U355" s="85">
        <v>5</v>
      </c>
      <c r="V355" s="85">
        <v>5</v>
      </c>
      <c r="W355" s="85">
        <v>4</v>
      </c>
      <c r="X355" s="85">
        <v>4</v>
      </c>
      <c r="Y355" s="85">
        <v>3</v>
      </c>
      <c r="Z355" s="85">
        <v>3</v>
      </c>
      <c r="AA355" s="85">
        <v>2</v>
      </c>
      <c r="AB355" s="85">
        <v>2</v>
      </c>
      <c r="AC355" s="85">
        <v>1</v>
      </c>
      <c r="AD355" s="85">
        <v>1</v>
      </c>
      <c r="AE355" s="85">
        <v>1</v>
      </c>
      <c r="AF355" s="85">
        <v>1</v>
      </c>
      <c r="AG355" s="85">
        <v>0</v>
      </c>
      <c r="AH355" s="85">
        <v>0</v>
      </c>
      <c r="AP355" s="92">
        <f t="shared" si="69"/>
        <v>26</v>
      </c>
      <c r="AQ355" s="91" t="str">
        <f t="shared" si="70"/>
        <v>0011</v>
      </c>
      <c r="AR355" s="91" t="str">
        <f t="shared" si="71"/>
        <v>1122</v>
      </c>
      <c r="AS355" s="91" t="str">
        <f t="shared" si="72"/>
        <v>3344</v>
      </c>
      <c r="AT355" s="91" t="str">
        <f t="shared" si="73"/>
        <v>5555</v>
      </c>
      <c r="AU355" s="91" t="str">
        <f t="shared" si="74"/>
        <v>5555</v>
      </c>
      <c r="AV355" s="91" t="str">
        <f t="shared" si="75"/>
        <v>4433</v>
      </c>
      <c r="AW355" s="91" t="str">
        <f t="shared" si="76"/>
        <v>2211</v>
      </c>
      <c r="AX355" s="91" t="str">
        <f t="shared" si="77"/>
        <v>1100</v>
      </c>
    </row>
    <row r="356" spans="1:51" s="83" customFormat="1" ht="14.1" customHeight="1">
      <c r="A356" s="82"/>
      <c r="B356" s="84">
        <v>27</v>
      </c>
      <c r="C356" s="85">
        <v>0</v>
      </c>
      <c r="D356" s="85">
        <v>0</v>
      </c>
      <c r="E356" s="85">
        <v>1</v>
      </c>
      <c r="F356" s="85">
        <v>1</v>
      </c>
      <c r="G356" s="85">
        <v>1</v>
      </c>
      <c r="H356" s="85">
        <v>1</v>
      </c>
      <c r="I356" s="85">
        <v>2</v>
      </c>
      <c r="J356" s="85">
        <v>2</v>
      </c>
      <c r="K356" s="85">
        <v>3</v>
      </c>
      <c r="L356" s="85">
        <v>3</v>
      </c>
      <c r="M356" s="85">
        <v>4</v>
      </c>
      <c r="N356" s="85">
        <v>4</v>
      </c>
      <c r="O356" s="85">
        <v>4</v>
      </c>
      <c r="P356" s="85">
        <v>4</v>
      </c>
      <c r="Q356" s="85">
        <v>5</v>
      </c>
      <c r="R356" s="85">
        <v>5</v>
      </c>
      <c r="S356" s="85">
        <v>5</v>
      </c>
      <c r="T356" s="85">
        <v>5</v>
      </c>
      <c r="U356" s="85">
        <v>4</v>
      </c>
      <c r="V356" s="85">
        <v>4</v>
      </c>
      <c r="W356" s="85">
        <v>4</v>
      </c>
      <c r="X356" s="85">
        <v>4</v>
      </c>
      <c r="Y356" s="85">
        <v>3</v>
      </c>
      <c r="Z356" s="85">
        <v>3</v>
      </c>
      <c r="AA356" s="85">
        <v>2</v>
      </c>
      <c r="AB356" s="85">
        <v>2</v>
      </c>
      <c r="AC356" s="85">
        <v>1</v>
      </c>
      <c r="AD356" s="85">
        <v>1</v>
      </c>
      <c r="AE356" s="85">
        <v>1</v>
      </c>
      <c r="AF356" s="85">
        <v>1</v>
      </c>
      <c r="AG356" s="85">
        <v>0</v>
      </c>
      <c r="AH356" s="85">
        <v>0</v>
      </c>
      <c r="AP356" s="92">
        <f t="shared" si="69"/>
        <v>27</v>
      </c>
      <c r="AQ356" s="91" t="str">
        <f t="shared" si="70"/>
        <v>0011</v>
      </c>
      <c r="AR356" s="91" t="str">
        <f t="shared" si="71"/>
        <v>1122</v>
      </c>
      <c r="AS356" s="91" t="str">
        <f t="shared" si="72"/>
        <v>3344</v>
      </c>
      <c r="AT356" s="91" t="str">
        <f t="shared" si="73"/>
        <v>4455</v>
      </c>
      <c r="AU356" s="91" t="str">
        <f t="shared" si="74"/>
        <v>5544</v>
      </c>
      <c r="AV356" s="91" t="str">
        <f t="shared" si="75"/>
        <v>4433</v>
      </c>
      <c r="AW356" s="91" t="str">
        <f t="shared" si="76"/>
        <v>2211</v>
      </c>
      <c r="AX356" s="91" t="str">
        <f t="shared" si="77"/>
        <v>1100</v>
      </c>
    </row>
    <row r="357" spans="1:51" s="83" customFormat="1" ht="14.1" customHeight="1">
      <c r="A357" s="82"/>
      <c r="B357" s="84">
        <v>28</v>
      </c>
      <c r="C357" s="85">
        <v>0</v>
      </c>
      <c r="D357" s="85">
        <v>0</v>
      </c>
      <c r="E357" s="85">
        <v>1</v>
      </c>
      <c r="F357" s="85">
        <v>1</v>
      </c>
      <c r="G357" s="85">
        <v>1</v>
      </c>
      <c r="H357" s="85">
        <v>1</v>
      </c>
      <c r="I357" s="85">
        <v>2</v>
      </c>
      <c r="J357" s="85">
        <v>2</v>
      </c>
      <c r="K357" s="85">
        <v>3</v>
      </c>
      <c r="L357" s="85">
        <v>3</v>
      </c>
      <c r="M357" s="85">
        <v>4</v>
      </c>
      <c r="N357" s="85">
        <v>4</v>
      </c>
      <c r="O357" s="85">
        <v>4</v>
      </c>
      <c r="P357" s="85">
        <v>4</v>
      </c>
      <c r="Q357" s="85">
        <v>4</v>
      </c>
      <c r="R357" s="85">
        <v>4</v>
      </c>
      <c r="S357" s="85">
        <v>4</v>
      </c>
      <c r="T357" s="85">
        <v>4</v>
      </c>
      <c r="U357" s="85">
        <v>4</v>
      </c>
      <c r="V357" s="85">
        <v>4</v>
      </c>
      <c r="W357" s="85">
        <v>4</v>
      </c>
      <c r="X357" s="85">
        <v>4</v>
      </c>
      <c r="Y357" s="85">
        <v>3</v>
      </c>
      <c r="Z357" s="85">
        <v>3</v>
      </c>
      <c r="AA357" s="85">
        <v>2</v>
      </c>
      <c r="AB357" s="85">
        <v>2</v>
      </c>
      <c r="AC357" s="85">
        <v>1</v>
      </c>
      <c r="AD357" s="85">
        <v>1</v>
      </c>
      <c r="AE357" s="85">
        <v>1</v>
      </c>
      <c r="AF357" s="85">
        <v>1</v>
      </c>
      <c r="AG357" s="85">
        <v>0</v>
      </c>
      <c r="AH357" s="85">
        <v>0</v>
      </c>
      <c r="AP357" s="92">
        <f t="shared" si="69"/>
        <v>28</v>
      </c>
      <c r="AQ357" s="91" t="str">
        <f t="shared" si="70"/>
        <v>0011</v>
      </c>
      <c r="AR357" s="91" t="str">
        <f t="shared" si="71"/>
        <v>1122</v>
      </c>
      <c r="AS357" s="91" t="str">
        <f t="shared" si="72"/>
        <v>3344</v>
      </c>
      <c r="AT357" s="91" t="str">
        <f t="shared" si="73"/>
        <v>4444</v>
      </c>
      <c r="AU357" s="91" t="str">
        <f t="shared" si="74"/>
        <v>4444</v>
      </c>
      <c r="AV357" s="91" t="str">
        <f t="shared" si="75"/>
        <v>4433</v>
      </c>
      <c r="AW357" s="91" t="str">
        <f t="shared" si="76"/>
        <v>2211</v>
      </c>
      <c r="AX357" s="91" t="str">
        <f t="shared" si="77"/>
        <v>1100</v>
      </c>
    </row>
    <row r="358" spans="1:51" s="83" customFormat="1" ht="14.1" customHeight="1">
      <c r="A358" s="82"/>
      <c r="B358" s="84">
        <v>29</v>
      </c>
      <c r="C358" s="85">
        <v>0</v>
      </c>
      <c r="D358" s="85">
        <v>0</v>
      </c>
      <c r="E358" s="85">
        <v>1</v>
      </c>
      <c r="F358" s="85">
        <v>1</v>
      </c>
      <c r="G358" s="85">
        <v>1</v>
      </c>
      <c r="H358" s="85">
        <v>1</v>
      </c>
      <c r="I358" s="85">
        <v>2</v>
      </c>
      <c r="J358" s="85">
        <v>2</v>
      </c>
      <c r="K358" s="85">
        <v>3</v>
      </c>
      <c r="L358" s="85">
        <v>3</v>
      </c>
      <c r="M358" s="85">
        <v>3</v>
      </c>
      <c r="N358" s="85">
        <v>3</v>
      </c>
      <c r="O358" s="85">
        <v>4</v>
      </c>
      <c r="P358" s="85">
        <v>4</v>
      </c>
      <c r="Q358" s="85">
        <v>4</v>
      </c>
      <c r="R358" s="85">
        <v>4</v>
      </c>
      <c r="S358" s="85">
        <v>4</v>
      </c>
      <c r="T358" s="85">
        <v>4</v>
      </c>
      <c r="U358" s="85">
        <v>4</v>
      </c>
      <c r="V358" s="85">
        <v>4</v>
      </c>
      <c r="W358" s="85">
        <v>3</v>
      </c>
      <c r="X358" s="85">
        <v>3</v>
      </c>
      <c r="Y358" s="85">
        <v>3</v>
      </c>
      <c r="Z358" s="85">
        <v>3</v>
      </c>
      <c r="AA358" s="85">
        <v>2</v>
      </c>
      <c r="AB358" s="85">
        <v>2</v>
      </c>
      <c r="AC358" s="85">
        <v>1</v>
      </c>
      <c r="AD358" s="85">
        <v>1</v>
      </c>
      <c r="AE358" s="85">
        <v>1</v>
      </c>
      <c r="AF358" s="85">
        <v>1</v>
      </c>
      <c r="AG358" s="85">
        <v>0</v>
      </c>
      <c r="AH358" s="85">
        <v>0</v>
      </c>
      <c r="AP358" s="92">
        <f t="shared" si="69"/>
        <v>29</v>
      </c>
      <c r="AQ358" s="91" t="str">
        <f t="shared" si="70"/>
        <v>0011</v>
      </c>
      <c r="AR358" s="91" t="str">
        <f t="shared" si="71"/>
        <v>1122</v>
      </c>
      <c r="AS358" s="91" t="str">
        <f t="shared" si="72"/>
        <v>3333</v>
      </c>
      <c r="AT358" s="91" t="str">
        <f t="shared" si="73"/>
        <v>4444</v>
      </c>
      <c r="AU358" s="91" t="str">
        <f t="shared" si="74"/>
        <v>4444</v>
      </c>
      <c r="AV358" s="91" t="str">
        <f t="shared" si="75"/>
        <v>3333</v>
      </c>
      <c r="AW358" s="91" t="str">
        <f t="shared" si="76"/>
        <v>2211</v>
      </c>
      <c r="AX358" s="91" t="str">
        <f t="shared" si="77"/>
        <v>1100</v>
      </c>
    </row>
    <row r="359" spans="1:51" s="83" customFormat="1" ht="14.1" customHeight="1">
      <c r="A359" s="82"/>
      <c r="B359" s="84">
        <v>30</v>
      </c>
      <c r="C359" s="85">
        <v>0</v>
      </c>
      <c r="D359" s="85">
        <v>0</v>
      </c>
      <c r="E359" s="85">
        <v>1</v>
      </c>
      <c r="F359" s="85">
        <v>1</v>
      </c>
      <c r="G359" s="85">
        <v>1</v>
      </c>
      <c r="H359" s="85">
        <v>1</v>
      </c>
      <c r="I359" s="85">
        <v>2</v>
      </c>
      <c r="J359" s="85">
        <v>2</v>
      </c>
      <c r="K359" s="85">
        <v>3</v>
      </c>
      <c r="L359" s="85">
        <v>3</v>
      </c>
      <c r="M359" s="85">
        <v>3</v>
      </c>
      <c r="N359" s="85">
        <v>3</v>
      </c>
      <c r="O359" s="85">
        <v>4</v>
      </c>
      <c r="P359" s="85">
        <v>4</v>
      </c>
      <c r="Q359" s="85">
        <v>4</v>
      </c>
      <c r="R359" s="85">
        <v>4</v>
      </c>
      <c r="S359" s="85">
        <v>4</v>
      </c>
      <c r="T359" s="85">
        <v>4</v>
      </c>
      <c r="U359" s="85">
        <v>4</v>
      </c>
      <c r="V359" s="85">
        <v>4</v>
      </c>
      <c r="W359" s="85">
        <v>3</v>
      </c>
      <c r="X359" s="85">
        <v>3</v>
      </c>
      <c r="Y359" s="85">
        <v>3</v>
      </c>
      <c r="Z359" s="85">
        <v>3</v>
      </c>
      <c r="AA359" s="85">
        <v>2</v>
      </c>
      <c r="AB359" s="85">
        <v>2</v>
      </c>
      <c r="AC359" s="85">
        <v>1</v>
      </c>
      <c r="AD359" s="85">
        <v>1</v>
      </c>
      <c r="AE359" s="85">
        <v>1</v>
      </c>
      <c r="AF359" s="85">
        <v>1</v>
      </c>
      <c r="AG359" s="85">
        <v>0</v>
      </c>
      <c r="AH359" s="85">
        <v>0</v>
      </c>
      <c r="AP359" s="92">
        <f t="shared" si="69"/>
        <v>30</v>
      </c>
      <c r="AQ359" s="91" t="str">
        <f t="shared" si="70"/>
        <v>0011</v>
      </c>
      <c r="AR359" s="91" t="str">
        <f t="shared" si="71"/>
        <v>1122</v>
      </c>
      <c r="AS359" s="91" t="str">
        <f t="shared" si="72"/>
        <v>3333</v>
      </c>
      <c r="AT359" s="91" t="str">
        <f t="shared" si="73"/>
        <v>4444</v>
      </c>
      <c r="AU359" s="91" t="str">
        <f t="shared" si="74"/>
        <v>4444</v>
      </c>
      <c r="AV359" s="91" t="str">
        <f t="shared" si="75"/>
        <v>3333</v>
      </c>
      <c r="AW359" s="91" t="str">
        <f t="shared" si="76"/>
        <v>2211</v>
      </c>
      <c r="AX359" s="91" t="str">
        <f t="shared" si="77"/>
        <v>1100</v>
      </c>
    </row>
    <row r="360" spans="1:51" s="83" customFormat="1" ht="14.1" customHeight="1">
      <c r="A360" s="82"/>
      <c r="B360" s="84">
        <v>31</v>
      </c>
      <c r="C360" s="85">
        <v>0</v>
      </c>
      <c r="D360" s="85">
        <v>0</v>
      </c>
      <c r="E360" s="85">
        <v>1</v>
      </c>
      <c r="F360" s="85">
        <v>1</v>
      </c>
      <c r="G360" s="85">
        <v>1</v>
      </c>
      <c r="H360" s="85">
        <v>1</v>
      </c>
      <c r="I360" s="85">
        <v>2</v>
      </c>
      <c r="J360" s="85">
        <v>2</v>
      </c>
      <c r="K360" s="85">
        <v>3</v>
      </c>
      <c r="L360" s="85">
        <v>3</v>
      </c>
      <c r="M360" s="85">
        <v>3</v>
      </c>
      <c r="N360" s="85">
        <v>3</v>
      </c>
      <c r="O360" s="85">
        <v>3</v>
      </c>
      <c r="P360" s="85">
        <v>3</v>
      </c>
      <c r="Q360" s="85">
        <v>4</v>
      </c>
      <c r="R360" s="85">
        <v>4</v>
      </c>
      <c r="S360" s="85">
        <v>4</v>
      </c>
      <c r="T360" s="85">
        <v>4</v>
      </c>
      <c r="U360" s="85">
        <v>3</v>
      </c>
      <c r="V360" s="85">
        <v>3</v>
      </c>
      <c r="W360" s="85">
        <v>3</v>
      </c>
      <c r="X360" s="85">
        <v>3</v>
      </c>
      <c r="Y360" s="85">
        <v>3</v>
      </c>
      <c r="Z360" s="85">
        <v>3</v>
      </c>
      <c r="AA360" s="85">
        <v>2</v>
      </c>
      <c r="AB360" s="85">
        <v>2</v>
      </c>
      <c r="AC360" s="85">
        <v>1</v>
      </c>
      <c r="AD360" s="85">
        <v>1</v>
      </c>
      <c r="AE360" s="85">
        <v>1</v>
      </c>
      <c r="AF360" s="85">
        <v>1</v>
      </c>
      <c r="AG360" s="85">
        <v>0</v>
      </c>
      <c r="AH360" s="85">
        <v>0</v>
      </c>
      <c r="AP360" s="92">
        <f t="shared" si="69"/>
        <v>31</v>
      </c>
      <c r="AQ360" s="91" t="str">
        <f t="shared" si="70"/>
        <v>0011</v>
      </c>
      <c r="AR360" s="91" t="str">
        <f t="shared" si="71"/>
        <v>1122</v>
      </c>
      <c r="AS360" s="91" t="str">
        <f t="shared" si="72"/>
        <v>3333</v>
      </c>
      <c r="AT360" s="91" t="str">
        <f t="shared" si="73"/>
        <v>3344</v>
      </c>
      <c r="AU360" s="91" t="str">
        <f t="shared" si="74"/>
        <v>4433</v>
      </c>
      <c r="AV360" s="91" t="str">
        <f t="shared" si="75"/>
        <v>3333</v>
      </c>
      <c r="AW360" s="91" t="str">
        <f t="shared" si="76"/>
        <v>2211</v>
      </c>
      <c r="AX360" s="91" t="str">
        <f t="shared" si="77"/>
        <v>1100</v>
      </c>
    </row>
    <row r="361" spans="1:51" s="83" customFormat="1">
      <c r="A361" s="82"/>
      <c r="AO361" s="110"/>
      <c r="AP361" s="110"/>
      <c r="AU361" s="91"/>
      <c r="AV361" s="91"/>
      <c r="AW361" s="91"/>
      <c r="AX361" s="91"/>
    </row>
    <row r="362" spans="1:51" s="83" customFormat="1">
      <c r="A362" s="82"/>
      <c r="AO362" s="110"/>
      <c r="AP362" s="110"/>
      <c r="AU362" s="91"/>
      <c r="AV362" s="91"/>
      <c r="AW362" s="91"/>
      <c r="AX362" s="91"/>
    </row>
    <row r="363" spans="1:51" s="83" customFormat="1">
      <c r="A363" s="111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  <c r="AA363" s="110"/>
      <c r="AB363" s="110"/>
      <c r="AC363" s="110"/>
      <c r="AD363" s="110"/>
      <c r="AE363" s="110"/>
      <c r="AF363" s="110"/>
      <c r="AG363" s="110"/>
      <c r="AH363" s="110"/>
      <c r="AI363" s="110"/>
      <c r="AJ363" s="110"/>
      <c r="AK363" s="110"/>
      <c r="AL363" s="110"/>
      <c r="AM363" s="110"/>
      <c r="AN363" s="110"/>
      <c r="AO363" s="110"/>
      <c r="AP363" s="112"/>
      <c r="AQ363" s="110"/>
      <c r="AR363" s="110"/>
      <c r="AS363" s="110"/>
      <c r="AT363" s="110"/>
      <c r="AU363" s="113"/>
      <c r="AV363" s="113"/>
      <c r="AW363" s="113"/>
      <c r="AX363" s="113"/>
      <c r="AY363" s="110"/>
    </row>
    <row r="364" spans="1:51" s="83" customFormat="1">
      <c r="A364" s="111"/>
      <c r="B364" s="110"/>
      <c r="C364" s="129"/>
      <c r="D364" s="129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14"/>
      <c r="U364" s="114"/>
      <c r="V364" s="114"/>
      <c r="W364" s="114"/>
      <c r="X364" s="114"/>
      <c r="Y364" s="114"/>
      <c r="Z364" s="114"/>
      <c r="AA364" s="114"/>
      <c r="AB364" s="114"/>
      <c r="AC364" s="114"/>
      <c r="AD364" s="114"/>
      <c r="AE364" s="114"/>
      <c r="AF364" s="114"/>
      <c r="AG364" s="114"/>
      <c r="AH364" s="114"/>
      <c r="AI364" s="110"/>
      <c r="AJ364" s="110"/>
      <c r="AK364" s="110"/>
      <c r="AL364" s="110"/>
      <c r="AM364" s="110"/>
      <c r="AN364" s="110"/>
      <c r="AO364" s="110"/>
      <c r="AP364" s="110"/>
      <c r="AQ364" s="113"/>
      <c r="AR364" s="113"/>
      <c r="AS364" s="113"/>
      <c r="AT364" s="113"/>
      <c r="AU364" s="110"/>
      <c r="AV364" s="110"/>
      <c r="AW364" s="110"/>
      <c r="AX364" s="110"/>
      <c r="AY364" s="110"/>
    </row>
    <row r="365" spans="1:51" s="83" customFormat="1" ht="14.1" customHeight="1">
      <c r="A365" s="111"/>
      <c r="B365" s="114"/>
      <c r="C365" s="130"/>
      <c r="D365" s="130"/>
      <c r="E365" s="130"/>
      <c r="F365" s="130"/>
      <c r="G365" s="130"/>
      <c r="H365" s="130"/>
      <c r="I365" s="130"/>
      <c r="J365" s="130"/>
      <c r="K365" s="130"/>
      <c r="L365" s="130"/>
      <c r="M365" s="130"/>
      <c r="N365" s="130"/>
      <c r="O365" s="130"/>
      <c r="P365" s="130"/>
      <c r="Q365" s="130"/>
      <c r="R365" s="130"/>
      <c r="S365" s="130"/>
      <c r="T365" s="110"/>
      <c r="U365" s="110"/>
      <c r="V365" s="110"/>
      <c r="W365" s="110"/>
      <c r="X365" s="110"/>
      <c r="Y365" s="110"/>
      <c r="Z365" s="110"/>
      <c r="AA365" s="110"/>
      <c r="AB365" s="110"/>
      <c r="AC365" s="110"/>
      <c r="AD365" s="110"/>
      <c r="AE365" s="110"/>
      <c r="AF365" s="110"/>
      <c r="AG365" s="110"/>
      <c r="AH365" s="110"/>
      <c r="AI365" s="110"/>
      <c r="AJ365" s="110"/>
      <c r="AK365" s="110"/>
      <c r="AL365" s="110"/>
      <c r="AM365" s="110"/>
      <c r="AN365" s="110"/>
      <c r="AO365" s="110"/>
      <c r="AP365" s="115"/>
      <c r="AQ365" s="113"/>
      <c r="AR365" s="113"/>
      <c r="AS365" s="113"/>
      <c r="AT365" s="113"/>
      <c r="AU365" s="113"/>
      <c r="AV365" s="113"/>
      <c r="AW365" s="113"/>
      <c r="AX365" s="113"/>
      <c r="AY365" s="110"/>
    </row>
    <row r="366" spans="1:51" s="83" customFormat="1" ht="14.1" customHeight="1">
      <c r="A366" s="111"/>
      <c r="B366" s="114"/>
      <c r="C366" s="130"/>
      <c r="D366" s="130"/>
      <c r="E366" s="130"/>
      <c r="F366" s="130"/>
      <c r="G366" s="130"/>
      <c r="H366" s="130"/>
      <c r="I366" s="130"/>
      <c r="J366" s="130"/>
      <c r="K366" s="130"/>
      <c r="L366" s="130"/>
      <c r="M366" s="130"/>
      <c r="N366" s="130"/>
      <c r="O366" s="130"/>
      <c r="P366" s="130"/>
      <c r="Q366" s="130"/>
      <c r="R366" s="130"/>
      <c r="S366" s="130"/>
      <c r="T366" s="110"/>
      <c r="U366" s="110"/>
      <c r="V366" s="110"/>
      <c r="W366" s="110"/>
      <c r="X366" s="110"/>
      <c r="Y366" s="110"/>
      <c r="Z366" s="110"/>
      <c r="AA366" s="110"/>
      <c r="AB366" s="110"/>
      <c r="AC366" s="110"/>
      <c r="AD366" s="110"/>
      <c r="AE366" s="110"/>
      <c r="AF366" s="110"/>
      <c r="AG366" s="110"/>
      <c r="AH366" s="110"/>
      <c r="AI366" s="110"/>
      <c r="AJ366" s="110"/>
      <c r="AK366" s="110"/>
      <c r="AL366" s="110"/>
      <c r="AM366" s="110"/>
      <c r="AN366" s="110"/>
      <c r="AO366" s="110"/>
      <c r="AP366" s="115"/>
      <c r="AQ366" s="113"/>
      <c r="AR366" s="113"/>
      <c r="AS366" s="113"/>
      <c r="AT366" s="113"/>
      <c r="AU366" s="113"/>
      <c r="AV366" s="113"/>
      <c r="AW366" s="113"/>
      <c r="AX366" s="113"/>
      <c r="AY366" s="110"/>
    </row>
    <row r="367" spans="1:51" s="83" customFormat="1" ht="14.1" customHeight="1">
      <c r="A367" s="111"/>
      <c r="B367" s="114"/>
      <c r="C367" s="130"/>
      <c r="D367" s="130"/>
      <c r="E367" s="130"/>
      <c r="F367" s="130"/>
      <c r="G367" s="130"/>
      <c r="H367" s="130"/>
      <c r="I367" s="130"/>
      <c r="J367" s="130"/>
      <c r="K367" s="130"/>
      <c r="L367" s="130"/>
      <c r="M367" s="130"/>
      <c r="N367" s="130"/>
      <c r="O367" s="130"/>
      <c r="P367" s="130"/>
      <c r="Q367" s="130"/>
      <c r="R367" s="130"/>
      <c r="S367" s="130"/>
      <c r="T367" s="110"/>
      <c r="U367" s="110"/>
      <c r="V367" s="110"/>
      <c r="W367" s="110"/>
      <c r="X367" s="110"/>
      <c r="Y367" s="110"/>
      <c r="Z367" s="110"/>
      <c r="AA367" s="110"/>
      <c r="AB367" s="110"/>
      <c r="AC367" s="110"/>
      <c r="AD367" s="110"/>
      <c r="AE367" s="110"/>
      <c r="AF367" s="110"/>
      <c r="AG367" s="110"/>
      <c r="AH367" s="110"/>
      <c r="AI367" s="110"/>
      <c r="AJ367" s="110"/>
      <c r="AK367" s="110"/>
      <c r="AL367" s="110"/>
      <c r="AM367" s="110"/>
      <c r="AN367" s="110"/>
      <c r="AO367" s="110"/>
      <c r="AP367" s="115"/>
      <c r="AQ367" s="113"/>
      <c r="AR367" s="113"/>
      <c r="AS367" s="113"/>
      <c r="AT367" s="113"/>
      <c r="AU367" s="113"/>
      <c r="AV367" s="113"/>
      <c r="AW367" s="113"/>
      <c r="AX367" s="113"/>
      <c r="AY367" s="110"/>
    </row>
    <row r="368" spans="1:51" s="83" customFormat="1" ht="14.1" customHeight="1">
      <c r="A368" s="111"/>
      <c r="B368" s="114"/>
      <c r="C368" s="130"/>
      <c r="D368" s="130"/>
      <c r="E368" s="130"/>
      <c r="F368" s="130"/>
      <c r="G368" s="130"/>
      <c r="H368" s="130"/>
      <c r="I368" s="130"/>
      <c r="J368" s="130"/>
      <c r="K368" s="130"/>
      <c r="L368" s="130"/>
      <c r="M368" s="130"/>
      <c r="N368" s="130"/>
      <c r="O368" s="130"/>
      <c r="P368" s="130"/>
      <c r="Q368" s="130"/>
      <c r="R368" s="130"/>
      <c r="S368" s="130"/>
      <c r="T368" s="110"/>
      <c r="U368" s="110"/>
      <c r="V368" s="110"/>
      <c r="W368" s="110"/>
      <c r="X368" s="110"/>
      <c r="Y368" s="110"/>
      <c r="Z368" s="110"/>
      <c r="AA368" s="110"/>
      <c r="AB368" s="110"/>
      <c r="AC368" s="110"/>
      <c r="AD368" s="110"/>
      <c r="AE368" s="110"/>
      <c r="AF368" s="110"/>
      <c r="AG368" s="110"/>
      <c r="AH368" s="110"/>
      <c r="AI368" s="110"/>
      <c r="AJ368" s="110"/>
      <c r="AK368" s="110"/>
      <c r="AL368" s="110"/>
      <c r="AM368" s="110"/>
      <c r="AN368" s="110"/>
      <c r="AO368" s="110"/>
      <c r="AP368" s="115"/>
      <c r="AQ368" s="113"/>
      <c r="AR368" s="113"/>
      <c r="AS368" s="113"/>
      <c r="AT368" s="113"/>
      <c r="AU368" s="113"/>
      <c r="AV368" s="113"/>
      <c r="AW368" s="113"/>
      <c r="AX368" s="113"/>
      <c r="AY368" s="110"/>
    </row>
    <row r="369" spans="1:51" s="83" customFormat="1" ht="14.1" customHeight="1">
      <c r="A369" s="111"/>
      <c r="B369" s="114"/>
      <c r="C369" s="130"/>
      <c r="D369" s="130"/>
      <c r="E369" s="130"/>
      <c r="F369" s="130"/>
      <c r="G369" s="130"/>
      <c r="H369" s="130"/>
      <c r="I369" s="130"/>
      <c r="J369" s="130"/>
      <c r="K369" s="130"/>
      <c r="L369" s="130"/>
      <c r="M369" s="130"/>
      <c r="N369" s="130"/>
      <c r="O369" s="130"/>
      <c r="P369" s="130"/>
      <c r="Q369" s="130"/>
      <c r="R369" s="130"/>
      <c r="S369" s="130"/>
      <c r="T369" s="110"/>
      <c r="U369" s="110"/>
      <c r="V369" s="110"/>
      <c r="W369" s="110"/>
      <c r="X369" s="110"/>
      <c r="Y369" s="110"/>
      <c r="Z369" s="110"/>
      <c r="AA369" s="110"/>
      <c r="AB369" s="110"/>
      <c r="AC369" s="110"/>
      <c r="AD369" s="110"/>
      <c r="AE369" s="110"/>
      <c r="AF369" s="110"/>
      <c r="AG369" s="110"/>
      <c r="AH369" s="110"/>
      <c r="AI369" s="110"/>
      <c r="AJ369" s="110"/>
      <c r="AK369" s="110"/>
      <c r="AL369" s="110"/>
      <c r="AM369" s="110"/>
      <c r="AN369" s="110"/>
      <c r="AO369" s="110"/>
      <c r="AP369" s="115"/>
      <c r="AQ369" s="113"/>
      <c r="AR369" s="113"/>
      <c r="AS369" s="113"/>
      <c r="AT369" s="113"/>
      <c r="AU369" s="113"/>
      <c r="AV369" s="113"/>
      <c r="AW369" s="113"/>
      <c r="AX369" s="113"/>
      <c r="AY369" s="110"/>
    </row>
    <row r="370" spans="1:51" s="83" customFormat="1" ht="14.1" customHeight="1">
      <c r="A370" s="111"/>
      <c r="B370" s="114"/>
      <c r="C370" s="130"/>
      <c r="D370" s="130"/>
      <c r="E370" s="130"/>
      <c r="F370" s="130"/>
      <c r="G370" s="130"/>
      <c r="H370" s="130"/>
      <c r="I370" s="130"/>
      <c r="J370" s="130"/>
      <c r="K370" s="130"/>
      <c r="L370" s="130"/>
      <c r="M370" s="130"/>
      <c r="N370" s="130"/>
      <c r="O370" s="130"/>
      <c r="P370" s="130"/>
      <c r="Q370" s="130"/>
      <c r="R370" s="130"/>
      <c r="S370" s="130"/>
      <c r="T370" s="110"/>
      <c r="U370" s="110"/>
      <c r="V370" s="110"/>
      <c r="W370" s="110"/>
      <c r="X370" s="110"/>
      <c r="Y370" s="110"/>
      <c r="Z370" s="110"/>
      <c r="AA370" s="110"/>
      <c r="AB370" s="110"/>
      <c r="AC370" s="110"/>
      <c r="AD370" s="110"/>
      <c r="AE370" s="110"/>
      <c r="AF370" s="110"/>
      <c r="AG370" s="110"/>
      <c r="AH370" s="110"/>
      <c r="AI370" s="110"/>
      <c r="AJ370" s="110"/>
      <c r="AK370" s="110"/>
      <c r="AL370" s="110"/>
      <c r="AM370" s="110"/>
      <c r="AN370" s="110"/>
      <c r="AO370" s="110"/>
      <c r="AP370" s="115"/>
      <c r="AQ370" s="113"/>
      <c r="AR370" s="113"/>
      <c r="AS370" s="113"/>
      <c r="AT370" s="113"/>
      <c r="AU370" s="113"/>
      <c r="AV370" s="113"/>
      <c r="AW370" s="113"/>
      <c r="AX370" s="113"/>
      <c r="AY370" s="110"/>
    </row>
    <row r="371" spans="1:51" s="83" customFormat="1" ht="14.1" customHeight="1">
      <c r="A371" s="111"/>
      <c r="B371" s="114"/>
      <c r="C371" s="130"/>
      <c r="D371" s="130"/>
      <c r="E371" s="130"/>
      <c r="F371" s="130"/>
      <c r="G371" s="130"/>
      <c r="H371" s="130"/>
      <c r="I371" s="130"/>
      <c r="J371" s="130"/>
      <c r="K371" s="130"/>
      <c r="L371" s="130"/>
      <c r="M371" s="130"/>
      <c r="N371" s="130"/>
      <c r="O371" s="130"/>
      <c r="P371" s="130"/>
      <c r="Q371" s="130"/>
      <c r="R371" s="130"/>
      <c r="S371" s="130"/>
      <c r="T371" s="110"/>
      <c r="U371" s="110"/>
      <c r="V371" s="110"/>
      <c r="W371" s="110"/>
      <c r="X371" s="110"/>
      <c r="Y371" s="110"/>
      <c r="Z371" s="110"/>
      <c r="AA371" s="110"/>
      <c r="AB371" s="110"/>
      <c r="AC371" s="110"/>
      <c r="AD371" s="110"/>
      <c r="AE371" s="110"/>
      <c r="AF371" s="110"/>
      <c r="AG371" s="110"/>
      <c r="AH371" s="110"/>
      <c r="AI371" s="110"/>
      <c r="AJ371" s="110"/>
      <c r="AK371" s="110"/>
      <c r="AL371" s="110"/>
      <c r="AM371" s="110"/>
      <c r="AN371" s="110"/>
      <c r="AO371" s="110"/>
      <c r="AP371" s="115"/>
      <c r="AQ371" s="113"/>
      <c r="AR371" s="113"/>
      <c r="AS371" s="113"/>
      <c r="AT371" s="113"/>
      <c r="AU371" s="113"/>
      <c r="AV371" s="113"/>
      <c r="AW371" s="113"/>
      <c r="AX371" s="113"/>
      <c r="AY371" s="110"/>
    </row>
    <row r="372" spans="1:51" s="83" customFormat="1" ht="14.1" customHeight="1">
      <c r="A372" s="111"/>
      <c r="B372" s="114"/>
      <c r="C372" s="130"/>
      <c r="D372" s="130"/>
      <c r="E372" s="130"/>
      <c r="F372" s="130"/>
      <c r="G372" s="130"/>
      <c r="H372" s="130"/>
      <c r="I372" s="130"/>
      <c r="J372" s="130"/>
      <c r="K372" s="130"/>
      <c r="L372" s="130"/>
      <c r="M372" s="130"/>
      <c r="N372" s="130"/>
      <c r="O372" s="130"/>
      <c r="P372" s="130"/>
      <c r="Q372" s="130"/>
      <c r="R372" s="130"/>
      <c r="S372" s="130"/>
      <c r="T372" s="110"/>
      <c r="U372" s="110"/>
      <c r="V372" s="110"/>
      <c r="W372" s="110"/>
      <c r="X372" s="110"/>
      <c r="Y372" s="110"/>
      <c r="Z372" s="110"/>
      <c r="AA372" s="110"/>
      <c r="AB372" s="110"/>
      <c r="AC372" s="110"/>
      <c r="AD372" s="110"/>
      <c r="AE372" s="110"/>
      <c r="AF372" s="110"/>
      <c r="AG372" s="110"/>
      <c r="AH372" s="110"/>
      <c r="AI372" s="110"/>
      <c r="AJ372" s="110"/>
      <c r="AK372" s="110"/>
      <c r="AL372" s="110"/>
      <c r="AM372" s="110"/>
      <c r="AN372" s="110"/>
      <c r="AO372" s="110"/>
      <c r="AP372" s="115"/>
      <c r="AQ372" s="113"/>
      <c r="AR372" s="113"/>
      <c r="AS372" s="113"/>
      <c r="AT372" s="113"/>
      <c r="AU372" s="113"/>
      <c r="AV372" s="113"/>
      <c r="AW372" s="113"/>
      <c r="AX372" s="113"/>
      <c r="AY372" s="110"/>
    </row>
    <row r="373" spans="1:51" s="83" customFormat="1" ht="14.1" customHeight="1">
      <c r="A373" s="111"/>
      <c r="B373" s="114"/>
      <c r="C373" s="130"/>
      <c r="D373" s="130"/>
      <c r="E373" s="130"/>
      <c r="F373" s="130"/>
      <c r="G373" s="130"/>
      <c r="H373" s="130"/>
      <c r="I373" s="130"/>
      <c r="J373" s="130"/>
      <c r="K373" s="130"/>
      <c r="L373" s="130"/>
      <c r="M373" s="130"/>
      <c r="N373" s="130"/>
      <c r="O373" s="130"/>
      <c r="P373" s="130"/>
      <c r="Q373" s="130"/>
      <c r="R373" s="130"/>
      <c r="S373" s="130"/>
      <c r="T373" s="110"/>
      <c r="U373" s="110"/>
      <c r="V373" s="110"/>
      <c r="W373" s="110"/>
      <c r="X373" s="110"/>
      <c r="Y373" s="110"/>
      <c r="Z373" s="110"/>
      <c r="AA373" s="110"/>
      <c r="AB373" s="110"/>
      <c r="AC373" s="110"/>
      <c r="AD373" s="110"/>
      <c r="AE373" s="110"/>
      <c r="AF373" s="110"/>
      <c r="AG373" s="110"/>
      <c r="AH373" s="110"/>
      <c r="AI373" s="110"/>
      <c r="AJ373" s="110"/>
      <c r="AK373" s="110"/>
      <c r="AL373" s="110"/>
      <c r="AM373" s="110"/>
      <c r="AN373" s="110"/>
      <c r="AO373" s="110"/>
      <c r="AP373" s="115"/>
      <c r="AQ373" s="113"/>
      <c r="AR373" s="113"/>
      <c r="AS373" s="113"/>
      <c r="AT373" s="113"/>
      <c r="AU373" s="113"/>
      <c r="AV373" s="113"/>
      <c r="AW373" s="113"/>
      <c r="AX373" s="113"/>
      <c r="AY373" s="110"/>
    </row>
    <row r="374" spans="1:51" s="83" customFormat="1" ht="14.1" customHeight="1">
      <c r="A374" s="111"/>
      <c r="B374" s="114"/>
      <c r="C374" s="130"/>
      <c r="D374" s="130"/>
      <c r="E374" s="130"/>
      <c r="F374" s="130"/>
      <c r="G374" s="130"/>
      <c r="H374" s="130"/>
      <c r="I374" s="130"/>
      <c r="J374" s="130"/>
      <c r="K374" s="130"/>
      <c r="L374" s="130"/>
      <c r="M374" s="130"/>
      <c r="N374" s="130"/>
      <c r="O374" s="130"/>
      <c r="P374" s="130"/>
      <c r="Q374" s="130"/>
      <c r="R374" s="130"/>
      <c r="S374" s="130"/>
      <c r="T374" s="110"/>
      <c r="U374" s="110"/>
      <c r="V374" s="110"/>
      <c r="W374" s="110"/>
      <c r="X374" s="110"/>
      <c r="Y374" s="110"/>
      <c r="Z374" s="110"/>
      <c r="AA374" s="110"/>
      <c r="AB374" s="110"/>
      <c r="AC374" s="110"/>
      <c r="AD374" s="110"/>
      <c r="AE374" s="110"/>
      <c r="AF374" s="110"/>
      <c r="AG374" s="110"/>
      <c r="AH374" s="110"/>
      <c r="AI374" s="110"/>
      <c r="AJ374" s="110"/>
      <c r="AK374" s="110"/>
      <c r="AL374" s="110"/>
      <c r="AM374" s="110"/>
      <c r="AN374" s="110"/>
      <c r="AO374" s="110"/>
      <c r="AP374" s="115"/>
      <c r="AQ374" s="113"/>
      <c r="AR374" s="113"/>
      <c r="AS374" s="113"/>
      <c r="AT374" s="113"/>
      <c r="AU374" s="113"/>
      <c r="AV374" s="113"/>
      <c r="AW374" s="113"/>
      <c r="AX374" s="113"/>
      <c r="AY374" s="110"/>
    </row>
    <row r="375" spans="1:51" s="83" customFormat="1" ht="14.1" customHeight="1">
      <c r="A375" s="111"/>
      <c r="B375" s="114"/>
      <c r="C375" s="130"/>
      <c r="D375" s="130"/>
      <c r="E375" s="130"/>
      <c r="F375" s="130"/>
      <c r="G375" s="130"/>
      <c r="H375" s="130"/>
      <c r="I375" s="130"/>
      <c r="J375" s="130"/>
      <c r="K375" s="130"/>
      <c r="L375" s="130"/>
      <c r="M375" s="130"/>
      <c r="N375" s="130"/>
      <c r="O375" s="130"/>
      <c r="P375" s="130"/>
      <c r="Q375" s="130"/>
      <c r="R375" s="130"/>
      <c r="S375" s="130"/>
      <c r="T375" s="110"/>
      <c r="U375" s="110"/>
      <c r="V375" s="110"/>
      <c r="W375" s="110"/>
      <c r="X375" s="110"/>
      <c r="Y375" s="110"/>
      <c r="Z375" s="110"/>
      <c r="AA375" s="110"/>
      <c r="AB375" s="110"/>
      <c r="AC375" s="110"/>
      <c r="AD375" s="110"/>
      <c r="AE375" s="110"/>
      <c r="AF375" s="110"/>
      <c r="AG375" s="110"/>
      <c r="AH375" s="110"/>
      <c r="AI375" s="110"/>
      <c r="AJ375" s="110"/>
      <c r="AK375" s="110"/>
      <c r="AL375" s="110"/>
      <c r="AM375" s="110"/>
      <c r="AN375" s="110"/>
      <c r="AO375" s="110"/>
      <c r="AP375" s="115"/>
      <c r="AQ375" s="113"/>
      <c r="AR375" s="113"/>
      <c r="AS375" s="113"/>
      <c r="AT375" s="113"/>
      <c r="AU375" s="113"/>
      <c r="AV375" s="113"/>
      <c r="AW375" s="113"/>
      <c r="AX375" s="113"/>
      <c r="AY375" s="110"/>
    </row>
    <row r="376" spans="1:51" s="83" customFormat="1" ht="14.1" customHeight="1">
      <c r="A376" s="111"/>
      <c r="B376" s="114"/>
      <c r="C376" s="130"/>
      <c r="D376" s="130"/>
      <c r="E376" s="130"/>
      <c r="F376" s="130"/>
      <c r="G376" s="130"/>
      <c r="H376" s="130"/>
      <c r="I376" s="130"/>
      <c r="J376" s="130"/>
      <c r="K376" s="130"/>
      <c r="L376" s="130"/>
      <c r="M376" s="130"/>
      <c r="N376" s="130"/>
      <c r="O376" s="130"/>
      <c r="P376" s="130"/>
      <c r="Q376" s="130"/>
      <c r="R376" s="130"/>
      <c r="S376" s="130"/>
      <c r="T376" s="110"/>
      <c r="U376" s="110"/>
      <c r="V376" s="110"/>
      <c r="W376" s="110"/>
      <c r="X376" s="110"/>
      <c r="Y376" s="110"/>
      <c r="Z376" s="110"/>
      <c r="AA376" s="110"/>
      <c r="AB376" s="110"/>
      <c r="AC376" s="110"/>
      <c r="AD376" s="110"/>
      <c r="AE376" s="110"/>
      <c r="AF376" s="110"/>
      <c r="AG376" s="110"/>
      <c r="AH376" s="110"/>
      <c r="AI376" s="110"/>
      <c r="AJ376" s="110"/>
      <c r="AK376" s="110"/>
      <c r="AL376" s="110"/>
      <c r="AM376" s="110"/>
      <c r="AN376" s="110"/>
      <c r="AO376" s="110"/>
      <c r="AP376" s="115"/>
      <c r="AQ376" s="113"/>
      <c r="AR376" s="113"/>
      <c r="AS376" s="113"/>
      <c r="AT376" s="113"/>
      <c r="AU376" s="113"/>
      <c r="AV376" s="113"/>
      <c r="AW376" s="113"/>
      <c r="AX376" s="113"/>
      <c r="AY376" s="110"/>
    </row>
    <row r="377" spans="1:51" s="83" customFormat="1" ht="14.1" customHeight="1">
      <c r="A377" s="111"/>
      <c r="B377" s="114"/>
      <c r="C377" s="130"/>
      <c r="D377" s="130"/>
      <c r="E377" s="130"/>
      <c r="F377" s="130"/>
      <c r="G377" s="130"/>
      <c r="H377" s="130"/>
      <c r="I377" s="130"/>
      <c r="J377" s="130"/>
      <c r="K377" s="130"/>
      <c r="L377" s="130"/>
      <c r="M377" s="130"/>
      <c r="N377" s="130"/>
      <c r="O377" s="130"/>
      <c r="P377" s="130"/>
      <c r="Q377" s="130"/>
      <c r="R377" s="130"/>
      <c r="S377" s="130"/>
      <c r="T377" s="110"/>
      <c r="U377" s="110"/>
      <c r="V377" s="110"/>
      <c r="W377" s="110"/>
      <c r="X377" s="110"/>
      <c r="Y377" s="110"/>
      <c r="Z377" s="110"/>
      <c r="AA377" s="110"/>
      <c r="AB377" s="110"/>
      <c r="AC377" s="110"/>
      <c r="AD377" s="110"/>
      <c r="AE377" s="110"/>
      <c r="AF377" s="110"/>
      <c r="AG377" s="110"/>
      <c r="AH377" s="110"/>
      <c r="AI377" s="110"/>
      <c r="AJ377" s="110"/>
      <c r="AK377" s="110"/>
      <c r="AL377" s="110"/>
      <c r="AM377" s="110"/>
      <c r="AN377" s="110"/>
      <c r="AO377" s="110"/>
      <c r="AP377" s="115"/>
      <c r="AQ377" s="113"/>
      <c r="AR377" s="113"/>
      <c r="AS377" s="113"/>
      <c r="AT377" s="113"/>
      <c r="AU377" s="113"/>
      <c r="AV377" s="113"/>
      <c r="AW377" s="113"/>
      <c r="AX377" s="113"/>
      <c r="AY377" s="110"/>
    </row>
    <row r="378" spans="1:51" s="83" customFormat="1" ht="14.1" customHeight="1">
      <c r="A378" s="111"/>
      <c r="B378" s="114"/>
      <c r="C378" s="130"/>
      <c r="D378" s="130"/>
      <c r="E378" s="130"/>
      <c r="F378" s="130"/>
      <c r="G378" s="130"/>
      <c r="H378" s="130"/>
      <c r="I378" s="130"/>
      <c r="J378" s="130"/>
      <c r="K378" s="130"/>
      <c r="L378" s="130"/>
      <c r="M378" s="130"/>
      <c r="N378" s="130"/>
      <c r="O378" s="130"/>
      <c r="P378" s="130"/>
      <c r="Q378" s="130"/>
      <c r="R378" s="130"/>
      <c r="S378" s="130"/>
      <c r="T378" s="110"/>
      <c r="U378" s="110"/>
      <c r="V378" s="110"/>
      <c r="W378" s="110"/>
      <c r="X378" s="110"/>
      <c r="Y378" s="110"/>
      <c r="Z378" s="110"/>
      <c r="AA378" s="110"/>
      <c r="AB378" s="110"/>
      <c r="AC378" s="110"/>
      <c r="AD378" s="110"/>
      <c r="AE378" s="110"/>
      <c r="AF378" s="110"/>
      <c r="AG378" s="110"/>
      <c r="AH378" s="110"/>
      <c r="AI378" s="110"/>
      <c r="AJ378" s="110"/>
      <c r="AK378" s="110"/>
      <c r="AL378" s="110"/>
      <c r="AM378" s="110"/>
      <c r="AN378" s="110"/>
      <c r="AO378" s="110"/>
      <c r="AP378" s="115"/>
      <c r="AQ378" s="113"/>
      <c r="AR378" s="113"/>
      <c r="AS378" s="113"/>
      <c r="AT378" s="113"/>
      <c r="AU378" s="113"/>
      <c r="AV378" s="113"/>
      <c r="AW378" s="113"/>
      <c r="AX378" s="113"/>
      <c r="AY378" s="110"/>
    </row>
    <row r="379" spans="1:51" s="83" customFormat="1" ht="14.1" customHeight="1">
      <c r="A379" s="111"/>
      <c r="B379" s="114"/>
      <c r="C379" s="130"/>
      <c r="D379" s="130"/>
      <c r="E379" s="130"/>
      <c r="F379" s="130"/>
      <c r="G379" s="130"/>
      <c r="H379" s="130"/>
      <c r="I379" s="130"/>
      <c r="J379" s="130"/>
      <c r="K379" s="130"/>
      <c r="L379" s="130"/>
      <c r="M379" s="130"/>
      <c r="N379" s="130"/>
      <c r="O379" s="130"/>
      <c r="P379" s="130"/>
      <c r="Q379" s="130"/>
      <c r="R379" s="130"/>
      <c r="S379" s="130"/>
      <c r="T379" s="110"/>
      <c r="U379" s="110"/>
      <c r="V379" s="110"/>
      <c r="W379" s="110"/>
      <c r="X379" s="110"/>
      <c r="Y379" s="110"/>
      <c r="Z379" s="110"/>
      <c r="AA379" s="110"/>
      <c r="AB379" s="110"/>
      <c r="AC379" s="110"/>
      <c r="AD379" s="110"/>
      <c r="AE379" s="110"/>
      <c r="AF379" s="110"/>
      <c r="AG379" s="110"/>
      <c r="AH379" s="110"/>
      <c r="AI379" s="110"/>
      <c r="AJ379" s="110"/>
      <c r="AK379" s="110"/>
      <c r="AL379" s="110"/>
      <c r="AM379" s="110"/>
      <c r="AN379" s="110"/>
      <c r="AO379" s="110"/>
      <c r="AP379" s="115"/>
      <c r="AQ379" s="113"/>
      <c r="AR379" s="113"/>
      <c r="AS379" s="113"/>
      <c r="AT379" s="113"/>
      <c r="AU379" s="113"/>
      <c r="AV379" s="113"/>
      <c r="AW379" s="113"/>
      <c r="AX379" s="113"/>
      <c r="AY379" s="110"/>
    </row>
    <row r="380" spans="1:51" s="83" customFormat="1" ht="14.1" customHeight="1">
      <c r="A380" s="111"/>
      <c r="B380" s="114"/>
      <c r="C380" s="130"/>
      <c r="D380" s="130"/>
      <c r="E380" s="130"/>
      <c r="F380" s="130"/>
      <c r="G380" s="130"/>
      <c r="H380" s="130"/>
      <c r="I380" s="130"/>
      <c r="J380" s="130"/>
      <c r="K380" s="130"/>
      <c r="L380" s="130"/>
      <c r="M380" s="130"/>
      <c r="N380" s="130"/>
      <c r="O380" s="130"/>
      <c r="P380" s="130"/>
      <c r="Q380" s="130"/>
      <c r="R380" s="130"/>
      <c r="S380" s="130"/>
      <c r="T380" s="110"/>
      <c r="U380" s="110"/>
      <c r="V380" s="110"/>
      <c r="W380" s="110"/>
      <c r="X380" s="110"/>
      <c r="Y380" s="110"/>
      <c r="Z380" s="110"/>
      <c r="AA380" s="110"/>
      <c r="AB380" s="110"/>
      <c r="AC380" s="110"/>
      <c r="AD380" s="110"/>
      <c r="AE380" s="110"/>
      <c r="AF380" s="110"/>
      <c r="AG380" s="110"/>
      <c r="AH380" s="110"/>
      <c r="AI380" s="110"/>
      <c r="AJ380" s="110"/>
      <c r="AK380" s="110"/>
      <c r="AL380" s="110"/>
      <c r="AM380" s="110"/>
      <c r="AN380" s="110"/>
      <c r="AO380" s="110"/>
      <c r="AP380" s="115"/>
      <c r="AQ380" s="113"/>
      <c r="AR380" s="113"/>
      <c r="AS380" s="113"/>
      <c r="AT380" s="113"/>
      <c r="AU380" s="113"/>
      <c r="AV380" s="113"/>
      <c r="AW380" s="113"/>
      <c r="AX380" s="113"/>
      <c r="AY380" s="110"/>
    </row>
    <row r="381" spans="1:51" s="83" customFormat="1" ht="14.1" customHeight="1">
      <c r="A381" s="111"/>
      <c r="B381" s="114"/>
      <c r="C381" s="130"/>
      <c r="D381" s="130"/>
      <c r="E381" s="130"/>
      <c r="F381" s="130"/>
      <c r="G381" s="130"/>
      <c r="H381" s="130"/>
      <c r="I381" s="130"/>
      <c r="J381" s="130"/>
      <c r="K381" s="130"/>
      <c r="L381" s="130"/>
      <c r="M381" s="130"/>
      <c r="N381" s="130"/>
      <c r="O381" s="130"/>
      <c r="P381" s="130"/>
      <c r="Q381" s="130"/>
      <c r="R381" s="130"/>
      <c r="S381" s="130"/>
      <c r="T381" s="110"/>
      <c r="U381" s="110"/>
      <c r="V381" s="110"/>
      <c r="W381" s="110"/>
      <c r="X381" s="110"/>
      <c r="Y381" s="110"/>
      <c r="Z381" s="110"/>
      <c r="AA381" s="110"/>
      <c r="AB381" s="110"/>
      <c r="AC381" s="110"/>
      <c r="AD381" s="110"/>
      <c r="AE381" s="110"/>
      <c r="AF381" s="110"/>
      <c r="AG381" s="110"/>
      <c r="AH381" s="110"/>
      <c r="AI381" s="110"/>
      <c r="AJ381" s="110"/>
      <c r="AK381" s="110"/>
      <c r="AL381" s="110"/>
      <c r="AM381" s="110"/>
      <c r="AN381" s="110"/>
      <c r="AO381" s="110"/>
      <c r="AP381" s="115"/>
      <c r="AQ381" s="113"/>
      <c r="AR381" s="113"/>
      <c r="AS381" s="113"/>
      <c r="AT381" s="113"/>
      <c r="AU381" s="113"/>
      <c r="AV381" s="113"/>
      <c r="AW381" s="113"/>
      <c r="AX381" s="113"/>
      <c r="AY381" s="110"/>
    </row>
    <row r="382" spans="1:51" s="83" customFormat="1" ht="14.1" customHeight="1">
      <c r="A382" s="111"/>
      <c r="B382" s="114"/>
      <c r="C382" s="130"/>
      <c r="D382" s="130"/>
      <c r="E382" s="130"/>
      <c r="F382" s="130"/>
      <c r="G382" s="130"/>
      <c r="H382" s="130"/>
      <c r="I382" s="130"/>
      <c r="J382" s="130"/>
      <c r="K382" s="130"/>
      <c r="L382" s="130"/>
      <c r="M382" s="130"/>
      <c r="N382" s="130"/>
      <c r="O382" s="130"/>
      <c r="P382" s="130"/>
      <c r="Q382" s="130"/>
      <c r="R382" s="130"/>
      <c r="S382" s="130"/>
      <c r="T382" s="110"/>
      <c r="U382" s="110"/>
      <c r="V382" s="110"/>
      <c r="W382" s="110"/>
      <c r="X382" s="110"/>
      <c r="Y382" s="110"/>
      <c r="Z382" s="110"/>
      <c r="AA382" s="110"/>
      <c r="AB382" s="110"/>
      <c r="AC382" s="110"/>
      <c r="AD382" s="110"/>
      <c r="AE382" s="110"/>
      <c r="AF382" s="110"/>
      <c r="AG382" s="110"/>
      <c r="AH382" s="110"/>
      <c r="AI382" s="110"/>
      <c r="AJ382" s="110"/>
      <c r="AK382" s="110"/>
      <c r="AL382" s="110"/>
      <c r="AM382" s="110"/>
      <c r="AN382" s="110"/>
      <c r="AO382" s="110"/>
      <c r="AP382" s="115"/>
      <c r="AQ382" s="113"/>
      <c r="AR382" s="113"/>
      <c r="AS382" s="113"/>
      <c r="AT382" s="113"/>
      <c r="AU382" s="113"/>
      <c r="AV382" s="113"/>
      <c r="AW382" s="113"/>
      <c r="AX382" s="113"/>
      <c r="AY382" s="110"/>
    </row>
    <row r="383" spans="1:51" s="83" customFormat="1" ht="14.1" customHeight="1">
      <c r="A383" s="111"/>
      <c r="B383" s="114"/>
      <c r="C383" s="130"/>
      <c r="D383" s="130"/>
      <c r="E383" s="130"/>
      <c r="F383" s="130"/>
      <c r="G383" s="130"/>
      <c r="H383" s="130"/>
      <c r="I383" s="130"/>
      <c r="J383" s="130"/>
      <c r="K383" s="130"/>
      <c r="L383" s="130"/>
      <c r="M383" s="130"/>
      <c r="N383" s="130"/>
      <c r="O383" s="130"/>
      <c r="P383" s="130"/>
      <c r="Q383" s="130"/>
      <c r="R383" s="130"/>
      <c r="S383" s="130"/>
      <c r="T383" s="110"/>
      <c r="U383" s="110"/>
      <c r="V383" s="110"/>
      <c r="W383" s="110"/>
      <c r="X383" s="110"/>
      <c r="Y383" s="110"/>
      <c r="Z383" s="110"/>
      <c r="AA383" s="110"/>
      <c r="AB383" s="110"/>
      <c r="AC383" s="110"/>
      <c r="AD383" s="110"/>
      <c r="AE383" s="110"/>
      <c r="AF383" s="110"/>
      <c r="AG383" s="110"/>
      <c r="AH383" s="110"/>
      <c r="AI383" s="110"/>
      <c r="AJ383" s="110"/>
      <c r="AK383" s="110"/>
      <c r="AL383" s="110"/>
      <c r="AM383" s="110"/>
      <c r="AN383" s="110"/>
      <c r="AO383" s="110"/>
      <c r="AP383" s="115"/>
      <c r="AQ383" s="113"/>
      <c r="AR383" s="113"/>
      <c r="AS383" s="113"/>
      <c r="AT383" s="113"/>
      <c r="AU383" s="113"/>
      <c r="AV383" s="113"/>
      <c r="AW383" s="113"/>
      <c r="AX383" s="113"/>
      <c r="AY383" s="110"/>
    </row>
    <row r="384" spans="1:51" s="83" customFormat="1" ht="14.1" customHeight="1">
      <c r="A384" s="111"/>
      <c r="B384" s="114"/>
      <c r="C384" s="130"/>
      <c r="D384" s="130"/>
      <c r="E384" s="130"/>
      <c r="F384" s="130"/>
      <c r="G384" s="130"/>
      <c r="H384" s="130"/>
      <c r="I384" s="130"/>
      <c r="J384" s="130"/>
      <c r="K384" s="130"/>
      <c r="L384" s="130"/>
      <c r="M384" s="130"/>
      <c r="N384" s="130"/>
      <c r="O384" s="130"/>
      <c r="P384" s="130"/>
      <c r="Q384" s="130"/>
      <c r="R384" s="130"/>
      <c r="S384" s="130"/>
      <c r="T384" s="110"/>
      <c r="U384" s="110"/>
      <c r="V384" s="110"/>
      <c r="W384" s="110"/>
      <c r="X384" s="110"/>
      <c r="Y384" s="110"/>
      <c r="Z384" s="110"/>
      <c r="AA384" s="110"/>
      <c r="AB384" s="110"/>
      <c r="AC384" s="110"/>
      <c r="AD384" s="110"/>
      <c r="AE384" s="110"/>
      <c r="AF384" s="110"/>
      <c r="AG384" s="110"/>
      <c r="AH384" s="110"/>
      <c r="AI384" s="110"/>
      <c r="AJ384" s="110"/>
      <c r="AK384" s="110"/>
      <c r="AL384" s="110"/>
      <c r="AM384" s="110"/>
      <c r="AN384" s="110"/>
      <c r="AO384" s="110"/>
      <c r="AP384" s="115"/>
      <c r="AQ384" s="113"/>
      <c r="AR384" s="113"/>
      <c r="AS384" s="113"/>
      <c r="AT384" s="113"/>
      <c r="AU384" s="113"/>
      <c r="AV384" s="113"/>
      <c r="AW384" s="113"/>
      <c r="AX384" s="113"/>
      <c r="AY384" s="110"/>
    </row>
    <row r="385" spans="1:51" s="83" customFormat="1" ht="14.1" customHeight="1">
      <c r="A385" s="111"/>
      <c r="B385" s="114"/>
      <c r="C385" s="130"/>
      <c r="D385" s="130"/>
      <c r="E385" s="130"/>
      <c r="F385" s="130"/>
      <c r="G385" s="130"/>
      <c r="H385" s="130"/>
      <c r="I385" s="130"/>
      <c r="J385" s="130"/>
      <c r="K385" s="130"/>
      <c r="L385" s="130"/>
      <c r="M385" s="130"/>
      <c r="N385" s="130"/>
      <c r="O385" s="130"/>
      <c r="P385" s="130"/>
      <c r="Q385" s="130"/>
      <c r="R385" s="130"/>
      <c r="S385" s="130"/>
      <c r="T385" s="110"/>
      <c r="U385" s="110"/>
      <c r="V385" s="110"/>
      <c r="W385" s="110"/>
      <c r="X385" s="110"/>
      <c r="Y385" s="110"/>
      <c r="Z385" s="110"/>
      <c r="AA385" s="110"/>
      <c r="AB385" s="110"/>
      <c r="AC385" s="110"/>
      <c r="AD385" s="110"/>
      <c r="AE385" s="110"/>
      <c r="AF385" s="110"/>
      <c r="AG385" s="110"/>
      <c r="AH385" s="110"/>
      <c r="AI385" s="110"/>
      <c r="AJ385" s="110"/>
      <c r="AK385" s="110"/>
      <c r="AL385" s="110"/>
      <c r="AM385" s="110"/>
      <c r="AN385" s="110"/>
      <c r="AO385" s="110"/>
      <c r="AP385" s="115"/>
      <c r="AQ385" s="113"/>
      <c r="AR385" s="113"/>
      <c r="AS385" s="113"/>
      <c r="AT385" s="113"/>
      <c r="AU385" s="113"/>
      <c r="AV385" s="113"/>
      <c r="AW385" s="113"/>
      <c r="AX385" s="113"/>
      <c r="AY385" s="110"/>
    </row>
    <row r="386" spans="1:51" s="83" customFormat="1" ht="14.1" customHeight="1">
      <c r="A386" s="111"/>
      <c r="B386" s="114"/>
      <c r="C386" s="130"/>
      <c r="D386" s="130"/>
      <c r="E386" s="130"/>
      <c r="F386" s="130"/>
      <c r="G386" s="130"/>
      <c r="H386" s="130"/>
      <c r="I386" s="130"/>
      <c r="J386" s="130"/>
      <c r="K386" s="130"/>
      <c r="L386" s="130"/>
      <c r="M386" s="130"/>
      <c r="N386" s="130"/>
      <c r="O386" s="130"/>
      <c r="P386" s="130"/>
      <c r="Q386" s="130"/>
      <c r="R386" s="130"/>
      <c r="S386" s="130"/>
      <c r="T386" s="110"/>
      <c r="U386" s="110"/>
      <c r="V386" s="110"/>
      <c r="W386" s="110"/>
      <c r="X386" s="110"/>
      <c r="Y386" s="110"/>
      <c r="Z386" s="110"/>
      <c r="AA386" s="110"/>
      <c r="AB386" s="110"/>
      <c r="AC386" s="110"/>
      <c r="AD386" s="110"/>
      <c r="AE386" s="110"/>
      <c r="AF386" s="110"/>
      <c r="AG386" s="110"/>
      <c r="AH386" s="110"/>
      <c r="AI386" s="110"/>
      <c r="AJ386" s="110"/>
      <c r="AK386" s="110"/>
      <c r="AL386" s="110"/>
      <c r="AM386" s="110"/>
      <c r="AN386" s="110"/>
      <c r="AO386" s="110"/>
      <c r="AP386" s="115"/>
      <c r="AQ386" s="113"/>
      <c r="AR386" s="113"/>
      <c r="AS386" s="113"/>
      <c r="AT386" s="113"/>
      <c r="AU386" s="113"/>
      <c r="AV386" s="113"/>
      <c r="AW386" s="113"/>
      <c r="AX386" s="113"/>
      <c r="AY386" s="110"/>
    </row>
    <row r="387" spans="1:51" s="83" customFormat="1" ht="14.1" customHeight="1">
      <c r="A387" s="111"/>
      <c r="B387" s="114"/>
      <c r="C387" s="130"/>
      <c r="D387" s="130"/>
      <c r="E387" s="130"/>
      <c r="F387" s="130"/>
      <c r="G387" s="130"/>
      <c r="H387" s="130"/>
      <c r="I387" s="130"/>
      <c r="J387" s="130"/>
      <c r="K387" s="130"/>
      <c r="L387" s="130"/>
      <c r="M387" s="130"/>
      <c r="N387" s="130"/>
      <c r="O387" s="130"/>
      <c r="P387" s="130"/>
      <c r="Q387" s="130"/>
      <c r="R387" s="130"/>
      <c r="S387" s="130"/>
      <c r="T387" s="110"/>
      <c r="U387" s="110"/>
      <c r="V387" s="110"/>
      <c r="W387" s="110"/>
      <c r="X387" s="110"/>
      <c r="Y387" s="110"/>
      <c r="Z387" s="110"/>
      <c r="AA387" s="110"/>
      <c r="AB387" s="110"/>
      <c r="AC387" s="110"/>
      <c r="AD387" s="110"/>
      <c r="AE387" s="110"/>
      <c r="AF387" s="110"/>
      <c r="AG387" s="110"/>
      <c r="AH387" s="110"/>
      <c r="AI387" s="110"/>
      <c r="AJ387" s="110"/>
      <c r="AK387" s="110"/>
      <c r="AL387" s="110"/>
      <c r="AM387" s="110"/>
      <c r="AN387" s="110"/>
      <c r="AO387" s="110"/>
      <c r="AP387" s="115"/>
      <c r="AQ387" s="113"/>
      <c r="AR387" s="113"/>
      <c r="AS387" s="113"/>
      <c r="AT387" s="113"/>
      <c r="AU387" s="113"/>
      <c r="AV387" s="113"/>
      <c r="AW387" s="113"/>
      <c r="AX387" s="113"/>
      <c r="AY387" s="110"/>
    </row>
    <row r="388" spans="1:51" s="83" customFormat="1" ht="14.1" customHeight="1">
      <c r="A388" s="111"/>
      <c r="B388" s="114"/>
      <c r="C388" s="130"/>
      <c r="D388" s="130"/>
      <c r="E388" s="130"/>
      <c r="F388" s="130"/>
      <c r="G388" s="130"/>
      <c r="H388" s="130"/>
      <c r="I388" s="130"/>
      <c r="J388" s="130"/>
      <c r="K388" s="130"/>
      <c r="L388" s="130"/>
      <c r="M388" s="130"/>
      <c r="N388" s="130"/>
      <c r="O388" s="130"/>
      <c r="P388" s="130"/>
      <c r="Q388" s="130"/>
      <c r="R388" s="130"/>
      <c r="S388" s="130"/>
      <c r="T388" s="110"/>
      <c r="U388" s="110"/>
      <c r="V388" s="110"/>
      <c r="W388" s="110"/>
      <c r="X388" s="110"/>
      <c r="Y388" s="110"/>
      <c r="Z388" s="110"/>
      <c r="AA388" s="110"/>
      <c r="AB388" s="110"/>
      <c r="AC388" s="110"/>
      <c r="AD388" s="110"/>
      <c r="AE388" s="110"/>
      <c r="AF388" s="110"/>
      <c r="AG388" s="110"/>
      <c r="AH388" s="110"/>
      <c r="AI388" s="110"/>
      <c r="AJ388" s="110"/>
      <c r="AK388" s="110"/>
      <c r="AL388" s="110"/>
      <c r="AM388" s="110"/>
      <c r="AN388" s="110"/>
      <c r="AO388" s="110"/>
      <c r="AP388" s="115"/>
      <c r="AQ388" s="113"/>
      <c r="AR388" s="113"/>
      <c r="AS388" s="113"/>
      <c r="AT388" s="113"/>
      <c r="AU388" s="113"/>
      <c r="AV388" s="113"/>
      <c r="AW388" s="113"/>
      <c r="AX388" s="113"/>
      <c r="AY388" s="110"/>
    </row>
    <row r="389" spans="1:51" s="83" customFormat="1" ht="14.1" customHeight="1">
      <c r="A389" s="111"/>
      <c r="B389" s="114"/>
      <c r="C389" s="130"/>
      <c r="D389" s="130"/>
      <c r="E389" s="130"/>
      <c r="F389" s="130"/>
      <c r="G389" s="130"/>
      <c r="H389" s="130"/>
      <c r="I389" s="130"/>
      <c r="J389" s="130"/>
      <c r="K389" s="130"/>
      <c r="L389" s="130"/>
      <c r="M389" s="130"/>
      <c r="N389" s="130"/>
      <c r="O389" s="130"/>
      <c r="P389" s="130"/>
      <c r="Q389" s="130"/>
      <c r="R389" s="130"/>
      <c r="S389" s="130"/>
      <c r="T389" s="110"/>
      <c r="U389" s="110"/>
      <c r="V389" s="110"/>
      <c r="W389" s="110"/>
      <c r="X389" s="110"/>
      <c r="Y389" s="110"/>
      <c r="Z389" s="110"/>
      <c r="AA389" s="110"/>
      <c r="AB389" s="110"/>
      <c r="AC389" s="110"/>
      <c r="AD389" s="110"/>
      <c r="AE389" s="110"/>
      <c r="AF389" s="110"/>
      <c r="AG389" s="110"/>
      <c r="AH389" s="110"/>
      <c r="AI389" s="110"/>
      <c r="AJ389" s="110"/>
      <c r="AK389" s="110"/>
      <c r="AL389" s="110"/>
      <c r="AM389" s="110"/>
      <c r="AN389" s="110"/>
      <c r="AO389" s="110"/>
      <c r="AP389" s="115"/>
      <c r="AQ389" s="113"/>
      <c r="AR389" s="113"/>
      <c r="AS389" s="113"/>
      <c r="AT389" s="113"/>
      <c r="AU389" s="113"/>
      <c r="AV389" s="113"/>
      <c r="AW389" s="113"/>
      <c r="AX389" s="113"/>
      <c r="AY389" s="110"/>
    </row>
    <row r="390" spans="1:51" s="83" customFormat="1" ht="14.1" customHeight="1">
      <c r="A390" s="111"/>
      <c r="B390" s="114"/>
      <c r="C390" s="130"/>
      <c r="D390" s="130"/>
      <c r="E390" s="130"/>
      <c r="F390" s="130"/>
      <c r="G390" s="130"/>
      <c r="H390" s="130"/>
      <c r="I390" s="130"/>
      <c r="J390" s="130"/>
      <c r="K390" s="130"/>
      <c r="L390" s="130"/>
      <c r="M390" s="130"/>
      <c r="N390" s="130"/>
      <c r="O390" s="130"/>
      <c r="P390" s="130"/>
      <c r="Q390" s="130"/>
      <c r="R390" s="130"/>
      <c r="S390" s="130"/>
      <c r="T390" s="110"/>
      <c r="U390" s="110"/>
      <c r="V390" s="110"/>
      <c r="W390" s="110"/>
      <c r="X390" s="110"/>
      <c r="Y390" s="110"/>
      <c r="Z390" s="110"/>
      <c r="AA390" s="110"/>
      <c r="AB390" s="110"/>
      <c r="AC390" s="110"/>
      <c r="AD390" s="110"/>
      <c r="AE390" s="110"/>
      <c r="AF390" s="110"/>
      <c r="AG390" s="110"/>
      <c r="AH390" s="110"/>
      <c r="AI390" s="110"/>
      <c r="AJ390" s="110"/>
      <c r="AK390" s="110"/>
      <c r="AL390" s="110"/>
      <c r="AM390" s="110"/>
      <c r="AN390" s="110"/>
      <c r="AO390" s="110"/>
      <c r="AP390" s="115"/>
      <c r="AQ390" s="113"/>
      <c r="AR390" s="113"/>
      <c r="AS390" s="113"/>
      <c r="AT390" s="113"/>
      <c r="AU390" s="113"/>
      <c r="AV390" s="113"/>
      <c r="AW390" s="113"/>
      <c r="AX390" s="113"/>
      <c r="AY390" s="110"/>
    </row>
    <row r="391" spans="1:51" s="83" customFormat="1" ht="14.1" customHeight="1">
      <c r="A391" s="111"/>
      <c r="B391" s="114"/>
      <c r="C391" s="130"/>
      <c r="D391" s="130"/>
      <c r="E391" s="130"/>
      <c r="F391" s="130"/>
      <c r="G391" s="130"/>
      <c r="H391" s="130"/>
      <c r="I391" s="130"/>
      <c r="J391" s="130"/>
      <c r="K391" s="130"/>
      <c r="L391" s="130"/>
      <c r="M391" s="130"/>
      <c r="N391" s="130"/>
      <c r="O391" s="130"/>
      <c r="P391" s="130"/>
      <c r="Q391" s="130"/>
      <c r="R391" s="130"/>
      <c r="S391" s="130"/>
      <c r="T391" s="110"/>
      <c r="U391" s="110"/>
      <c r="V391" s="110"/>
      <c r="W391" s="110"/>
      <c r="X391" s="110"/>
      <c r="Y391" s="110"/>
      <c r="Z391" s="110"/>
      <c r="AA391" s="110"/>
      <c r="AB391" s="110"/>
      <c r="AC391" s="110"/>
      <c r="AD391" s="110"/>
      <c r="AE391" s="110"/>
      <c r="AF391" s="110"/>
      <c r="AG391" s="110"/>
      <c r="AH391" s="110"/>
      <c r="AI391" s="110"/>
      <c r="AJ391" s="110"/>
      <c r="AK391" s="110"/>
      <c r="AL391" s="110"/>
      <c r="AM391" s="110"/>
      <c r="AN391" s="110"/>
      <c r="AO391" s="110"/>
      <c r="AP391" s="115"/>
      <c r="AQ391" s="113"/>
      <c r="AR391" s="113"/>
      <c r="AS391" s="113"/>
      <c r="AT391" s="113"/>
      <c r="AU391" s="113"/>
      <c r="AV391" s="113"/>
      <c r="AW391" s="113"/>
      <c r="AX391" s="113"/>
      <c r="AY391" s="110"/>
    </row>
    <row r="392" spans="1:51" s="83" customFormat="1" ht="14.1" customHeight="1">
      <c r="A392" s="111"/>
      <c r="B392" s="114"/>
      <c r="C392" s="130"/>
      <c r="D392" s="130"/>
      <c r="E392" s="130"/>
      <c r="F392" s="130"/>
      <c r="G392" s="130"/>
      <c r="H392" s="130"/>
      <c r="I392" s="130"/>
      <c r="J392" s="130"/>
      <c r="K392" s="130"/>
      <c r="L392" s="130"/>
      <c r="M392" s="130"/>
      <c r="N392" s="130"/>
      <c r="O392" s="130"/>
      <c r="P392" s="130"/>
      <c r="Q392" s="130"/>
      <c r="R392" s="130"/>
      <c r="S392" s="130"/>
      <c r="T392" s="110"/>
      <c r="U392" s="110"/>
      <c r="V392" s="110"/>
      <c r="W392" s="110"/>
      <c r="X392" s="110"/>
      <c r="Y392" s="110"/>
      <c r="Z392" s="110"/>
      <c r="AA392" s="110"/>
      <c r="AB392" s="110"/>
      <c r="AC392" s="110"/>
      <c r="AD392" s="110"/>
      <c r="AE392" s="110"/>
      <c r="AF392" s="110"/>
      <c r="AG392" s="110"/>
      <c r="AH392" s="110"/>
      <c r="AI392" s="110"/>
      <c r="AJ392" s="110"/>
      <c r="AK392" s="110"/>
      <c r="AL392" s="110"/>
      <c r="AM392" s="110"/>
      <c r="AN392" s="110"/>
      <c r="AO392" s="110"/>
      <c r="AP392" s="115"/>
      <c r="AQ392" s="113"/>
      <c r="AR392" s="113"/>
      <c r="AS392" s="113"/>
      <c r="AT392" s="113"/>
      <c r="AU392" s="113"/>
      <c r="AV392" s="113"/>
      <c r="AW392" s="113"/>
      <c r="AX392" s="113"/>
      <c r="AY392" s="110"/>
    </row>
    <row r="393" spans="1:51" s="83" customFormat="1" ht="14.1" customHeight="1">
      <c r="A393" s="111"/>
      <c r="B393" s="114"/>
      <c r="C393" s="130"/>
      <c r="D393" s="130"/>
      <c r="E393" s="130"/>
      <c r="F393" s="130"/>
      <c r="G393" s="130"/>
      <c r="H393" s="130"/>
      <c r="I393" s="130"/>
      <c r="J393" s="130"/>
      <c r="K393" s="130"/>
      <c r="L393" s="130"/>
      <c r="M393" s="130"/>
      <c r="N393" s="130"/>
      <c r="O393" s="130"/>
      <c r="P393" s="130"/>
      <c r="Q393" s="130"/>
      <c r="R393" s="130"/>
      <c r="S393" s="130"/>
      <c r="T393" s="110"/>
      <c r="U393" s="110"/>
      <c r="V393" s="110"/>
      <c r="W393" s="110"/>
      <c r="X393" s="110"/>
      <c r="Y393" s="110"/>
      <c r="Z393" s="110"/>
      <c r="AA393" s="110"/>
      <c r="AB393" s="110"/>
      <c r="AC393" s="110"/>
      <c r="AD393" s="110"/>
      <c r="AE393" s="110"/>
      <c r="AF393" s="110"/>
      <c r="AG393" s="110"/>
      <c r="AH393" s="110"/>
      <c r="AI393" s="110"/>
      <c r="AJ393" s="110"/>
      <c r="AK393" s="110"/>
      <c r="AL393" s="110"/>
      <c r="AM393" s="110"/>
      <c r="AN393" s="110"/>
      <c r="AO393" s="110"/>
      <c r="AP393" s="115"/>
      <c r="AQ393" s="113"/>
      <c r="AR393" s="113"/>
      <c r="AS393" s="113"/>
      <c r="AT393" s="113"/>
      <c r="AU393" s="113"/>
      <c r="AV393" s="113"/>
      <c r="AW393" s="113"/>
      <c r="AX393" s="113"/>
      <c r="AY393" s="110"/>
    </row>
    <row r="394" spans="1:51" s="83" customFormat="1" ht="14.1" customHeight="1">
      <c r="A394" s="111"/>
      <c r="B394" s="114"/>
      <c r="C394" s="130"/>
      <c r="D394" s="130"/>
      <c r="E394" s="130"/>
      <c r="F394" s="130"/>
      <c r="G394" s="130"/>
      <c r="H394" s="130"/>
      <c r="I394" s="130"/>
      <c r="J394" s="130"/>
      <c r="K394" s="130"/>
      <c r="L394" s="130"/>
      <c r="M394" s="130"/>
      <c r="N394" s="130"/>
      <c r="O394" s="130"/>
      <c r="P394" s="130"/>
      <c r="Q394" s="130"/>
      <c r="R394" s="130"/>
      <c r="S394" s="130"/>
      <c r="T394" s="110"/>
      <c r="U394" s="110"/>
      <c r="V394" s="110"/>
      <c r="W394" s="110"/>
      <c r="X394" s="110"/>
      <c r="Y394" s="110"/>
      <c r="Z394" s="110"/>
      <c r="AA394" s="110"/>
      <c r="AB394" s="110"/>
      <c r="AC394" s="110"/>
      <c r="AD394" s="110"/>
      <c r="AE394" s="110"/>
      <c r="AF394" s="110"/>
      <c r="AG394" s="110"/>
      <c r="AH394" s="110"/>
      <c r="AI394" s="110"/>
      <c r="AJ394" s="110"/>
      <c r="AK394" s="110"/>
      <c r="AL394" s="110"/>
      <c r="AM394" s="110"/>
      <c r="AN394" s="110"/>
      <c r="AO394" s="110"/>
      <c r="AP394" s="115"/>
      <c r="AQ394" s="113"/>
      <c r="AR394" s="113"/>
      <c r="AS394" s="113"/>
      <c r="AT394" s="113"/>
      <c r="AU394" s="113"/>
      <c r="AV394" s="113"/>
      <c r="AW394" s="113"/>
      <c r="AX394" s="113"/>
      <c r="AY394" s="110"/>
    </row>
    <row r="395" spans="1:51" s="83" customFormat="1" ht="14.1" customHeight="1">
      <c r="A395" s="111"/>
      <c r="B395" s="114"/>
      <c r="C395" s="130"/>
      <c r="D395" s="130"/>
      <c r="E395" s="130"/>
      <c r="F395" s="130"/>
      <c r="G395" s="130"/>
      <c r="H395" s="130"/>
      <c r="I395" s="130"/>
      <c r="J395" s="130"/>
      <c r="K395" s="130"/>
      <c r="L395" s="130"/>
      <c r="M395" s="130"/>
      <c r="N395" s="130"/>
      <c r="O395" s="130"/>
      <c r="P395" s="130"/>
      <c r="Q395" s="130"/>
      <c r="R395" s="130"/>
      <c r="S395" s="130"/>
      <c r="T395" s="110"/>
      <c r="U395" s="110"/>
      <c r="V395" s="110"/>
      <c r="W395" s="110"/>
      <c r="X395" s="110"/>
      <c r="Y395" s="110"/>
      <c r="Z395" s="110"/>
      <c r="AA395" s="110"/>
      <c r="AB395" s="110"/>
      <c r="AC395" s="110"/>
      <c r="AD395" s="110"/>
      <c r="AE395" s="110"/>
      <c r="AF395" s="110"/>
      <c r="AG395" s="110"/>
      <c r="AH395" s="110"/>
      <c r="AI395" s="110"/>
      <c r="AJ395" s="110"/>
      <c r="AK395" s="110"/>
      <c r="AL395" s="110"/>
      <c r="AM395" s="110"/>
      <c r="AN395" s="110"/>
      <c r="AO395" s="110"/>
      <c r="AP395" s="115"/>
      <c r="AQ395" s="113"/>
      <c r="AR395" s="113"/>
      <c r="AS395" s="113"/>
      <c r="AT395" s="113"/>
      <c r="AU395" s="113"/>
      <c r="AV395" s="113"/>
      <c r="AW395" s="113"/>
      <c r="AX395" s="113"/>
      <c r="AY395" s="110"/>
    </row>
    <row r="396" spans="1:51" s="83" customFormat="1" ht="14.1" customHeight="1">
      <c r="A396" s="111"/>
      <c r="B396" s="114"/>
      <c r="C396" s="130"/>
      <c r="D396" s="130"/>
      <c r="E396" s="130"/>
      <c r="F396" s="130"/>
      <c r="G396" s="130"/>
      <c r="H396" s="130"/>
      <c r="I396" s="130"/>
      <c r="J396" s="130"/>
      <c r="K396" s="130"/>
      <c r="L396" s="130"/>
      <c r="M396" s="130"/>
      <c r="N396" s="130"/>
      <c r="O396" s="130"/>
      <c r="P396" s="130"/>
      <c r="Q396" s="130"/>
      <c r="R396" s="130"/>
      <c r="S396" s="130"/>
      <c r="T396" s="110"/>
      <c r="U396" s="110"/>
      <c r="V396" s="110"/>
      <c r="W396" s="110"/>
      <c r="X396" s="110"/>
      <c r="Y396" s="110"/>
      <c r="Z396" s="110"/>
      <c r="AA396" s="110"/>
      <c r="AB396" s="110"/>
      <c r="AC396" s="110"/>
      <c r="AD396" s="110"/>
      <c r="AE396" s="110"/>
      <c r="AF396" s="110"/>
      <c r="AG396" s="110"/>
      <c r="AH396" s="110"/>
      <c r="AI396" s="110"/>
      <c r="AJ396" s="110"/>
      <c r="AK396" s="110"/>
      <c r="AL396" s="110"/>
      <c r="AM396" s="110"/>
      <c r="AN396" s="110"/>
      <c r="AO396" s="110"/>
      <c r="AP396" s="115"/>
      <c r="AQ396" s="113"/>
      <c r="AR396" s="113"/>
      <c r="AS396" s="113"/>
      <c r="AT396" s="113"/>
      <c r="AU396" s="113"/>
      <c r="AV396" s="113"/>
      <c r="AW396" s="113"/>
      <c r="AX396" s="113"/>
      <c r="AY396" s="110"/>
    </row>
    <row r="397" spans="1:51" s="83" customFormat="1">
      <c r="A397" s="111"/>
      <c r="B397" s="110"/>
      <c r="C397" s="130"/>
      <c r="D397" s="130"/>
      <c r="E397" s="130"/>
      <c r="F397" s="130"/>
      <c r="G397" s="130"/>
      <c r="H397" s="130"/>
      <c r="I397" s="130"/>
      <c r="J397" s="130"/>
      <c r="K397" s="130"/>
      <c r="L397" s="130"/>
      <c r="M397" s="130"/>
      <c r="N397" s="130"/>
      <c r="O397" s="130"/>
      <c r="P397" s="130"/>
      <c r="Q397" s="130"/>
      <c r="R397" s="130"/>
      <c r="S397" s="130"/>
      <c r="T397" s="110"/>
      <c r="U397" s="110"/>
      <c r="V397" s="110"/>
      <c r="W397" s="110"/>
      <c r="X397" s="110"/>
      <c r="Y397" s="110"/>
      <c r="Z397" s="110"/>
      <c r="AA397" s="110"/>
      <c r="AB397" s="110"/>
      <c r="AC397" s="110"/>
      <c r="AD397" s="110"/>
      <c r="AE397" s="110"/>
      <c r="AF397" s="110"/>
      <c r="AG397" s="110"/>
      <c r="AH397" s="110"/>
      <c r="AI397" s="110"/>
      <c r="AJ397" s="110"/>
      <c r="AK397" s="110"/>
      <c r="AL397" s="110"/>
      <c r="AM397" s="110"/>
      <c r="AN397" s="110"/>
      <c r="AO397" s="110"/>
      <c r="AP397" s="110"/>
      <c r="AQ397" s="110"/>
      <c r="AR397" s="110"/>
      <c r="AS397" s="110"/>
      <c r="AT397" s="110"/>
      <c r="AU397" s="113"/>
      <c r="AV397" s="113"/>
      <c r="AW397" s="113"/>
      <c r="AX397" s="113"/>
      <c r="AY397" s="110"/>
    </row>
    <row r="398" spans="1:51" s="83" customFormat="1">
      <c r="A398" s="111"/>
      <c r="B398" s="110"/>
      <c r="C398" s="130"/>
      <c r="D398" s="130"/>
      <c r="E398" s="130"/>
      <c r="F398" s="130"/>
      <c r="G398" s="130"/>
      <c r="H398" s="130"/>
      <c r="I398" s="130"/>
      <c r="J398" s="130"/>
      <c r="K398" s="130"/>
      <c r="L398" s="130"/>
      <c r="M398" s="130"/>
      <c r="N398" s="130"/>
      <c r="O398" s="130"/>
      <c r="P398" s="130"/>
      <c r="Q398" s="130"/>
      <c r="R398" s="130"/>
      <c r="S398" s="130"/>
      <c r="T398" s="110"/>
      <c r="U398" s="110"/>
      <c r="V398" s="110"/>
      <c r="W398" s="110"/>
      <c r="X398" s="110"/>
      <c r="Y398" s="110"/>
      <c r="Z398" s="110"/>
      <c r="AA398" s="110"/>
      <c r="AB398" s="110"/>
      <c r="AC398" s="110"/>
      <c r="AD398" s="110"/>
      <c r="AE398" s="110"/>
      <c r="AF398" s="110"/>
      <c r="AG398" s="110"/>
      <c r="AH398" s="110"/>
      <c r="AI398" s="110"/>
      <c r="AJ398" s="110"/>
      <c r="AK398" s="110"/>
      <c r="AL398" s="110"/>
      <c r="AM398" s="110"/>
      <c r="AN398" s="110"/>
      <c r="AO398" s="110"/>
      <c r="AP398" s="110"/>
      <c r="AQ398" s="110"/>
      <c r="AR398" s="110"/>
      <c r="AS398" s="110"/>
      <c r="AT398" s="110"/>
      <c r="AU398" s="113"/>
      <c r="AV398" s="113"/>
      <c r="AW398" s="113"/>
      <c r="AX398" s="113"/>
      <c r="AY398" s="110"/>
    </row>
    <row r="399" spans="1:51" s="83" customFormat="1">
      <c r="A399" s="111"/>
      <c r="B399" s="110"/>
      <c r="C399" s="130"/>
      <c r="D399" s="130"/>
      <c r="E399" s="130"/>
      <c r="F399" s="130"/>
      <c r="G399" s="130"/>
      <c r="H399" s="130"/>
      <c r="I399" s="130"/>
      <c r="J399" s="130"/>
      <c r="K399" s="130"/>
      <c r="L399" s="130"/>
      <c r="M399" s="130"/>
      <c r="N399" s="130"/>
      <c r="O399" s="130"/>
      <c r="P399" s="130"/>
      <c r="Q399" s="130"/>
      <c r="R399" s="130"/>
      <c r="S399" s="130"/>
      <c r="T399" s="110"/>
      <c r="U399" s="110"/>
      <c r="V399" s="110"/>
      <c r="W399" s="110"/>
      <c r="X399" s="110"/>
      <c r="Y399" s="110"/>
      <c r="Z399" s="110"/>
      <c r="AA399" s="110"/>
      <c r="AB399" s="110"/>
      <c r="AC399" s="110"/>
      <c r="AD399" s="110"/>
      <c r="AE399" s="110"/>
      <c r="AF399" s="110"/>
      <c r="AG399" s="110"/>
      <c r="AH399" s="110"/>
      <c r="AI399" s="110"/>
      <c r="AJ399" s="110"/>
      <c r="AK399" s="110"/>
      <c r="AL399" s="110"/>
      <c r="AM399" s="110"/>
      <c r="AN399" s="110"/>
      <c r="AO399" s="110"/>
      <c r="AP399" s="112"/>
      <c r="AQ399" s="110"/>
      <c r="AR399" s="110"/>
      <c r="AS399" s="110"/>
      <c r="AT399" s="110"/>
      <c r="AU399" s="113"/>
      <c r="AV399" s="113"/>
      <c r="AW399" s="113"/>
      <c r="AX399" s="113"/>
      <c r="AY399" s="110"/>
    </row>
    <row r="400" spans="1:51" s="83" customFormat="1">
      <c r="A400" s="111"/>
      <c r="B400" s="110"/>
      <c r="C400" s="129"/>
      <c r="D400" s="129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14"/>
      <c r="U400" s="114"/>
      <c r="V400" s="114"/>
      <c r="W400" s="114"/>
      <c r="X400" s="114"/>
      <c r="Y400" s="114"/>
      <c r="Z400" s="114"/>
      <c r="AA400" s="114"/>
      <c r="AB400" s="114"/>
      <c r="AC400" s="114"/>
      <c r="AD400" s="114"/>
      <c r="AE400" s="114"/>
      <c r="AF400" s="114"/>
      <c r="AG400" s="114"/>
      <c r="AH400" s="114"/>
      <c r="AI400" s="110"/>
      <c r="AJ400" s="110"/>
      <c r="AK400" s="110"/>
      <c r="AL400" s="110"/>
      <c r="AM400" s="110"/>
      <c r="AN400" s="110"/>
      <c r="AO400" s="110"/>
      <c r="AP400" s="110"/>
      <c r="AQ400" s="113"/>
      <c r="AR400" s="113"/>
      <c r="AS400" s="113"/>
      <c r="AT400" s="113"/>
      <c r="AU400" s="110"/>
      <c r="AV400" s="110"/>
      <c r="AW400" s="110"/>
      <c r="AX400" s="110"/>
      <c r="AY400" s="110"/>
    </row>
    <row r="401" spans="1:51" s="83" customFormat="1" ht="14.1" customHeight="1">
      <c r="A401" s="111"/>
      <c r="B401" s="114"/>
      <c r="C401" s="130"/>
      <c r="D401" s="130"/>
      <c r="E401" s="130"/>
      <c r="F401" s="130"/>
      <c r="G401" s="130"/>
      <c r="H401" s="130"/>
      <c r="I401" s="130"/>
      <c r="J401" s="130"/>
      <c r="K401" s="130"/>
      <c r="L401" s="130"/>
      <c r="M401" s="130"/>
      <c r="N401" s="130"/>
      <c r="O401" s="130"/>
      <c r="P401" s="130"/>
      <c r="Q401" s="130"/>
      <c r="R401" s="130"/>
      <c r="S401" s="130"/>
      <c r="T401" s="110"/>
      <c r="U401" s="110"/>
      <c r="V401" s="110"/>
      <c r="W401" s="110"/>
      <c r="X401" s="110"/>
      <c r="Y401" s="110"/>
      <c r="Z401" s="110"/>
      <c r="AA401" s="110"/>
      <c r="AB401" s="110"/>
      <c r="AC401" s="110"/>
      <c r="AD401" s="110"/>
      <c r="AE401" s="110"/>
      <c r="AF401" s="110"/>
      <c r="AG401" s="110"/>
      <c r="AH401" s="110"/>
      <c r="AI401" s="110"/>
      <c r="AJ401" s="110"/>
      <c r="AK401" s="110"/>
      <c r="AL401" s="110"/>
      <c r="AM401" s="110"/>
      <c r="AN401" s="110"/>
      <c r="AO401" s="110"/>
      <c r="AP401" s="115"/>
      <c r="AQ401" s="113"/>
      <c r="AR401" s="113"/>
      <c r="AS401" s="113"/>
      <c r="AT401" s="113"/>
      <c r="AU401" s="113"/>
      <c r="AV401" s="113"/>
      <c r="AW401" s="113"/>
      <c r="AX401" s="113"/>
      <c r="AY401" s="110"/>
    </row>
    <row r="402" spans="1:51" s="83" customFormat="1" ht="14.1" customHeight="1">
      <c r="A402" s="111"/>
      <c r="B402" s="114"/>
      <c r="C402" s="130"/>
      <c r="D402" s="130"/>
      <c r="E402" s="130"/>
      <c r="F402" s="130"/>
      <c r="G402" s="130"/>
      <c r="H402" s="130"/>
      <c r="I402" s="130"/>
      <c r="J402" s="130"/>
      <c r="K402" s="130"/>
      <c r="L402" s="130"/>
      <c r="M402" s="130"/>
      <c r="N402" s="130"/>
      <c r="O402" s="130"/>
      <c r="P402" s="130"/>
      <c r="Q402" s="130"/>
      <c r="R402" s="130"/>
      <c r="S402" s="130"/>
      <c r="T402" s="110"/>
      <c r="U402" s="110"/>
      <c r="V402" s="110"/>
      <c r="W402" s="110"/>
      <c r="X402" s="110"/>
      <c r="Y402" s="110"/>
      <c r="Z402" s="110"/>
      <c r="AA402" s="110"/>
      <c r="AB402" s="110"/>
      <c r="AC402" s="110"/>
      <c r="AD402" s="110"/>
      <c r="AE402" s="110"/>
      <c r="AF402" s="110"/>
      <c r="AG402" s="110"/>
      <c r="AH402" s="110"/>
      <c r="AI402" s="110"/>
      <c r="AJ402" s="110"/>
      <c r="AK402" s="110"/>
      <c r="AL402" s="110"/>
      <c r="AM402" s="110"/>
      <c r="AN402" s="110"/>
      <c r="AO402" s="110"/>
      <c r="AP402" s="115"/>
      <c r="AQ402" s="113"/>
      <c r="AR402" s="113"/>
      <c r="AS402" s="113"/>
      <c r="AT402" s="113"/>
      <c r="AU402" s="113"/>
      <c r="AV402" s="113"/>
      <c r="AW402" s="113"/>
      <c r="AX402" s="113"/>
      <c r="AY402" s="110"/>
    </row>
    <row r="403" spans="1:51" s="83" customFormat="1" ht="14.1" customHeight="1">
      <c r="A403" s="111"/>
      <c r="B403" s="114"/>
      <c r="C403" s="130"/>
      <c r="D403" s="130"/>
      <c r="E403" s="130"/>
      <c r="F403" s="130"/>
      <c r="G403" s="130"/>
      <c r="H403" s="130"/>
      <c r="I403" s="130"/>
      <c r="J403" s="130"/>
      <c r="K403" s="130"/>
      <c r="L403" s="130"/>
      <c r="M403" s="130"/>
      <c r="N403" s="130"/>
      <c r="O403" s="130"/>
      <c r="P403" s="130"/>
      <c r="Q403" s="130"/>
      <c r="R403" s="130"/>
      <c r="S403" s="130"/>
      <c r="T403" s="110"/>
      <c r="U403" s="110"/>
      <c r="V403" s="110"/>
      <c r="W403" s="110"/>
      <c r="X403" s="110"/>
      <c r="Y403" s="110"/>
      <c r="Z403" s="110"/>
      <c r="AA403" s="110"/>
      <c r="AB403" s="110"/>
      <c r="AC403" s="110"/>
      <c r="AD403" s="110"/>
      <c r="AE403" s="110"/>
      <c r="AF403" s="110"/>
      <c r="AG403" s="110"/>
      <c r="AH403" s="110"/>
      <c r="AI403" s="110"/>
      <c r="AJ403" s="110"/>
      <c r="AK403" s="110"/>
      <c r="AL403" s="110"/>
      <c r="AM403" s="110"/>
      <c r="AN403" s="110"/>
      <c r="AO403" s="110"/>
      <c r="AP403" s="115"/>
      <c r="AQ403" s="113"/>
      <c r="AR403" s="113"/>
      <c r="AS403" s="113"/>
      <c r="AT403" s="113"/>
      <c r="AU403" s="113"/>
      <c r="AV403" s="113"/>
      <c r="AW403" s="113"/>
      <c r="AX403" s="113"/>
      <c r="AY403" s="110"/>
    </row>
    <row r="404" spans="1:51" s="83" customFormat="1" ht="14.1" customHeight="1">
      <c r="A404" s="111"/>
      <c r="B404" s="114"/>
      <c r="C404" s="130"/>
      <c r="D404" s="130"/>
      <c r="E404" s="130"/>
      <c r="F404" s="130"/>
      <c r="G404" s="130"/>
      <c r="H404" s="130"/>
      <c r="I404" s="130"/>
      <c r="J404" s="130"/>
      <c r="K404" s="130"/>
      <c r="L404" s="130"/>
      <c r="M404" s="130"/>
      <c r="N404" s="130"/>
      <c r="O404" s="130"/>
      <c r="P404" s="130"/>
      <c r="Q404" s="130"/>
      <c r="R404" s="130"/>
      <c r="S404" s="130"/>
      <c r="T404" s="110"/>
      <c r="U404" s="110"/>
      <c r="V404" s="110"/>
      <c r="W404" s="110"/>
      <c r="X404" s="110"/>
      <c r="Y404" s="110"/>
      <c r="Z404" s="110"/>
      <c r="AA404" s="110"/>
      <c r="AB404" s="110"/>
      <c r="AC404" s="110"/>
      <c r="AD404" s="110"/>
      <c r="AE404" s="110"/>
      <c r="AF404" s="110"/>
      <c r="AG404" s="110"/>
      <c r="AH404" s="110"/>
      <c r="AI404" s="110"/>
      <c r="AJ404" s="110"/>
      <c r="AK404" s="110"/>
      <c r="AL404" s="110"/>
      <c r="AM404" s="110"/>
      <c r="AN404" s="110"/>
      <c r="AO404" s="110"/>
      <c r="AP404" s="115"/>
      <c r="AQ404" s="113"/>
      <c r="AR404" s="113"/>
      <c r="AS404" s="113"/>
      <c r="AT404" s="113"/>
      <c r="AU404" s="113"/>
      <c r="AV404" s="113"/>
      <c r="AW404" s="113"/>
      <c r="AX404" s="113"/>
      <c r="AY404" s="110"/>
    </row>
    <row r="405" spans="1:51" s="83" customFormat="1" ht="14.1" customHeight="1">
      <c r="A405" s="111"/>
      <c r="B405" s="114"/>
      <c r="C405" s="130"/>
      <c r="D405" s="130"/>
      <c r="E405" s="130"/>
      <c r="F405" s="130"/>
      <c r="G405" s="130"/>
      <c r="H405" s="130"/>
      <c r="I405" s="130"/>
      <c r="J405" s="130"/>
      <c r="K405" s="130"/>
      <c r="L405" s="130"/>
      <c r="M405" s="130"/>
      <c r="N405" s="130"/>
      <c r="O405" s="130"/>
      <c r="P405" s="130"/>
      <c r="Q405" s="130"/>
      <c r="R405" s="130"/>
      <c r="S405" s="130"/>
      <c r="T405" s="110"/>
      <c r="U405" s="110"/>
      <c r="V405" s="110"/>
      <c r="W405" s="110"/>
      <c r="X405" s="110"/>
      <c r="Y405" s="110"/>
      <c r="Z405" s="110"/>
      <c r="AA405" s="110"/>
      <c r="AB405" s="110"/>
      <c r="AC405" s="110"/>
      <c r="AD405" s="110"/>
      <c r="AE405" s="110"/>
      <c r="AF405" s="110"/>
      <c r="AG405" s="110"/>
      <c r="AH405" s="110"/>
      <c r="AI405" s="110"/>
      <c r="AJ405" s="110"/>
      <c r="AK405" s="110"/>
      <c r="AL405" s="110"/>
      <c r="AM405" s="110"/>
      <c r="AN405" s="110"/>
      <c r="AO405" s="110"/>
      <c r="AP405" s="115"/>
      <c r="AQ405" s="113"/>
      <c r="AR405" s="113"/>
      <c r="AS405" s="113"/>
      <c r="AT405" s="113"/>
      <c r="AU405" s="113"/>
      <c r="AV405" s="113"/>
      <c r="AW405" s="113"/>
      <c r="AX405" s="113"/>
      <c r="AY405" s="110"/>
    </row>
    <row r="406" spans="1:51" s="83" customFormat="1" ht="14.1" customHeight="1">
      <c r="A406" s="111"/>
      <c r="B406" s="114"/>
      <c r="C406" s="130"/>
      <c r="D406" s="130"/>
      <c r="E406" s="130"/>
      <c r="F406" s="130"/>
      <c r="G406" s="130"/>
      <c r="H406" s="130"/>
      <c r="I406" s="130"/>
      <c r="J406" s="130"/>
      <c r="K406" s="130"/>
      <c r="L406" s="130"/>
      <c r="M406" s="130"/>
      <c r="N406" s="130"/>
      <c r="O406" s="130"/>
      <c r="P406" s="130"/>
      <c r="Q406" s="130"/>
      <c r="R406" s="130"/>
      <c r="S406" s="130"/>
      <c r="T406" s="110"/>
      <c r="U406" s="110"/>
      <c r="V406" s="110"/>
      <c r="W406" s="110"/>
      <c r="X406" s="110"/>
      <c r="Y406" s="110"/>
      <c r="Z406" s="110"/>
      <c r="AA406" s="110"/>
      <c r="AB406" s="110"/>
      <c r="AC406" s="110"/>
      <c r="AD406" s="110"/>
      <c r="AE406" s="110"/>
      <c r="AF406" s="110"/>
      <c r="AG406" s="110"/>
      <c r="AH406" s="110"/>
      <c r="AI406" s="110"/>
      <c r="AJ406" s="110"/>
      <c r="AK406" s="110"/>
      <c r="AL406" s="110"/>
      <c r="AM406" s="110"/>
      <c r="AN406" s="110"/>
      <c r="AO406" s="110"/>
      <c r="AP406" s="115"/>
      <c r="AQ406" s="113"/>
      <c r="AR406" s="113"/>
      <c r="AS406" s="113"/>
      <c r="AT406" s="113"/>
      <c r="AU406" s="113"/>
      <c r="AV406" s="113"/>
      <c r="AW406" s="113"/>
      <c r="AX406" s="113"/>
      <c r="AY406" s="110"/>
    </row>
    <row r="407" spans="1:51" s="83" customFormat="1" ht="14.1" customHeight="1">
      <c r="A407" s="111"/>
      <c r="B407" s="114"/>
      <c r="C407" s="130"/>
      <c r="D407" s="130"/>
      <c r="E407" s="130"/>
      <c r="F407" s="130"/>
      <c r="G407" s="130"/>
      <c r="H407" s="130"/>
      <c r="I407" s="130"/>
      <c r="J407" s="130"/>
      <c r="K407" s="130"/>
      <c r="L407" s="130"/>
      <c r="M407" s="130"/>
      <c r="N407" s="130"/>
      <c r="O407" s="130"/>
      <c r="P407" s="130"/>
      <c r="Q407" s="130"/>
      <c r="R407" s="130"/>
      <c r="S407" s="130"/>
      <c r="T407" s="110"/>
      <c r="U407" s="110"/>
      <c r="V407" s="110"/>
      <c r="W407" s="110"/>
      <c r="X407" s="110"/>
      <c r="Y407" s="110"/>
      <c r="Z407" s="110"/>
      <c r="AA407" s="110"/>
      <c r="AB407" s="110"/>
      <c r="AC407" s="110"/>
      <c r="AD407" s="110"/>
      <c r="AE407" s="110"/>
      <c r="AF407" s="110"/>
      <c r="AG407" s="110"/>
      <c r="AH407" s="110"/>
      <c r="AI407" s="110"/>
      <c r="AJ407" s="110"/>
      <c r="AK407" s="110"/>
      <c r="AL407" s="110"/>
      <c r="AM407" s="110"/>
      <c r="AN407" s="110"/>
      <c r="AO407" s="110"/>
      <c r="AP407" s="115"/>
      <c r="AQ407" s="113"/>
      <c r="AR407" s="113"/>
      <c r="AS407" s="113"/>
      <c r="AT407" s="113"/>
      <c r="AU407" s="113"/>
      <c r="AV407" s="113"/>
      <c r="AW407" s="113"/>
      <c r="AX407" s="113"/>
      <c r="AY407" s="110"/>
    </row>
    <row r="408" spans="1:51" s="83" customFormat="1" ht="14.1" customHeight="1">
      <c r="A408" s="111"/>
      <c r="B408" s="114"/>
      <c r="C408" s="130"/>
      <c r="D408" s="130"/>
      <c r="E408" s="130"/>
      <c r="F408" s="130"/>
      <c r="G408" s="130"/>
      <c r="H408" s="130"/>
      <c r="I408" s="130"/>
      <c r="J408" s="130"/>
      <c r="K408" s="130"/>
      <c r="L408" s="130"/>
      <c r="M408" s="130"/>
      <c r="N408" s="130"/>
      <c r="O408" s="130"/>
      <c r="P408" s="130"/>
      <c r="Q408" s="130"/>
      <c r="R408" s="130"/>
      <c r="S408" s="130"/>
      <c r="T408" s="110"/>
      <c r="U408" s="110"/>
      <c r="V408" s="110"/>
      <c r="W408" s="110"/>
      <c r="X408" s="110"/>
      <c r="Y408" s="110"/>
      <c r="Z408" s="110"/>
      <c r="AA408" s="110"/>
      <c r="AB408" s="110"/>
      <c r="AC408" s="110"/>
      <c r="AD408" s="110"/>
      <c r="AE408" s="110"/>
      <c r="AF408" s="110"/>
      <c r="AG408" s="110"/>
      <c r="AH408" s="110"/>
      <c r="AI408" s="110"/>
      <c r="AJ408" s="110"/>
      <c r="AK408" s="110"/>
      <c r="AL408" s="110"/>
      <c r="AM408" s="110"/>
      <c r="AN408" s="110"/>
      <c r="AO408" s="110"/>
      <c r="AP408" s="115"/>
      <c r="AQ408" s="113"/>
      <c r="AR408" s="113"/>
      <c r="AS408" s="113"/>
      <c r="AT408" s="113"/>
      <c r="AU408" s="113"/>
      <c r="AV408" s="113"/>
      <c r="AW408" s="113"/>
      <c r="AX408" s="113"/>
      <c r="AY408" s="110"/>
    </row>
    <row r="409" spans="1:51" s="83" customFormat="1" ht="14.1" customHeight="1">
      <c r="A409" s="111"/>
      <c r="B409" s="114"/>
      <c r="C409" s="130"/>
      <c r="D409" s="130"/>
      <c r="E409" s="130"/>
      <c r="F409" s="130"/>
      <c r="G409" s="130"/>
      <c r="H409" s="130"/>
      <c r="I409" s="130"/>
      <c r="J409" s="130"/>
      <c r="K409" s="130"/>
      <c r="L409" s="130"/>
      <c r="M409" s="130"/>
      <c r="N409" s="130"/>
      <c r="O409" s="130"/>
      <c r="P409" s="130"/>
      <c r="Q409" s="130"/>
      <c r="R409" s="130"/>
      <c r="S409" s="130"/>
      <c r="T409" s="110"/>
      <c r="U409" s="110"/>
      <c r="V409" s="110"/>
      <c r="W409" s="110"/>
      <c r="X409" s="110"/>
      <c r="Y409" s="110"/>
      <c r="Z409" s="110"/>
      <c r="AA409" s="110"/>
      <c r="AB409" s="110"/>
      <c r="AC409" s="110"/>
      <c r="AD409" s="110"/>
      <c r="AE409" s="110"/>
      <c r="AF409" s="110"/>
      <c r="AG409" s="110"/>
      <c r="AH409" s="110"/>
      <c r="AI409" s="110"/>
      <c r="AJ409" s="110"/>
      <c r="AK409" s="110"/>
      <c r="AL409" s="110"/>
      <c r="AM409" s="110"/>
      <c r="AN409" s="110"/>
      <c r="AO409" s="110"/>
      <c r="AP409" s="115"/>
      <c r="AQ409" s="113"/>
      <c r="AR409" s="113"/>
      <c r="AS409" s="113"/>
      <c r="AT409" s="113"/>
      <c r="AU409" s="113"/>
      <c r="AV409" s="113"/>
      <c r="AW409" s="113"/>
      <c r="AX409" s="113"/>
      <c r="AY409" s="110"/>
    </row>
    <row r="410" spans="1:51" s="83" customFormat="1" ht="14.1" customHeight="1">
      <c r="A410" s="111"/>
      <c r="B410" s="114"/>
      <c r="C410" s="130"/>
      <c r="D410" s="130"/>
      <c r="E410" s="130"/>
      <c r="F410" s="130"/>
      <c r="G410" s="130"/>
      <c r="H410" s="130"/>
      <c r="I410" s="130"/>
      <c r="J410" s="130"/>
      <c r="K410" s="130"/>
      <c r="L410" s="130"/>
      <c r="M410" s="130"/>
      <c r="N410" s="130"/>
      <c r="O410" s="130"/>
      <c r="P410" s="130"/>
      <c r="Q410" s="130"/>
      <c r="R410" s="130"/>
      <c r="S410" s="130"/>
      <c r="T410" s="110"/>
      <c r="U410" s="110"/>
      <c r="V410" s="110"/>
      <c r="W410" s="110"/>
      <c r="X410" s="110"/>
      <c r="Y410" s="110"/>
      <c r="Z410" s="110"/>
      <c r="AA410" s="110"/>
      <c r="AB410" s="110"/>
      <c r="AC410" s="110"/>
      <c r="AD410" s="110"/>
      <c r="AE410" s="110"/>
      <c r="AF410" s="110"/>
      <c r="AG410" s="110"/>
      <c r="AH410" s="110"/>
      <c r="AI410" s="110"/>
      <c r="AJ410" s="110"/>
      <c r="AK410" s="110"/>
      <c r="AL410" s="110"/>
      <c r="AM410" s="110"/>
      <c r="AN410" s="110"/>
      <c r="AO410" s="110"/>
      <c r="AP410" s="115"/>
      <c r="AQ410" s="113"/>
      <c r="AR410" s="113"/>
      <c r="AS410" s="113"/>
      <c r="AT410" s="113"/>
      <c r="AU410" s="113"/>
      <c r="AV410" s="113"/>
      <c r="AW410" s="113"/>
      <c r="AX410" s="113"/>
      <c r="AY410" s="110"/>
    </row>
    <row r="411" spans="1:51" s="83" customFormat="1" ht="14.1" customHeight="1">
      <c r="A411" s="111"/>
      <c r="B411" s="114"/>
      <c r="C411" s="130"/>
      <c r="D411" s="130"/>
      <c r="E411" s="130"/>
      <c r="F411" s="130"/>
      <c r="G411" s="130"/>
      <c r="H411" s="130"/>
      <c r="I411" s="130"/>
      <c r="J411" s="130"/>
      <c r="K411" s="130"/>
      <c r="L411" s="130"/>
      <c r="M411" s="130"/>
      <c r="N411" s="130"/>
      <c r="O411" s="130"/>
      <c r="P411" s="130"/>
      <c r="Q411" s="130"/>
      <c r="R411" s="130"/>
      <c r="S411" s="130"/>
      <c r="T411" s="110"/>
      <c r="U411" s="110"/>
      <c r="V411" s="110"/>
      <c r="W411" s="110"/>
      <c r="X411" s="110"/>
      <c r="Y411" s="110"/>
      <c r="Z411" s="110"/>
      <c r="AA411" s="110"/>
      <c r="AB411" s="110"/>
      <c r="AC411" s="110"/>
      <c r="AD411" s="110"/>
      <c r="AE411" s="110"/>
      <c r="AF411" s="110"/>
      <c r="AG411" s="110"/>
      <c r="AH411" s="110"/>
      <c r="AI411" s="110"/>
      <c r="AJ411" s="110"/>
      <c r="AK411" s="110"/>
      <c r="AL411" s="110"/>
      <c r="AM411" s="110"/>
      <c r="AN411" s="110"/>
      <c r="AO411" s="110"/>
      <c r="AP411" s="115"/>
      <c r="AQ411" s="113"/>
      <c r="AR411" s="113"/>
      <c r="AS411" s="113"/>
      <c r="AT411" s="113"/>
      <c r="AU411" s="113"/>
      <c r="AV411" s="113"/>
      <c r="AW411" s="113"/>
      <c r="AX411" s="113"/>
      <c r="AY411" s="110"/>
    </row>
    <row r="412" spans="1:51" s="83" customFormat="1" ht="14.1" customHeight="1">
      <c r="A412" s="111"/>
      <c r="B412" s="114"/>
      <c r="C412" s="130"/>
      <c r="D412" s="130"/>
      <c r="E412" s="130"/>
      <c r="F412" s="130"/>
      <c r="G412" s="130"/>
      <c r="H412" s="130"/>
      <c r="I412" s="130"/>
      <c r="J412" s="130"/>
      <c r="K412" s="130"/>
      <c r="L412" s="130"/>
      <c r="M412" s="130"/>
      <c r="N412" s="130"/>
      <c r="O412" s="130"/>
      <c r="P412" s="130"/>
      <c r="Q412" s="130"/>
      <c r="R412" s="130"/>
      <c r="S412" s="130"/>
      <c r="T412" s="110"/>
      <c r="U412" s="110"/>
      <c r="V412" s="110"/>
      <c r="W412" s="110"/>
      <c r="X412" s="110"/>
      <c r="Y412" s="110"/>
      <c r="Z412" s="110"/>
      <c r="AA412" s="110"/>
      <c r="AB412" s="110"/>
      <c r="AC412" s="110"/>
      <c r="AD412" s="110"/>
      <c r="AE412" s="110"/>
      <c r="AF412" s="110"/>
      <c r="AG412" s="110"/>
      <c r="AH412" s="110"/>
      <c r="AI412" s="110"/>
      <c r="AJ412" s="110"/>
      <c r="AK412" s="110"/>
      <c r="AL412" s="110"/>
      <c r="AM412" s="110"/>
      <c r="AN412" s="110"/>
      <c r="AO412" s="110"/>
      <c r="AP412" s="115"/>
      <c r="AQ412" s="113"/>
      <c r="AR412" s="113"/>
      <c r="AS412" s="113"/>
      <c r="AT412" s="113"/>
      <c r="AU412" s="113"/>
      <c r="AV412" s="113"/>
      <c r="AW412" s="113"/>
      <c r="AX412" s="113"/>
      <c r="AY412" s="110"/>
    </row>
    <row r="413" spans="1:51" s="83" customFormat="1" ht="14.1" customHeight="1">
      <c r="A413" s="111"/>
      <c r="B413" s="114"/>
      <c r="C413" s="130"/>
      <c r="D413" s="130"/>
      <c r="E413" s="130"/>
      <c r="F413" s="130"/>
      <c r="G413" s="130"/>
      <c r="H413" s="130"/>
      <c r="I413" s="130"/>
      <c r="J413" s="130"/>
      <c r="K413" s="130"/>
      <c r="L413" s="130"/>
      <c r="M413" s="130"/>
      <c r="N413" s="130"/>
      <c r="O413" s="130"/>
      <c r="P413" s="130"/>
      <c r="Q413" s="130"/>
      <c r="R413" s="130"/>
      <c r="S413" s="130"/>
      <c r="T413" s="110"/>
      <c r="U413" s="110"/>
      <c r="V413" s="110"/>
      <c r="W413" s="110"/>
      <c r="X413" s="110"/>
      <c r="Y413" s="110"/>
      <c r="Z413" s="110"/>
      <c r="AA413" s="110"/>
      <c r="AB413" s="110"/>
      <c r="AC413" s="110"/>
      <c r="AD413" s="110"/>
      <c r="AE413" s="110"/>
      <c r="AF413" s="110"/>
      <c r="AG413" s="110"/>
      <c r="AH413" s="110"/>
      <c r="AI413" s="110"/>
      <c r="AJ413" s="110"/>
      <c r="AK413" s="110"/>
      <c r="AL413" s="110"/>
      <c r="AM413" s="110"/>
      <c r="AN413" s="110"/>
      <c r="AO413" s="110"/>
      <c r="AP413" s="115"/>
      <c r="AQ413" s="113"/>
      <c r="AR413" s="113"/>
      <c r="AS413" s="113"/>
      <c r="AT413" s="113"/>
      <c r="AU413" s="113"/>
      <c r="AV413" s="113"/>
      <c r="AW413" s="113"/>
      <c r="AX413" s="113"/>
      <c r="AY413" s="110"/>
    </row>
    <row r="414" spans="1:51" s="83" customFormat="1" ht="14.1" customHeight="1">
      <c r="A414" s="111"/>
      <c r="B414" s="114"/>
      <c r="C414" s="130"/>
      <c r="D414" s="130"/>
      <c r="E414" s="130"/>
      <c r="F414" s="130"/>
      <c r="G414" s="130"/>
      <c r="H414" s="130"/>
      <c r="I414" s="130"/>
      <c r="J414" s="130"/>
      <c r="K414" s="130"/>
      <c r="L414" s="130"/>
      <c r="M414" s="130"/>
      <c r="N414" s="130"/>
      <c r="O414" s="130"/>
      <c r="P414" s="130"/>
      <c r="Q414" s="130"/>
      <c r="R414" s="130"/>
      <c r="S414" s="130"/>
      <c r="T414" s="110"/>
      <c r="U414" s="110"/>
      <c r="V414" s="110"/>
      <c r="W414" s="110"/>
      <c r="X414" s="110"/>
      <c r="Y414" s="110"/>
      <c r="Z414" s="110"/>
      <c r="AA414" s="110"/>
      <c r="AB414" s="110"/>
      <c r="AC414" s="110"/>
      <c r="AD414" s="110"/>
      <c r="AE414" s="110"/>
      <c r="AF414" s="110"/>
      <c r="AG414" s="110"/>
      <c r="AH414" s="110"/>
      <c r="AI414" s="110"/>
      <c r="AJ414" s="110"/>
      <c r="AK414" s="110"/>
      <c r="AL414" s="110"/>
      <c r="AM414" s="110"/>
      <c r="AN414" s="110"/>
      <c r="AO414" s="110"/>
      <c r="AP414" s="115"/>
      <c r="AQ414" s="113"/>
      <c r="AR414" s="113"/>
      <c r="AS414" s="113"/>
      <c r="AT414" s="113"/>
      <c r="AU414" s="113"/>
      <c r="AV414" s="113"/>
      <c r="AW414" s="113"/>
      <c r="AX414" s="113"/>
      <c r="AY414" s="110"/>
    </row>
    <row r="415" spans="1:51" s="83" customFormat="1" ht="14.1" customHeight="1">
      <c r="A415" s="111"/>
      <c r="B415" s="114"/>
      <c r="C415" s="130"/>
      <c r="D415" s="130"/>
      <c r="E415" s="130"/>
      <c r="F415" s="130"/>
      <c r="G415" s="130"/>
      <c r="H415" s="130"/>
      <c r="I415" s="130"/>
      <c r="J415" s="130"/>
      <c r="K415" s="130"/>
      <c r="L415" s="130"/>
      <c r="M415" s="130"/>
      <c r="N415" s="130"/>
      <c r="O415" s="130"/>
      <c r="P415" s="130"/>
      <c r="Q415" s="130"/>
      <c r="R415" s="130"/>
      <c r="S415" s="130"/>
      <c r="T415" s="110"/>
      <c r="U415" s="110"/>
      <c r="V415" s="110"/>
      <c r="W415" s="110"/>
      <c r="X415" s="110"/>
      <c r="Y415" s="110"/>
      <c r="Z415" s="110"/>
      <c r="AA415" s="110"/>
      <c r="AB415" s="110"/>
      <c r="AC415" s="110"/>
      <c r="AD415" s="110"/>
      <c r="AE415" s="110"/>
      <c r="AF415" s="110"/>
      <c r="AG415" s="110"/>
      <c r="AH415" s="110"/>
      <c r="AI415" s="110"/>
      <c r="AJ415" s="110"/>
      <c r="AK415" s="110"/>
      <c r="AL415" s="110"/>
      <c r="AM415" s="110"/>
      <c r="AN415" s="110"/>
      <c r="AO415" s="110"/>
      <c r="AP415" s="115"/>
      <c r="AQ415" s="113"/>
      <c r="AR415" s="113"/>
      <c r="AS415" s="113"/>
      <c r="AT415" s="113"/>
      <c r="AU415" s="113"/>
      <c r="AV415" s="113"/>
      <c r="AW415" s="113"/>
      <c r="AX415" s="113"/>
      <c r="AY415" s="110"/>
    </row>
    <row r="416" spans="1:51" s="83" customFormat="1" ht="14.1" customHeight="1">
      <c r="A416" s="111"/>
      <c r="B416" s="114"/>
      <c r="C416" s="130"/>
      <c r="D416" s="130"/>
      <c r="E416" s="130"/>
      <c r="F416" s="130"/>
      <c r="G416" s="130"/>
      <c r="H416" s="130"/>
      <c r="I416" s="130"/>
      <c r="J416" s="130"/>
      <c r="K416" s="130"/>
      <c r="L416" s="130"/>
      <c r="M416" s="130"/>
      <c r="N416" s="130"/>
      <c r="O416" s="130"/>
      <c r="P416" s="130"/>
      <c r="Q416" s="130"/>
      <c r="R416" s="130"/>
      <c r="S416" s="130"/>
      <c r="T416" s="110"/>
      <c r="U416" s="110"/>
      <c r="V416" s="110"/>
      <c r="W416" s="110"/>
      <c r="X416" s="110"/>
      <c r="Y416" s="110"/>
      <c r="Z416" s="110"/>
      <c r="AA416" s="110"/>
      <c r="AB416" s="110"/>
      <c r="AC416" s="110"/>
      <c r="AD416" s="110"/>
      <c r="AE416" s="110"/>
      <c r="AF416" s="110"/>
      <c r="AG416" s="110"/>
      <c r="AH416" s="110"/>
      <c r="AI416" s="110"/>
      <c r="AJ416" s="110"/>
      <c r="AK416" s="110"/>
      <c r="AL416" s="110"/>
      <c r="AM416" s="110"/>
      <c r="AN416" s="110"/>
      <c r="AO416" s="110"/>
      <c r="AP416" s="115"/>
      <c r="AQ416" s="113"/>
      <c r="AR416" s="113"/>
      <c r="AS416" s="113"/>
      <c r="AT416" s="113"/>
      <c r="AU416" s="113"/>
      <c r="AV416" s="113"/>
      <c r="AW416" s="113"/>
      <c r="AX416" s="113"/>
      <c r="AY416" s="110"/>
    </row>
    <row r="417" spans="1:51" s="83" customFormat="1" ht="14.1" customHeight="1">
      <c r="A417" s="111"/>
      <c r="B417" s="114"/>
      <c r="C417" s="130"/>
      <c r="D417" s="130"/>
      <c r="E417" s="130"/>
      <c r="F417" s="130"/>
      <c r="G417" s="130"/>
      <c r="H417" s="130"/>
      <c r="I417" s="130"/>
      <c r="J417" s="130"/>
      <c r="K417" s="130"/>
      <c r="L417" s="130"/>
      <c r="M417" s="130"/>
      <c r="N417" s="130"/>
      <c r="O417" s="130"/>
      <c r="P417" s="130"/>
      <c r="Q417" s="130"/>
      <c r="R417" s="130"/>
      <c r="S417" s="130"/>
      <c r="T417" s="110"/>
      <c r="U417" s="110"/>
      <c r="V417" s="110"/>
      <c r="W417" s="110"/>
      <c r="X417" s="110"/>
      <c r="Y417" s="110"/>
      <c r="Z417" s="110"/>
      <c r="AA417" s="110"/>
      <c r="AB417" s="110"/>
      <c r="AC417" s="110"/>
      <c r="AD417" s="110"/>
      <c r="AE417" s="110"/>
      <c r="AF417" s="110"/>
      <c r="AG417" s="110"/>
      <c r="AH417" s="110"/>
      <c r="AI417" s="110"/>
      <c r="AJ417" s="110"/>
      <c r="AK417" s="110"/>
      <c r="AL417" s="110"/>
      <c r="AM417" s="110"/>
      <c r="AN417" s="110"/>
      <c r="AO417" s="110"/>
      <c r="AP417" s="115"/>
      <c r="AQ417" s="113"/>
      <c r="AR417" s="113"/>
      <c r="AS417" s="113"/>
      <c r="AT417" s="113"/>
      <c r="AU417" s="113"/>
      <c r="AV417" s="113"/>
      <c r="AW417" s="113"/>
      <c r="AX417" s="113"/>
      <c r="AY417" s="110"/>
    </row>
    <row r="418" spans="1:51" s="83" customFormat="1" ht="14.1" customHeight="1">
      <c r="A418" s="111"/>
      <c r="B418" s="114"/>
      <c r="C418" s="130"/>
      <c r="D418" s="130"/>
      <c r="E418" s="130"/>
      <c r="F418" s="130"/>
      <c r="G418" s="130"/>
      <c r="H418" s="130"/>
      <c r="I418" s="130"/>
      <c r="J418" s="130"/>
      <c r="K418" s="130"/>
      <c r="L418" s="130"/>
      <c r="M418" s="130"/>
      <c r="N418" s="130"/>
      <c r="O418" s="130"/>
      <c r="P418" s="130"/>
      <c r="Q418" s="130"/>
      <c r="R418" s="130"/>
      <c r="S418" s="130"/>
      <c r="T418" s="110"/>
      <c r="U418" s="110"/>
      <c r="V418" s="110"/>
      <c r="W418" s="110"/>
      <c r="X418" s="110"/>
      <c r="Y418" s="110"/>
      <c r="Z418" s="110"/>
      <c r="AA418" s="110"/>
      <c r="AB418" s="110"/>
      <c r="AC418" s="110"/>
      <c r="AD418" s="110"/>
      <c r="AE418" s="110"/>
      <c r="AF418" s="110"/>
      <c r="AG418" s="110"/>
      <c r="AH418" s="110"/>
      <c r="AI418" s="110"/>
      <c r="AJ418" s="110"/>
      <c r="AK418" s="110"/>
      <c r="AL418" s="110"/>
      <c r="AM418" s="110"/>
      <c r="AN418" s="110"/>
      <c r="AO418" s="110"/>
      <c r="AP418" s="115"/>
      <c r="AQ418" s="113"/>
      <c r="AR418" s="113"/>
      <c r="AS418" s="113"/>
      <c r="AT418" s="113"/>
      <c r="AU418" s="113"/>
      <c r="AV418" s="113"/>
      <c r="AW418" s="113"/>
      <c r="AX418" s="113"/>
      <c r="AY418" s="110"/>
    </row>
    <row r="419" spans="1:51" s="83" customFormat="1" ht="14.1" customHeight="1">
      <c r="A419" s="111"/>
      <c r="B419" s="114"/>
      <c r="C419" s="130"/>
      <c r="D419" s="130"/>
      <c r="E419" s="130"/>
      <c r="F419" s="130"/>
      <c r="G419" s="130"/>
      <c r="H419" s="130"/>
      <c r="I419" s="130"/>
      <c r="J419" s="130"/>
      <c r="K419" s="130"/>
      <c r="L419" s="130"/>
      <c r="M419" s="130"/>
      <c r="N419" s="130"/>
      <c r="O419" s="130"/>
      <c r="P419" s="130"/>
      <c r="Q419" s="130"/>
      <c r="R419" s="130"/>
      <c r="S419" s="130"/>
      <c r="T419" s="110"/>
      <c r="U419" s="110"/>
      <c r="V419" s="110"/>
      <c r="W419" s="110"/>
      <c r="X419" s="110"/>
      <c r="Y419" s="110"/>
      <c r="Z419" s="110"/>
      <c r="AA419" s="110"/>
      <c r="AB419" s="110"/>
      <c r="AC419" s="110"/>
      <c r="AD419" s="110"/>
      <c r="AE419" s="110"/>
      <c r="AF419" s="110"/>
      <c r="AG419" s="110"/>
      <c r="AH419" s="110"/>
      <c r="AI419" s="110"/>
      <c r="AJ419" s="110"/>
      <c r="AK419" s="110"/>
      <c r="AL419" s="110"/>
      <c r="AM419" s="110"/>
      <c r="AN419" s="110"/>
      <c r="AO419" s="110"/>
      <c r="AP419" s="115"/>
      <c r="AQ419" s="113"/>
      <c r="AR419" s="113"/>
      <c r="AS419" s="113"/>
      <c r="AT419" s="113"/>
      <c r="AU419" s="113"/>
      <c r="AV419" s="113"/>
      <c r="AW419" s="113"/>
      <c r="AX419" s="113"/>
      <c r="AY419" s="110"/>
    </row>
    <row r="420" spans="1:51" s="83" customFormat="1" ht="14.1" customHeight="1">
      <c r="A420" s="111"/>
      <c r="B420" s="114"/>
      <c r="C420" s="130"/>
      <c r="D420" s="130"/>
      <c r="E420" s="130"/>
      <c r="F420" s="130"/>
      <c r="G420" s="130"/>
      <c r="H420" s="130"/>
      <c r="I420" s="130"/>
      <c r="J420" s="130"/>
      <c r="K420" s="130"/>
      <c r="L420" s="130"/>
      <c r="M420" s="130"/>
      <c r="N420" s="130"/>
      <c r="O420" s="130"/>
      <c r="P420" s="130"/>
      <c r="Q420" s="130"/>
      <c r="R420" s="130"/>
      <c r="S420" s="130"/>
      <c r="T420" s="110"/>
      <c r="U420" s="110"/>
      <c r="V420" s="110"/>
      <c r="W420" s="110"/>
      <c r="X420" s="110"/>
      <c r="Y420" s="110"/>
      <c r="Z420" s="110"/>
      <c r="AA420" s="110"/>
      <c r="AB420" s="110"/>
      <c r="AC420" s="110"/>
      <c r="AD420" s="110"/>
      <c r="AE420" s="110"/>
      <c r="AF420" s="110"/>
      <c r="AG420" s="110"/>
      <c r="AH420" s="110"/>
      <c r="AI420" s="110"/>
      <c r="AJ420" s="110"/>
      <c r="AK420" s="110"/>
      <c r="AL420" s="110"/>
      <c r="AM420" s="110"/>
      <c r="AN420" s="110"/>
      <c r="AO420" s="110"/>
      <c r="AP420" s="115"/>
      <c r="AQ420" s="113"/>
      <c r="AR420" s="113"/>
      <c r="AS420" s="113"/>
      <c r="AT420" s="113"/>
      <c r="AU420" s="113"/>
      <c r="AV420" s="113"/>
      <c r="AW420" s="113"/>
      <c r="AX420" s="113"/>
      <c r="AY420" s="110"/>
    </row>
    <row r="421" spans="1:51" s="83" customFormat="1" ht="14.1" customHeight="1">
      <c r="A421" s="111"/>
      <c r="B421" s="114"/>
      <c r="C421" s="130"/>
      <c r="D421" s="130"/>
      <c r="E421" s="130"/>
      <c r="F421" s="130"/>
      <c r="G421" s="130"/>
      <c r="H421" s="130"/>
      <c r="I421" s="130"/>
      <c r="J421" s="130"/>
      <c r="K421" s="130"/>
      <c r="L421" s="130"/>
      <c r="M421" s="130"/>
      <c r="N421" s="130"/>
      <c r="O421" s="130"/>
      <c r="P421" s="130"/>
      <c r="Q421" s="130"/>
      <c r="R421" s="130"/>
      <c r="S421" s="130"/>
      <c r="T421" s="110"/>
      <c r="U421" s="110"/>
      <c r="V421" s="110"/>
      <c r="W421" s="110"/>
      <c r="X421" s="110"/>
      <c r="Y421" s="110"/>
      <c r="Z421" s="110"/>
      <c r="AA421" s="110"/>
      <c r="AB421" s="110"/>
      <c r="AC421" s="110"/>
      <c r="AD421" s="110"/>
      <c r="AE421" s="110"/>
      <c r="AF421" s="110"/>
      <c r="AG421" s="110"/>
      <c r="AH421" s="110"/>
      <c r="AI421" s="110"/>
      <c r="AJ421" s="110"/>
      <c r="AK421" s="110"/>
      <c r="AL421" s="110"/>
      <c r="AM421" s="110"/>
      <c r="AN421" s="110"/>
      <c r="AO421" s="110"/>
      <c r="AP421" s="115"/>
      <c r="AQ421" s="113"/>
      <c r="AR421" s="113"/>
      <c r="AS421" s="113"/>
      <c r="AT421" s="113"/>
      <c r="AU421" s="113"/>
      <c r="AV421" s="113"/>
      <c r="AW421" s="113"/>
      <c r="AX421" s="113"/>
      <c r="AY421" s="110"/>
    </row>
    <row r="422" spans="1:51" s="83" customFormat="1" ht="14.1" customHeight="1">
      <c r="A422" s="111"/>
      <c r="B422" s="114"/>
      <c r="C422" s="130"/>
      <c r="D422" s="130"/>
      <c r="E422" s="130"/>
      <c r="F422" s="130"/>
      <c r="G422" s="130"/>
      <c r="H422" s="130"/>
      <c r="I422" s="130"/>
      <c r="J422" s="130"/>
      <c r="K422" s="130"/>
      <c r="L422" s="130"/>
      <c r="M422" s="130"/>
      <c r="N422" s="130"/>
      <c r="O422" s="130"/>
      <c r="P422" s="130"/>
      <c r="Q422" s="130"/>
      <c r="R422" s="130"/>
      <c r="S422" s="130"/>
      <c r="T422" s="110"/>
      <c r="U422" s="110"/>
      <c r="V422" s="110"/>
      <c r="W422" s="110"/>
      <c r="X422" s="110"/>
      <c r="Y422" s="110"/>
      <c r="Z422" s="110"/>
      <c r="AA422" s="110"/>
      <c r="AB422" s="110"/>
      <c r="AC422" s="110"/>
      <c r="AD422" s="110"/>
      <c r="AE422" s="110"/>
      <c r="AF422" s="110"/>
      <c r="AG422" s="110"/>
      <c r="AH422" s="110"/>
      <c r="AI422" s="110"/>
      <c r="AJ422" s="110"/>
      <c r="AK422" s="110"/>
      <c r="AL422" s="110"/>
      <c r="AM422" s="110"/>
      <c r="AN422" s="110"/>
      <c r="AO422" s="110"/>
      <c r="AP422" s="115"/>
      <c r="AQ422" s="113"/>
      <c r="AR422" s="113"/>
      <c r="AS422" s="113"/>
      <c r="AT422" s="113"/>
      <c r="AU422" s="113"/>
      <c r="AV422" s="113"/>
      <c r="AW422" s="113"/>
      <c r="AX422" s="113"/>
      <c r="AY422" s="110"/>
    </row>
    <row r="423" spans="1:51" s="83" customFormat="1" ht="14.1" customHeight="1">
      <c r="A423" s="111"/>
      <c r="B423" s="114"/>
      <c r="C423" s="130"/>
      <c r="D423" s="130"/>
      <c r="E423" s="130"/>
      <c r="F423" s="130"/>
      <c r="G423" s="130"/>
      <c r="H423" s="130"/>
      <c r="I423" s="130"/>
      <c r="J423" s="130"/>
      <c r="K423" s="130"/>
      <c r="L423" s="130"/>
      <c r="M423" s="130"/>
      <c r="N423" s="130"/>
      <c r="O423" s="130"/>
      <c r="P423" s="130"/>
      <c r="Q423" s="130"/>
      <c r="R423" s="130"/>
      <c r="S423" s="130"/>
      <c r="T423" s="110"/>
      <c r="U423" s="110"/>
      <c r="V423" s="110"/>
      <c r="W423" s="110"/>
      <c r="X423" s="110"/>
      <c r="Y423" s="110"/>
      <c r="Z423" s="110"/>
      <c r="AA423" s="110"/>
      <c r="AB423" s="110"/>
      <c r="AC423" s="110"/>
      <c r="AD423" s="110"/>
      <c r="AE423" s="110"/>
      <c r="AF423" s="110"/>
      <c r="AG423" s="110"/>
      <c r="AH423" s="110"/>
      <c r="AI423" s="110"/>
      <c r="AJ423" s="110"/>
      <c r="AK423" s="110"/>
      <c r="AL423" s="110"/>
      <c r="AM423" s="110"/>
      <c r="AN423" s="110"/>
      <c r="AO423" s="110"/>
      <c r="AP423" s="115"/>
      <c r="AQ423" s="113"/>
      <c r="AR423" s="113"/>
      <c r="AS423" s="113"/>
      <c r="AT423" s="113"/>
      <c r="AU423" s="113"/>
      <c r="AV423" s="113"/>
      <c r="AW423" s="113"/>
      <c r="AX423" s="113"/>
      <c r="AY423" s="110"/>
    </row>
    <row r="424" spans="1:51" s="83" customFormat="1" ht="14.1" customHeight="1">
      <c r="A424" s="111"/>
      <c r="B424" s="114"/>
      <c r="C424" s="130"/>
      <c r="D424" s="130"/>
      <c r="E424" s="130"/>
      <c r="F424" s="130"/>
      <c r="G424" s="130"/>
      <c r="H424" s="130"/>
      <c r="I424" s="130"/>
      <c r="J424" s="130"/>
      <c r="K424" s="130"/>
      <c r="L424" s="130"/>
      <c r="M424" s="130"/>
      <c r="N424" s="130"/>
      <c r="O424" s="130"/>
      <c r="P424" s="130"/>
      <c r="Q424" s="130"/>
      <c r="R424" s="130"/>
      <c r="S424" s="130"/>
      <c r="T424" s="110"/>
      <c r="U424" s="110"/>
      <c r="V424" s="110"/>
      <c r="W424" s="110"/>
      <c r="X424" s="110"/>
      <c r="Y424" s="110"/>
      <c r="Z424" s="110"/>
      <c r="AA424" s="110"/>
      <c r="AB424" s="110"/>
      <c r="AC424" s="110"/>
      <c r="AD424" s="110"/>
      <c r="AE424" s="110"/>
      <c r="AF424" s="110"/>
      <c r="AG424" s="110"/>
      <c r="AH424" s="110"/>
      <c r="AI424" s="110"/>
      <c r="AJ424" s="110"/>
      <c r="AK424" s="110"/>
      <c r="AL424" s="110"/>
      <c r="AM424" s="110"/>
      <c r="AN424" s="110"/>
      <c r="AO424" s="110"/>
      <c r="AP424" s="115"/>
      <c r="AQ424" s="113"/>
      <c r="AR424" s="113"/>
      <c r="AS424" s="113"/>
      <c r="AT424" s="113"/>
      <c r="AU424" s="113"/>
      <c r="AV424" s="113"/>
      <c r="AW424" s="113"/>
      <c r="AX424" s="113"/>
      <c r="AY424" s="110"/>
    </row>
    <row r="425" spans="1:51" s="83" customFormat="1" ht="14.1" customHeight="1">
      <c r="A425" s="111"/>
      <c r="B425" s="114"/>
      <c r="C425" s="130"/>
      <c r="D425" s="130"/>
      <c r="E425" s="130"/>
      <c r="F425" s="130"/>
      <c r="G425" s="130"/>
      <c r="H425" s="130"/>
      <c r="I425" s="130"/>
      <c r="J425" s="130"/>
      <c r="K425" s="130"/>
      <c r="L425" s="130"/>
      <c r="M425" s="130"/>
      <c r="N425" s="130"/>
      <c r="O425" s="130"/>
      <c r="P425" s="130"/>
      <c r="Q425" s="130"/>
      <c r="R425" s="130"/>
      <c r="S425" s="130"/>
      <c r="T425" s="110"/>
      <c r="U425" s="110"/>
      <c r="V425" s="110"/>
      <c r="W425" s="110"/>
      <c r="X425" s="110"/>
      <c r="Y425" s="110"/>
      <c r="Z425" s="110"/>
      <c r="AA425" s="110"/>
      <c r="AB425" s="110"/>
      <c r="AC425" s="110"/>
      <c r="AD425" s="110"/>
      <c r="AE425" s="110"/>
      <c r="AF425" s="110"/>
      <c r="AG425" s="110"/>
      <c r="AH425" s="110"/>
      <c r="AI425" s="110"/>
      <c r="AJ425" s="110"/>
      <c r="AK425" s="110"/>
      <c r="AL425" s="110"/>
      <c r="AM425" s="110"/>
      <c r="AN425" s="110"/>
      <c r="AO425" s="110"/>
      <c r="AP425" s="115"/>
      <c r="AQ425" s="113"/>
      <c r="AR425" s="113"/>
      <c r="AS425" s="113"/>
      <c r="AT425" s="113"/>
      <c r="AU425" s="113"/>
      <c r="AV425" s="113"/>
      <c r="AW425" s="113"/>
      <c r="AX425" s="113"/>
      <c r="AY425" s="110"/>
    </row>
    <row r="426" spans="1:51" s="83" customFormat="1" ht="14.1" customHeight="1">
      <c r="A426" s="111"/>
      <c r="B426" s="114"/>
      <c r="C426" s="130"/>
      <c r="D426" s="130"/>
      <c r="E426" s="130"/>
      <c r="F426" s="130"/>
      <c r="G426" s="130"/>
      <c r="H426" s="130"/>
      <c r="I426" s="130"/>
      <c r="J426" s="130"/>
      <c r="K426" s="130"/>
      <c r="L426" s="130"/>
      <c r="M426" s="130"/>
      <c r="N426" s="130"/>
      <c r="O426" s="130"/>
      <c r="P426" s="130"/>
      <c r="Q426" s="130"/>
      <c r="R426" s="130"/>
      <c r="S426" s="130"/>
      <c r="T426" s="110"/>
      <c r="U426" s="110"/>
      <c r="V426" s="110"/>
      <c r="W426" s="110"/>
      <c r="X426" s="110"/>
      <c r="Y426" s="110"/>
      <c r="Z426" s="110"/>
      <c r="AA426" s="110"/>
      <c r="AB426" s="110"/>
      <c r="AC426" s="110"/>
      <c r="AD426" s="110"/>
      <c r="AE426" s="110"/>
      <c r="AF426" s="110"/>
      <c r="AG426" s="110"/>
      <c r="AH426" s="110"/>
      <c r="AI426" s="110"/>
      <c r="AJ426" s="110"/>
      <c r="AK426" s="110"/>
      <c r="AL426" s="110"/>
      <c r="AM426" s="110"/>
      <c r="AN426" s="110"/>
      <c r="AO426" s="110"/>
      <c r="AP426" s="115"/>
      <c r="AQ426" s="113"/>
      <c r="AR426" s="113"/>
      <c r="AS426" s="113"/>
      <c r="AT426" s="113"/>
      <c r="AU426" s="113"/>
      <c r="AV426" s="113"/>
      <c r="AW426" s="113"/>
      <c r="AX426" s="113"/>
      <c r="AY426" s="110"/>
    </row>
    <row r="427" spans="1:51" s="83" customFormat="1" ht="14.1" customHeight="1">
      <c r="A427" s="111"/>
      <c r="B427" s="114"/>
      <c r="C427" s="130"/>
      <c r="D427" s="130"/>
      <c r="E427" s="130"/>
      <c r="F427" s="130"/>
      <c r="G427" s="130"/>
      <c r="H427" s="130"/>
      <c r="I427" s="130"/>
      <c r="J427" s="130"/>
      <c r="K427" s="130"/>
      <c r="L427" s="130"/>
      <c r="M427" s="130"/>
      <c r="N427" s="130"/>
      <c r="O427" s="130"/>
      <c r="P427" s="130"/>
      <c r="Q427" s="130"/>
      <c r="R427" s="130"/>
      <c r="S427" s="130"/>
      <c r="T427" s="110"/>
      <c r="U427" s="110"/>
      <c r="V427" s="110"/>
      <c r="W427" s="110"/>
      <c r="X427" s="110"/>
      <c r="Y427" s="110"/>
      <c r="Z427" s="110"/>
      <c r="AA427" s="110"/>
      <c r="AB427" s="110"/>
      <c r="AC427" s="110"/>
      <c r="AD427" s="110"/>
      <c r="AE427" s="110"/>
      <c r="AF427" s="110"/>
      <c r="AG427" s="110"/>
      <c r="AH427" s="110"/>
      <c r="AI427" s="110"/>
      <c r="AJ427" s="110"/>
      <c r="AK427" s="110"/>
      <c r="AL427" s="110"/>
      <c r="AM427" s="110"/>
      <c r="AN427" s="110"/>
      <c r="AO427" s="110"/>
      <c r="AP427" s="115"/>
      <c r="AQ427" s="113"/>
      <c r="AR427" s="113"/>
      <c r="AS427" s="113"/>
      <c r="AT427" s="113"/>
      <c r="AU427" s="113"/>
      <c r="AV427" s="113"/>
      <c r="AW427" s="113"/>
      <c r="AX427" s="113"/>
      <c r="AY427" s="110"/>
    </row>
    <row r="428" spans="1:51" s="83" customFormat="1" ht="14.1" customHeight="1">
      <c r="A428" s="111"/>
      <c r="B428" s="114"/>
      <c r="C428" s="130"/>
      <c r="D428" s="130"/>
      <c r="E428" s="130"/>
      <c r="F428" s="130"/>
      <c r="G428" s="130"/>
      <c r="H428" s="130"/>
      <c r="I428" s="130"/>
      <c r="J428" s="130"/>
      <c r="K428" s="130"/>
      <c r="L428" s="130"/>
      <c r="M428" s="130"/>
      <c r="N428" s="130"/>
      <c r="O428" s="130"/>
      <c r="P428" s="130"/>
      <c r="Q428" s="130"/>
      <c r="R428" s="130"/>
      <c r="S428" s="130"/>
      <c r="T428" s="110"/>
      <c r="U428" s="110"/>
      <c r="V428" s="110"/>
      <c r="W428" s="110"/>
      <c r="X428" s="110"/>
      <c r="Y428" s="110"/>
      <c r="Z428" s="110"/>
      <c r="AA428" s="110"/>
      <c r="AB428" s="110"/>
      <c r="AC428" s="110"/>
      <c r="AD428" s="110"/>
      <c r="AE428" s="110"/>
      <c r="AF428" s="110"/>
      <c r="AG428" s="110"/>
      <c r="AH428" s="110"/>
      <c r="AI428" s="110"/>
      <c r="AJ428" s="110"/>
      <c r="AK428" s="110"/>
      <c r="AL428" s="110"/>
      <c r="AM428" s="110"/>
      <c r="AN428" s="110"/>
      <c r="AO428" s="110"/>
      <c r="AP428" s="115"/>
      <c r="AQ428" s="113"/>
      <c r="AR428" s="113"/>
      <c r="AS428" s="113"/>
      <c r="AT428" s="113"/>
      <c r="AU428" s="113"/>
      <c r="AV428" s="113"/>
      <c r="AW428" s="113"/>
      <c r="AX428" s="113"/>
      <c r="AY428" s="110"/>
    </row>
    <row r="429" spans="1:51" s="83" customFormat="1" ht="14.1" customHeight="1">
      <c r="A429" s="111"/>
      <c r="B429" s="114"/>
      <c r="C429" s="130"/>
      <c r="D429" s="130"/>
      <c r="E429" s="130"/>
      <c r="F429" s="130"/>
      <c r="G429" s="130"/>
      <c r="H429" s="130"/>
      <c r="I429" s="130"/>
      <c r="J429" s="130"/>
      <c r="K429" s="130"/>
      <c r="L429" s="130"/>
      <c r="M429" s="130"/>
      <c r="N429" s="130"/>
      <c r="O429" s="130"/>
      <c r="P429" s="130"/>
      <c r="Q429" s="130"/>
      <c r="R429" s="130"/>
      <c r="S429" s="130"/>
      <c r="T429" s="110"/>
      <c r="U429" s="110"/>
      <c r="V429" s="110"/>
      <c r="W429" s="110"/>
      <c r="X429" s="110"/>
      <c r="Y429" s="110"/>
      <c r="Z429" s="110"/>
      <c r="AA429" s="110"/>
      <c r="AB429" s="110"/>
      <c r="AC429" s="110"/>
      <c r="AD429" s="110"/>
      <c r="AE429" s="110"/>
      <c r="AF429" s="110"/>
      <c r="AG429" s="110"/>
      <c r="AH429" s="110"/>
      <c r="AI429" s="110"/>
      <c r="AJ429" s="110"/>
      <c r="AK429" s="110"/>
      <c r="AL429" s="110"/>
      <c r="AM429" s="110"/>
      <c r="AN429" s="110"/>
      <c r="AO429" s="110"/>
      <c r="AP429" s="115"/>
      <c r="AQ429" s="113"/>
      <c r="AR429" s="113"/>
      <c r="AS429" s="113"/>
      <c r="AT429" s="113"/>
      <c r="AU429" s="113"/>
      <c r="AV429" s="113"/>
      <c r="AW429" s="113"/>
      <c r="AX429" s="113"/>
      <c r="AY429" s="110"/>
    </row>
    <row r="430" spans="1:51" s="83" customFormat="1" ht="14.1" customHeight="1">
      <c r="A430" s="111"/>
      <c r="B430" s="114"/>
      <c r="C430" s="130"/>
      <c r="D430" s="130"/>
      <c r="E430" s="130"/>
      <c r="F430" s="130"/>
      <c r="G430" s="130"/>
      <c r="H430" s="130"/>
      <c r="I430" s="130"/>
      <c r="J430" s="130"/>
      <c r="K430" s="130"/>
      <c r="L430" s="130"/>
      <c r="M430" s="130"/>
      <c r="N430" s="130"/>
      <c r="O430" s="130"/>
      <c r="P430" s="130"/>
      <c r="Q430" s="130"/>
      <c r="R430" s="130"/>
      <c r="S430" s="130"/>
      <c r="T430" s="110"/>
      <c r="U430" s="110"/>
      <c r="V430" s="110"/>
      <c r="W430" s="110"/>
      <c r="X430" s="110"/>
      <c r="Y430" s="110"/>
      <c r="Z430" s="110"/>
      <c r="AA430" s="110"/>
      <c r="AB430" s="110"/>
      <c r="AC430" s="110"/>
      <c r="AD430" s="110"/>
      <c r="AE430" s="110"/>
      <c r="AF430" s="110"/>
      <c r="AG430" s="110"/>
      <c r="AH430" s="110"/>
      <c r="AI430" s="110"/>
      <c r="AJ430" s="110"/>
      <c r="AK430" s="110"/>
      <c r="AL430" s="110"/>
      <c r="AM430" s="110"/>
      <c r="AN430" s="110"/>
      <c r="AO430" s="110"/>
      <c r="AP430" s="115"/>
      <c r="AQ430" s="113"/>
      <c r="AR430" s="113"/>
      <c r="AS430" s="113"/>
      <c r="AT430" s="113"/>
      <c r="AU430" s="113"/>
      <c r="AV430" s="113"/>
      <c r="AW430" s="113"/>
      <c r="AX430" s="113"/>
      <c r="AY430" s="110"/>
    </row>
    <row r="431" spans="1:51" s="83" customFormat="1" ht="14.1" customHeight="1">
      <c r="A431" s="111"/>
      <c r="B431" s="114"/>
      <c r="C431" s="130"/>
      <c r="D431" s="130"/>
      <c r="E431" s="130"/>
      <c r="F431" s="130"/>
      <c r="G431" s="130"/>
      <c r="H431" s="130"/>
      <c r="I431" s="130"/>
      <c r="J431" s="130"/>
      <c r="K431" s="130"/>
      <c r="L431" s="130"/>
      <c r="M431" s="130"/>
      <c r="N431" s="130"/>
      <c r="O431" s="130"/>
      <c r="P431" s="130"/>
      <c r="Q431" s="130"/>
      <c r="R431" s="130"/>
      <c r="S431" s="130"/>
      <c r="T431" s="110"/>
      <c r="U431" s="110"/>
      <c r="V431" s="110"/>
      <c r="W431" s="110"/>
      <c r="X431" s="110"/>
      <c r="Y431" s="110"/>
      <c r="Z431" s="110"/>
      <c r="AA431" s="110"/>
      <c r="AB431" s="110"/>
      <c r="AC431" s="110"/>
      <c r="AD431" s="110"/>
      <c r="AE431" s="110"/>
      <c r="AF431" s="110"/>
      <c r="AG431" s="110"/>
      <c r="AH431" s="110"/>
      <c r="AI431" s="110"/>
      <c r="AJ431" s="110"/>
      <c r="AK431" s="110"/>
      <c r="AL431" s="110"/>
      <c r="AM431" s="110"/>
      <c r="AN431" s="110"/>
      <c r="AO431" s="110"/>
      <c r="AP431" s="115"/>
      <c r="AQ431" s="113"/>
      <c r="AR431" s="113"/>
      <c r="AS431" s="113"/>
      <c r="AT431" s="113"/>
      <c r="AU431" s="113"/>
      <c r="AV431" s="113"/>
      <c r="AW431" s="113"/>
      <c r="AX431" s="113"/>
      <c r="AY431" s="110"/>
    </row>
    <row r="432" spans="1:51" s="83" customFormat="1" ht="14.1" customHeight="1">
      <c r="A432" s="111"/>
      <c r="B432" s="114"/>
      <c r="C432" s="130"/>
      <c r="D432" s="130"/>
      <c r="E432" s="130"/>
      <c r="F432" s="130"/>
      <c r="G432" s="130"/>
      <c r="H432" s="130"/>
      <c r="I432" s="130"/>
      <c r="J432" s="130"/>
      <c r="K432" s="130"/>
      <c r="L432" s="130"/>
      <c r="M432" s="130"/>
      <c r="N432" s="130"/>
      <c r="O432" s="130"/>
      <c r="P432" s="130"/>
      <c r="Q432" s="130"/>
      <c r="R432" s="130"/>
      <c r="S432" s="130"/>
      <c r="T432" s="110"/>
      <c r="U432" s="110"/>
      <c r="V432" s="110"/>
      <c r="W432" s="110"/>
      <c r="X432" s="110"/>
      <c r="Y432" s="110"/>
      <c r="Z432" s="110"/>
      <c r="AA432" s="110"/>
      <c r="AB432" s="110"/>
      <c r="AC432" s="110"/>
      <c r="AD432" s="110"/>
      <c r="AE432" s="110"/>
      <c r="AF432" s="110"/>
      <c r="AG432" s="110"/>
      <c r="AH432" s="110"/>
      <c r="AI432" s="110"/>
      <c r="AJ432" s="110"/>
      <c r="AK432" s="110"/>
      <c r="AL432" s="110"/>
      <c r="AM432" s="110"/>
      <c r="AN432" s="110"/>
      <c r="AO432" s="110"/>
      <c r="AP432" s="115"/>
      <c r="AQ432" s="113"/>
      <c r="AR432" s="113"/>
      <c r="AS432" s="113"/>
      <c r="AT432" s="113"/>
      <c r="AU432" s="113"/>
      <c r="AV432" s="113"/>
      <c r="AW432" s="113"/>
      <c r="AX432" s="113"/>
      <c r="AY432" s="110"/>
    </row>
    <row r="433" spans="1:51" s="83" customFormat="1">
      <c r="A433" s="111"/>
      <c r="B433" s="110"/>
      <c r="C433" s="130"/>
      <c r="D433" s="130"/>
      <c r="E433" s="130"/>
      <c r="F433" s="130"/>
      <c r="G433" s="130"/>
      <c r="H433" s="130"/>
      <c r="I433" s="130"/>
      <c r="J433" s="130"/>
      <c r="K433" s="130"/>
      <c r="L433" s="130"/>
      <c r="M433" s="130"/>
      <c r="N433" s="130"/>
      <c r="O433" s="130"/>
      <c r="P433" s="130"/>
      <c r="Q433" s="130"/>
      <c r="R433" s="130"/>
      <c r="S433" s="130"/>
      <c r="T433" s="110"/>
      <c r="U433" s="110"/>
      <c r="V433" s="110"/>
      <c r="W433" s="110"/>
      <c r="X433" s="110"/>
      <c r="Y433" s="110"/>
      <c r="Z433" s="110"/>
      <c r="AA433" s="110"/>
      <c r="AB433" s="110"/>
      <c r="AC433" s="110"/>
      <c r="AD433" s="110"/>
      <c r="AE433" s="110"/>
      <c r="AF433" s="110"/>
      <c r="AG433" s="110"/>
      <c r="AH433" s="110"/>
      <c r="AI433" s="110"/>
      <c r="AJ433" s="110"/>
      <c r="AK433" s="110"/>
      <c r="AL433" s="110"/>
      <c r="AM433" s="110"/>
      <c r="AN433" s="110"/>
      <c r="AO433" s="110"/>
      <c r="AP433" s="116"/>
      <c r="AQ433" s="110"/>
      <c r="AR433" s="110"/>
      <c r="AS433" s="110"/>
      <c r="AT433" s="110"/>
      <c r="AU433" s="113"/>
      <c r="AV433" s="113"/>
      <c r="AW433" s="113"/>
      <c r="AX433" s="113"/>
      <c r="AY433" s="110"/>
    </row>
    <row r="434" spans="1:51" s="83" customFormat="1">
      <c r="A434" s="111"/>
      <c r="B434" s="110"/>
      <c r="C434" s="130"/>
      <c r="D434" s="130"/>
      <c r="E434" s="130"/>
      <c r="F434" s="130"/>
      <c r="G434" s="130"/>
      <c r="H434" s="130"/>
      <c r="I434" s="130"/>
      <c r="J434" s="130"/>
      <c r="K434" s="130"/>
      <c r="L434" s="130"/>
      <c r="M434" s="130"/>
      <c r="N434" s="130"/>
      <c r="O434" s="130"/>
      <c r="P434" s="130"/>
      <c r="Q434" s="130"/>
      <c r="R434" s="130"/>
      <c r="S434" s="130"/>
      <c r="T434" s="110"/>
      <c r="U434" s="110"/>
      <c r="V434" s="110"/>
      <c r="W434" s="110"/>
      <c r="X434" s="110"/>
      <c r="Y434" s="110"/>
      <c r="Z434" s="110"/>
      <c r="AA434" s="110"/>
      <c r="AB434" s="110"/>
      <c r="AC434" s="110"/>
      <c r="AD434" s="110"/>
      <c r="AE434" s="110"/>
      <c r="AF434" s="110"/>
      <c r="AG434" s="110"/>
      <c r="AH434" s="110"/>
      <c r="AI434" s="110"/>
      <c r="AJ434" s="110"/>
      <c r="AK434" s="110"/>
      <c r="AL434" s="110"/>
      <c r="AM434" s="110"/>
      <c r="AN434" s="110"/>
      <c r="AO434" s="110"/>
      <c r="AP434" s="110"/>
      <c r="AQ434" s="110"/>
      <c r="AR434" s="110"/>
      <c r="AS434" s="110"/>
      <c r="AT434" s="110"/>
      <c r="AU434" s="113"/>
      <c r="AV434" s="113"/>
      <c r="AW434" s="113"/>
      <c r="AX434" s="113"/>
      <c r="AY434" s="110"/>
    </row>
    <row r="435" spans="1:51" s="83" customFormat="1">
      <c r="A435" s="111"/>
      <c r="B435" s="110"/>
      <c r="C435" s="130"/>
      <c r="D435" s="130"/>
      <c r="E435" s="130"/>
      <c r="F435" s="130"/>
      <c r="G435" s="130"/>
      <c r="H435" s="130"/>
      <c r="I435" s="130"/>
      <c r="J435" s="130"/>
      <c r="K435" s="130"/>
      <c r="L435" s="130"/>
      <c r="M435" s="130"/>
      <c r="N435" s="130"/>
      <c r="O435" s="130"/>
      <c r="P435" s="130"/>
      <c r="Q435" s="130"/>
      <c r="R435" s="130"/>
      <c r="S435" s="130"/>
      <c r="T435" s="110"/>
      <c r="U435" s="110"/>
      <c r="V435" s="110"/>
      <c r="W435" s="110"/>
      <c r="X435" s="110"/>
      <c r="Y435" s="110"/>
      <c r="Z435" s="110"/>
      <c r="AA435" s="110"/>
      <c r="AB435" s="110"/>
      <c r="AC435" s="110"/>
      <c r="AD435" s="110"/>
      <c r="AE435" s="110"/>
      <c r="AF435" s="110"/>
      <c r="AG435" s="110"/>
      <c r="AH435" s="110"/>
      <c r="AI435" s="110"/>
      <c r="AJ435" s="110"/>
      <c r="AK435" s="110"/>
      <c r="AL435" s="110"/>
      <c r="AM435" s="110"/>
      <c r="AN435" s="110"/>
      <c r="AO435" s="110"/>
      <c r="AP435" s="112"/>
      <c r="AQ435" s="110"/>
      <c r="AR435" s="110"/>
      <c r="AS435" s="110"/>
      <c r="AT435" s="110"/>
      <c r="AU435" s="113"/>
      <c r="AV435" s="113"/>
      <c r="AW435" s="113"/>
      <c r="AX435" s="113"/>
      <c r="AY435" s="110"/>
    </row>
    <row r="436" spans="1:51" s="83" customFormat="1">
      <c r="A436" s="111"/>
      <c r="B436" s="114"/>
      <c r="C436" s="129"/>
      <c r="D436" s="129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14"/>
      <c r="U436" s="114"/>
      <c r="V436" s="114"/>
      <c r="W436" s="114"/>
      <c r="X436" s="114"/>
      <c r="Y436" s="114"/>
      <c r="Z436" s="114"/>
      <c r="AA436" s="114"/>
      <c r="AB436" s="114"/>
      <c r="AC436" s="114"/>
      <c r="AD436" s="114"/>
      <c r="AE436" s="114"/>
      <c r="AF436" s="114"/>
      <c r="AG436" s="114"/>
      <c r="AH436" s="114"/>
      <c r="AI436" s="110"/>
      <c r="AJ436" s="110"/>
      <c r="AK436" s="110"/>
      <c r="AL436" s="110"/>
      <c r="AM436" s="110"/>
      <c r="AN436" s="110"/>
      <c r="AO436" s="110"/>
      <c r="AP436" s="110"/>
      <c r="AQ436" s="113"/>
      <c r="AR436" s="113"/>
      <c r="AS436" s="113"/>
      <c r="AT436" s="113"/>
      <c r="AU436" s="110"/>
      <c r="AV436" s="110"/>
      <c r="AW436" s="110"/>
      <c r="AX436" s="110"/>
      <c r="AY436" s="110"/>
    </row>
    <row r="437" spans="1:51" s="83" customFormat="1" ht="14.1" customHeight="1">
      <c r="A437" s="111"/>
      <c r="B437" s="114"/>
      <c r="C437" s="131"/>
      <c r="D437" s="131"/>
      <c r="E437" s="131"/>
      <c r="F437" s="131"/>
      <c r="G437" s="131"/>
      <c r="H437" s="131"/>
      <c r="I437" s="131"/>
      <c r="J437" s="131"/>
      <c r="K437" s="131"/>
      <c r="L437" s="131"/>
      <c r="M437" s="131"/>
      <c r="N437" s="131"/>
      <c r="O437" s="131"/>
      <c r="P437" s="131"/>
      <c r="Q437" s="131"/>
      <c r="R437" s="131"/>
      <c r="S437" s="130"/>
      <c r="T437" s="110"/>
      <c r="U437" s="110"/>
      <c r="V437" s="110"/>
      <c r="W437" s="110"/>
      <c r="X437" s="110"/>
      <c r="Y437" s="110"/>
      <c r="Z437" s="110"/>
      <c r="AA437" s="110"/>
      <c r="AB437" s="110"/>
      <c r="AC437" s="110"/>
      <c r="AD437" s="110"/>
      <c r="AE437" s="110"/>
      <c r="AF437" s="110"/>
      <c r="AG437" s="110"/>
      <c r="AH437" s="110"/>
      <c r="AI437" s="110"/>
      <c r="AJ437" s="110"/>
      <c r="AK437" s="110"/>
      <c r="AL437" s="110"/>
      <c r="AM437" s="110"/>
      <c r="AN437" s="110"/>
      <c r="AO437" s="110"/>
      <c r="AP437" s="115"/>
      <c r="AQ437" s="113"/>
      <c r="AR437" s="113"/>
      <c r="AS437" s="113"/>
      <c r="AT437" s="113"/>
      <c r="AU437" s="113"/>
      <c r="AV437" s="113"/>
      <c r="AW437" s="113"/>
      <c r="AX437" s="113"/>
      <c r="AY437" s="110"/>
    </row>
    <row r="438" spans="1:51" s="83" customFormat="1" ht="14.1" customHeight="1">
      <c r="A438" s="111"/>
      <c r="B438" s="114"/>
      <c r="C438" s="131"/>
      <c r="D438" s="131"/>
      <c r="E438" s="131"/>
      <c r="F438" s="131"/>
      <c r="G438" s="131"/>
      <c r="H438" s="131"/>
      <c r="I438" s="131"/>
      <c r="J438" s="131"/>
      <c r="K438" s="131"/>
      <c r="L438" s="131"/>
      <c r="M438" s="131"/>
      <c r="N438" s="131"/>
      <c r="O438" s="131"/>
      <c r="P438" s="131"/>
      <c r="Q438" s="131"/>
      <c r="R438" s="131"/>
      <c r="S438" s="130"/>
      <c r="T438" s="110"/>
      <c r="U438" s="110"/>
      <c r="V438" s="110"/>
      <c r="W438" s="110"/>
      <c r="X438" s="110"/>
      <c r="Y438" s="110"/>
      <c r="Z438" s="110"/>
      <c r="AA438" s="110"/>
      <c r="AB438" s="110"/>
      <c r="AC438" s="110"/>
      <c r="AD438" s="110"/>
      <c r="AE438" s="110"/>
      <c r="AF438" s="110"/>
      <c r="AG438" s="110"/>
      <c r="AH438" s="110"/>
      <c r="AI438" s="110"/>
      <c r="AJ438" s="110"/>
      <c r="AK438" s="110"/>
      <c r="AL438" s="110"/>
      <c r="AM438" s="110"/>
      <c r="AN438" s="110"/>
      <c r="AO438" s="110"/>
      <c r="AP438" s="115"/>
      <c r="AQ438" s="113"/>
      <c r="AR438" s="113"/>
      <c r="AS438" s="113"/>
      <c r="AT438" s="113"/>
      <c r="AU438" s="113"/>
      <c r="AV438" s="113"/>
      <c r="AW438" s="113"/>
      <c r="AX438" s="113"/>
      <c r="AY438" s="110"/>
    </row>
    <row r="439" spans="1:51" s="83" customFormat="1" ht="14.1" customHeight="1">
      <c r="A439" s="111"/>
      <c r="B439" s="114"/>
      <c r="C439" s="131"/>
      <c r="D439" s="131"/>
      <c r="E439" s="131"/>
      <c r="F439" s="131"/>
      <c r="G439" s="131"/>
      <c r="H439" s="131"/>
      <c r="I439" s="131"/>
      <c r="J439" s="131"/>
      <c r="K439" s="131"/>
      <c r="L439" s="131"/>
      <c r="M439" s="131"/>
      <c r="N439" s="131"/>
      <c r="O439" s="131"/>
      <c r="P439" s="131"/>
      <c r="Q439" s="131"/>
      <c r="R439" s="131"/>
      <c r="S439" s="130"/>
      <c r="T439" s="110"/>
      <c r="U439" s="110"/>
      <c r="V439" s="110"/>
      <c r="W439" s="110"/>
      <c r="X439" s="110"/>
      <c r="Y439" s="110"/>
      <c r="Z439" s="110"/>
      <c r="AA439" s="110"/>
      <c r="AB439" s="110"/>
      <c r="AC439" s="110"/>
      <c r="AD439" s="110"/>
      <c r="AE439" s="110"/>
      <c r="AF439" s="110"/>
      <c r="AG439" s="110"/>
      <c r="AH439" s="110"/>
      <c r="AI439" s="110"/>
      <c r="AJ439" s="110"/>
      <c r="AK439" s="110"/>
      <c r="AL439" s="110"/>
      <c r="AM439" s="110"/>
      <c r="AN439" s="110"/>
      <c r="AO439" s="110"/>
      <c r="AP439" s="115"/>
      <c r="AQ439" s="113"/>
      <c r="AR439" s="113"/>
      <c r="AS439" s="113"/>
      <c r="AT439" s="113"/>
      <c r="AU439" s="113"/>
      <c r="AV439" s="113"/>
      <c r="AW439" s="113"/>
      <c r="AX439" s="113"/>
      <c r="AY439" s="110"/>
    </row>
    <row r="440" spans="1:51" s="83" customFormat="1" ht="14.1" customHeight="1">
      <c r="A440" s="111"/>
      <c r="B440" s="114"/>
      <c r="C440" s="131"/>
      <c r="D440" s="131"/>
      <c r="E440" s="131"/>
      <c r="F440" s="131"/>
      <c r="G440" s="131"/>
      <c r="H440" s="131"/>
      <c r="I440" s="131"/>
      <c r="J440" s="131"/>
      <c r="K440" s="131"/>
      <c r="L440" s="131"/>
      <c r="M440" s="131"/>
      <c r="N440" s="131"/>
      <c r="O440" s="131"/>
      <c r="P440" s="131"/>
      <c r="Q440" s="131"/>
      <c r="R440" s="131"/>
      <c r="S440" s="130"/>
      <c r="T440" s="110"/>
      <c r="U440" s="110"/>
      <c r="V440" s="110"/>
      <c r="W440" s="110"/>
      <c r="X440" s="110"/>
      <c r="Y440" s="110"/>
      <c r="Z440" s="110"/>
      <c r="AA440" s="110"/>
      <c r="AB440" s="110"/>
      <c r="AC440" s="110"/>
      <c r="AD440" s="110"/>
      <c r="AE440" s="110"/>
      <c r="AF440" s="110"/>
      <c r="AG440" s="110"/>
      <c r="AH440" s="110"/>
      <c r="AI440" s="110"/>
      <c r="AJ440" s="110"/>
      <c r="AK440" s="110"/>
      <c r="AL440" s="110"/>
      <c r="AM440" s="110"/>
      <c r="AN440" s="110"/>
      <c r="AO440" s="110"/>
      <c r="AP440" s="115"/>
      <c r="AQ440" s="113"/>
      <c r="AR440" s="113"/>
      <c r="AS440" s="113"/>
      <c r="AT440" s="113"/>
      <c r="AU440" s="113"/>
      <c r="AV440" s="113"/>
      <c r="AW440" s="113"/>
      <c r="AX440" s="113"/>
      <c r="AY440" s="110"/>
    </row>
    <row r="441" spans="1:51" s="83" customFormat="1" ht="14.1" customHeight="1">
      <c r="A441" s="111"/>
      <c r="B441" s="114"/>
      <c r="C441" s="131"/>
      <c r="D441" s="131"/>
      <c r="E441" s="131"/>
      <c r="F441" s="131"/>
      <c r="G441" s="131"/>
      <c r="H441" s="131"/>
      <c r="I441" s="131"/>
      <c r="J441" s="131"/>
      <c r="K441" s="131"/>
      <c r="L441" s="131"/>
      <c r="M441" s="131"/>
      <c r="N441" s="131"/>
      <c r="O441" s="131"/>
      <c r="P441" s="131"/>
      <c r="Q441" s="131"/>
      <c r="R441" s="131"/>
      <c r="S441" s="130"/>
      <c r="T441" s="110"/>
      <c r="U441" s="110"/>
      <c r="V441" s="110"/>
      <c r="W441" s="110"/>
      <c r="X441" s="110"/>
      <c r="Y441" s="110"/>
      <c r="Z441" s="110"/>
      <c r="AA441" s="110"/>
      <c r="AB441" s="110"/>
      <c r="AC441" s="110"/>
      <c r="AD441" s="110"/>
      <c r="AE441" s="110"/>
      <c r="AF441" s="110"/>
      <c r="AG441" s="110"/>
      <c r="AH441" s="110"/>
      <c r="AI441" s="110"/>
      <c r="AJ441" s="110"/>
      <c r="AK441" s="110"/>
      <c r="AL441" s="110"/>
      <c r="AM441" s="110"/>
      <c r="AN441" s="110"/>
      <c r="AO441" s="110"/>
      <c r="AP441" s="115"/>
      <c r="AQ441" s="113"/>
      <c r="AR441" s="113"/>
      <c r="AS441" s="113"/>
      <c r="AT441" s="113"/>
      <c r="AU441" s="113"/>
      <c r="AV441" s="113"/>
      <c r="AW441" s="113"/>
      <c r="AX441" s="113"/>
      <c r="AY441" s="110"/>
    </row>
    <row r="442" spans="1:51" s="83" customFormat="1" ht="14.1" customHeight="1">
      <c r="A442" s="111"/>
      <c r="B442" s="114"/>
      <c r="C442" s="131"/>
      <c r="D442" s="131"/>
      <c r="E442" s="131"/>
      <c r="F442" s="131"/>
      <c r="G442" s="131"/>
      <c r="H442" s="131"/>
      <c r="I442" s="131"/>
      <c r="J442" s="131"/>
      <c r="K442" s="131"/>
      <c r="L442" s="131"/>
      <c r="M442" s="131"/>
      <c r="N442" s="131"/>
      <c r="O442" s="131"/>
      <c r="P442" s="131"/>
      <c r="Q442" s="131"/>
      <c r="R442" s="131"/>
      <c r="S442" s="130"/>
      <c r="T442" s="110"/>
      <c r="U442" s="110"/>
      <c r="V442" s="110"/>
      <c r="W442" s="110"/>
      <c r="X442" s="110"/>
      <c r="Y442" s="110"/>
      <c r="Z442" s="110"/>
      <c r="AA442" s="110"/>
      <c r="AB442" s="110"/>
      <c r="AC442" s="110"/>
      <c r="AD442" s="110"/>
      <c r="AE442" s="110"/>
      <c r="AF442" s="110"/>
      <c r="AG442" s="110"/>
      <c r="AH442" s="110"/>
      <c r="AI442" s="110"/>
      <c r="AJ442" s="110"/>
      <c r="AK442" s="110"/>
      <c r="AL442" s="110"/>
      <c r="AM442" s="110"/>
      <c r="AN442" s="110"/>
      <c r="AO442" s="110"/>
      <c r="AP442" s="115"/>
      <c r="AQ442" s="113"/>
      <c r="AR442" s="113"/>
      <c r="AS442" s="113"/>
      <c r="AT442" s="113"/>
      <c r="AU442" s="113"/>
      <c r="AV442" s="113"/>
      <c r="AW442" s="113"/>
      <c r="AX442" s="113"/>
      <c r="AY442" s="110"/>
    </row>
    <row r="443" spans="1:51" s="83" customFormat="1" ht="14.1" customHeight="1">
      <c r="A443" s="111"/>
      <c r="B443" s="114"/>
      <c r="C443" s="131"/>
      <c r="D443" s="131"/>
      <c r="E443" s="131"/>
      <c r="F443" s="131"/>
      <c r="G443" s="131"/>
      <c r="H443" s="131"/>
      <c r="I443" s="131"/>
      <c r="J443" s="131"/>
      <c r="K443" s="131"/>
      <c r="L443" s="131"/>
      <c r="M443" s="131"/>
      <c r="N443" s="131"/>
      <c r="O443" s="131"/>
      <c r="P443" s="131"/>
      <c r="Q443" s="131"/>
      <c r="R443" s="131"/>
      <c r="S443" s="130"/>
      <c r="T443" s="110"/>
      <c r="U443" s="110"/>
      <c r="V443" s="110"/>
      <c r="W443" s="110"/>
      <c r="X443" s="110"/>
      <c r="Y443" s="110"/>
      <c r="Z443" s="110"/>
      <c r="AA443" s="110"/>
      <c r="AB443" s="110"/>
      <c r="AC443" s="110"/>
      <c r="AD443" s="110"/>
      <c r="AE443" s="110"/>
      <c r="AF443" s="110"/>
      <c r="AG443" s="110"/>
      <c r="AH443" s="110"/>
      <c r="AI443" s="110"/>
      <c r="AJ443" s="110"/>
      <c r="AK443" s="110"/>
      <c r="AL443" s="110"/>
      <c r="AM443" s="110"/>
      <c r="AN443" s="110"/>
      <c r="AO443" s="110"/>
      <c r="AP443" s="115"/>
      <c r="AQ443" s="113"/>
      <c r="AR443" s="113"/>
      <c r="AS443" s="113"/>
      <c r="AT443" s="113"/>
      <c r="AU443" s="113"/>
      <c r="AV443" s="113"/>
      <c r="AW443" s="113"/>
      <c r="AX443" s="113"/>
      <c r="AY443" s="110"/>
    </row>
    <row r="444" spans="1:51" s="83" customFormat="1" ht="14.1" customHeight="1">
      <c r="A444" s="111"/>
      <c r="B444" s="114"/>
      <c r="C444" s="131"/>
      <c r="D444" s="131"/>
      <c r="E444" s="131"/>
      <c r="F444" s="131"/>
      <c r="G444" s="131"/>
      <c r="H444" s="131"/>
      <c r="I444" s="131"/>
      <c r="J444" s="131"/>
      <c r="K444" s="131"/>
      <c r="L444" s="131"/>
      <c r="M444" s="131"/>
      <c r="N444" s="131"/>
      <c r="O444" s="131"/>
      <c r="P444" s="131"/>
      <c r="Q444" s="131"/>
      <c r="R444" s="131"/>
      <c r="S444" s="130"/>
      <c r="T444" s="110"/>
      <c r="U444" s="110"/>
      <c r="V444" s="110"/>
      <c r="W444" s="110"/>
      <c r="X444" s="110"/>
      <c r="Y444" s="110"/>
      <c r="Z444" s="110"/>
      <c r="AA444" s="110"/>
      <c r="AB444" s="110"/>
      <c r="AC444" s="110"/>
      <c r="AD444" s="110"/>
      <c r="AE444" s="110"/>
      <c r="AF444" s="110"/>
      <c r="AG444" s="110"/>
      <c r="AH444" s="110"/>
      <c r="AI444" s="110"/>
      <c r="AJ444" s="110"/>
      <c r="AK444" s="110"/>
      <c r="AL444" s="110"/>
      <c r="AM444" s="110"/>
      <c r="AN444" s="110"/>
      <c r="AO444" s="110"/>
      <c r="AP444" s="115"/>
      <c r="AQ444" s="113"/>
      <c r="AR444" s="113"/>
      <c r="AS444" s="113"/>
      <c r="AT444" s="113"/>
      <c r="AU444" s="113"/>
      <c r="AV444" s="113"/>
      <c r="AW444" s="113"/>
      <c r="AX444" s="113"/>
      <c r="AY444" s="110"/>
    </row>
    <row r="445" spans="1:51" s="83" customFormat="1" ht="14.1" customHeight="1">
      <c r="A445" s="111"/>
      <c r="B445" s="114"/>
      <c r="C445" s="131"/>
      <c r="D445" s="131"/>
      <c r="E445" s="131"/>
      <c r="F445" s="131"/>
      <c r="G445" s="131"/>
      <c r="H445" s="131"/>
      <c r="I445" s="131"/>
      <c r="J445" s="131"/>
      <c r="K445" s="131"/>
      <c r="L445" s="131"/>
      <c r="M445" s="131"/>
      <c r="N445" s="131"/>
      <c r="O445" s="131"/>
      <c r="P445" s="131"/>
      <c r="Q445" s="131"/>
      <c r="R445" s="131"/>
      <c r="S445" s="130"/>
      <c r="T445" s="110"/>
      <c r="U445" s="110"/>
      <c r="V445" s="110"/>
      <c r="W445" s="110"/>
      <c r="X445" s="110"/>
      <c r="Y445" s="110"/>
      <c r="Z445" s="110"/>
      <c r="AA445" s="110"/>
      <c r="AB445" s="110"/>
      <c r="AC445" s="110"/>
      <c r="AD445" s="110"/>
      <c r="AE445" s="110"/>
      <c r="AF445" s="110"/>
      <c r="AG445" s="110"/>
      <c r="AH445" s="110"/>
      <c r="AI445" s="110"/>
      <c r="AJ445" s="110"/>
      <c r="AK445" s="110"/>
      <c r="AL445" s="110"/>
      <c r="AM445" s="110"/>
      <c r="AN445" s="110"/>
      <c r="AO445" s="110"/>
      <c r="AP445" s="115"/>
      <c r="AQ445" s="113"/>
      <c r="AR445" s="113"/>
      <c r="AS445" s="113"/>
      <c r="AT445" s="113"/>
      <c r="AU445" s="113"/>
      <c r="AV445" s="113"/>
      <c r="AW445" s="113"/>
      <c r="AX445" s="113"/>
      <c r="AY445" s="110"/>
    </row>
    <row r="446" spans="1:51" s="83" customFormat="1" ht="14.1" customHeight="1">
      <c r="A446" s="111"/>
      <c r="B446" s="114"/>
      <c r="C446" s="131"/>
      <c r="D446" s="131"/>
      <c r="E446" s="131"/>
      <c r="F446" s="131"/>
      <c r="G446" s="131"/>
      <c r="H446" s="131"/>
      <c r="I446" s="131"/>
      <c r="J446" s="131"/>
      <c r="K446" s="131"/>
      <c r="L446" s="131"/>
      <c r="M446" s="131"/>
      <c r="N446" s="131"/>
      <c r="O446" s="131"/>
      <c r="P446" s="131"/>
      <c r="Q446" s="131"/>
      <c r="R446" s="131"/>
      <c r="S446" s="130"/>
      <c r="T446" s="110"/>
      <c r="U446" s="110"/>
      <c r="V446" s="110"/>
      <c r="W446" s="110"/>
      <c r="X446" s="110"/>
      <c r="Y446" s="110"/>
      <c r="Z446" s="110"/>
      <c r="AA446" s="110"/>
      <c r="AB446" s="110"/>
      <c r="AC446" s="110"/>
      <c r="AD446" s="110"/>
      <c r="AE446" s="110"/>
      <c r="AF446" s="110"/>
      <c r="AG446" s="110"/>
      <c r="AH446" s="110"/>
      <c r="AI446" s="110"/>
      <c r="AJ446" s="110"/>
      <c r="AK446" s="110"/>
      <c r="AL446" s="110"/>
      <c r="AM446" s="110"/>
      <c r="AN446" s="110"/>
      <c r="AO446" s="110"/>
      <c r="AP446" s="115"/>
      <c r="AQ446" s="113"/>
      <c r="AR446" s="113"/>
      <c r="AS446" s="113"/>
      <c r="AT446" s="113"/>
      <c r="AU446" s="113"/>
      <c r="AV446" s="113"/>
      <c r="AW446" s="113"/>
      <c r="AX446" s="113"/>
      <c r="AY446" s="110"/>
    </row>
    <row r="447" spans="1:51" s="83" customFormat="1" ht="14.1" customHeight="1">
      <c r="A447" s="111"/>
      <c r="B447" s="114"/>
      <c r="C447" s="131"/>
      <c r="D447" s="131"/>
      <c r="E447" s="131"/>
      <c r="F447" s="131"/>
      <c r="G447" s="131"/>
      <c r="H447" s="131"/>
      <c r="I447" s="131"/>
      <c r="J447" s="131"/>
      <c r="K447" s="131"/>
      <c r="L447" s="131"/>
      <c r="M447" s="131"/>
      <c r="N447" s="131"/>
      <c r="O447" s="131"/>
      <c r="P447" s="131"/>
      <c r="Q447" s="131"/>
      <c r="R447" s="131"/>
      <c r="S447" s="130"/>
      <c r="T447" s="110"/>
      <c r="U447" s="110"/>
      <c r="V447" s="110"/>
      <c r="W447" s="110"/>
      <c r="X447" s="110"/>
      <c r="Y447" s="110"/>
      <c r="Z447" s="110"/>
      <c r="AA447" s="110"/>
      <c r="AB447" s="110"/>
      <c r="AC447" s="110"/>
      <c r="AD447" s="110"/>
      <c r="AE447" s="110"/>
      <c r="AF447" s="110"/>
      <c r="AG447" s="110"/>
      <c r="AH447" s="110"/>
      <c r="AI447" s="110"/>
      <c r="AJ447" s="110"/>
      <c r="AK447" s="110"/>
      <c r="AL447" s="110"/>
      <c r="AM447" s="110"/>
      <c r="AN447" s="110"/>
      <c r="AO447" s="110"/>
      <c r="AP447" s="115"/>
      <c r="AQ447" s="113"/>
      <c r="AR447" s="113"/>
      <c r="AS447" s="113"/>
      <c r="AT447" s="113"/>
      <c r="AU447" s="113"/>
      <c r="AV447" s="113"/>
      <c r="AW447" s="113"/>
      <c r="AX447" s="113"/>
      <c r="AY447" s="110"/>
    </row>
    <row r="448" spans="1:51" s="83" customFormat="1" ht="14.1" customHeight="1">
      <c r="A448" s="111"/>
      <c r="B448" s="114"/>
      <c r="C448" s="131"/>
      <c r="D448" s="131"/>
      <c r="E448" s="131"/>
      <c r="F448" s="131"/>
      <c r="G448" s="131"/>
      <c r="H448" s="131"/>
      <c r="I448" s="131"/>
      <c r="J448" s="131"/>
      <c r="K448" s="131"/>
      <c r="L448" s="131"/>
      <c r="M448" s="131"/>
      <c r="N448" s="131"/>
      <c r="O448" s="131"/>
      <c r="P448" s="131"/>
      <c r="Q448" s="131"/>
      <c r="R448" s="131"/>
      <c r="S448" s="130"/>
      <c r="T448" s="110"/>
      <c r="U448" s="110"/>
      <c r="V448" s="110"/>
      <c r="W448" s="110"/>
      <c r="X448" s="110"/>
      <c r="Y448" s="110"/>
      <c r="Z448" s="110"/>
      <c r="AA448" s="110"/>
      <c r="AB448" s="110"/>
      <c r="AC448" s="110"/>
      <c r="AD448" s="110"/>
      <c r="AE448" s="110"/>
      <c r="AF448" s="110"/>
      <c r="AG448" s="110"/>
      <c r="AH448" s="110"/>
      <c r="AI448" s="110"/>
      <c r="AJ448" s="110"/>
      <c r="AK448" s="110"/>
      <c r="AL448" s="110"/>
      <c r="AM448" s="110"/>
      <c r="AN448" s="110"/>
      <c r="AO448" s="110"/>
      <c r="AP448" s="115"/>
      <c r="AQ448" s="113"/>
      <c r="AR448" s="113"/>
      <c r="AS448" s="113"/>
      <c r="AT448" s="113"/>
      <c r="AU448" s="113"/>
      <c r="AV448" s="113"/>
      <c r="AW448" s="113"/>
      <c r="AX448" s="113"/>
      <c r="AY448" s="110"/>
    </row>
    <row r="449" spans="1:51" s="83" customFormat="1" ht="14.1" customHeight="1">
      <c r="A449" s="111"/>
      <c r="B449" s="114"/>
      <c r="C449" s="131"/>
      <c r="D449" s="131"/>
      <c r="E449" s="131"/>
      <c r="F449" s="131"/>
      <c r="G449" s="131"/>
      <c r="H449" s="131"/>
      <c r="I449" s="131"/>
      <c r="J449" s="131"/>
      <c r="K449" s="131"/>
      <c r="L449" s="131"/>
      <c r="M449" s="131"/>
      <c r="N449" s="131"/>
      <c r="O449" s="131"/>
      <c r="P449" s="131"/>
      <c r="Q449" s="131"/>
      <c r="R449" s="131"/>
      <c r="S449" s="130"/>
      <c r="T449" s="110"/>
      <c r="U449" s="110"/>
      <c r="V449" s="110"/>
      <c r="W449" s="110"/>
      <c r="X449" s="110"/>
      <c r="Y449" s="110"/>
      <c r="Z449" s="110"/>
      <c r="AA449" s="110"/>
      <c r="AB449" s="110"/>
      <c r="AC449" s="110"/>
      <c r="AD449" s="110"/>
      <c r="AE449" s="110"/>
      <c r="AF449" s="110"/>
      <c r="AG449" s="110"/>
      <c r="AH449" s="110"/>
      <c r="AI449" s="110"/>
      <c r="AJ449" s="110"/>
      <c r="AK449" s="110"/>
      <c r="AL449" s="110"/>
      <c r="AM449" s="110"/>
      <c r="AN449" s="110"/>
      <c r="AO449" s="110"/>
      <c r="AP449" s="115"/>
      <c r="AQ449" s="113"/>
      <c r="AR449" s="113"/>
      <c r="AS449" s="113"/>
      <c r="AT449" s="113"/>
      <c r="AU449" s="113"/>
      <c r="AV449" s="113"/>
      <c r="AW449" s="113"/>
      <c r="AX449" s="113"/>
      <c r="AY449" s="110"/>
    </row>
    <row r="450" spans="1:51" s="83" customFormat="1" ht="14.1" customHeight="1">
      <c r="A450" s="111"/>
      <c r="B450" s="114"/>
      <c r="C450" s="131"/>
      <c r="D450" s="131"/>
      <c r="E450" s="131"/>
      <c r="F450" s="131"/>
      <c r="G450" s="131"/>
      <c r="H450" s="131"/>
      <c r="I450" s="131"/>
      <c r="J450" s="131"/>
      <c r="K450" s="131"/>
      <c r="L450" s="131"/>
      <c r="M450" s="131"/>
      <c r="N450" s="131"/>
      <c r="O450" s="131"/>
      <c r="P450" s="131"/>
      <c r="Q450" s="131"/>
      <c r="R450" s="131"/>
      <c r="S450" s="130"/>
      <c r="T450" s="110"/>
      <c r="U450" s="110"/>
      <c r="V450" s="110"/>
      <c r="W450" s="110"/>
      <c r="X450" s="110"/>
      <c r="Y450" s="110"/>
      <c r="Z450" s="110"/>
      <c r="AA450" s="110"/>
      <c r="AB450" s="110"/>
      <c r="AC450" s="110"/>
      <c r="AD450" s="110"/>
      <c r="AE450" s="110"/>
      <c r="AF450" s="110"/>
      <c r="AG450" s="110"/>
      <c r="AH450" s="110"/>
      <c r="AI450" s="110"/>
      <c r="AJ450" s="110"/>
      <c r="AK450" s="110"/>
      <c r="AL450" s="110"/>
      <c r="AM450" s="110"/>
      <c r="AN450" s="110"/>
      <c r="AO450" s="110"/>
      <c r="AP450" s="115"/>
      <c r="AQ450" s="113"/>
      <c r="AR450" s="113"/>
      <c r="AS450" s="113"/>
      <c r="AT450" s="113"/>
      <c r="AU450" s="113"/>
      <c r="AV450" s="113"/>
      <c r="AW450" s="113"/>
      <c r="AX450" s="113"/>
      <c r="AY450" s="110"/>
    </row>
    <row r="451" spans="1:51" s="83" customFormat="1" ht="14.1" customHeight="1">
      <c r="A451" s="111"/>
      <c r="B451" s="114"/>
      <c r="C451" s="131"/>
      <c r="D451" s="131"/>
      <c r="E451" s="131"/>
      <c r="F451" s="131"/>
      <c r="G451" s="131"/>
      <c r="H451" s="131"/>
      <c r="I451" s="131"/>
      <c r="J451" s="131"/>
      <c r="K451" s="131"/>
      <c r="L451" s="131"/>
      <c r="M451" s="131"/>
      <c r="N451" s="131"/>
      <c r="O451" s="131"/>
      <c r="P451" s="131"/>
      <c r="Q451" s="131"/>
      <c r="R451" s="131"/>
      <c r="S451" s="130"/>
      <c r="T451" s="110"/>
      <c r="U451" s="110"/>
      <c r="V451" s="110"/>
      <c r="W451" s="110"/>
      <c r="X451" s="110"/>
      <c r="Y451" s="110"/>
      <c r="Z451" s="110"/>
      <c r="AA451" s="110"/>
      <c r="AB451" s="110"/>
      <c r="AC451" s="110"/>
      <c r="AD451" s="110"/>
      <c r="AE451" s="110"/>
      <c r="AF451" s="110"/>
      <c r="AG451" s="110"/>
      <c r="AH451" s="110"/>
      <c r="AI451" s="110"/>
      <c r="AJ451" s="110"/>
      <c r="AK451" s="110"/>
      <c r="AL451" s="110"/>
      <c r="AM451" s="110"/>
      <c r="AN451" s="110"/>
      <c r="AO451" s="110"/>
      <c r="AP451" s="115"/>
      <c r="AQ451" s="113"/>
      <c r="AR451" s="113"/>
      <c r="AS451" s="113"/>
      <c r="AT451" s="113"/>
      <c r="AU451" s="113"/>
      <c r="AV451" s="113"/>
      <c r="AW451" s="113"/>
      <c r="AX451" s="113"/>
      <c r="AY451" s="110"/>
    </row>
    <row r="452" spans="1:51" s="83" customFormat="1" ht="14.1" customHeight="1">
      <c r="A452" s="111"/>
      <c r="B452" s="114"/>
      <c r="C452" s="131"/>
      <c r="D452" s="131"/>
      <c r="E452" s="131"/>
      <c r="F452" s="131"/>
      <c r="G452" s="131"/>
      <c r="H452" s="131"/>
      <c r="I452" s="131"/>
      <c r="J452" s="131"/>
      <c r="K452" s="131"/>
      <c r="L452" s="131"/>
      <c r="M452" s="131"/>
      <c r="N452" s="131"/>
      <c r="O452" s="131"/>
      <c r="P452" s="131"/>
      <c r="Q452" s="131"/>
      <c r="R452" s="131"/>
      <c r="S452" s="130"/>
      <c r="T452" s="110"/>
      <c r="U452" s="110"/>
      <c r="V452" s="110"/>
      <c r="W452" s="110"/>
      <c r="X452" s="110"/>
      <c r="Y452" s="110"/>
      <c r="Z452" s="110"/>
      <c r="AA452" s="110"/>
      <c r="AB452" s="110"/>
      <c r="AC452" s="110"/>
      <c r="AD452" s="110"/>
      <c r="AE452" s="110"/>
      <c r="AF452" s="110"/>
      <c r="AG452" s="110"/>
      <c r="AH452" s="110"/>
      <c r="AI452" s="110"/>
      <c r="AJ452" s="110"/>
      <c r="AK452" s="110"/>
      <c r="AL452" s="110"/>
      <c r="AM452" s="110"/>
      <c r="AN452" s="110"/>
      <c r="AO452" s="110"/>
      <c r="AP452" s="115"/>
      <c r="AQ452" s="113"/>
      <c r="AR452" s="113"/>
      <c r="AS452" s="113"/>
      <c r="AT452" s="113"/>
      <c r="AU452" s="113"/>
      <c r="AV452" s="113"/>
      <c r="AW452" s="113"/>
      <c r="AX452" s="113"/>
      <c r="AY452" s="110"/>
    </row>
    <row r="453" spans="1:51" s="83" customFormat="1">
      <c r="A453" s="111"/>
      <c r="B453" s="114"/>
      <c r="C453" s="131"/>
      <c r="D453" s="131"/>
      <c r="E453" s="131"/>
      <c r="F453" s="131"/>
      <c r="G453" s="131"/>
      <c r="H453" s="131"/>
      <c r="I453" s="131"/>
      <c r="J453" s="131"/>
      <c r="K453" s="131"/>
      <c r="L453" s="131"/>
      <c r="M453" s="131"/>
      <c r="N453" s="131"/>
      <c r="O453" s="131"/>
      <c r="P453" s="131"/>
      <c r="Q453" s="131"/>
      <c r="R453" s="131"/>
      <c r="S453" s="130"/>
      <c r="T453" s="110"/>
      <c r="U453" s="110"/>
      <c r="V453" s="110"/>
      <c r="W453" s="110"/>
      <c r="X453" s="110"/>
      <c r="Y453" s="110"/>
      <c r="Z453" s="110"/>
      <c r="AA453" s="110"/>
      <c r="AB453" s="110"/>
      <c r="AC453" s="110"/>
      <c r="AD453" s="110"/>
      <c r="AE453" s="110"/>
      <c r="AF453" s="110"/>
      <c r="AG453" s="110"/>
      <c r="AH453" s="110"/>
      <c r="AI453" s="110"/>
      <c r="AJ453" s="110"/>
      <c r="AK453" s="110"/>
      <c r="AL453" s="110"/>
      <c r="AM453" s="110"/>
      <c r="AN453" s="110"/>
      <c r="AO453" s="110"/>
      <c r="AP453" s="115"/>
      <c r="AQ453" s="113"/>
      <c r="AR453" s="113"/>
      <c r="AS453" s="113"/>
      <c r="AT453" s="113"/>
      <c r="AU453" s="113"/>
      <c r="AV453" s="113"/>
      <c r="AW453" s="113"/>
      <c r="AX453" s="113"/>
      <c r="AY453" s="110"/>
    </row>
    <row r="454" spans="1:51" s="83" customFormat="1">
      <c r="A454" s="111"/>
      <c r="B454" s="114"/>
      <c r="C454" s="131"/>
      <c r="D454" s="131"/>
      <c r="E454" s="131"/>
      <c r="F454" s="131"/>
      <c r="G454" s="131"/>
      <c r="H454" s="131"/>
      <c r="I454" s="131"/>
      <c r="J454" s="131"/>
      <c r="K454" s="131"/>
      <c r="L454" s="131"/>
      <c r="M454" s="131"/>
      <c r="N454" s="131"/>
      <c r="O454" s="131"/>
      <c r="P454" s="131"/>
      <c r="Q454" s="131"/>
      <c r="R454" s="131"/>
      <c r="S454" s="130"/>
      <c r="T454" s="110"/>
      <c r="U454" s="110"/>
      <c r="V454" s="110"/>
      <c r="W454" s="110"/>
      <c r="X454" s="110"/>
      <c r="Y454" s="110"/>
      <c r="Z454" s="110"/>
      <c r="AA454" s="110"/>
      <c r="AB454" s="110"/>
      <c r="AC454" s="110"/>
      <c r="AD454" s="110"/>
      <c r="AE454" s="110"/>
      <c r="AF454" s="110"/>
      <c r="AG454" s="110"/>
      <c r="AH454" s="110"/>
      <c r="AI454" s="110"/>
      <c r="AJ454" s="110"/>
      <c r="AK454" s="110"/>
      <c r="AL454" s="110"/>
      <c r="AM454" s="110"/>
      <c r="AN454" s="110"/>
      <c r="AO454" s="110"/>
      <c r="AP454" s="115"/>
      <c r="AQ454" s="113"/>
      <c r="AR454" s="113"/>
      <c r="AS454" s="113"/>
      <c r="AT454" s="113"/>
      <c r="AU454" s="113"/>
      <c r="AV454" s="113"/>
      <c r="AW454" s="113"/>
      <c r="AX454" s="113"/>
      <c r="AY454" s="110"/>
    </row>
    <row r="455" spans="1:51" s="83" customFormat="1">
      <c r="A455" s="111"/>
      <c r="B455" s="114"/>
      <c r="C455" s="131"/>
      <c r="D455" s="131"/>
      <c r="E455" s="131"/>
      <c r="F455" s="131"/>
      <c r="G455" s="131"/>
      <c r="H455" s="131"/>
      <c r="I455" s="131"/>
      <c r="J455" s="131"/>
      <c r="K455" s="131"/>
      <c r="L455" s="131"/>
      <c r="M455" s="131"/>
      <c r="N455" s="131"/>
      <c r="O455" s="131"/>
      <c r="P455" s="131"/>
      <c r="Q455" s="131"/>
      <c r="R455" s="131"/>
      <c r="S455" s="130"/>
      <c r="T455" s="110"/>
      <c r="U455" s="110"/>
      <c r="V455" s="110"/>
      <c r="W455" s="110"/>
      <c r="X455" s="110"/>
      <c r="Y455" s="110"/>
      <c r="Z455" s="110"/>
      <c r="AA455" s="110"/>
      <c r="AB455" s="110"/>
      <c r="AC455" s="110"/>
      <c r="AD455" s="110"/>
      <c r="AE455" s="110"/>
      <c r="AF455" s="110"/>
      <c r="AG455" s="110"/>
      <c r="AH455" s="110"/>
      <c r="AI455" s="110"/>
      <c r="AJ455" s="110"/>
      <c r="AK455" s="110"/>
      <c r="AL455" s="110"/>
      <c r="AM455" s="110"/>
      <c r="AN455" s="110"/>
      <c r="AO455" s="110"/>
      <c r="AP455" s="115"/>
      <c r="AQ455" s="113"/>
      <c r="AR455" s="113"/>
      <c r="AS455" s="113"/>
      <c r="AT455" s="113"/>
      <c r="AU455" s="113"/>
      <c r="AV455" s="113"/>
      <c r="AW455" s="113"/>
      <c r="AX455" s="113"/>
      <c r="AY455" s="110"/>
    </row>
    <row r="456" spans="1:51" s="83" customFormat="1">
      <c r="A456" s="111"/>
      <c r="B456" s="114"/>
      <c r="C456" s="131"/>
      <c r="D456" s="131"/>
      <c r="E456" s="131"/>
      <c r="F456" s="131"/>
      <c r="G456" s="131"/>
      <c r="H456" s="131"/>
      <c r="I456" s="131"/>
      <c r="J456" s="131"/>
      <c r="K456" s="131"/>
      <c r="L456" s="131"/>
      <c r="M456" s="131"/>
      <c r="N456" s="131"/>
      <c r="O456" s="131"/>
      <c r="P456" s="131"/>
      <c r="Q456" s="131"/>
      <c r="R456" s="131"/>
      <c r="S456" s="130"/>
      <c r="T456" s="110"/>
      <c r="U456" s="110"/>
      <c r="V456" s="110"/>
      <c r="W456" s="110"/>
      <c r="X456" s="110"/>
      <c r="Y456" s="110"/>
      <c r="Z456" s="110"/>
      <c r="AA456" s="110"/>
      <c r="AB456" s="110"/>
      <c r="AC456" s="110"/>
      <c r="AD456" s="110"/>
      <c r="AE456" s="110"/>
      <c r="AF456" s="110"/>
      <c r="AG456" s="110"/>
      <c r="AH456" s="110"/>
      <c r="AI456" s="110"/>
      <c r="AJ456" s="110"/>
      <c r="AK456" s="110"/>
      <c r="AL456" s="110"/>
      <c r="AM456" s="110"/>
      <c r="AN456" s="110"/>
      <c r="AO456" s="110"/>
      <c r="AP456" s="115"/>
      <c r="AQ456" s="113"/>
      <c r="AR456" s="113"/>
      <c r="AS456" s="113"/>
      <c r="AT456" s="113"/>
      <c r="AU456" s="113"/>
      <c r="AV456" s="113"/>
      <c r="AW456" s="113"/>
      <c r="AX456" s="113"/>
      <c r="AY456" s="110"/>
    </row>
    <row r="457" spans="1:51" s="83" customFormat="1">
      <c r="A457" s="111"/>
      <c r="B457" s="114"/>
      <c r="C457" s="131"/>
      <c r="D457" s="131"/>
      <c r="E457" s="131"/>
      <c r="F457" s="131"/>
      <c r="G457" s="131"/>
      <c r="H457" s="131"/>
      <c r="I457" s="131"/>
      <c r="J457" s="131"/>
      <c r="K457" s="131"/>
      <c r="L457" s="131"/>
      <c r="M457" s="131"/>
      <c r="N457" s="131"/>
      <c r="O457" s="131"/>
      <c r="P457" s="131"/>
      <c r="Q457" s="131"/>
      <c r="R457" s="131"/>
      <c r="S457" s="130"/>
      <c r="T457" s="110"/>
      <c r="U457" s="110"/>
      <c r="V457" s="110"/>
      <c r="W457" s="110"/>
      <c r="X457" s="110"/>
      <c r="Y457" s="110"/>
      <c r="Z457" s="110"/>
      <c r="AA457" s="110"/>
      <c r="AB457" s="110"/>
      <c r="AC457" s="110"/>
      <c r="AD457" s="110"/>
      <c r="AE457" s="110"/>
      <c r="AF457" s="110"/>
      <c r="AG457" s="110"/>
      <c r="AH457" s="110"/>
      <c r="AI457" s="110"/>
      <c r="AJ457" s="110"/>
      <c r="AK457" s="110"/>
      <c r="AL457" s="110"/>
      <c r="AM457" s="110"/>
      <c r="AN457" s="110"/>
      <c r="AO457" s="110"/>
      <c r="AP457" s="115"/>
      <c r="AQ457" s="113"/>
      <c r="AR457" s="113"/>
      <c r="AS457" s="113"/>
      <c r="AT457" s="113"/>
      <c r="AU457" s="113"/>
      <c r="AV457" s="113"/>
      <c r="AW457" s="113"/>
      <c r="AX457" s="113"/>
      <c r="AY457" s="110"/>
    </row>
    <row r="458" spans="1:51" s="83" customFormat="1">
      <c r="A458" s="111"/>
      <c r="B458" s="114"/>
      <c r="C458" s="131"/>
      <c r="D458" s="131"/>
      <c r="E458" s="131"/>
      <c r="F458" s="131"/>
      <c r="G458" s="131"/>
      <c r="H458" s="131"/>
      <c r="I458" s="131"/>
      <c r="J458" s="131"/>
      <c r="K458" s="131"/>
      <c r="L458" s="131"/>
      <c r="M458" s="131"/>
      <c r="N458" s="131"/>
      <c r="O458" s="131"/>
      <c r="P458" s="131"/>
      <c r="Q458" s="131"/>
      <c r="R458" s="131"/>
      <c r="S458" s="130"/>
      <c r="T458" s="110"/>
      <c r="U458" s="110"/>
      <c r="V458" s="110"/>
      <c r="W458" s="110"/>
      <c r="X458" s="110"/>
      <c r="Y458" s="110"/>
      <c r="Z458" s="110"/>
      <c r="AA458" s="110"/>
      <c r="AB458" s="110"/>
      <c r="AC458" s="110"/>
      <c r="AD458" s="110"/>
      <c r="AE458" s="110"/>
      <c r="AF458" s="110"/>
      <c r="AG458" s="110"/>
      <c r="AH458" s="110"/>
      <c r="AI458" s="110"/>
      <c r="AJ458" s="110"/>
      <c r="AK458" s="110"/>
      <c r="AL458" s="110"/>
      <c r="AM458" s="110"/>
      <c r="AN458" s="110"/>
      <c r="AO458" s="110"/>
      <c r="AP458" s="115"/>
      <c r="AQ458" s="113"/>
      <c r="AR458" s="113"/>
      <c r="AS458" s="113"/>
      <c r="AT458" s="113"/>
      <c r="AU458" s="113"/>
      <c r="AV458" s="113"/>
      <c r="AW458" s="113"/>
      <c r="AX458" s="113"/>
      <c r="AY458" s="110"/>
    </row>
    <row r="459" spans="1:51" s="83" customFormat="1">
      <c r="A459" s="111"/>
      <c r="B459" s="114"/>
      <c r="C459" s="131"/>
      <c r="D459" s="131"/>
      <c r="E459" s="131"/>
      <c r="F459" s="131"/>
      <c r="G459" s="131"/>
      <c r="H459" s="131"/>
      <c r="I459" s="131"/>
      <c r="J459" s="131"/>
      <c r="K459" s="131"/>
      <c r="L459" s="131"/>
      <c r="M459" s="131"/>
      <c r="N459" s="131"/>
      <c r="O459" s="131"/>
      <c r="P459" s="131"/>
      <c r="Q459" s="131"/>
      <c r="R459" s="131"/>
      <c r="S459" s="130"/>
      <c r="T459" s="110"/>
      <c r="U459" s="110"/>
      <c r="V459" s="110"/>
      <c r="W459" s="110"/>
      <c r="X459" s="110"/>
      <c r="Y459" s="110"/>
      <c r="Z459" s="110"/>
      <c r="AA459" s="110"/>
      <c r="AB459" s="110"/>
      <c r="AC459" s="110"/>
      <c r="AD459" s="110"/>
      <c r="AE459" s="110"/>
      <c r="AF459" s="110"/>
      <c r="AG459" s="110"/>
      <c r="AH459" s="110"/>
      <c r="AI459" s="110"/>
      <c r="AJ459" s="110"/>
      <c r="AK459" s="110"/>
      <c r="AL459" s="110"/>
      <c r="AM459" s="110"/>
      <c r="AN459" s="110"/>
      <c r="AO459" s="110"/>
      <c r="AP459" s="115"/>
      <c r="AQ459" s="113"/>
      <c r="AR459" s="113"/>
      <c r="AS459" s="113"/>
      <c r="AT459" s="113"/>
      <c r="AU459" s="113"/>
      <c r="AV459" s="113"/>
      <c r="AW459" s="113"/>
      <c r="AX459" s="113"/>
      <c r="AY459" s="110"/>
    </row>
    <row r="460" spans="1:51" s="83" customFormat="1">
      <c r="A460" s="111"/>
      <c r="B460" s="114"/>
      <c r="C460" s="131"/>
      <c r="D460" s="131"/>
      <c r="E460" s="131"/>
      <c r="F460" s="131"/>
      <c r="G460" s="131"/>
      <c r="H460" s="131"/>
      <c r="I460" s="131"/>
      <c r="J460" s="131"/>
      <c r="K460" s="131"/>
      <c r="L460" s="131"/>
      <c r="M460" s="131"/>
      <c r="N460" s="131"/>
      <c r="O460" s="131"/>
      <c r="P460" s="131"/>
      <c r="Q460" s="131"/>
      <c r="R460" s="131"/>
      <c r="S460" s="130"/>
      <c r="T460" s="110"/>
      <c r="U460" s="110"/>
      <c r="V460" s="110"/>
      <c r="W460" s="110"/>
      <c r="X460" s="110"/>
      <c r="Y460" s="110"/>
      <c r="Z460" s="110"/>
      <c r="AA460" s="110"/>
      <c r="AB460" s="110"/>
      <c r="AC460" s="110"/>
      <c r="AD460" s="110"/>
      <c r="AE460" s="110"/>
      <c r="AF460" s="110"/>
      <c r="AG460" s="110"/>
      <c r="AH460" s="110"/>
      <c r="AI460" s="110"/>
      <c r="AJ460" s="110"/>
      <c r="AK460" s="110"/>
      <c r="AL460" s="110"/>
      <c r="AM460" s="110"/>
      <c r="AN460" s="110"/>
      <c r="AO460" s="110"/>
      <c r="AP460" s="115"/>
      <c r="AQ460" s="113"/>
      <c r="AR460" s="113"/>
      <c r="AS460" s="113"/>
      <c r="AT460" s="113"/>
      <c r="AU460" s="113"/>
      <c r="AV460" s="113"/>
      <c r="AW460" s="113"/>
      <c r="AX460" s="113"/>
      <c r="AY460" s="110"/>
    </row>
    <row r="461" spans="1:51" s="83" customFormat="1">
      <c r="A461" s="111"/>
      <c r="B461" s="114"/>
      <c r="C461" s="131"/>
      <c r="D461" s="131"/>
      <c r="E461" s="131"/>
      <c r="F461" s="131"/>
      <c r="G461" s="131"/>
      <c r="H461" s="131"/>
      <c r="I461" s="131"/>
      <c r="J461" s="131"/>
      <c r="K461" s="131"/>
      <c r="L461" s="131"/>
      <c r="M461" s="131"/>
      <c r="N461" s="131"/>
      <c r="O461" s="131"/>
      <c r="P461" s="131"/>
      <c r="Q461" s="131"/>
      <c r="R461" s="131"/>
      <c r="S461" s="130"/>
      <c r="T461" s="110"/>
      <c r="U461" s="110"/>
      <c r="V461" s="110"/>
      <c r="W461" s="110"/>
      <c r="X461" s="110"/>
      <c r="Y461" s="110"/>
      <c r="Z461" s="110"/>
      <c r="AA461" s="110"/>
      <c r="AB461" s="110"/>
      <c r="AC461" s="110"/>
      <c r="AD461" s="110"/>
      <c r="AE461" s="110"/>
      <c r="AF461" s="110"/>
      <c r="AG461" s="110"/>
      <c r="AH461" s="110"/>
      <c r="AI461" s="110"/>
      <c r="AJ461" s="110"/>
      <c r="AK461" s="110"/>
      <c r="AL461" s="110"/>
      <c r="AM461" s="110"/>
      <c r="AN461" s="110"/>
      <c r="AO461" s="110"/>
      <c r="AP461" s="115"/>
      <c r="AQ461" s="113"/>
      <c r="AR461" s="113"/>
      <c r="AS461" s="113"/>
      <c r="AT461" s="113"/>
      <c r="AU461" s="113"/>
      <c r="AV461" s="113"/>
      <c r="AW461" s="113"/>
      <c r="AX461" s="113"/>
      <c r="AY461" s="110"/>
    </row>
    <row r="462" spans="1:51" s="83" customFormat="1">
      <c r="A462" s="111"/>
      <c r="B462" s="114"/>
      <c r="C462" s="131"/>
      <c r="D462" s="131"/>
      <c r="E462" s="131"/>
      <c r="F462" s="131"/>
      <c r="G462" s="131"/>
      <c r="H462" s="131"/>
      <c r="I462" s="131"/>
      <c r="J462" s="131"/>
      <c r="K462" s="131"/>
      <c r="L462" s="131"/>
      <c r="M462" s="131"/>
      <c r="N462" s="131"/>
      <c r="O462" s="131"/>
      <c r="P462" s="131"/>
      <c r="Q462" s="131"/>
      <c r="R462" s="131"/>
      <c r="S462" s="130"/>
      <c r="T462" s="110"/>
      <c r="U462" s="110"/>
      <c r="V462" s="110"/>
      <c r="W462" s="110"/>
      <c r="X462" s="110"/>
      <c r="Y462" s="110"/>
      <c r="Z462" s="110"/>
      <c r="AA462" s="110"/>
      <c r="AB462" s="110"/>
      <c r="AC462" s="110"/>
      <c r="AD462" s="110"/>
      <c r="AE462" s="110"/>
      <c r="AF462" s="110"/>
      <c r="AG462" s="110"/>
      <c r="AH462" s="110"/>
      <c r="AI462" s="110"/>
      <c r="AJ462" s="110"/>
      <c r="AK462" s="110"/>
      <c r="AL462" s="110"/>
      <c r="AM462" s="110"/>
      <c r="AN462" s="110"/>
      <c r="AO462" s="110"/>
      <c r="AP462" s="115"/>
      <c r="AQ462" s="113"/>
      <c r="AR462" s="113"/>
      <c r="AS462" s="113"/>
      <c r="AT462" s="113"/>
      <c r="AU462" s="113"/>
      <c r="AV462" s="113"/>
      <c r="AW462" s="113"/>
      <c r="AX462" s="113"/>
      <c r="AY462" s="110"/>
    </row>
    <row r="463" spans="1:51" s="83" customFormat="1">
      <c r="A463" s="111"/>
      <c r="B463" s="114"/>
      <c r="C463" s="131"/>
      <c r="D463" s="131"/>
      <c r="E463" s="131"/>
      <c r="F463" s="131"/>
      <c r="G463" s="131"/>
      <c r="H463" s="131"/>
      <c r="I463" s="131"/>
      <c r="J463" s="131"/>
      <c r="K463" s="131"/>
      <c r="L463" s="131"/>
      <c r="M463" s="131"/>
      <c r="N463" s="131"/>
      <c r="O463" s="131"/>
      <c r="P463" s="131"/>
      <c r="Q463" s="131"/>
      <c r="R463" s="131"/>
      <c r="S463" s="130"/>
      <c r="T463" s="110"/>
      <c r="U463" s="110"/>
      <c r="V463" s="110"/>
      <c r="W463" s="110"/>
      <c r="X463" s="110"/>
      <c r="Y463" s="110"/>
      <c r="Z463" s="110"/>
      <c r="AA463" s="110"/>
      <c r="AB463" s="110"/>
      <c r="AC463" s="110"/>
      <c r="AD463" s="110"/>
      <c r="AE463" s="110"/>
      <c r="AF463" s="110"/>
      <c r="AG463" s="110"/>
      <c r="AH463" s="110"/>
      <c r="AI463" s="110"/>
      <c r="AJ463" s="110"/>
      <c r="AK463" s="110"/>
      <c r="AL463" s="110"/>
      <c r="AM463" s="110"/>
      <c r="AN463" s="110"/>
      <c r="AO463" s="110"/>
      <c r="AP463" s="115"/>
      <c r="AQ463" s="113"/>
      <c r="AR463" s="113"/>
      <c r="AS463" s="113"/>
      <c r="AT463" s="113"/>
      <c r="AU463" s="113"/>
      <c r="AV463" s="113"/>
      <c r="AW463" s="113"/>
      <c r="AX463" s="113"/>
      <c r="AY463" s="110"/>
    </row>
    <row r="464" spans="1:51" s="83" customFormat="1">
      <c r="A464" s="111"/>
      <c r="B464" s="114"/>
      <c r="C464" s="131"/>
      <c r="D464" s="131"/>
      <c r="E464" s="131"/>
      <c r="F464" s="131"/>
      <c r="G464" s="131"/>
      <c r="H464" s="131"/>
      <c r="I464" s="131"/>
      <c r="J464" s="131"/>
      <c r="K464" s="131"/>
      <c r="L464" s="131"/>
      <c r="M464" s="131"/>
      <c r="N464" s="131"/>
      <c r="O464" s="131"/>
      <c r="P464" s="131"/>
      <c r="Q464" s="131"/>
      <c r="R464" s="131"/>
      <c r="S464" s="130"/>
      <c r="T464" s="110"/>
      <c r="U464" s="110"/>
      <c r="V464" s="110"/>
      <c r="W464" s="110"/>
      <c r="X464" s="110"/>
      <c r="Y464" s="110"/>
      <c r="Z464" s="110"/>
      <c r="AA464" s="110"/>
      <c r="AB464" s="110"/>
      <c r="AC464" s="110"/>
      <c r="AD464" s="110"/>
      <c r="AE464" s="110"/>
      <c r="AF464" s="110"/>
      <c r="AG464" s="110"/>
      <c r="AH464" s="110"/>
      <c r="AI464" s="110"/>
      <c r="AJ464" s="110"/>
      <c r="AK464" s="110"/>
      <c r="AL464" s="110"/>
      <c r="AM464" s="110"/>
      <c r="AN464" s="110"/>
      <c r="AO464" s="110"/>
      <c r="AP464" s="115"/>
      <c r="AQ464" s="113"/>
      <c r="AR464" s="113"/>
      <c r="AS464" s="113"/>
      <c r="AT464" s="113"/>
      <c r="AU464" s="113"/>
      <c r="AV464" s="113"/>
      <c r="AW464" s="113"/>
      <c r="AX464" s="113"/>
      <c r="AY464" s="110"/>
    </row>
    <row r="465" spans="1:51" s="83" customFormat="1">
      <c r="A465" s="111"/>
      <c r="B465" s="114"/>
      <c r="C465" s="131"/>
      <c r="D465" s="131"/>
      <c r="E465" s="131"/>
      <c r="F465" s="131"/>
      <c r="G465" s="131"/>
      <c r="H465" s="131"/>
      <c r="I465" s="131"/>
      <c r="J465" s="131"/>
      <c r="K465" s="131"/>
      <c r="L465" s="131"/>
      <c r="M465" s="131"/>
      <c r="N465" s="131"/>
      <c r="O465" s="131"/>
      <c r="P465" s="131"/>
      <c r="Q465" s="131"/>
      <c r="R465" s="131"/>
      <c r="S465" s="130"/>
      <c r="T465" s="110"/>
      <c r="U465" s="110"/>
      <c r="V465" s="110"/>
      <c r="W465" s="110"/>
      <c r="X465" s="110"/>
      <c r="Y465" s="110"/>
      <c r="Z465" s="110"/>
      <c r="AA465" s="110"/>
      <c r="AB465" s="110"/>
      <c r="AC465" s="110"/>
      <c r="AD465" s="110"/>
      <c r="AE465" s="110"/>
      <c r="AF465" s="110"/>
      <c r="AG465" s="110"/>
      <c r="AH465" s="110"/>
      <c r="AI465" s="110"/>
      <c r="AJ465" s="110"/>
      <c r="AK465" s="110"/>
      <c r="AL465" s="110"/>
      <c r="AM465" s="110"/>
      <c r="AN465" s="110"/>
      <c r="AO465" s="110"/>
      <c r="AP465" s="115"/>
      <c r="AQ465" s="113"/>
      <c r="AR465" s="113"/>
      <c r="AS465" s="113"/>
      <c r="AT465" s="113"/>
      <c r="AU465" s="113"/>
      <c r="AV465" s="113"/>
      <c r="AW465" s="113"/>
      <c r="AX465" s="113"/>
      <c r="AY465" s="110"/>
    </row>
    <row r="466" spans="1:51" s="83" customFormat="1">
      <c r="A466" s="111"/>
      <c r="B466" s="114"/>
      <c r="C466" s="131"/>
      <c r="D466" s="131"/>
      <c r="E466" s="131"/>
      <c r="F466" s="131"/>
      <c r="G466" s="131"/>
      <c r="H466" s="131"/>
      <c r="I466" s="131"/>
      <c r="J466" s="131"/>
      <c r="K466" s="131"/>
      <c r="L466" s="131"/>
      <c r="M466" s="131"/>
      <c r="N466" s="131"/>
      <c r="O466" s="131"/>
      <c r="P466" s="131"/>
      <c r="Q466" s="131"/>
      <c r="R466" s="131"/>
      <c r="S466" s="130"/>
      <c r="T466" s="110"/>
      <c r="U466" s="110"/>
      <c r="V466" s="110"/>
      <c r="W466" s="110"/>
      <c r="X466" s="110"/>
      <c r="Y466" s="110"/>
      <c r="Z466" s="110"/>
      <c r="AA466" s="110"/>
      <c r="AB466" s="110"/>
      <c r="AC466" s="110"/>
      <c r="AD466" s="110"/>
      <c r="AE466" s="110"/>
      <c r="AF466" s="110"/>
      <c r="AG466" s="110"/>
      <c r="AH466" s="110"/>
      <c r="AI466" s="110"/>
      <c r="AJ466" s="110"/>
      <c r="AK466" s="110"/>
      <c r="AL466" s="110"/>
      <c r="AM466" s="110"/>
      <c r="AN466" s="110"/>
      <c r="AO466" s="110"/>
      <c r="AP466" s="115"/>
      <c r="AQ466" s="113"/>
      <c r="AR466" s="113"/>
      <c r="AS466" s="113"/>
      <c r="AT466" s="113"/>
      <c r="AU466" s="113"/>
      <c r="AV466" s="113"/>
      <c r="AW466" s="113"/>
      <c r="AX466" s="113"/>
      <c r="AY466" s="110"/>
    </row>
    <row r="467" spans="1:51" s="83" customFormat="1">
      <c r="A467" s="111"/>
      <c r="B467" s="114"/>
      <c r="C467" s="131"/>
      <c r="D467" s="131"/>
      <c r="E467" s="131"/>
      <c r="F467" s="131"/>
      <c r="G467" s="131"/>
      <c r="H467" s="131"/>
      <c r="I467" s="131"/>
      <c r="J467" s="131"/>
      <c r="K467" s="131"/>
      <c r="L467" s="131"/>
      <c r="M467" s="131"/>
      <c r="N467" s="131"/>
      <c r="O467" s="131"/>
      <c r="P467" s="131"/>
      <c r="Q467" s="131"/>
      <c r="R467" s="131"/>
      <c r="S467" s="130"/>
      <c r="T467" s="110"/>
      <c r="U467" s="110"/>
      <c r="V467" s="110"/>
      <c r="W467" s="110"/>
      <c r="X467" s="110"/>
      <c r="Y467" s="110"/>
      <c r="Z467" s="110"/>
      <c r="AA467" s="110"/>
      <c r="AB467" s="110"/>
      <c r="AC467" s="110"/>
      <c r="AD467" s="110"/>
      <c r="AE467" s="110"/>
      <c r="AF467" s="110"/>
      <c r="AG467" s="110"/>
      <c r="AH467" s="110"/>
      <c r="AI467" s="110"/>
      <c r="AJ467" s="110"/>
      <c r="AK467" s="110"/>
      <c r="AL467" s="110"/>
      <c r="AM467" s="110"/>
      <c r="AN467" s="110"/>
      <c r="AO467" s="110"/>
      <c r="AP467" s="115"/>
      <c r="AQ467" s="113"/>
      <c r="AR467" s="113"/>
      <c r="AS467" s="113"/>
      <c r="AT467" s="113"/>
      <c r="AU467" s="113"/>
      <c r="AV467" s="113"/>
      <c r="AW467" s="113"/>
      <c r="AX467" s="113"/>
      <c r="AY467" s="110"/>
    </row>
    <row r="468" spans="1:51" s="83" customFormat="1">
      <c r="A468" s="111"/>
      <c r="B468" s="114"/>
      <c r="C468" s="131"/>
      <c r="D468" s="131"/>
      <c r="E468" s="131"/>
      <c r="F468" s="131"/>
      <c r="G468" s="131"/>
      <c r="H468" s="131"/>
      <c r="I468" s="131"/>
      <c r="J468" s="131"/>
      <c r="K468" s="131"/>
      <c r="L468" s="131"/>
      <c r="M468" s="131"/>
      <c r="N468" s="131"/>
      <c r="O468" s="131"/>
      <c r="P468" s="131"/>
      <c r="Q468" s="131"/>
      <c r="R468" s="131"/>
      <c r="S468" s="130"/>
      <c r="T468" s="110"/>
      <c r="U468" s="110"/>
      <c r="V468" s="110"/>
      <c r="W468" s="110"/>
      <c r="X468" s="110"/>
      <c r="Y468" s="110"/>
      <c r="Z468" s="110"/>
      <c r="AA468" s="110"/>
      <c r="AB468" s="110"/>
      <c r="AC468" s="110"/>
      <c r="AD468" s="110"/>
      <c r="AE468" s="110"/>
      <c r="AF468" s="110"/>
      <c r="AG468" s="110"/>
      <c r="AH468" s="110"/>
      <c r="AI468" s="110"/>
      <c r="AJ468" s="110"/>
      <c r="AK468" s="110"/>
      <c r="AL468" s="110"/>
      <c r="AM468" s="110"/>
      <c r="AN468" s="110"/>
      <c r="AO468" s="110"/>
      <c r="AP468" s="115"/>
      <c r="AQ468" s="113"/>
      <c r="AR468" s="113"/>
      <c r="AS468" s="113"/>
      <c r="AT468" s="113"/>
      <c r="AU468" s="113"/>
      <c r="AV468" s="113"/>
      <c r="AW468" s="113"/>
      <c r="AX468" s="113"/>
      <c r="AY468" s="110"/>
    </row>
    <row r="469" spans="1:51">
      <c r="A469" s="117"/>
      <c r="B469" s="118"/>
      <c r="C469" s="132"/>
      <c r="D469" s="132"/>
      <c r="E469" s="132"/>
      <c r="F469" s="132"/>
      <c r="G469" s="132"/>
      <c r="H469" s="132"/>
      <c r="I469" s="132"/>
      <c r="J469" s="132"/>
      <c r="K469" s="132"/>
      <c r="L469" s="132"/>
      <c r="M469" s="132"/>
      <c r="N469" s="132"/>
      <c r="O469" s="132"/>
      <c r="P469" s="132"/>
      <c r="Q469" s="132"/>
      <c r="R469" s="132"/>
      <c r="S469" s="132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  <c r="AD469" s="78"/>
      <c r="AE469" s="78"/>
      <c r="AF469" s="78"/>
      <c r="AG469" s="78"/>
      <c r="AH469" s="78"/>
      <c r="AI469" s="78"/>
      <c r="AJ469" s="78"/>
      <c r="AK469" s="78"/>
      <c r="AL469" s="78"/>
      <c r="AM469" s="78"/>
      <c r="AN469" s="78"/>
      <c r="AO469" s="78"/>
      <c r="AP469" s="78"/>
      <c r="AQ469" s="78"/>
      <c r="AR469" s="78"/>
      <c r="AS469" s="78"/>
      <c r="AT469" s="78"/>
      <c r="AU469" s="78"/>
      <c r="AV469" s="78"/>
      <c r="AW469" s="78"/>
      <c r="AX469" s="78"/>
      <c r="AY469" s="78"/>
    </row>
    <row r="470" spans="1:51">
      <c r="A470" s="117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78"/>
      <c r="U470" s="78"/>
      <c r="V470" s="78"/>
      <c r="W470" s="78"/>
      <c r="X470" s="78"/>
      <c r="Y470" s="78"/>
      <c r="Z470" s="78"/>
      <c r="AA470" s="78"/>
      <c r="AB470" s="78"/>
      <c r="AC470" s="78"/>
      <c r="AD470" s="78"/>
      <c r="AE470" s="78"/>
      <c r="AF470" s="78"/>
      <c r="AG470" s="78"/>
      <c r="AH470" s="78"/>
      <c r="AI470" s="78"/>
      <c r="AJ470" s="78"/>
      <c r="AK470" s="78"/>
      <c r="AL470" s="78"/>
      <c r="AM470" s="78"/>
      <c r="AN470" s="78"/>
      <c r="AO470" s="78"/>
      <c r="AP470" s="78"/>
      <c r="AQ470" s="78"/>
      <c r="AR470" s="78"/>
      <c r="AS470" s="78"/>
      <c r="AT470" s="78"/>
      <c r="AU470" s="78"/>
      <c r="AV470" s="78"/>
      <c r="AW470" s="78"/>
      <c r="AX470" s="78"/>
      <c r="AY470" s="78"/>
    </row>
    <row r="471" spans="1:51">
      <c r="A471" s="117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  <c r="AD471" s="78"/>
      <c r="AE471" s="78"/>
      <c r="AF471" s="78"/>
      <c r="AG471" s="78"/>
      <c r="AH471" s="78"/>
      <c r="AI471" s="78"/>
      <c r="AJ471" s="78"/>
      <c r="AK471" s="78"/>
      <c r="AL471" s="78"/>
      <c r="AM471" s="78"/>
      <c r="AN471" s="78"/>
      <c r="AO471" s="78"/>
      <c r="AP471" s="78"/>
      <c r="AQ471" s="78"/>
      <c r="AR471" s="78"/>
      <c r="AS471" s="78"/>
      <c r="AT471" s="78"/>
      <c r="AU471" s="78"/>
      <c r="AV471" s="78"/>
      <c r="AW471" s="78"/>
      <c r="AX471" s="78"/>
      <c r="AY471" s="78"/>
    </row>
    <row r="472" spans="1:51">
      <c r="A472" s="117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  <c r="AD472" s="78"/>
      <c r="AE472" s="78"/>
      <c r="AF472" s="78"/>
      <c r="AG472" s="78"/>
      <c r="AH472" s="78"/>
      <c r="AI472" s="78"/>
      <c r="AJ472" s="78"/>
      <c r="AK472" s="78"/>
      <c r="AL472" s="78"/>
      <c r="AM472" s="78"/>
      <c r="AN472" s="78"/>
      <c r="AO472" s="78"/>
      <c r="AP472" s="78"/>
      <c r="AQ472" s="78"/>
      <c r="AR472" s="78"/>
      <c r="AS472" s="78"/>
      <c r="AT472" s="78"/>
      <c r="AU472" s="78"/>
      <c r="AV472" s="78"/>
      <c r="AW472" s="78"/>
      <c r="AX472" s="78"/>
      <c r="AY472" s="78"/>
    </row>
    <row r="473" spans="1:51">
      <c r="A473" s="117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78"/>
      <c r="U473" s="78"/>
      <c r="V473" s="78"/>
      <c r="W473" s="78"/>
      <c r="X473" s="78"/>
      <c r="Y473" s="78"/>
      <c r="Z473" s="78"/>
      <c r="AA473" s="78"/>
      <c r="AB473" s="78"/>
      <c r="AC473" s="78"/>
      <c r="AD473" s="78"/>
      <c r="AE473" s="78"/>
      <c r="AF473" s="78"/>
      <c r="AG473" s="78"/>
      <c r="AH473" s="78"/>
      <c r="AI473" s="78"/>
      <c r="AJ473" s="78"/>
      <c r="AK473" s="78"/>
      <c r="AL473" s="78"/>
      <c r="AM473" s="78"/>
      <c r="AN473" s="78"/>
      <c r="AO473" s="78"/>
      <c r="AP473" s="78"/>
      <c r="AQ473" s="78"/>
      <c r="AR473" s="78"/>
      <c r="AS473" s="78"/>
      <c r="AT473" s="78"/>
      <c r="AU473" s="78"/>
      <c r="AV473" s="78"/>
      <c r="AW473" s="78"/>
      <c r="AX473" s="78"/>
      <c r="AY473" s="78"/>
    </row>
    <row r="474" spans="1:51">
      <c r="A474" s="117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78"/>
      <c r="U474" s="78"/>
      <c r="V474" s="78"/>
      <c r="W474" s="78"/>
      <c r="X474" s="78"/>
      <c r="Y474" s="78"/>
      <c r="Z474" s="78"/>
      <c r="AA474" s="78"/>
      <c r="AB474" s="78"/>
      <c r="AC474" s="78"/>
      <c r="AD474" s="78"/>
      <c r="AE474" s="78"/>
      <c r="AF474" s="78"/>
      <c r="AG474" s="78"/>
      <c r="AH474" s="78"/>
      <c r="AI474" s="78"/>
      <c r="AJ474" s="78"/>
      <c r="AK474" s="78"/>
      <c r="AL474" s="78"/>
      <c r="AM474" s="78"/>
      <c r="AN474" s="78"/>
      <c r="AO474" s="78"/>
      <c r="AP474" s="78"/>
      <c r="AQ474" s="78"/>
      <c r="AR474" s="78"/>
      <c r="AS474" s="78"/>
      <c r="AT474" s="78"/>
      <c r="AU474" s="78"/>
      <c r="AV474" s="78"/>
      <c r="AW474" s="78"/>
      <c r="AX474" s="78"/>
      <c r="AY474" s="78"/>
    </row>
    <row r="475" spans="1:51">
      <c r="A475" s="117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78"/>
      <c r="U475" s="78"/>
      <c r="V475" s="78"/>
      <c r="W475" s="78"/>
      <c r="X475" s="78"/>
      <c r="Y475" s="78"/>
      <c r="Z475" s="78"/>
      <c r="AA475" s="78"/>
      <c r="AB475" s="78"/>
      <c r="AC475" s="78"/>
      <c r="AD475" s="78"/>
      <c r="AE475" s="78"/>
      <c r="AF475" s="78"/>
      <c r="AG475" s="78"/>
      <c r="AH475" s="78"/>
      <c r="AI475" s="78"/>
      <c r="AJ475" s="78"/>
      <c r="AK475" s="78"/>
      <c r="AL475" s="78"/>
      <c r="AM475" s="78"/>
      <c r="AN475" s="78"/>
      <c r="AO475" s="78"/>
      <c r="AP475" s="78"/>
      <c r="AQ475" s="78"/>
      <c r="AR475" s="78"/>
      <c r="AS475" s="78"/>
      <c r="AT475" s="78"/>
      <c r="AU475" s="78"/>
      <c r="AV475" s="78"/>
      <c r="AW475" s="78"/>
      <c r="AX475" s="78"/>
      <c r="AY475" s="78"/>
    </row>
    <row r="476" spans="1:51">
      <c r="A476" s="117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78"/>
      <c r="U476" s="78"/>
      <c r="V476" s="78"/>
      <c r="W476" s="78"/>
      <c r="X476" s="78"/>
      <c r="Y476" s="78"/>
      <c r="Z476" s="78"/>
      <c r="AA476" s="78"/>
      <c r="AB476" s="78"/>
      <c r="AC476" s="78"/>
      <c r="AD476" s="78"/>
      <c r="AE476" s="78"/>
      <c r="AF476" s="78"/>
      <c r="AG476" s="78"/>
      <c r="AH476" s="78"/>
      <c r="AI476" s="78"/>
      <c r="AJ476" s="78"/>
      <c r="AK476" s="78"/>
      <c r="AL476" s="78"/>
      <c r="AM476" s="78"/>
      <c r="AN476" s="78"/>
      <c r="AO476" s="78"/>
      <c r="AP476" s="78"/>
      <c r="AQ476" s="78"/>
      <c r="AR476" s="78"/>
      <c r="AS476" s="78"/>
      <c r="AT476" s="78"/>
      <c r="AU476" s="78"/>
      <c r="AV476" s="78"/>
      <c r="AW476" s="78"/>
      <c r="AX476" s="78"/>
      <c r="AY476" s="78"/>
    </row>
    <row r="477" spans="1:51">
      <c r="A477" s="117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  <c r="AD477" s="78"/>
      <c r="AE477" s="78"/>
      <c r="AF477" s="78"/>
      <c r="AG477" s="78"/>
      <c r="AH477" s="78"/>
      <c r="AI477" s="78"/>
      <c r="AJ477" s="78"/>
      <c r="AK477" s="78"/>
      <c r="AL477" s="78"/>
      <c r="AM477" s="78"/>
      <c r="AN477" s="78"/>
      <c r="AO477" s="78"/>
      <c r="AP477" s="78"/>
      <c r="AQ477" s="78"/>
      <c r="AR477" s="78"/>
      <c r="AS477" s="78"/>
      <c r="AT477" s="78"/>
      <c r="AU477" s="78"/>
      <c r="AV477" s="78"/>
      <c r="AW477" s="78"/>
      <c r="AX477" s="78"/>
      <c r="AY477" s="78"/>
    </row>
    <row r="478" spans="1:51">
      <c r="A478" s="117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78"/>
      <c r="U478" s="78"/>
      <c r="V478" s="78"/>
      <c r="W478" s="78"/>
      <c r="X478" s="78"/>
      <c r="Y478" s="78"/>
      <c r="Z478" s="78"/>
      <c r="AA478" s="78"/>
      <c r="AB478" s="78"/>
      <c r="AC478" s="78"/>
      <c r="AD478" s="78"/>
      <c r="AE478" s="78"/>
      <c r="AF478" s="78"/>
      <c r="AG478" s="78"/>
      <c r="AH478" s="78"/>
      <c r="AI478" s="78"/>
      <c r="AJ478" s="78"/>
      <c r="AK478" s="78"/>
      <c r="AL478" s="78"/>
      <c r="AM478" s="78"/>
      <c r="AN478" s="78"/>
      <c r="AO478" s="78"/>
      <c r="AP478" s="78"/>
      <c r="AQ478" s="78"/>
      <c r="AR478" s="78"/>
      <c r="AS478" s="78"/>
      <c r="AT478" s="78"/>
      <c r="AU478" s="78"/>
      <c r="AV478" s="78"/>
      <c r="AW478" s="78"/>
      <c r="AX478" s="78"/>
      <c r="AY478" s="78"/>
    </row>
    <row r="479" spans="1:51">
      <c r="A479" s="117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78"/>
      <c r="U479" s="78"/>
      <c r="V479" s="78"/>
      <c r="W479" s="78"/>
      <c r="X479" s="78"/>
      <c r="Y479" s="78"/>
      <c r="Z479" s="78"/>
      <c r="AA479" s="78"/>
      <c r="AB479" s="78"/>
      <c r="AC479" s="78"/>
      <c r="AD479" s="78"/>
      <c r="AE479" s="78"/>
      <c r="AF479" s="78"/>
      <c r="AG479" s="78"/>
      <c r="AH479" s="78"/>
      <c r="AI479" s="78"/>
      <c r="AJ479" s="78"/>
      <c r="AK479" s="78"/>
      <c r="AL479" s="78"/>
      <c r="AM479" s="78"/>
      <c r="AN479" s="78"/>
      <c r="AO479" s="78"/>
      <c r="AP479" s="78"/>
      <c r="AQ479" s="78"/>
      <c r="AR479" s="78"/>
      <c r="AS479" s="78"/>
      <c r="AT479" s="78"/>
      <c r="AU479" s="78"/>
      <c r="AV479" s="78"/>
      <c r="AW479" s="78"/>
      <c r="AX479" s="78"/>
      <c r="AY479" s="78"/>
    </row>
    <row r="480" spans="1:51">
      <c r="A480" s="117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78"/>
      <c r="U480" s="78"/>
      <c r="V480" s="78"/>
      <c r="W480" s="78"/>
      <c r="X480" s="78"/>
      <c r="Y480" s="78"/>
      <c r="Z480" s="78"/>
      <c r="AA480" s="78"/>
      <c r="AB480" s="78"/>
      <c r="AC480" s="78"/>
      <c r="AD480" s="78"/>
      <c r="AE480" s="78"/>
      <c r="AF480" s="78"/>
      <c r="AG480" s="78"/>
      <c r="AH480" s="78"/>
      <c r="AI480" s="78"/>
      <c r="AJ480" s="78"/>
      <c r="AK480" s="78"/>
      <c r="AL480" s="78"/>
      <c r="AM480" s="78"/>
      <c r="AN480" s="78"/>
      <c r="AO480" s="78"/>
      <c r="AP480" s="78"/>
      <c r="AQ480" s="78"/>
      <c r="AR480" s="78"/>
      <c r="AS480" s="78"/>
      <c r="AT480" s="78"/>
      <c r="AU480" s="78"/>
      <c r="AV480" s="78"/>
      <c r="AW480" s="78"/>
      <c r="AX480" s="78"/>
      <c r="AY480" s="78"/>
    </row>
    <row r="481" spans="1:5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78"/>
      <c r="U481" s="78"/>
      <c r="V481" s="78"/>
      <c r="W481" s="78"/>
      <c r="X481" s="78"/>
      <c r="Y481" s="78"/>
      <c r="Z481" s="78"/>
      <c r="AA481" s="78"/>
      <c r="AB481" s="78"/>
      <c r="AC481" s="78"/>
      <c r="AD481" s="78"/>
      <c r="AE481" s="78"/>
      <c r="AF481" s="78"/>
      <c r="AG481" s="78"/>
      <c r="AH481" s="78"/>
      <c r="AI481" s="78"/>
      <c r="AJ481" s="78"/>
      <c r="AK481" s="78"/>
      <c r="AL481" s="78"/>
      <c r="AM481" s="78"/>
      <c r="AN481" s="78"/>
      <c r="AO481" s="78"/>
      <c r="AP481" s="78"/>
      <c r="AQ481" s="78"/>
      <c r="AR481" s="78"/>
      <c r="AS481" s="78"/>
      <c r="AT481" s="78"/>
      <c r="AU481" s="78"/>
      <c r="AV481" s="78"/>
      <c r="AW481" s="78"/>
      <c r="AX481" s="78"/>
      <c r="AY481" s="78"/>
    </row>
    <row r="482" spans="1:51">
      <c r="A482" s="117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  <c r="AD482" s="78"/>
      <c r="AE482" s="78"/>
      <c r="AF482" s="78"/>
      <c r="AG482" s="78"/>
      <c r="AH482" s="78"/>
      <c r="AI482" s="78"/>
      <c r="AJ482" s="78"/>
      <c r="AK482" s="78"/>
      <c r="AL482" s="78"/>
      <c r="AM482" s="78"/>
      <c r="AN482" s="78"/>
      <c r="AO482" s="78"/>
      <c r="AP482" s="78"/>
      <c r="AQ482" s="78"/>
      <c r="AR482" s="78"/>
      <c r="AS482" s="78"/>
      <c r="AT482" s="78"/>
      <c r="AU482" s="78"/>
      <c r="AV482" s="78"/>
      <c r="AW482" s="78"/>
      <c r="AX482" s="78"/>
      <c r="AY482" s="78"/>
    </row>
    <row r="483" spans="1:51">
      <c r="A483" s="117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  <c r="AE483" s="78"/>
      <c r="AF483" s="78"/>
      <c r="AG483" s="78"/>
      <c r="AH483" s="78"/>
      <c r="AI483" s="78"/>
      <c r="AJ483" s="78"/>
      <c r="AK483" s="78"/>
      <c r="AL483" s="78"/>
      <c r="AM483" s="78"/>
      <c r="AN483" s="78"/>
      <c r="AO483" s="78"/>
      <c r="AP483" s="78"/>
      <c r="AQ483" s="78"/>
      <c r="AR483" s="78"/>
      <c r="AS483" s="78"/>
      <c r="AT483" s="78"/>
      <c r="AU483" s="78"/>
      <c r="AV483" s="78"/>
      <c r="AW483" s="78"/>
      <c r="AX483" s="78"/>
      <c r="AY483" s="78"/>
    </row>
    <row r="484" spans="1:51">
      <c r="A484" s="117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78"/>
      <c r="U484" s="78"/>
      <c r="V484" s="78"/>
      <c r="W484" s="78"/>
      <c r="X484" s="78"/>
      <c r="Y484" s="78"/>
      <c r="Z484" s="78"/>
      <c r="AA484" s="78"/>
      <c r="AB484" s="78"/>
      <c r="AC484" s="78"/>
      <c r="AD484" s="78"/>
      <c r="AE484" s="78"/>
      <c r="AF484" s="78"/>
      <c r="AG484" s="78"/>
      <c r="AH484" s="78"/>
      <c r="AI484" s="78"/>
      <c r="AJ484" s="78"/>
      <c r="AK484" s="78"/>
      <c r="AL484" s="78"/>
      <c r="AM484" s="78"/>
      <c r="AN484" s="78"/>
      <c r="AO484" s="78"/>
      <c r="AP484" s="78"/>
      <c r="AQ484" s="78"/>
      <c r="AR484" s="78"/>
      <c r="AS484" s="78"/>
      <c r="AT484" s="78"/>
      <c r="AU484" s="78"/>
      <c r="AV484" s="78"/>
      <c r="AW484" s="78"/>
      <c r="AX484" s="78"/>
      <c r="AY484" s="78"/>
    </row>
    <row r="485" spans="1:51">
      <c r="A485" s="117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78"/>
      <c r="U485" s="78"/>
      <c r="V485" s="78"/>
      <c r="W485" s="78"/>
      <c r="X485" s="78"/>
      <c r="Y485" s="78"/>
      <c r="Z485" s="78"/>
      <c r="AA485" s="78"/>
      <c r="AB485" s="78"/>
      <c r="AC485" s="78"/>
      <c r="AD485" s="78"/>
      <c r="AE485" s="78"/>
      <c r="AF485" s="78"/>
      <c r="AG485" s="78"/>
      <c r="AH485" s="78"/>
      <c r="AI485" s="78"/>
      <c r="AJ485" s="78"/>
      <c r="AK485" s="78"/>
      <c r="AL485" s="78"/>
      <c r="AM485" s="78"/>
      <c r="AN485" s="78"/>
      <c r="AO485" s="78"/>
      <c r="AP485" s="78"/>
      <c r="AQ485" s="78"/>
      <c r="AR485" s="78"/>
      <c r="AS485" s="78"/>
      <c r="AT485" s="78"/>
      <c r="AU485" s="78"/>
      <c r="AV485" s="78"/>
      <c r="AW485" s="78"/>
      <c r="AX485" s="78"/>
      <c r="AY485" s="78"/>
    </row>
    <row r="486" spans="1:51">
      <c r="A486" s="117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  <c r="AD486" s="78"/>
      <c r="AE486" s="78"/>
      <c r="AF486" s="78"/>
      <c r="AG486" s="78"/>
      <c r="AH486" s="78"/>
      <c r="AI486" s="78"/>
      <c r="AJ486" s="78"/>
      <c r="AK486" s="78"/>
      <c r="AL486" s="78"/>
      <c r="AM486" s="78"/>
      <c r="AN486" s="78"/>
      <c r="AO486" s="78"/>
      <c r="AP486" s="78"/>
      <c r="AQ486" s="78"/>
      <c r="AR486" s="78"/>
      <c r="AS486" s="78"/>
      <c r="AT486" s="78"/>
      <c r="AU486" s="78"/>
      <c r="AV486" s="78"/>
      <c r="AW486" s="78"/>
      <c r="AX486" s="78"/>
      <c r="AY486" s="78"/>
    </row>
    <row r="487" spans="1:51">
      <c r="A487" s="117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  <c r="AD487" s="78"/>
      <c r="AE487" s="78"/>
      <c r="AF487" s="78"/>
      <c r="AG487" s="78"/>
      <c r="AH487" s="78"/>
      <c r="AI487" s="78"/>
      <c r="AJ487" s="78"/>
      <c r="AK487" s="78"/>
      <c r="AL487" s="78"/>
      <c r="AM487" s="78"/>
      <c r="AN487" s="78"/>
      <c r="AO487" s="78"/>
      <c r="AP487" s="78"/>
      <c r="AQ487" s="78"/>
      <c r="AR487" s="78"/>
      <c r="AS487" s="78"/>
      <c r="AT487" s="78"/>
      <c r="AU487" s="78"/>
      <c r="AV487" s="78"/>
      <c r="AW487" s="78"/>
      <c r="AX487" s="78"/>
      <c r="AY487" s="78"/>
    </row>
    <row r="488" spans="1:51">
      <c r="A488" s="117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  <c r="AD488" s="78"/>
      <c r="AE488" s="78"/>
      <c r="AF488" s="78"/>
      <c r="AG488" s="78"/>
      <c r="AH488" s="78"/>
      <c r="AI488" s="78"/>
      <c r="AJ488" s="78"/>
      <c r="AK488" s="78"/>
      <c r="AL488" s="78"/>
      <c r="AM488" s="78"/>
      <c r="AN488" s="78"/>
      <c r="AO488" s="78"/>
      <c r="AP488" s="78"/>
      <c r="AQ488" s="78"/>
      <c r="AR488" s="78"/>
      <c r="AS488" s="78"/>
      <c r="AT488" s="78"/>
      <c r="AU488" s="78"/>
      <c r="AV488" s="78"/>
      <c r="AW488" s="78"/>
      <c r="AX488" s="78"/>
      <c r="AY488" s="78"/>
    </row>
    <row r="489" spans="1:51">
      <c r="A489" s="117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78"/>
      <c r="U489" s="78"/>
      <c r="V489" s="78"/>
      <c r="W489" s="78"/>
      <c r="X489" s="78"/>
      <c r="Y489" s="78"/>
      <c r="Z489" s="78"/>
      <c r="AA489" s="78"/>
      <c r="AB489" s="78"/>
      <c r="AC489" s="78"/>
      <c r="AD489" s="78"/>
      <c r="AE489" s="78"/>
      <c r="AF489" s="78"/>
      <c r="AG489" s="78"/>
      <c r="AH489" s="78"/>
      <c r="AI489" s="78"/>
      <c r="AJ489" s="78"/>
      <c r="AK489" s="78"/>
      <c r="AL489" s="78"/>
      <c r="AM489" s="78"/>
      <c r="AN489" s="78"/>
      <c r="AO489" s="78"/>
      <c r="AP489" s="78"/>
      <c r="AQ489" s="78"/>
      <c r="AR489" s="78"/>
      <c r="AS489" s="78"/>
      <c r="AT489" s="78"/>
      <c r="AU489" s="78"/>
      <c r="AV489" s="78"/>
      <c r="AW489" s="78"/>
      <c r="AX489" s="78"/>
      <c r="AY489" s="78"/>
    </row>
    <row r="490" spans="1:51">
      <c r="A490" s="117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78"/>
      <c r="U490" s="78"/>
      <c r="V490" s="78"/>
      <c r="W490" s="78"/>
      <c r="X490" s="78"/>
      <c r="Y490" s="78"/>
      <c r="Z490" s="78"/>
      <c r="AA490" s="78"/>
      <c r="AB490" s="78"/>
      <c r="AC490" s="78"/>
      <c r="AD490" s="78"/>
      <c r="AE490" s="78"/>
      <c r="AF490" s="78"/>
      <c r="AG490" s="78"/>
      <c r="AH490" s="78"/>
      <c r="AI490" s="78"/>
      <c r="AJ490" s="78"/>
      <c r="AK490" s="78"/>
      <c r="AL490" s="78"/>
      <c r="AM490" s="78"/>
      <c r="AN490" s="78"/>
      <c r="AO490" s="78"/>
      <c r="AP490" s="78"/>
      <c r="AQ490" s="78"/>
      <c r="AR490" s="78"/>
      <c r="AS490" s="78"/>
      <c r="AT490" s="78"/>
      <c r="AU490" s="78"/>
      <c r="AV490" s="78"/>
      <c r="AW490" s="78"/>
      <c r="AX490" s="78"/>
      <c r="AY490" s="78"/>
    </row>
    <row r="491" spans="1:51">
      <c r="A491" s="117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  <c r="AD491" s="78"/>
      <c r="AE491" s="78"/>
      <c r="AF491" s="78"/>
      <c r="AG491" s="78"/>
      <c r="AH491" s="78"/>
      <c r="AI491" s="78"/>
      <c r="AJ491" s="78"/>
      <c r="AK491" s="78"/>
      <c r="AL491" s="78"/>
      <c r="AM491" s="78"/>
      <c r="AN491" s="78"/>
      <c r="AO491" s="78"/>
      <c r="AP491" s="78"/>
      <c r="AQ491" s="78"/>
      <c r="AR491" s="78"/>
      <c r="AS491" s="78"/>
      <c r="AT491" s="78"/>
      <c r="AU491" s="78"/>
      <c r="AV491" s="78"/>
      <c r="AW491" s="78"/>
      <c r="AX491" s="78"/>
      <c r="AY491" s="78"/>
    </row>
    <row r="492" spans="1:51">
      <c r="A492" s="117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  <c r="AD492" s="78"/>
      <c r="AE492" s="78"/>
      <c r="AF492" s="78"/>
      <c r="AG492" s="78"/>
      <c r="AH492" s="78"/>
      <c r="AI492" s="78"/>
      <c r="AJ492" s="78"/>
      <c r="AK492" s="78"/>
      <c r="AL492" s="78"/>
      <c r="AM492" s="78"/>
      <c r="AN492" s="78"/>
      <c r="AO492" s="78"/>
      <c r="AP492" s="78"/>
      <c r="AQ492" s="78"/>
      <c r="AR492" s="78"/>
      <c r="AS492" s="78"/>
      <c r="AT492" s="78"/>
      <c r="AU492" s="78"/>
      <c r="AV492" s="78"/>
      <c r="AW492" s="78"/>
      <c r="AX492" s="78"/>
      <c r="AY492" s="78"/>
    </row>
    <row r="493" spans="1:51">
      <c r="A493" s="117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  <c r="AD493" s="78"/>
      <c r="AE493" s="78"/>
      <c r="AF493" s="78"/>
      <c r="AG493" s="78"/>
      <c r="AH493" s="78"/>
      <c r="AI493" s="78"/>
      <c r="AJ493" s="78"/>
      <c r="AK493" s="78"/>
      <c r="AL493" s="78"/>
      <c r="AM493" s="78"/>
      <c r="AN493" s="78"/>
      <c r="AO493" s="78"/>
      <c r="AP493" s="78"/>
      <c r="AQ493" s="78"/>
      <c r="AR493" s="78"/>
      <c r="AS493" s="78"/>
      <c r="AT493" s="78"/>
      <c r="AU493" s="78"/>
      <c r="AV493" s="78"/>
      <c r="AW493" s="78"/>
      <c r="AX493" s="78"/>
      <c r="AY493" s="78"/>
    </row>
    <row r="494" spans="1:51">
      <c r="A494" s="117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78"/>
      <c r="U494" s="78"/>
      <c r="V494" s="78"/>
      <c r="W494" s="78"/>
      <c r="X494" s="78"/>
      <c r="Y494" s="78"/>
      <c r="Z494" s="78"/>
      <c r="AA494" s="78"/>
      <c r="AB494" s="78"/>
      <c r="AC494" s="78"/>
      <c r="AD494" s="78"/>
      <c r="AE494" s="78"/>
      <c r="AF494" s="78"/>
      <c r="AG494" s="78"/>
      <c r="AH494" s="78"/>
      <c r="AI494" s="78"/>
      <c r="AJ494" s="78"/>
      <c r="AK494" s="78"/>
      <c r="AL494" s="78"/>
      <c r="AM494" s="78"/>
      <c r="AN494" s="78"/>
      <c r="AO494" s="78"/>
      <c r="AP494" s="78"/>
      <c r="AQ494" s="78"/>
      <c r="AR494" s="78"/>
      <c r="AS494" s="78"/>
      <c r="AT494" s="78"/>
      <c r="AU494" s="78"/>
      <c r="AV494" s="78"/>
      <c r="AW494" s="78"/>
      <c r="AX494" s="78"/>
      <c r="AY494" s="78"/>
    </row>
    <row r="495" spans="1:51">
      <c r="A495" s="117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  <c r="AD495" s="78"/>
      <c r="AE495" s="78"/>
      <c r="AF495" s="78"/>
      <c r="AG495" s="78"/>
      <c r="AH495" s="78"/>
      <c r="AI495" s="78"/>
      <c r="AJ495" s="78"/>
      <c r="AK495" s="78"/>
      <c r="AL495" s="78"/>
      <c r="AM495" s="78"/>
      <c r="AN495" s="78"/>
      <c r="AO495" s="78"/>
      <c r="AP495" s="78"/>
      <c r="AQ495" s="78"/>
      <c r="AR495" s="78"/>
      <c r="AS495" s="78"/>
      <c r="AT495" s="78"/>
      <c r="AU495" s="78"/>
      <c r="AV495" s="78"/>
      <c r="AW495" s="78"/>
      <c r="AX495" s="78"/>
      <c r="AY495" s="78"/>
    </row>
    <row r="496" spans="1:51">
      <c r="A496" s="117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  <c r="AD496" s="78"/>
      <c r="AE496" s="78"/>
      <c r="AF496" s="78"/>
      <c r="AG496" s="78"/>
      <c r="AH496" s="78"/>
      <c r="AI496" s="78"/>
      <c r="AJ496" s="78"/>
      <c r="AK496" s="78"/>
      <c r="AL496" s="78"/>
      <c r="AM496" s="78"/>
      <c r="AN496" s="78"/>
      <c r="AO496" s="78"/>
      <c r="AP496" s="78"/>
      <c r="AQ496" s="78"/>
      <c r="AR496" s="78"/>
      <c r="AS496" s="78"/>
      <c r="AT496" s="78"/>
      <c r="AU496" s="78"/>
      <c r="AV496" s="78"/>
      <c r="AW496" s="78"/>
      <c r="AX496" s="78"/>
      <c r="AY496" s="78"/>
    </row>
    <row r="497" spans="1:51">
      <c r="A497" s="117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78"/>
      <c r="U497" s="78"/>
      <c r="V497" s="78"/>
      <c r="W497" s="78"/>
      <c r="X497" s="78"/>
      <c r="Y497" s="78"/>
      <c r="Z497" s="78"/>
      <c r="AA497" s="78"/>
      <c r="AB497" s="78"/>
      <c r="AC497" s="78"/>
      <c r="AD497" s="78"/>
      <c r="AE497" s="78"/>
      <c r="AF497" s="78"/>
      <c r="AG497" s="78"/>
      <c r="AH497" s="78"/>
      <c r="AI497" s="78"/>
      <c r="AJ497" s="78"/>
      <c r="AK497" s="78"/>
      <c r="AL497" s="78"/>
      <c r="AM497" s="78"/>
      <c r="AN497" s="78"/>
      <c r="AO497" s="78"/>
      <c r="AP497" s="78"/>
      <c r="AQ497" s="78"/>
      <c r="AR497" s="78"/>
      <c r="AS497" s="78"/>
      <c r="AT497" s="78"/>
      <c r="AU497" s="78"/>
      <c r="AV497" s="78"/>
      <c r="AW497" s="78"/>
      <c r="AX497" s="78"/>
      <c r="AY497" s="78"/>
    </row>
    <row r="498" spans="1:51">
      <c r="A498" s="117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78"/>
      <c r="U498" s="78"/>
      <c r="V498" s="78"/>
      <c r="W498" s="78"/>
      <c r="X498" s="78"/>
      <c r="Y498" s="78"/>
      <c r="Z498" s="78"/>
      <c r="AA498" s="78"/>
      <c r="AB498" s="78"/>
      <c r="AC498" s="78"/>
      <c r="AD498" s="78"/>
      <c r="AE498" s="78"/>
      <c r="AF498" s="78"/>
      <c r="AG498" s="78"/>
      <c r="AH498" s="78"/>
      <c r="AI498" s="78"/>
      <c r="AJ498" s="78"/>
      <c r="AK498" s="78"/>
      <c r="AL498" s="78"/>
      <c r="AM498" s="78"/>
      <c r="AN498" s="78"/>
      <c r="AO498" s="78"/>
      <c r="AP498" s="78"/>
      <c r="AQ498" s="78"/>
      <c r="AR498" s="78"/>
      <c r="AS498" s="78"/>
      <c r="AT498" s="78"/>
      <c r="AU498" s="78"/>
      <c r="AV498" s="78"/>
      <c r="AW498" s="78"/>
      <c r="AX498" s="78"/>
      <c r="AY498" s="78"/>
    </row>
    <row r="499" spans="1:51">
      <c r="A499" s="117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78"/>
      <c r="U499" s="78"/>
      <c r="V499" s="78"/>
      <c r="W499" s="78"/>
      <c r="X499" s="78"/>
      <c r="Y499" s="78"/>
      <c r="Z499" s="78"/>
      <c r="AA499" s="78"/>
      <c r="AB499" s="78"/>
      <c r="AC499" s="78"/>
      <c r="AD499" s="78"/>
      <c r="AE499" s="78"/>
      <c r="AF499" s="78"/>
      <c r="AG499" s="78"/>
      <c r="AH499" s="78"/>
      <c r="AI499" s="78"/>
      <c r="AJ499" s="78"/>
      <c r="AK499" s="78"/>
      <c r="AL499" s="78"/>
      <c r="AM499" s="78"/>
      <c r="AN499" s="78"/>
      <c r="AO499" s="78"/>
      <c r="AP499" s="78"/>
      <c r="AQ499" s="78"/>
      <c r="AR499" s="78"/>
      <c r="AS499" s="78"/>
      <c r="AT499" s="78"/>
      <c r="AU499" s="78"/>
      <c r="AV499" s="78"/>
      <c r="AW499" s="78"/>
      <c r="AX499" s="78"/>
      <c r="AY499" s="78"/>
    </row>
    <row r="500" spans="1:51">
      <c r="A500" s="117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78"/>
      <c r="U500" s="78"/>
      <c r="V500" s="78"/>
      <c r="W500" s="78"/>
      <c r="X500" s="78"/>
      <c r="Y500" s="78"/>
      <c r="Z500" s="78"/>
      <c r="AA500" s="78"/>
      <c r="AB500" s="78"/>
      <c r="AC500" s="78"/>
      <c r="AD500" s="78"/>
      <c r="AE500" s="78"/>
      <c r="AF500" s="78"/>
      <c r="AG500" s="78"/>
      <c r="AH500" s="78"/>
      <c r="AI500" s="78"/>
      <c r="AJ500" s="78"/>
      <c r="AK500" s="78"/>
      <c r="AL500" s="78"/>
      <c r="AM500" s="78"/>
      <c r="AN500" s="78"/>
      <c r="AO500" s="78"/>
      <c r="AP500" s="78"/>
      <c r="AQ500" s="78"/>
      <c r="AR500" s="78"/>
      <c r="AS500" s="78"/>
      <c r="AT500" s="78"/>
      <c r="AU500" s="78"/>
      <c r="AV500" s="78"/>
      <c r="AW500" s="78"/>
      <c r="AX500" s="78"/>
      <c r="AY500" s="78"/>
    </row>
    <row r="501" spans="1:51">
      <c r="A501" s="117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  <c r="AD501" s="78"/>
      <c r="AE501" s="78"/>
      <c r="AF501" s="78"/>
      <c r="AG501" s="78"/>
      <c r="AH501" s="78"/>
      <c r="AI501" s="78"/>
      <c r="AJ501" s="78"/>
      <c r="AK501" s="78"/>
      <c r="AL501" s="78"/>
      <c r="AM501" s="78"/>
      <c r="AN501" s="78"/>
      <c r="AO501" s="78"/>
      <c r="AP501" s="78"/>
      <c r="AQ501" s="78"/>
      <c r="AR501" s="78"/>
      <c r="AS501" s="78"/>
      <c r="AT501" s="78"/>
      <c r="AU501" s="78"/>
      <c r="AV501" s="78"/>
      <c r="AW501" s="78"/>
      <c r="AX501" s="78"/>
      <c r="AY501" s="78"/>
    </row>
    <row r="502" spans="1:51">
      <c r="A502" s="117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  <c r="AD502" s="78"/>
      <c r="AE502" s="78"/>
      <c r="AF502" s="78"/>
      <c r="AG502" s="78"/>
      <c r="AH502" s="78"/>
      <c r="AI502" s="78"/>
      <c r="AJ502" s="78"/>
      <c r="AK502" s="78"/>
      <c r="AL502" s="78"/>
      <c r="AM502" s="78"/>
      <c r="AN502" s="78"/>
      <c r="AO502" s="78"/>
      <c r="AP502" s="78"/>
      <c r="AQ502" s="78"/>
      <c r="AR502" s="78"/>
      <c r="AS502" s="78"/>
      <c r="AT502" s="78"/>
      <c r="AU502" s="78"/>
      <c r="AV502" s="78"/>
      <c r="AW502" s="78"/>
      <c r="AX502" s="78"/>
      <c r="AY502" s="78"/>
    </row>
    <row r="503" spans="1:51">
      <c r="A503" s="117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78"/>
      <c r="U503" s="78"/>
      <c r="V503" s="78"/>
      <c r="W503" s="78"/>
      <c r="X503" s="78"/>
      <c r="Y503" s="78"/>
      <c r="Z503" s="78"/>
      <c r="AA503" s="78"/>
      <c r="AB503" s="78"/>
      <c r="AC503" s="78"/>
      <c r="AD503" s="78"/>
      <c r="AE503" s="78"/>
      <c r="AF503" s="78"/>
      <c r="AG503" s="78"/>
      <c r="AH503" s="78"/>
      <c r="AI503" s="78"/>
      <c r="AJ503" s="78"/>
      <c r="AK503" s="78"/>
      <c r="AL503" s="78"/>
      <c r="AM503" s="78"/>
      <c r="AN503" s="78"/>
      <c r="AO503" s="78"/>
      <c r="AP503" s="78"/>
      <c r="AQ503" s="78"/>
      <c r="AR503" s="78"/>
      <c r="AS503" s="78"/>
      <c r="AT503" s="78"/>
      <c r="AU503" s="78"/>
      <c r="AV503" s="78"/>
      <c r="AW503" s="78"/>
      <c r="AX503" s="78"/>
      <c r="AY503" s="78"/>
    </row>
    <row r="504" spans="1:51">
      <c r="A504" s="117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78"/>
      <c r="U504" s="78"/>
      <c r="V504" s="78"/>
      <c r="W504" s="78"/>
      <c r="X504" s="78"/>
      <c r="Y504" s="78"/>
      <c r="Z504" s="78"/>
      <c r="AA504" s="78"/>
      <c r="AB504" s="78"/>
      <c r="AC504" s="78"/>
      <c r="AD504" s="78"/>
      <c r="AE504" s="78"/>
      <c r="AF504" s="78"/>
      <c r="AG504" s="78"/>
      <c r="AH504" s="78"/>
      <c r="AI504" s="78"/>
      <c r="AJ504" s="78"/>
      <c r="AK504" s="78"/>
      <c r="AL504" s="78"/>
      <c r="AM504" s="78"/>
      <c r="AN504" s="78"/>
      <c r="AO504" s="78"/>
      <c r="AP504" s="78"/>
      <c r="AQ504" s="78"/>
      <c r="AR504" s="78"/>
      <c r="AS504" s="78"/>
      <c r="AT504" s="78"/>
      <c r="AU504" s="78"/>
      <c r="AV504" s="78"/>
      <c r="AW504" s="78"/>
      <c r="AX504" s="78"/>
      <c r="AY504" s="78"/>
    </row>
    <row r="505" spans="1:51">
      <c r="A505" s="117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78"/>
      <c r="U505" s="78"/>
      <c r="V505" s="78"/>
      <c r="W505" s="78"/>
      <c r="X505" s="78"/>
      <c r="Y505" s="78"/>
      <c r="Z505" s="78"/>
      <c r="AA505" s="78"/>
      <c r="AB505" s="78"/>
      <c r="AC505" s="78"/>
      <c r="AD505" s="78"/>
      <c r="AE505" s="78"/>
      <c r="AF505" s="78"/>
      <c r="AG505" s="78"/>
      <c r="AH505" s="78"/>
      <c r="AI505" s="78"/>
      <c r="AJ505" s="78"/>
      <c r="AK505" s="78"/>
      <c r="AL505" s="78"/>
      <c r="AM505" s="78"/>
      <c r="AN505" s="78"/>
      <c r="AO505" s="78"/>
      <c r="AP505" s="78"/>
      <c r="AQ505" s="78"/>
      <c r="AR505" s="78"/>
      <c r="AS505" s="78"/>
      <c r="AT505" s="78"/>
      <c r="AU505" s="78"/>
      <c r="AV505" s="78"/>
      <c r="AW505" s="78"/>
      <c r="AX505" s="78"/>
      <c r="AY505" s="78"/>
    </row>
    <row r="506" spans="1:51">
      <c r="A506" s="117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78"/>
      <c r="U506" s="78"/>
      <c r="V506" s="78"/>
      <c r="W506" s="78"/>
      <c r="X506" s="78"/>
      <c r="Y506" s="78"/>
      <c r="Z506" s="78"/>
      <c r="AA506" s="78"/>
      <c r="AB506" s="78"/>
      <c r="AC506" s="78"/>
      <c r="AD506" s="78"/>
      <c r="AE506" s="78"/>
      <c r="AF506" s="78"/>
      <c r="AG506" s="78"/>
      <c r="AH506" s="78"/>
      <c r="AI506" s="78"/>
      <c r="AJ506" s="78"/>
      <c r="AK506" s="78"/>
      <c r="AL506" s="78"/>
      <c r="AM506" s="78"/>
      <c r="AN506" s="78"/>
      <c r="AO506" s="78"/>
      <c r="AP506" s="78"/>
      <c r="AQ506" s="78"/>
      <c r="AR506" s="78"/>
      <c r="AS506" s="78"/>
      <c r="AT506" s="78"/>
      <c r="AU506" s="78"/>
      <c r="AV506" s="78"/>
      <c r="AW506" s="78"/>
      <c r="AX506" s="78"/>
      <c r="AY506" s="78"/>
    </row>
    <row r="507" spans="1:51">
      <c r="A507" s="117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78"/>
      <c r="U507" s="78"/>
      <c r="V507" s="78"/>
      <c r="W507" s="78"/>
      <c r="X507" s="78"/>
      <c r="Y507" s="78"/>
      <c r="Z507" s="78"/>
      <c r="AA507" s="78"/>
      <c r="AB507" s="78"/>
      <c r="AC507" s="78"/>
      <c r="AD507" s="78"/>
      <c r="AE507" s="78"/>
      <c r="AF507" s="78"/>
      <c r="AG507" s="78"/>
      <c r="AH507" s="78"/>
      <c r="AI507" s="78"/>
      <c r="AJ507" s="78"/>
      <c r="AK507" s="78"/>
      <c r="AL507" s="78"/>
      <c r="AM507" s="78"/>
      <c r="AN507" s="78"/>
      <c r="AO507" s="78"/>
      <c r="AP507" s="78"/>
      <c r="AQ507" s="78"/>
      <c r="AR507" s="78"/>
      <c r="AS507" s="78"/>
      <c r="AT507" s="78"/>
      <c r="AU507" s="78"/>
      <c r="AV507" s="78"/>
      <c r="AW507" s="78"/>
      <c r="AX507" s="78"/>
      <c r="AY507" s="78"/>
    </row>
    <row r="508" spans="1:51">
      <c r="A508" s="117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  <c r="AD508" s="78"/>
      <c r="AE508" s="78"/>
      <c r="AF508" s="78"/>
      <c r="AG508" s="78"/>
      <c r="AH508" s="78"/>
      <c r="AI508" s="78"/>
      <c r="AJ508" s="78"/>
      <c r="AK508" s="78"/>
      <c r="AL508" s="78"/>
      <c r="AM508" s="78"/>
      <c r="AN508" s="78"/>
      <c r="AO508" s="78"/>
      <c r="AP508" s="78"/>
      <c r="AQ508" s="78"/>
      <c r="AR508" s="78"/>
      <c r="AS508" s="78"/>
      <c r="AT508" s="78"/>
      <c r="AU508" s="78"/>
      <c r="AV508" s="78"/>
      <c r="AW508" s="78"/>
      <c r="AX508" s="78"/>
      <c r="AY508" s="78"/>
    </row>
    <row r="509" spans="1:51">
      <c r="T509" s="78"/>
      <c r="U509" s="78"/>
      <c r="V509" s="78"/>
      <c r="W509" s="78"/>
    </row>
    <row r="510" spans="1:51">
      <c r="T510" s="78"/>
      <c r="U510" s="78"/>
      <c r="V510" s="78"/>
      <c r="W510" s="78"/>
    </row>
    <row r="511" spans="1:51">
      <c r="T511" s="78"/>
      <c r="U511" s="78"/>
      <c r="V511" s="78"/>
      <c r="W511" s="78"/>
    </row>
    <row r="512" spans="1:51">
      <c r="T512" s="78"/>
      <c r="U512" s="78"/>
      <c r="V512" s="78"/>
      <c r="W512" s="78"/>
    </row>
    <row r="513" spans="20:23">
      <c r="T513" s="78"/>
      <c r="U513" s="78"/>
      <c r="V513" s="78"/>
      <c r="W513" s="78"/>
    </row>
    <row r="514" spans="20:23">
      <c r="T514" s="78"/>
      <c r="U514" s="78"/>
      <c r="V514" s="78"/>
      <c r="W514" s="78"/>
    </row>
    <row r="515" spans="20:23">
      <c r="T515" s="78"/>
      <c r="U515" s="78"/>
      <c r="V515" s="78"/>
      <c r="W515" s="78"/>
    </row>
    <row r="516" spans="20:23">
      <c r="T516" s="78"/>
      <c r="U516" s="78"/>
      <c r="V516" s="78"/>
      <c r="W516" s="78"/>
    </row>
    <row r="517" spans="20:23">
      <c r="T517" s="78"/>
      <c r="U517" s="78"/>
      <c r="V517" s="78"/>
      <c r="W517" s="78"/>
    </row>
    <row r="518" spans="20:23">
      <c r="T518" s="78"/>
      <c r="U518" s="78"/>
      <c r="V518" s="78"/>
      <c r="W518" s="78"/>
    </row>
    <row r="519" spans="20:23">
      <c r="T519" s="78"/>
      <c r="U519" s="78"/>
      <c r="V519" s="78"/>
      <c r="W519" s="78"/>
    </row>
    <row r="520" spans="20:23">
      <c r="T520" s="78"/>
      <c r="U520" s="78"/>
      <c r="V520" s="78"/>
      <c r="W520" s="78"/>
    </row>
    <row r="521" spans="20:23">
      <c r="T521" s="78"/>
      <c r="U521" s="78"/>
      <c r="V521" s="78"/>
      <c r="W521" s="78"/>
    </row>
    <row r="522" spans="20:23">
      <c r="T522" s="78"/>
      <c r="U522" s="78"/>
      <c r="V522" s="78"/>
      <c r="W522" s="78"/>
    </row>
    <row r="523" spans="20:23">
      <c r="T523" s="78"/>
      <c r="U523" s="78"/>
      <c r="V523" s="78"/>
      <c r="W523" s="78"/>
    </row>
    <row r="524" spans="20:23">
      <c r="T524" s="78"/>
      <c r="U524" s="78"/>
      <c r="V524" s="78"/>
      <c r="W524" s="78"/>
    </row>
    <row r="525" spans="20:23">
      <c r="T525" s="78"/>
      <c r="U525" s="78"/>
      <c r="V525" s="78"/>
      <c r="W525" s="78"/>
    </row>
    <row r="526" spans="20:23">
      <c r="T526" s="78"/>
      <c r="U526" s="78"/>
      <c r="V526" s="78"/>
      <c r="W526" s="78"/>
    </row>
    <row r="527" spans="20:23">
      <c r="T527" s="78"/>
      <c r="U527" s="78"/>
      <c r="V527" s="78"/>
      <c r="W527" s="78"/>
    </row>
    <row r="528" spans="20:23">
      <c r="T528" s="78"/>
      <c r="U528" s="78"/>
      <c r="V528" s="78"/>
      <c r="W528" s="78"/>
    </row>
    <row r="529" spans="20:23">
      <c r="T529" s="78"/>
      <c r="U529" s="78"/>
      <c r="V529" s="78"/>
      <c r="W529" s="78"/>
    </row>
  </sheetData>
  <sheetProtection formatCells="0"/>
  <mergeCells count="17">
    <mergeCell ref="BC29:BD29"/>
    <mergeCell ref="BC30:BD30"/>
    <mergeCell ref="BC24:BD24"/>
    <mergeCell ref="BC25:BD25"/>
    <mergeCell ref="BC26:BD26"/>
    <mergeCell ref="BC27:BD27"/>
    <mergeCell ref="BC28:BD28"/>
    <mergeCell ref="BC19:BD19"/>
    <mergeCell ref="BC20:BD20"/>
    <mergeCell ref="BC21:BD21"/>
    <mergeCell ref="BC22:BD22"/>
    <mergeCell ref="BC23:BD23"/>
    <mergeCell ref="BC14:BD14"/>
    <mergeCell ref="BC15:BD15"/>
    <mergeCell ref="BC16:BD16"/>
    <mergeCell ref="BC17:BD17"/>
    <mergeCell ref="BC18:BD18"/>
  </mergeCells>
  <phoneticPr fontId="10"/>
  <conditionalFormatting sqref="L216:P217 C5:D36 C41:AH72 C77:R108 C113:AH144 C149:AH180 C185:AH216 C221:AH252 C257:AH288 W293:AH324 C293:T324 M329:AH360 C329:J360">
    <cfRule type="cellIs" dxfId="237" priority="916" operator="between">
      <formula>$BB$4</formula>
      <formula>$BC$4</formula>
    </cfRule>
  </conditionalFormatting>
  <conditionalFormatting sqref="C185:K216 C5:D36 C41:AH72 C77:R108 C113:AH144 C149:AH180 Q185:AH216 L185:P217 H194:L206 C221:AH252 C257:AH288 W293:AH324 C293:T324 M329:AH360 C329:J360">
    <cfRule type="cellIs" dxfId="236" priority="962" operator="between">
      <formula>$BB$7</formula>
      <formula>$BC$7</formula>
    </cfRule>
  </conditionalFormatting>
  <conditionalFormatting sqref="C185:K216 C5:D36 C41:AH72 C77:R108 C113:AH144 C149:AH180 Q185:AH216 L185:P217 H194:L206 C221:AH252 C257:AH288 W293:AH324 C293:T324 M329:AH360 C329:J360">
    <cfRule type="cellIs" dxfId="235" priority="977" operator="between">
      <formula>$BB$8</formula>
      <formula>$BC$8</formula>
    </cfRule>
  </conditionalFormatting>
  <conditionalFormatting sqref="C185:K216 C5:D36 C41:AH72 C77:R108 C113:AH144 C149:AH180 Q185:AH216 L185:P217 H194:L206 C221:AH252 C257:AH288 W293:AH324 C293:T324 M329:AH360 C329:J360">
    <cfRule type="cellIs" dxfId="234" priority="992" operator="between">
      <formula>$BB$9</formula>
      <formula>$BC$9</formula>
    </cfRule>
  </conditionalFormatting>
  <conditionalFormatting sqref="C185:K216 C5:D36 C41:AH72 C77:R108 C113:AH144 C149:AH180 Q185:AH216 L185:P217 H194:L206 C221:AH252 C257:AH288 W293:AH324 C293:T324 M329:AH360 C329:J360">
    <cfRule type="cellIs" dxfId="233" priority="1007" operator="between">
      <formula>$BB$10</formula>
      <formula>$BC$10</formula>
    </cfRule>
  </conditionalFormatting>
  <conditionalFormatting sqref="C185:K216 C5:D36 C41:AH72 C77:R108 C113:AH144 C149:AH180 Q185:AH216 L185:P217 H194:L206 C221:AH252 C257:AH288 W293:AH324 C293:T324 M329:AH360 C329:J360">
    <cfRule type="cellIs" dxfId="232" priority="1022" operator="between">
      <formula>$BB$11</formula>
      <formula>$BC$11</formula>
    </cfRule>
  </conditionalFormatting>
  <conditionalFormatting sqref="C185:K216 C5:D36 C41:AH72 C77:R108 C113:AH144 C149:AH180 Q185:AH216 L185:P217 H194:L206 C221:AH252 C257:AH288 W293:AH324 C293:T324 M329:AH360 C329:J360">
    <cfRule type="cellIs" dxfId="231" priority="1037" operator="between">
      <formula>$BB$6</formula>
      <formula>$BC$6</formula>
    </cfRule>
  </conditionalFormatting>
  <conditionalFormatting sqref="C185:K216 C5:D36 C41:AH72 C77:R108 C113:AH144 C149:AH180 Q185:AH216 L185:P217 H194:L206 C221:AH252 C257:AH288 W293:AH324 C293:T324 M329:AH360 C329:J360">
    <cfRule type="cellIs" dxfId="230" priority="1052" operator="between">
      <formula>$BC$5</formula>
      <formula>$BD$5</formula>
    </cfRule>
  </conditionalFormatting>
  <conditionalFormatting sqref="C149:AH180 C185:AH216 M329:AH360 C329:J360">
    <cfRule type="cellIs" dxfId="229" priority="1053" operator="between">
      <formula>$BB$4</formula>
      <formula>$BC$4</formula>
    </cfRule>
    <cfRule type="cellIs" dxfId="228" priority="1054" operator="between">
      <formula>$BC$5</formula>
      <formula>$BD$5</formula>
    </cfRule>
    <cfRule type="cellIs" dxfId="227" priority="1055" operator="between">
      <formula>$BB$6</formula>
      <formula>$BC$6</formula>
    </cfRule>
    <cfRule type="cellIs" dxfId="226" priority="1056" operator="between">
      <formula>$BB$11</formula>
      <formula>$BC$11</formula>
    </cfRule>
    <cfRule type="cellIs" dxfId="225" priority="1057" operator="between">
      <formula>$BB$10</formula>
      <formula>$BC$10</formula>
    </cfRule>
    <cfRule type="cellIs" dxfId="224" priority="1058" operator="between">
      <formula>$BB$9</formula>
      <formula>$BC$9</formula>
    </cfRule>
    <cfRule type="cellIs" dxfId="223" priority="1059" operator="between">
      <formula>$BB$8</formula>
      <formula>$BC$8</formula>
    </cfRule>
    <cfRule type="cellIs" dxfId="222" priority="1060" operator="between">
      <formula>$BB$7</formula>
      <formula>$BC$7</formula>
    </cfRule>
  </conditionalFormatting>
  <conditionalFormatting sqref="E5:F36">
    <cfRule type="cellIs" dxfId="221" priority="281" operator="between">
      <formula>$BB$4</formula>
      <formula>$BC$4</formula>
    </cfRule>
  </conditionalFormatting>
  <conditionalFormatting sqref="E5:F36">
    <cfRule type="cellIs" dxfId="220" priority="282" operator="between">
      <formula>$BB$7</formula>
      <formula>$BC$7</formula>
    </cfRule>
  </conditionalFormatting>
  <conditionalFormatting sqref="E5:F36">
    <cfRule type="cellIs" dxfId="219" priority="283" operator="between">
      <formula>$BB$8</formula>
      <formula>$BC$8</formula>
    </cfRule>
  </conditionalFormatting>
  <conditionalFormatting sqref="E5:F36">
    <cfRule type="cellIs" dxfId="218" priority="284" operator="between">
      <formula>$BB$9</formula>
      <formula>$BC$9</formula>
    </cfRule>
  </conditionalFormatting>
  <conditionalFormatting sqref="E5:F36">
    <cfRule type="cellIs" dxfId="217" priority="285" operator="between">
      <formula>$BB$10</formula>
      <formula>$BC$10</formula>
    </cfRule>
  </conditionalFormatting>
  <conditionalFormatting sqref="E5:F36">
    <cfRule type="cellIs" dxfId="216" priority="286" operator="between">
      <formula>$BB$11</formula>
      <formula>$BC$11</formula>
    </cfRule>
  </conditionalFormatting>
  <conditionalFormatting sqref="E5:F36">
    <cfRule type="cellIs" dxfId="215" priority="287" operator="between">
      <formula>$BB$6</formula>
      <formula>$BC$6</formula>
    </cfRule>
  </conditionalFormatting>
  <conditionalFormatting sqref="E5:F36">
    <cfRule type="cellIs" dxfId="214" priority="288" operator="between">
      <formula>$BC$5</formula>
      <formula>$BD$5</formula>
    </cfRule>
  </conditionalFormatting>
  <conditionalFormatting sqref="G5:H36">
    <cfRule type="cellIs" dxfId="213" priority="273" operator="between">
      <formula>$BB$4</formula>
      <formula>$BC$4</formula>
    </cfRule>
  </conditionalFormatting>
  <conditionalFormatting sqref="G5:H36">
    <cfRule type="cellIs" dxfId="212" priority="274" operator="between">
      <formula>$BB$7</formula>
      <formula>$BC$7</formula>
    </cfRule>
  </conditionalFormatting>
  <conditionalFormatting sqref="G5:H36">
    <cfRule type="cellIs" dxfId="211" priority="275" operator="between">
      <formula>$BB$8</formula>
      <formula>$BC$8</formula>
    </cfRule>
  </conditionalFormatting>
  <conditionalFormatting sqref="G5:H36">
    <cfRule type="cellIs" dxfId="210" priority="276" operator="between">
      <formula>$BB$9</formula>
      <formula>$BC$9</formula>
    </cfRule>
  </conditionalFormatting>
  <conditionalFormatting sqref="G5:H36">
    <cfRule type="cellIs" dxfId="209" priority="277" operator="between">
      <formula>$BB$10</formula>
      <formula>$BC$10</formula>
    </cfRule>
  </conditionalFormatting>
  <conditionalFormatting sqref="G5:H36">
    <cfRule type="cellIs" dxfId="208" priority="278" operator="between">
      <formula>$BB$11</formula>
      <formula>$BC$11</formula>
    </cfRule>
  </conditionalFormatting>
  <conditionalFormatting sqref="G5:H36">
    <cfRule type="cellIs" dxfId="207" priority="279" operator="between">
      <formula>$BB$6</formula>
      <formula>$BC$6</formula>
    </cfRule>
  </conditionalFormatting>
  <conditionalFormatting sqref="G5:H36">
    <cfRule type="cellIs" dxfId="206" priority="280" operator="between">
      <formula>$BC$5</formula>
      <formula>$BD$5</formula>
    </cfRule>
  </conditionalFormatting>
  <conditionalFormatting sqref="I5:J36">
    <cfRule type="cellIs" dxfId="205" priority="265" operator="between">
      <formula>$BB$4</formula>
      <formula>$BC$4</formula>
    </cfRule>
  </conditionalFormatting>
  <conditionalFormatting sqref="I5:J36">
    <cfRule type="cellIs" dxfId="204" priority="266" operator="between">
      <formula>$BB$7</formula>
      <formula>$BC$7</formula>
    </cfRule>
  </conditionalFormatting>
  <conditionalFormatting sqref="I5:J36">
    <cfRule type="cellIs" dxfId="203" priority="267" operator="between">
      <formula>$BB$8</formula>
      <formula>$BC$8</formula>
    </cfRule>
  </conditionalFormatting>
  <conditionalFormatting sqref="I5:J36">
    <cfRule type="cellIs" dxfId="202" priority="268" operator="between">
      <formula>$BB$9</formula>
      <formula>$BC$9</formula>
    </cfRule>
  </conditionalFormatting>
  <conditionalFormatting sqref="I5:J36">
    <cfRule type="cellIs" dxfId="201" priority="269" operator="between">
      <formula>$BB$10</formula>
      <formula>$BC$10</formula>
    </cfRule>
  </conditionalFormatting>
  <conditionalFormatting sqref="I5:J36">
    <cfRule type="cellIs" dxfId="200" priority="270" operator="between">
      <formula>$BB$11</formula>
      <formula>$BC$11</formula>
    </cfRule>
  </conditionalFormatting>
  <conditionalFormatting sqref="I5:J36">
    <cfRule type="cellIs" dxfId="199" priority="271" operator="between">
      <formula>$BB$6</formula>
      <formula>$BC$6</formula>
    </cfRule>
  </conditionalFormatting>
  <conditionalFormatting sqref="I5:J36">
    <cfRule type="cellIs" dxfId="198" priority="272" operator="between">
      <formula>$BC$5</formula>
      <formula>$BD$5</formula>
    </cfRule>
  </conditionalFormatting>
  <conditionalFormatting sqref="K5:L36">
    <cfRule type="cellIs" dxfId="197" priority="257" operator="between">
      <formula>$BB$4</formula>
      <formula>$BC$4</formula>
    </cfRule>
  </conditionalFormatting>
  <conditionalFormatting sqref="K5:L36">
    <cfRule type="cellIs" dxfId="196" priority="258" operator="between">
      <formula>$BB$7</formula>
      <formula>$BC$7</formula>
    </cfRule>
  </conditionalFormatting>
  <conditionalFormatting sqref="K5:L36">
    <cfRule type="cellIs" dxfId="195" priority="259" operator="between">
      <formula>$BB$8</formula>
      <formula>$BC$8</formula>
    </cfRule>
  </conditionalFormatting>
  <conditionalFormatting sqref="K5:L36">
    <cfRule type="cellIs" dxfId="194" priority="260" operator="between">
      <formula>$BB$9</formula>
      <formula>$BC$9</formula>
    </cfRule>
  </conditionalFormatting>
  <conditionalFormatting sqref="K5:L36">
    <cfRule type="cellIs" dxfId="193" priority="261" operator="between">
      <formula>$BB$10</formula>
      <formula>$BC$10</formula>
    </cfRule>
  </conditionalFormatting>
  <conditionalFormatting sqref="K5:L36">
    <cfRule type="cellIs" dxfId="192" priority="262" operator="between">
      <formula>$BB$11</formula>
      <formula>$BC$11</formula>
    </cfRule>
  </conditionalFormatting>
  <conditionalFormatting sqref="K5:L36">
    <cfRule type="cellIs" dxfId="191" priority="263" operator="between">
      <formula>$BB$6</formula>
      <formula>$BC$6</formula>
    </cfRule>
  </conditionalFormatting>
  <conditionalFormatting sqref="K5:L36">
    <cfRule type="cellIs" dxfId="190" priority="264" operator="between">
      <formula>$BC$5</formula>
      <formula>$BD$5</formula>
    </cfRule>
  </conditionalFormatting>
  <conditionalFormatting sqref="AC36:AD36">
    <cfRule type="cellIs" dxfId="189" priority="185" operator="between">
      <formula>$BB$4</formula>
      <formula>$BC$4</formula>
    </cfRule>
  </conditionalFormatting>
  <conditionalFormatting sqref="AC36:AD36">
    <cfRule type="cellIs" dxfId="188" priority="186" operator="between">
      <formula>$BB$7</formula>
      <formula>$BC$7</formula>
    </cfRule>
  </conditionalFormatting>
  <conditionalFormatting sqref="AC36:AD36">
    <cfRule type="cellIs" dxfId="187" priority="187" operator="between">
      <formula>$BB$8</formula>
      <formula>$BC$8</formula>
    </cfRule>
  </conditionalFormatting>
  <conditionalFormatting sqref="AC36:AD36">
    <cfRule type="cellIs" dxfId="186" priority="188" operator="between">
      <formula>$BB$9</formula>
      <formula>$BC$9</formula>
    </cfRule>
  </conditionalFormatting>
  <conditionalFormatting sqref="AC36:AD36">
    <cfRule type="cellIs" dxfId="185" priority="189" operator="between">
      <formula>$BB$10</formula>
      <formula>$BC$10</formula>
    </cfRule>
  </conditionalFormatting>
  <conditionalFormatting sqref="AC36:AD36">
    <cfRule type="cellIs" dxfId="184" priority="190" operator="between">
      <formula>$BB$11</formula>
      <formula>$BC$11</formula>
    </cfRule>
  </conditionalFormatting>
  <conditionalFormatting sqref="AC36:AD36">
    <cfRule type="cellIs" dxfId="183" priority="191" operator="between">
      <formula>$BB$6</formula>
      <formula>$BC$6</formula>
    </cfRule>
  </conditionalFormatting>
  <conditionalFormatting sqref="AC36:AD36">
    <cfRule type="cellIs" dxfId="182" priority="192" operator="between">
      <formula>$BC$5</formula>
      <formula>$BD$5</formula>
    </cfRule>
  </conditionalFormatting>
  <conditionalFormatting sqref="AG5:AH36">
    <cfRule type="cellIs" dxfId="181" priority="177" operator="between">
      <formula>$BB$4</formula>
      <formula>$BC$4</formula>
    </cfRule>
  </conditionalFormatting>
  <conditionalFormatting sqref="AG5:AH36">
    <cfRule type="cellIs" dxfId="180" priority="178" operator="between">
      <formula>$BB$7</formula>
      <formula>$BC$7</formula>
    </cfRule>
  </conditionalFormatting>
  <conditionalFormatting sqref="AG5:AH36">
    <cfRule type="cellIs" dxfId="179" priority="179" operator="between">
      <formula>$BB$8</formula>
      <formula>$BC$8</formula>
    </cfRule>
  </conditionalFormatting>
  <conditionalFormatting sqref="AG5:AH36">
    <cfRule type="cellIs" dxfId="178" priority="180" operator="between">
      <formula>$BB$9</formula>
      <formula>$BC$9</formula>
    </cfRule>
  </conditionalFormatting>
  <conditionalFormatting sqref="AG5:AH36">
    <cfRule type="cellIs" dxfId="177" priority="181" operator="between">
      <formula>$BB$10</formula>
      <formula>$BC$10</formula>
    </cfRule>
  </conditionalFormatting>
  <conditionalFormatting sqref="AG5:AH36">
    <cfRule type="cellIs" dxfId="176" priority="182" operator="between">
      <formula>$BB$11</formula>
      <formula>$BC$11</formula>
    </cfRule>
  </conditionalFormatting>
  <conditionalFormatting sqref="AG5:AH36">
    <cfRule type="cellIs" dxfId="175" priority="183" operator="between">
      <formula>$BB$6</formula>
      <formula>$BC$6</formula>
    </cfRule>
  </conditionalFormatting>
  <conditionalFormatting sqref="AG5:AH36">
    <cfRule type="cellIs" dxfId="174" priority="184" operator="between">
      <formula>$BC$5</formula>
      <formula>$BD$5</formula>
    </cfRule>
  </conditionalFormatting>
  <conditionalFormatting sqref="AE5:AF36">
    <cfRule type="cellIs" dxfId="173" priority="169" operator="between">
      <formula>$BB$4</formula>
      <formula>$BC$4</formula>
    </cfRule>
  </conditionalFormatting>
  <conditionalFormatting sqref="AE5:AF36">
    <cfRule type="cellIs" dxfId="172" priority="170" operator="between">
      <formula>$BB$7</formula>
      <formula>$BC$7</formula>
    </cfRule>
  </conditionalFormatting>
  <conditionalFormatting sqref="AE5:AF36">
    <cfRule type="cellIs" dxfId="171" priority="171" operator="between">
      <formula>$BB$8</formula>
      <formula>$BC$8</formula>
    </cfRule>
  </conditionalFormatting>
  <conditionalFormatting sqref="AE5:AF36">
    <cfRule type="cellIs" dxfId="170" priority="172" operator="between">
      <formula>$BB$9</formula>
      <formula>$BC$9</formula>
    </cfRule>
  </conditionalFormatting>
  <conditionalFormatting sqref="AE5:AF36">
    <cfRule type="cellIs" dxfId="169" priority="173" operator="between">
      <formula>$BB$10</formula>
      <formula>$BC$10</formula>
    </cfRule>
  </conditionalFormatting>
  <conditionalFormatting sqref="AE5:AF36">
    <cfRule type="cellIs" dxfId="168" priority="174" operator="between">
      <formula>$BB$11</formula>
      <formula>$BC$11</formula>
    </cfRule>
  </conditionalFormatting>
  <conditionalFormatting sqref="AE5:AF36">
    <cfRule type="cellIs" dxfId="167" priority="175" operator="between">
      <formula>$BB$6</formula>
      <formula>$BC$6</formula>
    </cfRule>
  </conditionalFormatting>
  <conditionalFormatting sqref="AE5:AF36">
    <cfRule type="cellIs" dxfId="166" priority="176" operator="between">
      <formula>$BC$5</formula>
      <formula>$BD$5</formula>
    </cfRule>
  </conditionalFormatting>
  <conditionalFormatting sqref="AC5:AD35">
    <cfRule type="cellIs" dxfId="165" priority="161" operator="between">
      <formula>$BB$4</formula>
      <formula>$BC$4</formula>
    </cfRule>
  </conditionalFormatting>
  <conditionalFormatting sqref="AC5:AD35">
    <cfRule type="cellIs" dxfId="164" priority="162" operator="between">
      <formula>$BB$7</formula>
      <formula>$BC$7</formula>
    </cfRule>
  </conditionalFormatting>
  <conditionalFormatting sqref="AC5:AD35">
    <cfRule type="cellIs" dxfId="163" priority="163" operator="between">
      <formula>$BB$8</formula>
      <formula>$BC$8</formula>
    </cfRule>
  </conditionalFormatting>
  <conditionalFormatting sqref="AC5:AD35">
    <cfRule type="cellIs" dxfId="162" priority="164" operator="between">
      <formula>$BB$9</formula>
      <formula>$BC$9</formula>
    </cfRule>
  </conditionalFormatting>
  <conditionalFormatting sqref="AC5:AD35">
    <cfRule type="cellIs" dxfId="161" priority="165" operator="between">
      <formula>$BB$10</formula>
      <formula>$BC$10</formula>
    </cfRule>
  </conditionalFormatting>
  <conditionalFormatting sqref="AC5:AD35">
    <cfRule type="cellIs" dxfId="160" priority="166" operator="between">
      <formula>$BB$11</formula>
      <formula>$BC$11</formula>
    </cfRule>
  </conditionalFormatting>
  <conditionalFormatting sqref="AC5:AD35">
    <cfRule type="cellIs" dxfId="159" priority="167" operator="between">
      <formula>$BB$6</formula>
      <formula>$BC$6</formula>
    </cfRule>
  </conditionalFormatting>
  <conditionalFormatting sqref="AC5:AD35">
    <cfRule type="cellIs" dxfId="158" priority="168" operator="between">
      <formula>$BC$5</formula>
      <formula>$BD$5</formula>
    </cfRule>
  </conditionalFormatting>
  <conditionalFormatting sqref="AA5:AB36">
    <cfRule type="cellIs" dxfId="157" priority="153" operator="between">
      <formula>$BB$4</formula>
      <formula>$BC$4</formula>
    </cfRule>
  </conditionalFormatting>
  <conditionalFormatting sqref="AA5:AB36">
    <cfRule type="cellIs" dxfId="156" priority="154" operator="between">
      <formula>$BB$7</formula>
      <formula>$BC$7</formula>
    </cfRule>
  </conditionalFormatting>
  <conditionalFormatting sqref="AA5:AB36">
    <cfRule type="cellIs" dxfId="155" priority="155" operator="between">
      <formula>$BB$8</formula>
      <formula>$BC$8</formula>
    </cfRule>
  </conditionalFormatting>
  <conditionalFormatting sqref="AA5:AB36">
    <cfRule type="cellIs" dxfId="154" priority="156" operator="between">
      <formula>$BB$9</formula>
      <formula>$BC$9</formula>
    </cfRule>
  </conditionalFormatting>
  <conditionalFormatting sqref="AA5:AB36">
    <cfRule type="cellIs" dxfId="153" priority="157" operator="between">
      <formula>$BB$10</formula>
      <formula>$BC$10</formula>
    </cfRule>
  </conditionalFormatting>
  <conditionalFormatting sqref="AA5:AB36">
    <cfRule type="cellIs" dxfId="152" priority="158" operator="between">
      <formula>$BB$11</formula>
      <formula>$BC$11</formula>
    </cfRule>
  </conditionalFormatting>
  <conditionalFormatting sqref="AA5:AB36">
    <cfRule type="cellIs" dxfId="151" priority="159" operator="between">
      <formula>$BB$6</formula>
      <formula>$BC$6</formula>
    </cfRule>
  </conditionalFormatting>
  <conditionalFormatting sqref="AA5:AB36">
    <cfRule type="cellIs" dxfId="150" priority="160" operator="between">
      <formula>$BC$5</formula>
      <formula>$BD$5</formula>
    </cfRule>
  </conditionalFormatting>
  <conditionalFormatting sqref="Y5:Z36">
    <cfRule type="cellIs" dxfId="149" priority="145" operator="between">
      <formula>$BB$4</formula>
      <formula>$BC$4</formula>
    </cfRule>
  </conditionalFormatting>
  <conditionalFormatting sqref="Y5:Z36">
    <cfRule type="cellIs" dxfId="148" priority="146" operator="between">
      <formula>$BB$7</formula>
      <formula>$BC$7</formula>
    </cfRule>
  </conditionalFormatting>
  <conditionalFormatting sqref="Y5:Z36">
    <cfRule type="cellIs" dxfId="147" priority="147" operator="between">
      <formula>$BB$8</formula>
      <formula>$BC$8</formula>
    </cfRule>
  </conditionalFormatting>
  <conditionalFormatting sqref="Y5:Z36">
    <cfRule type="cellIs" dxfId="146" priority="148" operator="between">
      <formula>$BB$9</formula>
      <formula>$BC$9</formula>
    </cfRule>
  </conditionalFormatting>
  <conditionalFormatting sqref="Y5:Z36">
    <cfRule type="cellIs" dxfId="145" priority="149" operator="between">
      <formula>$BB$10</formula>
      <formula>$BC$10</formula>
    </cfRule>
  </conditionalFormatting>
  <conditionalFormatting sqref="Y5:Z36">
    <cfRule type="cellIs" dxfId="144" priority="150" operator="between">
      <formula>$BB$11</formula>
      <formula>$BC$11</formula>
    </cfRule>
  </conditionalFormatting>
  <conditionalFormatting sqref="Y5:Z36">
    <cfRule type="cellIs" dxfId="143" priority="151" operator="between">
      <formula>$BB$6</formula>
      <formula>$BC$6</formula>
    </cfRule>
  </conditionalFormatting>
  <conditionalFormatting sqref="Y5:Z36">
    <cfRule type="cellIs" dxfId="142" priority="152" operator="between">
      <formula>$BC$5</formula>
      <formula>$BD$5</formula>
    </cfRule>
  </conditionalFormatting>
  <conditionalFormatting sqref="W5:X36">
    <cfRule type="cellIs" dxfId="141" priority="137" operator="between">
      <formula>$BB$4</formula>
      <formula>$BC$4</formula>
    </cfRule>
  </conditionalFormatting>
  <conditionalFormatting sqref="W5:X36">
    <cfRule type="cellIs" dxfId="140" priority="138" operator="between">
      <formula>$BB$7</formula>
      <formula>$BC$7</formula>
    </cfRule>
  </conditionalFormatting>
  <conditionalFormatting sqref="W5:X36">
    <cfRule type="cellIs" dxfId="139" priority="139" operator="between">
      <formula>$BB$8</formula>
      <formula>$BC$8</formula>
    </cfRule>
  </conditionalFormatting>
  <conditionalFormatting sqref="W5:X36">
    <cfRule type="cellIs" dxfId="138" priority="140" operator="between">
      <formula>$BB$9</formula>
      <formula>$BC$9</formula>
    </cfRule>
  </conditionalFormatting>
  <conditionalFormatting sqref="W5:X36">
    <cfRule type="cellIs" dxfId="137" priority="141" operator="between">
      <formula>$BB$10</formula>
      <formula>$BC$10</formula>
    </cfRule>
  </conditionalFormatting>
  <conditionalFormatting sqref="W5:X36">
    <cfRule type="cellIs" dxfId="136" priority="142" operator="between">
      <formula>$BB$11</formula>
      <formula>$BC$11</formula>
    </cfRule>
  </conditionalFormatting>
  <conditionalFormatting sqref="W5:X36">
    <cfRule type="cellIs" dxfId="135" priority="143" operator="between">
      <formula>$BB$6</formula>
      <formula>$BC$6</formula>
    </cfRule>
  </conditionalFormatting>
  <conditionalFormatting sqref="W5:X36">
    <cfRule type="cellIs" dxfId="134" priority="144" operator="between">
      <formula>$BC$5</formula>
      <formula>$BD$5</formula>
    </cfRule>
  </conditionalFormatting>
  <conditionalFormatting sqref="U5:V36">
    <cfRule type="cellIs" dxfId="133" priority="129" operator="between">
      <formula>$BB$4</formula>
      <formula>$BC$4</formula>
    </cfRule>
  </conditionalFormatting>
  <conditionalFormatting sqref="U5:V36">
    <cfRule type="cellIs" dxfId="132" priority="130" operator="between">
      <formula>$BB$7</formula>
      <formula>$BC$7</formula>
    </cfRule>
  </conditionalFormatting>
  <conditionalFormatting sqref="U5:V36">
    <cfRule type="cellIs" dxfId="131" priority="131" operator="between">
      <formula>$BB$8</formula>
      <formula>$BC$8</formula>
    </cfRule>
  </conditionalFormatting>
  <conditionalFormatting sqref="U5:V36">
    <cfRule type="cellIs" dxfId="130" priority="132" operator="between">
      <formula>$BB$9</formula>
      <formula>$BC$9</formula>
    </cfRule>
  </conditionalFormatting>
  <conditionalFormatting sqref="U5:V36">
    <cfRule type="cellIs" dxfId="129" priority="133" operator="between">
      <formula>$BB$10</formula>
      <formula>$BC$10</formula>
    </cfRule>
  </conditionalFormatting>
  <conditionalFormatting sqref="U5:V36">
    <cfRule type="cellIs" dxfId="128" priority="134" operator="between">
      <formula>$BB$11</formula>
      <formula>$BC$11</formula>
    </cfRule>
  </conditionalFormatting>
  <conditionalFormatting sqref="U5:V36">
    <cfRule type="cellIs" dxfId="127" priority="135" operator="between">
      <formula>$BB$6</formula>
      <formula>$BC$6</formula>
    </cfRule>
  </conditionalFormatting>
  <conditionalFormatting sqref="U5:V36">
    <cfRule type="cellIs" dxfId="126" priority="136" operator="between">
      <formula>$BC$5</formula>
      <formula>$BD$5</formula>
    </cfRule>
  </conditionalFormatting>
  <conditionalFormatting sqref="S5:T36">
    <cfRule type="cellIs" dxfId="125" priority="121" operator="between">
      <formula>$BB$4</formula>
      <formula>$BC$4</formula>
    </cfRule>
  </conditionalFormatting>
  <conditionalFormatting sqref="S5:T36">
    <cfRule type="cellIs" dxfId="124" priority="122" operator="between">
      <formula>$BB$7</formula>
      <formula>$BC$7</formula>
    </cfRule>
  </conditionalFormatting>
  <conditionalFormatting sqref="S5:T36">
    <cfRule type="cellIs" dxfId="123" priority="123" operator="between">
      <formula>$BB$8</formula>
      <formula>$BC$8</formula>
    </cfRule>
  </conditionalFormatting>
  <conditionalFormatting sqref="S5:T36">
    <cfRule type="cellIs" dxfId="122" priority="124" operator="between">
      <formula>$BB$9</formula>
      <formula>$BC$9</formula>
    </cfRule>
  </conditionalFormatting>
  <conditionalFormatting sqref="S5:T36">
    <cfRule type="cellIs" dxfId="121" priority="125" operator="between">
      <formula>$BB$10</formula>
      <formula>$BC$10</formula>
    </cfRule>
  </conditionalFormatting>
  <conditionalFormatting sqref="S5:T36">
    <cfRule type="cellIs" dxfId="120" priority="126" operator="between">
      <formula>$BB$11</formula>
      <formula>$BC$11</formula>
    </cfRule>
  </conditionalFormatting>
  <conditionalFormatting sqref="S5:T36">
    <cfRule type="cellIs" dxfId="119" priority="127" operator="between">
      <formula>$BB$6</formula>
      <formula>$BC$6</formula>
    </cfRule>
  </conditionalFormatting>
  <conditionalFormatting sqref="S5:T36">
    <cfRule type="cellIs" dxfId="118" priority="128" operator="between">
      <formula>$BC$5</formula>
      <formula>$BD$5</formula>
    </cfRule>
  </conditionalFormatting>
  <conditionalFormatting sqref="Q5:R36">
    <cfRule type="cellIs" dxfId="117" priority="113" operator="between">
      <formula>$BB$4</formula>
      <formula>$BC$4</formula>
    </cfRule>
  </conditionalFormatting>
  <conditionalFormatting sqref="Q5:R36">
    <cfRule type="cellIs" dxfId="116" priority="114" operator="between">
      <formula>$BB$7</formula>
      <formula>$BC$7</formula>
    </cfRule>
  </conditionalFormatting>
  <conditionalFormatting sqref="Q5:R36">
    <cfRule type="cellIs" dxfId="115" priority="115" operator="between">
      <formula>$BB$8</formula>
      <formula>$BC$8</formula>
    </cfRule>
  </conditionalFormatting>
  <conditionalFormatting sqref="Q5:R36">
    <cfRule type="cellIs" dxfId="114" priority="116" operator="between">
      <formula>$BB$9</formula>
      <formula>$BC$9</formula>
    </cfRule>
  </conditionalFormatting>
  <conditionalFormatting sqref="Q5:R36">
    <cfRule type="cellIs" dxfId="113" priority="117" operator="between">
      <formula>$BB$10</formula>
      <formula>$BC$10</formula>
    </cfRule>
  </conditionalFormatting>
  <conditionalFormatting sqref="Q5:R36">
    <cfRule type="cellIs" dxfId="112" priority="118" operator="between">
      <formula>$BB$11</formula>
      <formula>$BC$11</formula>
    </cfRule>
  </conditionalFormatting>
  <conditionalFormatting sqref="Q5:R36">
    <cfRule type="cellIs" dxfId="111" priority="119" operator="between">
      <formula>$BB$6</formula>
      <formula>$BC$6</formula>
    </cfRule>
  </conditionalFormatting>
  <conditionalFormatting sqref="Q5:R36">
    <cfRule type="cellIs" dxfId="110" priority="120" operator="between">
      <formula>$BC$5</formula>
      <formula>$BD$5</formula>
    </cfRule>
  </conditionalFormatting>
  <conditionalFormatting sqref="O5:P36">
    <cfRule type="cellIs" dxfId="109" priority="105" operator="between">
      <formula>$BB$4</formula>
      <formula>$BC$4</formula>
    </cfRule>
  </conditionalFormatting>
  <conditionalFormatting sqref="O5:P36">
    <cfRule type="cellIs" dxfId="108" priority="106" operator="between">
      <formula>$BB$7</formula>
      <formula>$BC$7</formula>
    </cfRule>
  </conditionalFormatting>
  <conditionalFormatting sqref="O5:P36">
    <cfRule type="cellIs" dxfId="107" priority="107" operator="between">
      <formula>$BB$8</formula>
      <formula>$BC$8</formula>
    </cfRule>
  </conditionalFormatting>
  <conditionalFormatting sqref="O5:P36">
    <cfRule type="cellIs" dxfId="106" priority="108" operator="between">
      <formula>$BB$9</formula>
      <formula>$BC$9</formula>
    </cfRule>
  </conditionalFormatting>
  <conditionalFormatting sqref="O5:P36">
    <cfRule type="cellIs" dxfId="105" priority="109" operator="between">
      <formula>$BB$10</formula>
      <formula>$BC$10</formula>
    </cfRule>
  </conditionalFormatting>
  <conditionalFormatting sqref="O5:P36">
    <cfRule type="cellIs" dxfId="104" priority="110" operator="between">
      <formula>$BB$11</formula>
      <formula>$BC$11</formula>
    </cfRule>
  </conditionalFormatting>
  <conditionalFormatting sqref="O5:P36">
    <cfRule type="cellIs" dxfId="103" priority="111" operator="between">
      <formula>$BB$6</formula>
      <formula>$BC$6</formula>
    </cfRule>
  </conditionalFormatting>
  <conditionalFormatting sqref="O5:P36">
    <cfRule type="cellIs" dxfId="102" priority="112" operator="between">
      <formula>$BC$5</formula>
      <formula>$BD$5</formula>
    </cfRule>
  </conditionalFormatting>
  <conditionalFormatting sqref="M5:N36">
    <cfRule type="cellIs" dxfId="101" priority="97" operator="between">
      <formula>$BB$4</formula>
      <formula>$BC$4</formula>
    </cfRule>
  </conditionalFormatting>
  <conditionalFormatting sqref="M5:N36">
    <cfRule type="cellIs" dxfId="100" priority="98" operator="between">
      <formula>$BB$7</formula>
      <formula>$BC$7</formula>
    </cfRule>
  </conditionalFormatting>
  <conditionalFormatting sqref="M5:N36">
    <cfRule type="cellIs" dxfId="99" priority="99" operator="between">
      <formula>$BB$8</formula>
      <formula>$BC$8</formula>
    </cfRule>
  </conditionalFormatting>
  <conditionalFormatting sqref="M5:N36">
    <cfRule type="cellIs" dxfId="98" priority="100" operator="between">
      <formula>$BB$9</formula>
      <formula>$BC$9</formula>
    </cfRule>
  </conditionalFormatting>
  <conditionalFormatting sqref="M5:N36">
    <cfRule type="cellIs" dxfId="97" priority="101" operator="between">
      <formula>$BB$10</formula>
      <formula>$BC$10</formula>
    </cfRule>
  </conditionalFormatting>
  <conditionalFormatting sqref="M5:N36">
    <cfRule type="cellIs" dxfId="96" priority="102" operator="between">
      <formula>$BB$11</formula>
      <formula>$BC$11</formula>
    </cfRule>
  </conditionalFormatting>
  <conditionalFormatting sqref="M5:N36">
    <cfRule type="cellIs" dxfId="95" priority="103" operator="between">
      <formula>$BB$6</formula>
      <formula>$BC$6</formula>
    </cfRule>
  </conditionalFormatting>
  <conditionalFormatting sqref="M5:N36">
    <cfRule type="cellIs" dxfId="94" priority="104" operator="between">
      <formula>$BC$5</formula>
      <formula>$BD$5</formula>
    </cfRule>
  </conditionalFormatting>
  <conditionalFormatting sqref="AG77:AH108">
    <cfRule type="cellIs" dxfId="93" priority="81" operator="between">
      <formula>$BB$4</formula>
      <formula>$BC$4</formula>
    </cfRule>
  </conditionalFormatting>
  <conditionalFormatting sqref="AG77:AH108">
    <cfRule type="cellIs" dxfId="92" priority="82" operator="between">
      <formula>$BB$7</formula>
      <formula>$BC$7</formula>
    </cfRule>
  </conditionalFormatting>
  <conditionalFormatting sqref="AG77:AH108">
    <cfRule type="cellIs" dxfId="91" priority="83" operator="between">
      <formula>$BB$8</formula>
      <formula>$BC$8</formula>
    </cfRule>
  </conditionalFormatting>
  <conditionalFormatting sqref="AG77:AH108">
    <cfRule type="cellIs" dxfId="90" priority="84" operator="between">
      <formula>$BB$9</formula>
      <formula>$BC$9</formula>
    </cfRule>
  </conditionalFormatting>
  <conditionalFormatting sqref="AG77:AH108">
    <cfRule type="cellIs" dxfId="89" priority="85" operator="between">
      <formula>$BB$10</formula>
      <formula>$BC$10</formula>
    </cfRule>
  </conditionalFormatting>
  <conditionalFormatting sqref="AG77:AH108">
    <cfRule type="cellIs" dxfId="88" priority="86" operator="between">
      <formula>$BB$11</formula>
      <formula>$BC$11</formula>
    </cfRule>
  </conditionalFormatting>
  <conditionalFormatting sqref="AG77:AH108">
    <cfRule type="cellIs" dxfId="87" priority="87" operator="between">
      <formula>$BB$6</formula>
      <formula>$BC$6</formula>
    </cfRule>
  </conditionalFormatting>
  <conditionalFormatting sqref="AG77:AH108">
    <cfRule type="cellIs" dxfId="86" priority="88" operator="between">
      <formula>$BC$5</formula>
      <formula>$BD$5</formula>
    </cfRule>
  </conditionalFormatting>
  <conditionalFormatting sqref="AE77:AF108">
    <cfRule type="cellIs" dxfId="85" priority="73" operator="between">
      <formula>$BB$4</formula>
      <formula>$BC$4</formula>
    </cfRule>
  </conditionalFormatting>
  <conditionalFormatting sqref="AE77:AF108">
    <cfRule type="cellIs" dxfId="84" priority="74" operator="between">
      <formula>$BB$7</formula>
      <formula>$BC$7</formula>
    </cfRule>
  </conditionalFormatting>
  <conditionalFormatting sqref="AE77:AF108">
    <cfRule type="cellIs" dxfId="83" priority="75" operator="between">
      <formula>$BB$8</formula>
      <formula>$BC$8</formula>
    </cfRule>
  </conditionalFormatting>
  <conditionalFormatting sqref="AE77:AF108">
    <cfRule type="cellIs" dxfId="82" priority="76" operator="between">
      <formula>$BB$9</formula>
      <formula>$BC$9</formula>
    </cfRule>
  </conditionalFormatting>
  <conditionalFormatting sqref="AE77:AF108">
    <cfRule type="cellIs" dxfId="81" priority="77" operator="between">
      <formula>$BB$10</formula>
      <formula>$BC$10</formula>
    </cfRule>
  </conditionalFormatting>
  <conditionalFormatting sqref="AE77:AF108">
    <cfRule type="cellIs" dxfId="80" priority="78" operator="between">
      <formula>$BB$11</formula>
      <formula>$BC$11</formula>
    </cfRule>
  </conditionalFormatting>
  <conditionalFormatting sqref="AE77:AF108">
    <cfRule type="cellIs" dxfId="79" priority="79" operator="between">
      <formula>$BB$6</formula>
      <formula>$BC$6</formula>
    </cfRule>
  </conditionalFormatting>
  <conditionalFormatting sqref="AE77:AF108">
    <cfRule type="cellIs" dxfId="78" priority="80" operator="between">
      <formula>$BC$5</formula>
      <formula>$BD$5</formula>
    </cfRule>
  </conditionalFormatting>
  <conditionalFormatting sqref="AC77:AD108">
    <cfRule type="cellIs" dxfId="77" priority="65" operator="between">
      <formula>$BB$4</formula>
      <formula>$BC$4</formula>
    </cfRule>
  </conditionalFormatting>
  <conditionalFormatting sqref="AC77:AD108">
    <cfRule type="cellIs" dxfId="76" priority="66" operator="between">
      <formula>$BB$7</formula>
      <formula>$BC$7</formula>
    </cfRule>
  </conditionalFormatting>
  <conditionalFormatting sqref="AC77:AD108">
    <cfRule type="cellIs" dxfId="75" priority="67" operator="between">
      <formula>$BB$8</formula>
      <formula>$BC$8</formula>
    </cfRule>
  </conditionalFormatting>
  <conditionalFormatting sqref="AC77:AD108">
    <cfRule type="cellIs" dxfId="74" priority="68" operator="between">
      <formula>$BB$9</formula>
      <formula>$BC$9</formula>
    </cfRule>
  </conditionalFormatting>
  <conditionalFormatting sqref="AC77:AD108">
    <cfRule type="cellIs" dxfId="73" priority="69" operator="between">
      <formula>$BB$10</formula>
      <formula>$BC$10</formula>
    </cfRule>
  </conditionalFormatting>
  <conditionalFormatting sqref="AC77:AD108">
    <cfRule type="cellIs" dxfId="72" priority="70" operator="between">
      <formula>$BB$11</formula>
      <formula>$BC$11</formula>
    </cfRule>
  </conditionalFormatting>
  <conditionalFormatting sqref="AC77:AD108">
    <cfRule type="cellIs" dxfId="71" priority="71" operator="between">
      <formula>$BB$6</formula>
      <formula>$BC$6</formula>
    </cfRule>
  </conditionalFormatting>
  <conditionalFormatting sqref="AC77:AD108">
    <cfRule type="cellIs" dxfId="70" priority="72" operator="between">
      <formula>$BC$5</formula>
      <formula>$BD$5</formula>
    </cfRule>
  </conditionalFormatting>
  <conditionalFormatting sqref="AA77:AB108">
    <cfRule type="cellIs" dxfId="69" priority="57" operator="between">
      <formula>$BB$4</formula>
      <formula>$BC$4</formula>
    </cfRule>
  </conditionalFormatting>
  <conditionalFormatting sqref="AA77:AB108">
    <cfRule type="cellIs" dxfId="68" priority="58" operator="between">
      <formula>$BB$7</formula>
      <formula>$BC$7</formula>
    </cfRule>
  </conditionalFormatting>
  <conditionalFormatting sqref="AA77:AB108">
    <cfRule type="cellIs" dxfId="67" priority="59" operator="between">
      <formula>$BB$8</formula>
      <formula>$BC$8</formula>
    </cfRule>
  </conditionalFormatting>
  <conditionalFormatting sqref="AA77:AB108">
    <cfRule type="cellIs" dxfId="66" priority="60" operator="between">
      <formula>$BB$9</formula>
      <formula>$BC$9</formula>
    </cfRule>
  </conditionalFormatting>
  <conditionalFormatting sqref="AA77:AB108">
    <cfRule type="cellIs" dxfId="65" priority="61" operator="between">
      <formula>$BB$10</formula>
      <formula>$BC$10</formula>
    </cfRule>
  </conditionalFormatting>
  <conditionalFormatting sqref="AA77:AB108">
    <cfRule type="cellIs" dxfId="64" priority="62" operator="between">
      <formula>$BB$11</formula>
      <formula>$BC$11</formula>
    </cfRule>
  </conditionalFormatting>
  <conditionalFormatting sqref="AA77:AB108">
    <cfRule type="cellIs" dxfId="63" priority="63" operator="between">
      <formula>$BB$6</formula>
      <formula>$BC$6</formula>
    </cfRule>
  </conditionalFormatting>
  <conditionalFormatting sqref="AA77:AB108">
    <cfRule type="cellIs" dxfId="62" priority="64" operator="between">
      <formula>$BC$5</formula>
      <formula>$BD$5</formula>
    </cfRule>
  </conditionalFormatting>
  <conditionalFormatting sqref="Y77:Z108">
    <cfRule type="cellIs" dxfId="61" priority="49" operator="between">
      <formula>$BB$4</formula>
      <formula>$BC$4</formula>
    </cfRule>
  </conditionalFormatting>
  <conditionalFormatting sqref="Y77:Z108">
    <cfRule type="cellIs" dxfId="60" priority="50" operator="between">
      <formula>$BB$7</formula>
      <formula>$BC$7</formula>
    </cfRule>
  </conditionalFormatting>
  <conditionalFormatting sqref="Y77:Z108">
    <cfRule type="cellIs" dxfId="59" priority="51" operator="between">
      <formula>$BB$8</formula>
      <formula>$BC$8</formula>
    </cfRule>
  </conditionalFormatting>
  <conditionalFormatting sqref="Y77:Z108">
    <cfRule type="cellIs" dxfId="58" priority="52" operator="between">
      <formula>$BB$9</formula>
      <formula>$BC$9</formula>
    </cfRule>
  </conditionalFormatting>
  <conditionalFormatting sqref="Y77:Z108">
    <cfRule type="cellIs" dxfId="57" priority="53" operator="between">
      <formula>$BB$10</formula>
      <formula>$BC$10</formula>
    </cfRule>
  </conditionalFormatting>
  <conditionalFormatting sqref="Y77:Z108">
    <cfRule type="cellIs" dxfId="56" priority="54" operator="between">
      <formula>$BB$11</formula>
      <formula>$BC$11</formula>
    </cfRule>
  </conditionalFormatting>
  <conditionalFormatting sqref="Y77:Z108">
    <cfRule type="cellIs" dxfId="55" priority="55" operator="between">
      <formula>$BB$6</formula>
      <formula>$BC$6</formula>
    </cfRule>
  </conditionalFormatting>
  <conditionalFormatting sqref="Y77:Z108">
    <cfRule type="cellIs" dxfId="54" priority="56" operator="between">
      <formula>$BC$5</formula>
      <formula>$BD$5</formula>
    </cfRule>
  </conditionalFormatting>
  <conditionalFormatting sqref="W77:X108">
    <cfRule type="cellIs" dxfId="53" priority="41" operator="between">
      <formula>$BB$4</formula>
      <formula>$BC$4</formula>
    </cfRule>
  </conditionalFormatting>
  <conditionalFormatting sqref="W77:X108">
    <cfRule type="cellIs" dxfId="52" priority="42" operator="between">
      <formula>$BB$7</formula>
      <formula>$BC$7</formula>
    </cfRule>
  </conditionalFormatting>
  <conditionalFormatting sqref="W77:X108">
    <cfRule type="cellIs" dxfId="51" priority="43" operator="between">
      <formula>$BB$8</formula>
      <formula>$BC$8</formula>
    </cfRule>
  </conditionalFormatting>
  <conditionalFormatting sqref="W77:X108">
    <cfRule type="cellIs" dxfId="50" priority="44" operator="between">
      <formula>$BB$9</formula>
      <formula>$BC$9</formula>
    </cfRule>
  </conditionalFormatting>
  <conditionalFormatting sqref="W77:X108">
    <cfRule type="cellIs" dxfId="49" priority="45" operator="between">
      <formula>$BB$10</formula>
      <formula>$BC$10</formula>
    </cfRule>
  </conditionalFormatting>
  <conditionalFormatting sqref="W77:X108">
    <cfRule type="cellIs" dxfId="48" priority="46" operator="between">
      <formula>$BB$11</formula>
      <formula>$BC$11</formula>
    </cfRule>
  </conditionalFormatting>
  <conditionalFormatting sqref="W77:X108">
    <cfRule type="cellIs" dxfId="47" priority="47" operator="between">
      <formula>$BB$6</formula>
      <formula>$BC$6</formula>
    </cfRule>
  </conditionalFormatting>
  <conditionalFormatting sqref="W77:X108">
    <cfRule type="cellIs" dxfId="46" priority="48" operator="between">
      <formula>$BC$5</formula>
      <formula>$BD$5</formula>
    </cfRule>
  </conditionalFormatting>
  <conditionalFormatting sqref="U77:V108">
    <cfRule type="cellIs" dxfId="45" priority="33" operator="between">
      <formula>$BB$4</formula>
      <formula>$BC$4</formula>
    </cfRule>
  </conditionalFormatting>
  <conditionalFormatting sqref="U77:V108">
    <cfRule type="cellIs" dxfId="44" priority="34" operator="between">
      <formula>$BB$7</formula>
      <formula>$BC$7</formula>
    </cfRule>
  </conditionalFormatting>
  <conditionalFormatting sqref="U77:V108">
    <cfRule type="cellIs" dxfId="43" priority="35" operator="between">
      <formula>$BB$8</formula>
      <formula>$BC$8</formula>
    </cfRule>
  </conditionalFormatting>
  <conditionalFormatting sqref="U77:V108">
    <cfRule type="cellIs" dxfId="42" priority="36" operator="between">
      <formula>$BB$9</formula>
      <formula>$BC$9</formula>
    </cfRule>
  </conditionalFormatting>
  <conditionalFormatting sqref="U77:V108">
    <cfRule type="cellIs" dxfId="41" priority="37" operator="between">
      <formula>$BB$10</formula>
      <formula>$BC$10</formula>
    </cfRule>
  </conditionalFormatting>
  <conditionalFormatting sqref="U77:V108">
    <cfRule type="cellIs" dxfId="40" priority="38" operator="between">
      <formula>$BB$11</formula>
      <formula>$BC$11</formula>
    </cfRule>
  </conditionalFormatting>
  <conditionalFormatting sqref="U77:V108">
    <cfRule type="cellIs" dxfId="39" priority="39" operator="between">
      <formula>$BB$6</formula>
      <formula>$BC$6</formula>
    </cfRule>
  </conditionalFormatting>
  <conditionalFormatting sqref="U77:V108">
    <cfRule type="cellIs" dxfId="38" priority="40" operator="between">
      <formula>$BC$5</formula>
      <formula>$BD$5</formula>
    </cfRule>
  </conditionalFormatting>
  <conditionalFormatting sqref="S77:T108">
    <cfRule type="cellIs" dxfId="37" priority="25" operator="between">
      <formula>$BB$4</formula>
      <formula>$BC$4</formula>
    </cfRule>
  </conditionalFormatting>
  <conditionalFormatting sqref="S77:T108">
    <cfRule type="cellIs" dxfId="36" priority="26" operator="between">
      <formula>$BB$7</formula>
      <formula>$BC$7</formula>
    </cfRule>
  </conditionalFormatting>
  <conditionalFormatting sqref="S77:T108">
    <cfRule type="cellIs" dxfId="35" priority="27" operator="between">
      <formula>$BB$8</formula>
      <formula>$BC$8</formula>
    </cfRule>
  </conditionalFormatting>
  <conditionalFormatting sqref="S77:T108">
    <cfRule type="cellIs" dxfId="34" priority="28" operator="between">
      <formula>$BB$9</formula>
      <formula>$BC$9</formula>
    </cfRule>
  </conditionalFormatting>
  <conditionalFormatting sqref="S77:T108">
    <cfRule type="cellIs" dxfId="33" priority="29" operator="between">
      <formula>$BB$10</formula>
      <formula>$BC$10</formula>
    </cfRule>
  </conditionalFormatting>
  <conditionalFormatting sqref="S77:T108">
    <cfRule type="cellIs" dxfId="32" priority="30" operator="between">
      <formula>$BB$11</formula>
      <formula>$BC$11</formula>
    </cfRule>
  </conditionalFormatting>
  <conditionalFormatting sqref="S77:T108">
    <cfRule type="cellIs" dxfId="31" priority="31" operator="between">
      <formula>$BB$6</formula>
      <formula>$BC$6</formula>
    </cfRule>
  </conditionalFormatting>
  <conditionalFormatting sqref="S77:T108">
    <cfRule type="cellIs" dxfId="30" priority="32" operator="between">
      <formula>$BC$5</formula>
      <formula>$BD$5</formula>
    </cfRule>
  </conditionalFormatting>
  <conditionalFormatting sqref="U293:V324">
    <cfRule type="cellIs" dxfId="29" priority="17" operator="between">
      <formula>$BB$4</formula>
      <formula>$BC$4</formula>
    </cfRule>
  </conditionalFormatting>
  <conditionalFormatting sqref="U293:V324">
    <cfRule type="cellIs" dxfId="28" priority="18" operator="between">
      <formula>$BB$7</formula>
      <formula>$BC$7</formula>
    </cfRule>
  </conditionalFormatting>
  <conditionalFormatting sqref="U293:V324">
    <cfRule type="cellIs" dxfId="27" priority="19" operator="between">
      <formula>$BB$8</formula>
      <formula>$BC$8</formula>
    </cfRule>
  </conditionalFormatting>
  <conditionalFormatting sqref="U293:V324">
    <cfRule type="cellIs" dxfId="26" priority="20" operator="between">
      <formula>$BB$9</formula>
      <formula>$BC$9</formula>
    </cfRule>
  </conditionalFormatting>
  <conditionalFormatting sqref="U293:V324">
    <cfRule type="cellIs" dxfId="25" priority="21" operator="between">
      <formula>$BB$10</formula>
      <formula>$BC$10</formula>
    </cfRule>
  </conditionalFormatting>
  <conditionalFormatting sqref="U293:V324">
    <cfRule type="cellIs" dxfId="24" priority="22" operator="between">
      <formula>$BB$11</formula>
      <formula>$BC$11</formula>
    </cfRule>
  </conditionalFormatting>
  <conditionalFormatting sqref="U293:V324">
    <cfRule type="cellIs" dxfId="23" priority="23" operator="between">
      <formula>$BB$6</formula>
      <formula>$BC$6</formula>
    </cfRule>
  </conditionalFormatting>
  <conditionalFormatting sqref="U293:V324">
    <cfRule type="cellIs" dxfId="22" priority="24" operator="between">
      <formula>$BC$5</formula>
      <formula>$BD$5</formula>
    </cfRule>
  </conditionalFormatting>
  <conditionalFormatting sqref="K329:L360">
    <cfRule type="cellIs" dxfId="21" priority="1" operator="between">
      <formula>$BB$4</formula>
      <formula>$BC$4</formula>
    </cfRule>
  </conditionalFormatting>
  <conditionalFormatting sqref="K329:L360">
    <cfRule type="cellIs" dxfId="20" priority="2" operator="between">
      <formula>$BB$7</formula>
      <formula>$BC$7</formula>
    </cfRule>
  </conditionalFormatting>
  <conditionalFormatting sqref="K329:L360">
    <cfRule type="cellIs" dxfId="19" priority="3" operator="between">
      <formula>$BB$8</formula>
      <formula>$BC$8</formula>
    </cfRule>
  </conditionalFormatting>
  <conditionalFormatting sqref="K329:L360">
    <cfRule type="cellIs" dxfId="18" priority="4" operator="between">
      <formula>$BB$9</formula>
      <formula>$BC$9</formula>
    </cfRule>
  </conditionalFormatting>
  <conditionalFormatting sqref="K329:L360">
    <cfRule type="cellIs" dxfId="17" priority="5" operator="between">
      <formula>$BB$10</formula>
      <formula>$BC$10</formula>
    </cfRule>
  </conditionalFormatting>
  <conditionalFormatting sqref="K329:L360">
    <cfRule type="cellIs" dxfId="16" priority="6" operator="between">
      <formula>$BB$11</formula>
      <formula>$BC$11</formula>
    </cfRule>
  </conditionalFormatting>
  <conditionalFormatting sqref="K329:L360">
    <cfRule type="cellIs" dxfId="15" priority="7" operator="between">
      <formula>$BB$6</formula>
      <formula>$BC$6</formula>
    </cfRule>
  </conditionalFormatting>
  <conditionalFormatting sqref="K329:L360">
    <cfRule type="cellIs" dxfId="14" priority="8" operator="between">
      <formula>$BC$5</formula>
      <formula>$BD$5</formula>
    </cfRule>
  </conditionalFormatting>
  <conditionalFormatting sqref="K329:L360">
    <cfRule type="cellIs" dxfId="13" priority="9" operator="between">
      <formula>$BB$4</formula>
      <formula>$BC$4</formula>
    </cfRule>
    <cfRule type="cellIs" dxfId="12" priority="10" operator="between">
      <formula>$BC$5</formula>
      <formula>$BD$5</formula>
    </cfRule>
    <cfRule type="cellIs" dxfId="11" priority="11" operator="between">
      <formula>$BB$6</formula>
      <formula>$BC$6</formula>
    </cfRule>
    <cfRule type="cellIs" dxfId="10" priority="12" operator="between">
      <formula>$BB$11</formula>
      <formula>$BC$11</formula>
    </cfRule>
    <cfRule type="cellIs" dxfId="9" priority="13" operator="between">
      <formula>$BB$10</formula>
      <formula>$BC$10</formula>
    </cfRule>
    <cfRule type="cellIs" dxfId="8" priority="14" operator="between">
      <formula>$BB$9</formula>
      <formula>$BC$9</formula>
    </cfRule>
    <cfRule type="cellIs" dxfId="7" priority="15" operator="between">
      <formula>$BB$8</formula>
      <formula>$BC$8</formula>
    </cfRule>
    <cfRule type="cellIs" dxfId="6" priority="16" operator="between">
      <formula>$BB$7</formula>
      <formula>$BC$7</formula>
    </cfRule>
  </conditionalFormatting>
  <dataValidations count="1">
    <dataValidation type="list" allowBlank="1" showErrorMessage="1" errorTitle="設定不可" error="整数0～7の範囲で設定" promptTitle="重み係数設定" prompt="整数0～7の範囲で設定" sqref="C185:K216 C77:AH108 C365:R396 C5:AH36 C113:AH144 Q185:AH216 C149:AH180 C221:AH252 C257:AH288 C401:R432 C293:AH324 C437:R468 C41:AH72 L185:P217 C329:AH360" xr:uid="{00000000-0002-0000-0300-000000000000}">
      <formula1>"0,1,2,3,4,5,6,7,8,9,10,11,12,13,14,15"</formula1>
    </dataValidation>
  </dataValidations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2:CI261"/>
  <sheetViews>
    <sheetView zoomScale="85" zoomScaleNormal="85" workbookViewId="0">
      <selection activeCell="F261" sqref="F261"/>
    </sheetView>
  </sheetViews>
  <sheetFormatPr defaultColWidth="9" defaultRowHeight="13.5"/>
  <cols>
    <col min="1" max="1" width="4.5" style="1" customWidth="1"/>
    <col min="2" max="2" width="3.25" style="1" customWidth="1"/>
    <col min="3" max="3" width="3.5" style="1" customWidth="1"/>
    <col min="4" max="11" width="7.5" style="2" customWidth="1"/>
    <col min="12" max="13" width="6.875" style="2" customWidth="1"/>
    <col min="14" max="14" width="7.5" style="2" customWidth="1"/>
    <col min="15" max="16" width="6.875" style="2" customWidth="1"/>
    <col min="17" max="18" width="5" style="2" customWidth="1"/>
    <col min="19" max="20" width="7.5" style="2" customWidth="1"/>
    <col min="21" max="22" width="5" style="2" customWidth="1"/>
    <col min="23" max="24" width="7.5" style="2" customWidth="1"/>
    <col min="25" max="87" width="9" style="2"/>
    <col min="88" max="16384" width="9" style="1"/>
  </cols>
  <sheetData>
    <row r="2" spans="1:21">
      <c r="B2" s="5" t="s">
        <v>281</v>
      </c>
    </row>
    <row r="4" spans="1:21">
      <c r="D4" s="2">
        <v>1</v>
      </c>
      <c r="E4" s="2">
        <v>2</v>
      </c>
      <c r="F4" s="2">
        <v>3</v>
      </c>
      <c r="G4" s="2">
        <v>4</v>
      </c>
      <c r="H4" s="2">
        <v>5</v>
      </c>
      <c r="I4" s="2">
        <v>6</v>
      </c>
      <c r="J4" s="2">
        <v>7</v>
      </c>
      <c r="K4" s="2">
        <v>8</v>
      </c>
      <c r="L4" s="2">
        <v>9</v>
      </c>
      <c r="M4" s="2">
        <v>10</v>
      </c>
      <c r="N4" s="119"/>
      <c r="O4" s="119"/>
      <c r="P4" s="119"/>
    </row>
    <row r="5" spans="1:21">
      <c r="A5" s="2" t="s">
        <v>125</v>
      </c>
      <c r="B5" s="2" t="s">
        <v>126</v>
      </c>
      <c r="C5" s="2" t="s">
        <v>127</v>
      </c>
      <c r="N5" s="119"/>
      <c r="O5" s="119"/>
      <c r="P5" s="119"/>
    </row>
    <row r="6" spans="1:21">
      <c r="A6" s="1">
        <v>1</v>
      </c>
      <c r="B6" s="1">
        <v>0</v>
      </c>
      <c r="C6" s="1">
        <v>1</v>
      </c>
      <c r="D6" s="3" t="str">
        <f>VLOOKUP(B6,AE_weight!$AP$4:$AX$36,C6+1)</f>
        <v>0000</v>
      </c>
      <c r="E6" s="3" t="str">
        <f>VLOOKUP(B6,AE_weight!$AP$40:$AX$72,C6+1)</f>
        <v>2222</v>
      </c>
      <c r="F6" s="3" t="str">
        <f>VLOOKUP(B6,AE_weight!$AP$76:$AX$108,C6+1)</f>
        <v>0000</v>
      </c>
      <c r="G6" s="3" t="str">
        <f>VLOOKUP(B6,AE_weight!$AP$112:$AX$144,C6+1)</f>
        <v>2222</v>
      </c>
      <c r="H6" s="3" t="str">
        <f>VLOOKUP(B6,AE_weight!$AP$149:$AX$180,C6+1)</f>
        <v>0000</v>
      </c>
      <c r="I6" s="3" t="str">
        <f>VLOOKUP(B6,AE_weight!$AP$185:$AX$216,C6+1)</f>
        <v>0000</v>
      </c>
      <c r="J6" s="3" t="str">
        <f>VLOOKUP(B6,AE_weight!$AP$221:$AX$252,C6+1)</f>
        <v>0000</v>
      </c>
      <c r="K6" s="3" t="str">
        <f>VLOOKUP(B6,AE_weight!$AP$257:$AX$288,C6+1)</f>
        <v>0000</v>
      </c>
      <c r="L6" s="3" t="str">
        <f>VLOOKUP(B6,AE_weight!$AP$293:$AX$324,C6+1)</f>
        <v>0000</v>
      </c>
      <c r="M6" s="3" t="str">
        <f>VLOOKUP(B6,AE_weight!$AP$329:$AX$360,C6+1)</f>
        <v>0000</v>
      </c>
      <c r="N6" s="119"/>
      <c r="O6" s="119"/>
      <c r="P6" s="119"/>
    </row>
    <row r="7" spans="1:21">
      <c r="A7" s="1">
        <f t="shared" ref="A7:A70" si="0">A6+1</f>
        <v>2</v>
      </c>
      <c r="B7" s="1">
        <f>B6</f>
        <v>0</v>
      </c>
      <c r="C7" s="1">
        <v>2</v>
      </c>
      <c r="D7" s="3" t="str">
        <f>VLOOKUP(B7,AE_weight!$AP$4:$AX$36,C7+1)</f>
        <v>0000</v>
      </c>
      <c r="E7" s="3" t="str">
        <f>VLOOKUP(B7,AE_weight!$AP$40:$AX$72,C7+1)</f>
        <v>2222</v>
      </c>
      <c r="F7" s="3" t="str">
        <f>VLOOKUP(B7,AE_weight!$AP$76:$AX$108,C7+1)</f>
        <v>0000</v>
      </c>
      <c r="G7" s="3" t="str">
        <f>VLOOKUP(B7,AE_weight!$AP$112:$AX$144,C7+1)</f>
        <v>2222</v>
      </c>
      <c r="H7" s="3" t="str">
        <f>VLOOKUP(B7,AE_weight!$AP$149:$AX$180,C7+1)</f>
        <v>0000</v>
      </c>
      <c r="I7" s="3" t="str">
        <f>VLOOKUP(B7,AE_weight!$AP$185:$AX$216,C7+1)</f>
        <v>0000</v>
      </c>
      <c r="J7" s="3" t="str">
        <f>VLOOKUP(B7,AE_weight!$AP$221:$AX$252,C7+1)</f>
        <v>0000</v>
      </c>
      <c r="K7" s="3" t="str">
        <f>VLOOKUP(B7,AE_weight!$AP$257:$AX$288,C7+1)</f>
        <v>0000</v>
      </c>
      <c r="L7" s="3" t="str">
        <f>VLOOKUP(B7,AE_weight!$AP$293:$AX$324,C7+1)</f>
        <v>0000</v>
      </c>
      <c r="M7" s="3" t="str">
        <f>VLOOKUP(B7,AE_weight!$AP$329:$AX$360,C7+1)</f>
        <v>0000</v>
      </c>
      <c r="N7" s="119"/>
      <c r="O7" s="119"/>
      <c r="P7" s="119"/>
    </row>
    <row r="8" spans="1:21">
      <c r="A8" s="1">
        <f t="shared" si="0"/>
        <v>3</v>
      </c>
      <c r="B8" s="1">
        <f>B7</f>
        <v>0</v>
      </c>
      <c r="C8" s="1">
        <v>3</v>
      </c>
      <c r="D8" s="3" t="str">
        <f>VLOOKUP(B8,AE_weight!$AP$4:$AX$36,C8+1)</f>
        <v>0000</v>
      </c>
      <c r="E8" s="3" t="str">
        <f>VLOOKUP(B8,AE_weight!$AP$40:$AX$72,C8+1)</f>
        <v>2222</v>
      </c>
      <c r="F8" s="3" t="str">
        <f>VLOOKUP(B8,AE_weight!$AP$76:$AX$108,C8+1)</f>
        <v>0000</v>
      </c>
      <c r="G8" s="3" t="str">
        <f>VLOOKUP(B8,AE_weight!$AP$112:$AX$144,C8+1)</f>
        <v>2222</v>
      </c>
      <c r="H8" s="3" t="str">
        <f>VLOOKUP(B8,AE_weight!$AP$149:$AX$180,C8+1)</f>
        <v>0000</v>
      </c>
      <c r="I8" s="3" t="str">
        <f>VLOOKUP(B8,AE_weight!$AP$185:$AX$216,C8+1)</f>
        <v>0000</v>
      </c>
      <c r="J8" s="3" t="str">
        <f>VLOOKUP(B8,AE_weight!$AP$221:$AX$252,C8+1)</f>
        <v>0000</v>
      </c>
      <c r="K8" s="3" t="str">
        <f>VLOOKUP(B8,AE_weight!$AP$257:$AX$288,C8+1)</f>
        <v>0000</v>
      </c>
      <c r="L8" s="3" t="str">
        <f>VLOOKUP(B8,AE_weight!$AP$293:$AX$324,C8+1)</f>
        <v>0000</v>
      </c>
      <c r="M8" s="3" t="str">
        <f>VLOOKUP(B8,AE_weight!$AP$329:$AX$360,C8+1)</f>
        <v>0000</v>
      </c>
      <c r="N8" s="119"/>
      <c r="O8" s="119"/>
      <c r="P8" s="119"/>
    </row>
    <row r="9" spans="1:21">
      <c r="A9" s="1">
        <f t="shared" si="0"/>
        <v>4</v>
      </c>
      <c r="B9" s="1">
        <f>B8</f>
        <v>0</v>
      </c>
      <c r="C9" s="1">
        <v>4</v>
      </c>
      <c r="D9" s="3" t="str">
        <f>VLOOKUP(B9,AE_weight!$AP$4:$AX$36,C9+1)</f>
        <v>0000</v>
      </c>
      <c r="E9" s="3" t="str">
        <f>VLOOKUP(B9,AE_weight!$AP$40:$AX$72,C9+1)</f>
        <v>2222</v>
      </c>
      <c r="F9" s="3" t="str">
        <f>VLOOKUP(B9,AE_weight!$AP$76:$AX$108,C9+1)</f>
        <v>0000</v>
      </c>
      <c r="G9" s="3" t="str">
        <f>VLOOKUP(B9,AE_weight!$AP$112:$AX$144,C9+1)</f>
        <v>2222</v>
      </c>
      <c r="H9" s="3" t="str">
        <f>VLOOKUP(B9,AE_weight!$AP$149:$AX$180,C9+1)</f>
        <v>0000</v>
      </c>
      <c r="I9" s="3" t="str">
        <f>VLOOKUP(B9,AE_weight!$AP$185:$AX$216,C9+1)</f>
        <v>0000</v>
      </c>
      <c r="J9" s="3" t="str">
        <f>VLOOKUP(B9,AE_weight!$AP$221:$AX$252,C9+1)</f>
        <v>0000</v>
      </c>
      <c r="K9" s="3" t="str">
        <f>VLOOKUP(B9,AE_weight!$AP$257:$AX$288,C9+1)</f>
        <v>0000</v>
      </c>
      <c r="L9" s="3" t="str">
        <f>VLOOKUP(B9,AE_weight!$AP$293:$AX$324,C9+1)</f>
        <v>0000</v>
      </c>
      <c r="M9" s="3" t="str">
        <f>VLOOKUP(B9,AE_weight!$AP$329:$AX$360,C9+1)</f>
        <v>0000</v>
      </c>
      <c r="N9" s="119"/>
      <c r="O9" s="119"/>
      <c r="P9" s="119"/>
      <c r="Q9" s="4"/>
      <c r="U9" s="4"/>
    </row>
    <row r="10" spans="1:21">
      <c r="A10" s="1">
        <f t="shared" si="0"/>
        <v>5</v>
      </c>
      <c r="B10" s="1">
        <v>0</v>
      </c>
      <c r="C10" s="1">
        <v>5</v>
      </c>
      <c r="D10" s="3" t="str">
        <f>VLOOKUP(B10,AE_weight!$AP$4:$AX$36,C10+1)</f>
        <v>0000</v>
      </c>
      <c r="E10" s="3" t="str">
        <f>VLOOKUP(B10,AE_weight!$AP$40:$AX$72,C10+1)</f>
        <v>2222</v>
      </c>
      <c r="F10" s="3" t="str">
        <f>VLOOKUP(B10,AE_weight!$AP$76:$AX$108,C10+1)</f>
        <v>0000</v>
      </c>
      <c r="G10" s="3" t="str">
        <f>VLOOKUP(B10,AE_weight!$AP$112:$AX$144,C10+1)</f>
        <v>2222</v>
      </c>
      <c r="H10" s="3" t="str">
        <f>VLOOKUP(B10,AE_weight!$AP$149:$AX$180,C10+1)</f>
        <v>0000</v>
      </c>
      <c r="I10" s="3" t="str">
        <f>VLOOKUP(B10,AE_weight!$AP$185:$AX$216,C10+1)</f>
        <v>0000</v>
      </c>
      <c r="J10" s="3" t="str">
        <f>VLOOKUP(B10,AE_weight!$AP$221:$AX$252,C10+1)</f>
        <v>0000</v>
      </c>
      <c r="K10" s="3" t="str">
        <f>VLOOKUP(B10,AE_weight!$AP$257:$AX$288,C10+1)</f>
        <v>0000</v>
      </c>
      <c r="L10" s="3" t="str">
        <f>VLOOKUP(B10,AE_weight!$AP$293:$AX$324,C10+1)</f>
        <v>0000</v>
      </c>
      <c r="M10" s="3" t="str">
        <f>VLOOKUP(B10,AE_weight!$AP$329:$AX$360,C10+1)</f>
        <v>0000</v>
      </c>
      <c r="N10" s="119"/>
      <c r="O10" s="119"/>
      <c r="P10" s="119"/>
      <c r="Q10" s="4"/>
      <c r="U10" s="4"/>
    </row>
    <row r="11" spans="1:21">
      <c r="A11" s="1">
        <f t="shared" si="0"/>
        <v>6</v>
      </c>
      <c r="B11" s="1">
        <f>B10</f>
        <v>0</v>
      </c>
      <c r="C11" s="1">
        <v>6</v>
      </c>
      <c r="D11" s="3" t="str">
        <f>VLOOKUP(B11,AE_weight!$AP$4:$AX$36,C11+1)</f>
        <v>0000</v>
      </c>
      <c r="E11" s="3" t="str">
        <f>VLOOKUP(B11,AE_weight!$AP$40:$AX$72,C11+1)</f>
        <v>2222</v>
      </c>
      <c r="F11" s="3" t="str">
        <f>VLOOKUP(B11,AE_weight!$AP$76:$AX$108,C11+1)</f>
        <v>0000</v>
      </c>
      <c r="G11" s="3" t="str">
        <f>VLOOKUP(B11,AE_weight!$AP$112:$AX$144,C11+1)</f>
        <v>2222</v>
      </c>
      <c r="H11" s="3" t="str">
        <f>VLOOKUP(B11,AE_weight!$AP$149:$AX$180,C11+1)</f>
        <v>0000</v>
      </c>
      <c r="I11" s="3" t="str">
        <f>VLOOKUP(B11,AE_weight!$AP$185:$AX$216,C11+1)</f>
        <v>0000</v>
      </c>
      <c r="J11" s="3" t="str">
        <f>VLOOKUP(B11,AE_weight!$AP$221:$AX$252,C11+1)</f>
        <v>0000</v>
      </c>
      <c r="K11" s="3" t="str">
        <f>VLOOKUP(B11,AE_weight!$AP$257:$AX$288,C11+1)</f>
        <v>0000</v>
      </c>
      <c r="L11" s="3" t="str">
        <f>VLOOKUP(B11,AE_weight!$AP$293:$AX$324,C11+1)</f>
        <v>0000</v>
      </c>
      <c r="M11" s="3" t="str">
        <f>VLOOKUP(B11,AE_weight!$AP$329:$AX$360,C11+1)</f>
        <v>0000</v>
      </c>
      <c r="N11" s="119"/>
      <c r="O11" s="119"/>
      <c r="P11" s="119"/>
      <c r="Q11" s="4"/>
      <c r="U11" s="4"/>
    </row>
    <row r="12" spans="1:21">
      <c r="A12" s="1">
        <f t="shared" si="0"/>
        <v>7</v>
      </c>
      <c r="B12" s="1">
        <f>B11</f>
        <v>0</v>
      </c>
      <c r="C12" s="1">
        <v>7</v>
      </c>
      <c r="D12" s="3" t="str">
        <f>VLOOKUP(B12,AE_weight!$AP$4:$AX$36,C12+1)</f>
        <v>0000</v>
      </c>
      <c r="E12" s="3" t="str">
        <f>VLOOKUP(B12,AE_weight!$AP$40:$AX$72,C12+1)</f>
        <v>2222</v>
      </c>
      <c r="F12" s="3" t="str">
        <f>VLOOKUP(B12,AE_weight!$AP$76:$AX$108,C12+1)</f>
        <v>0000</v>
      </c>
      <c r="G12" s="3" t="str">
        <f>VLOOKUP(B12,AE_weight!$AP$112:$AX$144,C12+1)</f>
        <v>2222</v>
      </c>
      <c r="H12" s="3" t="str">
        <f>VLOOKUP(B12,AE_weight!$AP$149:$AX$180,C12+1)</f>
        <v>0000</v>
      </c>
      <c r="I12" s="3" t="str">
        <f>VLOOKUP(B12,AE_weight!$AP$185:$AX$216,C12+1)</f>
        <v>0000</v>
      </c>
      <c r="J12" s="3" t="str">
        <f>VLOOKUP(B12,AE_weight!$AP$221:$AX$252,C12+1)</f>
        <v>0000</v>
      </c>
      <c r="K12" s="3" t="str">
        <f>VLOOKUP(B12,AE_weight!$AP$257:$AX$288,C12+1)</f>
        <v>0000</v>
      </c>
      <c r="L12" s="3" t="str">
        <f>VLOOKUP(B12,AE_weight!$AP$293:$AX$324,C12+1)</f>
        <v>0000</v>
      </c>
      <c r="M12" s="3" t="str">
        <f>VLOOKUP(B12,AE_weight!$AP$329:$AX$360,C12+1)</f>
        <v>0000</v>
      </c>
      <c r="N12" s="119"/>
      <c r="O12" s="119"/>
      <c r="P12" s="119"/>
      <c r="Q12" s="4"/>
      <c r="U12" s="4"/>
    </row>
    <row r="13" spans="1:21">
      <c r="A13" s="1">
        <f t="shared" si="0"/>
        <v>8</v>
      </c>
      <c r="B13" s="1">
        <f>B12</f>
        <v>0</v>
      </c>
      <c r="C13" s="1">
        <v>8</v>
      </c>
      <c r="D13" s="3" t="str">
        <f>VLOOKUP(B13,AE_weight!$AP$4:$AX$36,C13+1)</f>
        <v>0000</v>
      </c>
      <c r="E13" s="3" t="str">
        <f>VLOOKUP(B13,AE_weight!$AP$40:$AX$72,C13+1)</f>
        <v>2222</v>
      </c>
      <c r="F13" s="3" t="str">
        <f>VLOOKUP(B13,AE_weight!$AP$76:$AX$108,C13+1)</f>
        <v>0000</v>
      </c>
      <c r="G13" s="3" t="str">
        <f>VLOOKUP(B13,AE_weight!$AP$112:$AX$144,C13+1)</f>
        <v>2222</v>
      </c>
      <c r="H13" s="3" t="str">
        <f>VLOOKUP(B13,AE_weight!$AP$149:$AX$180,C13+1)</f>
        <v>0000</v>
      </c>
      <c r="I13" s="3" t="str">
        <f>VLOOKUP(B13,AE_weight!$AP$185:$AX$216,C13+1)</f>
        <v>0000</v>
      </c>
      <c r="J13" s="3" t="str">
        <f>VLOOKUP(B13,AE_weight!$AP$221:$AX$252,C13+1)</f>
        <v>0000</v>
      </c>
      <c r="K13" s="3" t="str">
        <f>VLOOKUP(B13,AE_weight!$AP$257:$AX$288,C13+1)</f>
        <v>0000</v>
      </c>
      <c r="L13" s="3" t="str">
        <f>VLOOKUP(B13,AE_weight!$AP$293:$AX$324,C13+1)</f>
        <v>0000</v>
      </c>
      <c r="M13" s="3" t="str">
        <f>VLOOKUP(B13,AE_weight!$AP$329:$AX$360,C13+1)</f>
        <v>0000</v>
      </c>
      <c r="N13" s="119"/>
      <c r="O13" s="119"/>
      <c r="P13" s="119"/>
      <c r="Q13" s="4"/>
      <c r="U13" s="4"/>
    </row>
    <row r="14" spans="1:21">
      <c r="A14" s="1">
        <f t="shared" si="0"/>
        <v>9</v>
      </c>
      <c r="B14" s="1">
        <v>1</v>
      </c>
      <c r="C14" s="1">
        <v>1</v>
      </c>
      <c r="D14" s="3" t="str">
        <f>VLOOKUP(B14,AE_weight!$AP$4:$AX$36,C14+1)</f>
        <v>0000</v>
      </c>
      <c r="E14" s="3" t="str">
        <f>VLOOKUP(B14,AE_weight!$AP$40:$AX$72,C14+1)</f>
        <v>2222</v>
      </c>
      <c r="F14" s="3" t="str">
        <f>VLOOKUP(B14,AE_weight!$AP$76:$AX$108,C14+1)</f>
        <v>0000</v>
      </c>
      <c r="G14" s="3" t="str">
        <f>VLOOKUP(B14,AE_weight!$AP$112:$AX$144,C14+1)</f>
        <v>2222</v>
      </c>
      <c r="H14" s="3" t="str">
        <f>VLOOKUP(B14,AE_weight!$AP$149:$AX$180,C14+1)</f>
        <v>0000</v>
      </c>
      <c r="I14" s="3" t="str">
        <f>VLOOKUP(B14,AE_weight!$AP$185:$AX$216,C14+1)</f>
        <v>0000</v>
      </c>
      <c r="J14" s="3" t="str">
        <f>VLOOKUP(B14,AE_weight!$AP$221:$AX$252,C14+1)</f>
        <v>0000</v>
      </c>
      <c r="K14" s="3" t="str">
        <f>VLOOKUP(B14,AE_weight!$AP$257:$AX$288,C14+1)</f>
        <v>0000</v>
      </c>
      <c r="L14" s="3" t="str">
        <f>VLOOKUP(B14,AE_weight!$AP$293:$AX$324,C14+1)</f>
        <v>0000</v>
      </c>
      <c r="M14" s="3" t="str">
        <f>VLOOKUP(B14,AE_weight!$AP$329:$AX$360,C14+1)</f>
        <v>0000</v>
      </c>
      <c r="N14" s="119"/>
      <c r="O14" s="119"/>
      <c r="P14" s="119"/>
      <c r="Q14" s="4"/>
      <c r="U14" s="4"/>
    </row>
    <row r="15" spans="1:21">
      <c r="A15" s="1">
        <f t="shared" si="0"/>
        <v>10</v>
      </c>
      <c r="B15" s="1">
        <f t="shared" ref="B15:B17" si="1">B14</f>
        <v>1</v>
      </c>
      <c r="C15" s="1">
        <v>2</v>
      </c>
      <c r="D15" s="3" t="str">
        <f>VLOOKUP(B15,AE_weight!$AP$4:$AX$36,C15+1)</f>
        <v>0000</v>
      </c>
      <c r="E15" s="3" t="str">
        <f>VLOOKUP(B15,AE_weight!$AP$40:$AX$72,C15+1)</f>
        <v>2222</v>
      </c>
      <c r="F15" s="3" t="str">
        <f>VLOOKUP(B15,AE_weight!$AP$76:$AX$108,C15+1)</f>
        <v>0000</v>
      </c>
      <c r="G15" s="3" t="str">
        <f>VLOOKUP(B15,AE_weight!$AP$112:$AX$144,C15+1)</f>
        <v>2222</v>
      </c>
      <c r="H15" s="3" t="str">
        <f>VLOOKUP(B15,AE_weight!$AP$149:$AX$180,C15+1)</f>
        <v>0000</v>
      </c>
      <c r="I15" s="3" t="str">
        <f>VLOOKUP(B15,AE_weight!$AP$185:$AX$216,C15+1)</f>
        <v>0000</v>
      </c>
      <c r="J15" s="3" t="str">
        <f>VLOOKUP(B15,AE_weight!$AP$221:$AX$252,C15+1)</f>
        <v>0000</v>
      </c>
      <c r="K15" s="3" t="str">
        <f>VLOOKUP(B15,AE_weight!$AP$257:$AX$288,C15+1)</f>
        <v>0000</v>
      </c>
      <c r="L15" s="3" t="str">
        <f>VLOOKUP(B15,AE_weight!$AP$293:$AX$324,C15+1)</f>
        <v>0000</v>
      </c>
      <c r="M15" s="3" t="str">
        <f>VLOOKUP(B15,AE_weight!$AP$329:$AX$360,C15+1)</f>
        <v>0000</v>
      </c>
      <c r="N15" s="119"/>
      <c r="O15" s="119"/>
      <c r="P15" s="119"/>
      <c r="Q15" s="4"/>
      <c r="U15" s="4"/>
    </row>
    <row r="16" spans="1:21">
      <c r="A16" s="1">
        <f t="shared" si="0"/>
        <v>11</v>
      </c>
      <c r="B16" s="1">
        <f t="shared" si="1"/>
        <v>1</v>
      </c>
      <c r="C16" s="1">
        <v>3</v>
      </c>
      <c r="D16" s="3" t="str">
        <f>VLOOKUP(B16,AE_weight!$AP$4:$AX$36,C16+1)</f>
        <v>0000</v>
      </c>
      <c r="E16" s="3" t="str">
        <f>VLOOKUP(B16,AE_weight!$AP$40:$AX$72,C16+1)</f>
        <v>2222</v>
      </c>
      <c r="F16" s="3" t="str">
        <f>VLOOKUP(B16,AE_weight!$AP$76:$AX$108,C16+1)</f>
        <v>0000</v>
      </c>
      <c r="G16" s="3" t="str">
        <f>VLOOKUP(B16,AE_weight!$AP$112:$AX$144,C16+1)</f>
        <v>2222</v>
      </c>
      <c r="H16" s="3" t="str">
        <f>VLOOKUP(B16,AE_weight!$AP$149:$AX$180,C16+1)</f>
        <v>0000</v>
      </c>
      <c r="I16" s="3" t="str">
        <f>VLOOKUP(B16,AE_weight!$AP$185:$AX$216,C16+1)</f>
        <v>0000</v>
      </c>
      <c r="J16" s="3" t="str">
        <f>VLOOKUP(B16,AE_weight!$AP$221:$AX$252,C16+1)</f>
        <v>0000</v>
      </c>
      <c r="K16" s="3" t="str">
        <f>VLOOKUP(B16,AE_weight!$AP$257:$AX$288,C16+1)</f>
        <v>0000</v>
      </c>
      <c r="L16" s="3" t="str">
        <f>VLOOKUP(B16,AE_weight!$AP$293:$AX$324,C16+1)</f>
        <v>0000</v>
      </c>
      <c r="M16" s="3" t="str">
        <f>VLOOKUP(B16,AE_weight!$AP$329:$AX$360,C16+1)</f>
        <v>0000</v>
      </c>
      <c r="N16" s="119"/>
      <c r="O16" s="119"/>
      <c r="P16" s="119"/>
      <c r="Q16" s="4"/>
      <c r="U16" s="4"/>
    </row>
    <row r="17" spans="1:21">
      <c r="A17" s="1">
        <f t="shared" si="0"/>
        <v>12</v>
      </c>
      <c r="B17" s="1">
        <f t="shared" si="1"/>
        <v>1</v>
      </c>
      <c r="C17" s="1">
        <v>4</v>
      </c>
      <c r="D17" s="3" t="str">
        <f>VLOOKUP(B17,AE_weight!$AP$4:$AX$36,C17+1)</f>
        <v>1111</v>
      </c>
      <c r="E17" s="3" t="str">
        <f>VLOOKUP(B17,AE_weight!$AP$40:$AX$72,C17+1)</f>
        <v>2222</v>
      </c>
      <c r="F17" s="3" t="str">
        <f>VLOOKUP(B17,AE_weight!$AP$76:$AX$108,C17+1)</f>
        <v>0000</v>
      </c>
      <c r="G17" s="3" t="str">
        <f>VLOOKUP(B17,AE_weight!$AP$112:$AX$144,C17+1)</f>
        <v>2222</v>
      </c>
      <c r="H17" s="3" t="str">
        <f>VLOOKUP(B17,AE_weight!$AP$149:$AX$180,C17+1)</f>
        <v>0000</v>
      </c>
      <c r="I17" s="3" t="str">
        <f>VLOOKUP(B17,AE_weight!$AP$185:$AX$216,C17+1)</f>
        <v>0000</v>
      </c>
      <c r="J17" s="3" t="str">
        <f>VLOOKUP(B17,AE_weight!$AP$221:$AX$252,C17+1)</f>
        <v>0000</v>
      </c>
      <c r="K17" s="3" t="str">
        <f>VLOOKUP(B17,AE_weight!$AP$257:$AX$288,C17+1)</f>
        <v>0000</v>
      </c>
      <c r="L17" s="3" t="str">
        <f>VLOOKUP(B17,AE_weight!$AP$293:$AX$324,C17+1)</f>
        <v>0000</v>
      </c>
      <c r="M17" s="3" t="str">
        <f>VLOOKUP(B17,AE_weight!$AP$329:$AX$360,C17+1)</f>
        <v>0000</v>
      </c>
      <c r="N17" s="119"/>
      <c r="O17" s="119"/>
      <c r="P17" s="119"/>
      <c r="Q17" s="4"/>
      <c r="U17" s="4"/>
    </row>
    <row r="18" spans="1:21">
      <c r="A18" s="1">
        <f t="shared" si="0"/>
        <v>13</v>
      </c>
      <c r="B18" s="1">
        <v>1</v>
      </c>
      <c r="C18" s="1">
        <v>5</v>
      </c>
      <c r="D18" s="3" t="str">
        <f>VLOOKUP(B18,AE_weight!$AP$4:$AX$36,C18+1)</f>
        <v>1111</v>
      </c>
      <c r="E18" s="3" t="str">
        <f>VLOOKUP(B18,AE_weight!$AP$40:$AX$72,C18+1)</f>
        <v>2222</v>
      </c>
      <c r="F18" s="3" t="str">
        <f>VLOOKUP(B18,AE_weight!$AP$76:$AX$108,C18+1)</f>
        <v>0000</v>
      </c>
      <c r="G18" s="3" t="str">
        <f>VLOOKUP(B18,AE_weight!$AP$112:$AX$144,C18+1)</f>
        <v>2222</v>
      </c>
      <c r="H18" s="3" t="str">
        <f>VLOOKUP(B18,AE_weight!$AP$149:$AX$180,C18+1)</f>
        <v>0000</v>
      </c>
      <c r="I18" s="3" t="str">
        <f>VLOOKUP(B18,AE_weight!$AP$185:$AX$216,C18+1)</f>
        <v>0000</v>
      </c>
      <c r="J18" s="3" t="str">
        <f>VLOOKUP(B18,AE_weight!$AP$221:$AX$252,C18+1)</f>
        <v>0000</v>
      </c>
      <c r="K18" s="3" t="str">
        <f>VLOOKUP(B18,AE_weight!$AP$257:$AX$288,C18+1)</f>
        <v>0000</v>
      </c>
      <c r="L18" s="3" t="str">
        <f>VLOOKUP(B18,AE_weight!$AP$293:$AX$324,C18+1)</f>
        <v>0000</v>
      </c>
      <c r="M18" s="3" t="str">
        <f>VLOOKUP(B18,AE_weight!$AP$329:$AX$360,C18+1)</f>
        <v>0000</v>
      </c>
      <c r="N18" s="119"/>
      <c r="O18" s="119"/>
      <c r="P18" s="119"/>
      <c r="Q18" s="4"/>
      <c r="U18" s="4"/>
    </row>
    <row r="19" spans="1:21">
      <c r="A19" s="1">
        <f t="shared" si="0"/>
        <v>14</v>
      </c>
      <c r="B19" s="1">
        <f t="shared" ref="B19:B21" si="2">B18</f>
        <v>1</v>
      </c>
      <c r="C19" s="1">
        <v>6</v>
      </c>
      <c r="D19" s="3" t="str">
        <f>VLOOKUP(B19,AE_weight!$AP$4:$AX$36,C19+1)</f>
        <v>0000</v>
      </c>
      <c r="E19" s="3" t="str">
        <f>VLOOKUP(B19,AE_weight!$AP$40:$AX$72,C19+1)</f>
        <v>2222</v>
      </c>
      <c r="F19" s="3" t="str">
        <f>VLOOKUP(B19,AE_weight!$AP$76:$AX$108,C19+1)</f>
        <v>0000</v>
      </c>
      <c r="G19" s="3" t="str">
        <f>VLOOKUP(B19,AE_weight!$AP$112:$AX$144,C19+1)</f>
        <v>2222</v>
      </c>
      <c r="H19" s="3" t="str">
        <f>VLOOKUP(B19,AE_weight!$AP$149:$AX$180,C19+1)</f>
        <v>0000</v>
      </c>
      <c r="I19" s="3" t="str">
        <f>VLOOKUP(B19,AE_weight!$AP$185:$AX$216,C19+1)</f>
        <v>0000</v>
      </c>
      <c r="J19" s="3" t="str">
        <f>VLOOKUP(B19,AE_weight!$AP$221:$AX$252,C19+1)</f>
        <v>0000</v>
      </c>
      <c r="K19" s="3" t="str">
        <f>VLOOKUP(B19,AE_weight!$AP$257:$AX$288,C19+1)</f>
        <v>0000</v>
      </c>
      <c r="L19" s="3" t="str">
        <f>VLOOKUP(B19,AE_weight!$AP$293:$AX$324,C19+1)</f>
        <v>0000</v>
      </c>
      <c r="M19" s="3" t="str">
        <f>VLOOKUP(B19,AE_weight!$AP$329:$AX$360,C19+1)</f>
        <v>0000</v>
      </c>
      <c r="N19" s="119"/>
      <c r="O19" s="119"/>
      <c r="P19" s="119"/>
      <c r="Q19" s="4"/>
      <c r="U19" s="4"/>
    </row>
    <row r="20" spans="1:21">
      <c r="A20" s="1">
        <f t="shared" si="0"/>
        <v>15</v>
      </c>
      <c r="B20" s="1">
        <f t="shared" si="2"/>
        <v>1</v>
      </c>
      <c r="C20" s="1">
        <v>7</v>
      </c>
      <c r="D20" s="3" t="str">
        <f>VLOOKUP(B20,AE_weight!$AP$4:$AX$36,C20+1)</f>
        <v>0000</v>
      </c>
      <c r="E20" s="3" t="str">
        <f>VLOOKUP(B20,AE_weight!$AP$40:$AX$72,C20+1)</f>
        <v>2222</v>
      </c>
      <c r="F20" s="3" t="str">
        <f>VLOOKUP(B20,AE_weight!$AP$76:$AX$108,C20+1)</f>
        <v>0000</v>
      </c>
      <c r="G20" s="3" t="str">
        <f>VLOOKUP(B20,AE_weight!$AP$112:$AX$144,C20+1)</f>
        <v>2222</v>
      </c>
      <c r="H20" s="3" t="str">
        <f>VLOOKUP(B20,AE_weight!$AP$149:$AX$180,C20+1)</f>
        <v>0000</v>
      </c>
      <c r="I20" s="3" t="str">
        <f>VLOOKUP(B20,AE_weight!$AP$185:$AX$216,C20+1)</f>
        <v>0000</v>
      </c>
      <c r="J20" s="3" t="str">
        <f>VLOOKUP(B20,AE_weight!$AP$221:$AX$252,C20+1)</f>
        <v>0000</v>
      </c>
      <c r="K20" s="3" t="str">
        <f>VLOOKUP(B20,AE_weight!$AP$257:$AX$288,C20+1)</f>
        <v>0000</v>
      </c>
      <c r="L20" s="3" t="str">
        <f>VLOOKUP(B20,AE_weight!$AP$293:$AX$324,C20+1)</f>
        <v>0000</v>
      </c>
      <c r="M20" s="3" t="str">
        <f>VLOOKUP(B20,AE_weight!$AP$329:$AX$360,C20+1)</f>
        <v>0000</v>
      </c>
      <c r="N20" s="119"/>
      <c r="O20" s="119"/>
      <c r="P20" s="119"/>
      <c r="Q20" s="4"/>
      <c r="U20" s="4"/>
    </row>
    <row r="21" spans="1:21">
      <c r="A21" s="1">
        <f t="shared" si="0"/>
        <v>16</v>
      </c>
      <c r="B21" s="1">
        <f t="shared" si="2"/>
        <v>1</v>
      </c>
      <c r="C21" s="1">
        <v>8</v>
      </c>
      <c r="D21" s="3" t="str">
        <f>VLOOKUP(B21,AE_weight!$AP$4:$AX$36,C21+1)</f>
        <v>0000</v>
      </c>
      <c r="E21" s="3" t="str">
        <f>VLOOKUP(B21,AE_weight!$AP$40:$AX$72,C21+1)</f>
        <v>2222</v>
      </c>
      <c r="F21" s="3" t="str">
        <f>VLOOKUP(B21,AE_weight!$AP$76:$AX$108,C21+1)</f>
        <v>0000</v>
      </c>
      <c r="G21" s="3" t="str">
        <f>VLOOKUP(B21,AE_weight!$AP$112:$AX$144,C21+1)</f>
        <v>2222</v>
      </c>
      <c r="H21" s="3" t="str">
        <f>VLOOKUP(B21,AE_weight!$AP$149:$AX$180,C21+1)</f>
        <v>0000</v>
      </c>
      <c r="I21" s="3" t="str">
        <f>VLOOKUP(B21,AE_weight!$AP$185:$AX$216,C21+1)</f>
        <v>0000</v>
      </c>
      <c r="J21" s="3" t="str">
        <f>VLOOKUP(B21,AE_weight!$AP$221:$AX$252,C21+1)</f>
        <v>0000</v>
      </c>
      <c r="K21" s="3" t="str">
        <f>VLOOKUP(B21,AE_weight!$AP$257:$AX$288,C21+1)</f>
        <v>0000</v>
      </c>
      <c r="L21" s="3" t="str">
        <f>VLOOKUP(B21,AE_weight!$AP$293:$AX$324,C21+1)</f>
        <v>0000</v>
      </c>
      <c r="M21" s="3" t="str">
        <f>VLOOKUP(B21,AE_weight!$AP$329:$AX$360,C21+1)</f>
        <v>0000</v>
      </c>
      <c r="N21" s="119"/>
      <c r="O21" s="119"/>
      <c r="P21" s="119"/>
      <c r="Q21" s="4"/>
      <c r="U21" s="4"/>
    </row>
    <row r="22" spans="1:21">
      <c r="A22" s="1">
        <f t="shared" si="0"/>
        <v>17</v>
      </c>
      <c r="B22" s="1">
        <v>2</v>
      </c>
      <c r="C22" s="1">
        <v>1</v>
      </c>
      <c r="D22" s="3" t="str">
        <f>VLOOKUP(B22,AE_weight!$AP$4:$AX$36,C22+1)</f>
        <v>0000</v>
      </c>
      <c r="E22" s="3" t="str">
        <f>VLOOKUP(B22,AE_weight!$AP$40:$AX$72,C22+1)</f>
        <v>2222</v>
      </c>
      <c r="F22" s="3" t="str">
        <f>VLOOKUP(B22,AE_weight!$AP$76:$AX$108,C22+1)</f>
        <v>0000</v>
      </c>
      <c r="G22" s="3" t="str">
        <f>VLOOKUP(B22,AE_weight!$AP$112:$AX$144,C22+1)</f>
        <v>2222</v>
      </c>
      <c r="H22" s="3" t="str">
        <f>VLOOKUP(B22,AE_weight!$AP$149:$AX$180,C22+1)</f>
        <v>0000</v>
      </c>
      <c r="I22" s="3" t="str">
        <f>VLOOKUP(B22,AE_weight!$AP$185:$AX$216,C22+1)</f>
        <v>0000</v>
      </c>
      <c r="J22" s="3" t="str">
        <f>VLOOKUP(B22,AE_weight!$AP$221:$AX$252,C22+1)</f>
        <v>0000</v>
      </c>
      <c r="K22" s="3" t="str">
        <f>VLOOKUP(B22,AE_weight!$AP$257:$AX$288,C22+1)</f>
        <v>0000</v>
      </c>
      <c r="L22" s="3" t="str">
        <f>VLOOKUP(B22,AE_weight!$AP$293:$AX$324,C22+1)</f>
        <v>0000</v>
      </c>
      <c r="M22" s="3" t="str">
        <f>VLOOKUP(B22,AE_weight!$AP$329:$AX$360,C22+1)</f>
        <v>0000</v>
      </c>
      <c r="N22" s="119"/>
      <c r="O22" s="119"/>
      <c r="P22" s="119"/>
      <c r="Q22" s="4"/>
      <c r="U22" s="4"/>
    </row>
    <row r="23" spans="1:21">
      <c r="A23" s="1">
        <f t="shared" si="0"/>
        <v>18</v>
      </c>
      <c r="B23" s="1">
        <f t="shared" ref="B23:B25" si="3">B22</f>
        <v>2</v>
      </c>
      <c r="C23" s="1">
        <v>2</v>
      </c>
      <c r="D23" s="3" t="str">
        <f>VLOOKUP(B23,AE_weight!$AP$4:$AX$36,C23+1)</f>
        <v>0000</v>
      </c>
      <c r="E23" s="3" t="str">
        <f>VLOOKUP(B23,AE_weight!$AP$40:$AX$72,C23+1)</f>
        <v>2222</v>
      </c>
      <c r="F23" s="3" t="str">
        <f>VLOOKUP(B23,AE_weight!$AP$76:$AX$108,C23+1)</f>
        <v>0000</v>
      </c>
      <c r="G23" s="3" t="str">
        <f>VLOOKUP(B23,AE_weight!$AP$112:$AX$144,C23+1)</f>
        <v>2222</v>
      </c>
      <c r="H23" s="3" t="str">
        <f>VLOOKUP(B23,AE_weight!$AP$149:$AX$180,C23+1)</f>
        <v>0000</v>
      </c>
      <c r="I23" s="3" t="str">
        <f>VLOOKUP(B23,AE_weight!$AP$185:$AX$216,C23+1)</f>
        <v>0000</v>
      </c>
      <c r="J23" s="3" t="str">
        <f>VLOOKUP(B23,AE_weight!$AP$221:$AX$252,C23+1)</f>
        <v>0000</v>
      </c>
      <c r="K23" s="3" t="str">
        <f>VLOOKUP(B23,AE_weight!$AP$257:$AX$288,C23+1)</f>
        <v>0000</v>
      </c>
      <c r="L23" s="3" t="str">
        <f>VLOOKUP(B23,AE_weight!$AP$293:$AX$324,C23+1)</f>
        <v>0000</v>
      </c>
      <c r="M23" s="3" t="str">
        <f>VLOOKUP(B23,AE_weight!$AP$329:$AX$360,C23+1)</f>
        <v>0000</v>
      </c>
      <c r="N23" s="119"/>
      <c r="O23" s="119"/>
      <c r="P23" s="119"/>
      <c r="Q23" s="4"/>
      <c r="U23" s="4"/>
    </row>
    <row r="24" spans="1:21">
      <c r="A24" s="1">
        <f t="shared" si="0"/>
        <v>19</v>
      </c>
      <c r="B24" s="1">
        <f t="shared" si="3"/>
        <v>2</v>
      </c>
      <c r="C24" s="1">
        <v>3</v>
      </c>
      <c r="D24" s="3" t="str">
        <f>VLOOKUP(B24,AE_weight!$AP$4:$AX$36,C24+1)</f>
        <v>0011</v>
      </c>
      <c r="E24" s="3" t="str">
        <f>VLOOKUP(B24,AE_weight!$AP$40:$AX$72,C24+1)</f>
        <v>2222</v>
      </c>
      <c r="F24" s="3" t="str">
        <f>VLOOKUP(B24,AE_weight!$AP$76:$AX$108,C24+1)</f>
        <v>0000</v>
      </c>
      <c r="G24" s="3" t="str">
        <f>VLOOKUP(B24,AE_weight!$AP$112:$AX$144,C24+1)</f>
        <v>2222</v>
      </c>
      <c r="H24" s="3" t="str">
        <f>VLOOKUP(B24,AE_weight!$AP$149:$AX$180,C24+1)</f>
        <v>0000</v>
      </c>
      <c r="I24" s="3" t="str">
        <f>VLOOKUP(B24,AE_weight!$AP$185:$AX$216,C24+1)</f>
        <v>0000</v>
      </c>
      <c r="J24" s="3" t="str">
        <f>VLOOKUP(B24,AE_weight!$AP$221:$AX$252,C24+1)</f>
        <v>0000</v>
      </c>
      <c r="K24" s="3" t="str">
        <f>VLOOKUP(B24,AE_weight!$AP$257:$AX$288,C24+1)</f>
        <v>0000</v>
      </c>
      <c r="L24" s="3" t="str">
        <f>VLOOKUP(B24,AE_weight!$AP$293:$AX$324,C24+1)</f>
        <v>0000</v>
      </c>
      <c r="M24" s="3" t="str">
        <f>VLOOKUP(B24,AE_weight!$AP$329:$AX$360,C24+1)</f>
        <v>0000</v>
      </c>
      <c r="N24" s="119"/>
      <c r="O24" s="119"/>
      <c r="P24" s="119"/>
    </row>
    <row r="25" spans="1:21">
      <c r="A25" s="1">
        <f t="shared" si="0"/>
        <v>20</v>
      </c>
      <c r="B25" s="1">
        <f t="shared" si="3"/>
        <v>2</v>
      </c>
      <c r="C25" s="1">
        <v>4</v>
      </c>
      <c r="D25" s="3" t="str">
        <f>VLOOKUP(B25,AE_weight!$AP$4:$AX$36,C25+1)</f>
        <v>1111</v>
      </c>
      <c r="E25" s="3" t="str">
        <f>VLOOKUP(B25,AE_weight!$AP$40:$AX$72,C25+1)</f>
        <v>2222</v>
      </c>
      <c r="F25" s="3" t="str">
        <f>VLOOKUP(B25,AE_weight!$AP$76:$AX$108,C25+1)</f>
        <v>0000</v>
      </c>
      <c r="G25" s="3" t="str">
        <f>VLOOKUP(B25,AE_weight!$AP$112:$AX$144,C25+1)</f>
        <v>2222</v>
      </c>
      <c r="H25" s="3" t="str">
        <f>VLOOKUP(B25,AE_weight!$AP$149:$AX$180,C25+1)</f>
        <v>0000</v>
      </c>
      <c r="I25" s="3" t="str">
        <f>VLOOKUP(B25,AE_weight!$AP$185:$AX$216,C25+1)</f>
        <v>0000</v>
      </c>
      <c r="J25" s="3" t="str">
        <f>VLOOKUP(B25,AE_weight!$AP$221:$AX$252,C25+1)</f>
        <v>0000</v>
      </c>
      <c r="K25" s="3" t="str">
        <f>VLOOKUP(B25,AE_weight!$AP$257:$AX$288,C25+1)</f>
        <v>0000</v>
      </c>
      <c r="L25" s="3" t="str">
        <f>VLOOKUP(B25,AE_weight!$AP$293:$AX$324,C25+1)</f>
        <v>0000</v>
      </c>
      <c r="M25" s="3" t="str">
        <f>VLOOKUP(B25,AE_weight!$AP$329:$AX$360,C25+1)</f>
        <v>0000</v>
      </c>
      <c r="N25" s="119"/>
      <c r="O25" s="119"/>
      <c r="P25" s="119"/>
    </row>
    <row r="26" spans="1:21">
      <c r="A26" s="1">
        <f t="shared" si="0"/>
        <v>21</v>
      </c>
      <c r="B26" s="1">
        <v>2</v>
      </c>
      <c r="C26" s="1">
        <v>5</v>
      </c>
      <c r="D26" s="3" t="str">
        <f>VLOOKUP(B26,AE_weight!$AP$4:$AX$36,C26+1)</f>
        <v>1111</v>
      </c>
      <c r="E26" s="3" t="str">
        <f>VLOOKUP(B26,AE_weight!$AP$40:$AX$72,C26+1)</f>
        <v>2222</v>
      </c>
      <c r="F26" s="3" t="str">
        <f>VLOOKUP(B26,AE_weight!$AP$76:$AX$108,C26+1)</f>
        <v>0000</v>
      </c>
      <c r="G26" s="3" t="str">
        <f>VLOOKUP(B26,AE_weight!$AP$112:$AX$144,C26+1)</f>
        <v>2222</v>
      </c>
      <c r="H26" s="3" t="str">
        <f>VLOOKUP(B26,AE_weight!$AP$149:$AX$180,C26+1)</f>
        <v>0000</v>
      </c>
      <c r="I26" s="3" t="str">
        <f>VLOOKUP(B26,AE_weight!$AP$185:$AX$216,C26+1)</f>
        <v>0000</v>
      </c>
      <c r="J26" s="3" t="str">
        <f>VLOOKUP(B26,AE_weight!$AP$221:$AX$252,C26+1)</f>
        <v>0000</v>
      </c>
      <c r="K26" s="3" t="str">
        <f>VLOOKUP(B26,AE_weight!$AP$257:$AX$288,C26+1)</f>
        <v>0000</v>
      </c>
      <c r="L26" s="3" t="str">
        <f>VLOOKUP(B26,AE_weight!$AP$293:$AX$324,C26+1)</f>
        <v>0000</v>
      </c>
      <c r="M26" s="3" t="str">
        <f>VLOOKUP(B26,AE_weight!$AP$329:$AX$360,C26+1)</f>
        <v>0000</v>
      </c>
      <c r="N26" s="119"/>
      <c r="O26" s="119"/>
      <c r="P26" s="119"/>
    </row>
    <row r="27" spans="1:21">
      <c r="A27" s="1">
        <f t="shared" si="0"/>
        <v>22</v>
      </c>
      <c r="B27" s="1">
        <f t="shared" ref="B27:B29" si="4">B26</f>
        <v>2</v>
      </c>
      <c r="C27" s="1">
        <v>6</v>
      </c>
      <c r="D27" s="3" t="str">
        <f>VLOOKUP(B27,AE_weight!$AP$4:$AX$36,C27+1)</f>
        <v>1100</v>
      </c>
      <c r="E27" s="3" t="str">
        <f>VLOOKUP(B27,AE_weight!$AP$40:$AX$72,C27+1)</f>
        <v>2222</v>
      </c>
      <c r="F27" s="3" t="str">
        <f>VLOOKUP(B27,AE_weight!$AP$76:$AX$108,C27+1)</f>
        <v>0000</v>
      </c>
      <c r="G27" s="3" t="str">
        <f>VLOOKUP(B27,AE_weight!$AP$112:$AX$144,C27+1)</f>
        <v>2222</v>
      </c>
      <c r="H27" s="3" t="str">
        <f>VLOOKUP(B27,AE_weight!$AP$149:$AX$180,C27+1)</f>
        <v>0000</v>
      </c>
      <c r="I27" s="3" t="str">
        <f>VLOOKUP(B27,AE_weight!$AP$185:$AX$216,C27+1)</f>
        <v>0000</v>
      </c>
      <c r="J27" s="3" t="str">
        <f>VLOOKUP(B27,AE_weight!$AP$221:$AX$252,C27+1)</f>
        <v>0000</v>
      </c>
      <c r="K27" s="3" t="str">
        <f>VLOOKUP(B27,AE_weight!$AP$257:$AX$288,C27+1)</f>
        <v>0000</v>
      </c>
      <c r="L27" s="3" t="str">
        <f>VLOOKUP(B27,AE_weight!$AP$293:$AX$324,C27+1)</f>
        <v>0000</v>
      </c>
      <c r="M27" s="3" t="str">
        <f>VLOOKUP(B27,AE_weight!$AP$329:$AX$360,C27+1)</f>
        <v>0000</v>
      </c>
      <c r="N27" s="119"/>
      <c r="O27" s="119"/>
      <c r="P27" s="119"/>
    </row>
    <row r="28" spans="1:21">
      <c r="A28" s="1">
        <f t="shared" si="0"/>
        <v>23</v>
      </c>
      <c r="B28" s="1">
        <f t="shared" si="4"/>
        <v>2</v>
      </c>
      <c r="C28" s="1">
        <v>7</v>
      </c>
      <c r="D28" s="3" t="str">
        <f>VLOOKUP(B28,AE_weight!$AP$4:$AX$36,C28+1)</f>
        <v>0000</v>
      </c>
      <c r="E28" s="3" t="str">
        <f>VLOOKUP(B28,AE_weight!$AP$40:$AX$72,C28+1)</f>
        <v>2222</v>
      </c>
      <c r="F28" s="3" t="str">
        <f>VLOOKUP(B28,AE_weight!$AP$76:$AX$108,C28+1)</f>
        <v>0000</v>
      </c>
      <c r="G28" s="3" t="str">
        <f>VLOOKUP(B28,AE_weight!$AP$112:$AX$144,C28+1)</f>
        <v>2222</v>
      </c>
      <c r="H28" s="3" t="str">
        <f>VLOOKUP(B28,AE_weight!$AP$149:$AX$180,C28+1)</f>
        <v>0000</v>
      </c>
      <c r="I28" s="3" t="str">
        <f>VLOOKUP(B28,AE_weight!$AP$185:$AX$216,C28+1)</f>
        <v>0000</v>
      </c>
      <c r="J28" s="3" t="str">
        <f>VLOOKUP(B28,AE_weight!$AP$221:$AX$252,C28+1)</f>
        <v>0000</v>
      </c>
      <c r="K28" s="3" t="str">
        <f>VLOOKUP(B28,AE_weight!$AP$257:$AX$288,C28+1)</f>
        <v>0000</v>
      </c>
      <c r="L28" s="3" t="str">
        <f>VLOOKUP(B28,AE_weight!$AP$293:$AX$324,C28+1)</f>
        <v>0000</v>
      </c>
      <c r="M28" s="3" t="str">
        <f>VLOOKUP(B28,AE_weight!$AP$329:$AX$360,C28+1)</f>
        <v>0000</v>
      </c>
      <c r="N28" s="119"/>
      <c r="O28" s="119"/>
      <c r="P28" s="119"/>
    </row>
    <row r="29" spans="1:21">
      <c r="A29" s="1">
        <f t="shared" si="0"/>
        <v>24</v>
      </c>
      <c r="B29" s="1">
        <f t="shared" si="4"/>
        <v>2</v>
      </c>
      <c r="C29" s="1">
        <v>8</v>
      </c>
      <c r="D29" s="3" t="str">
        <f>VLOOKUP(B29,AE_weight!$AP$4:$AX$36,C29+1)</f>
        <v>0000</v>
      </c>
      <c r="E29" s="3" t="str">
        <f>VLOOKUP(B29,AE_weight!$AP$40:$AX$72,C29+1)</f>
        <v>2222</v>
      </c>
      <c r="F29" s="3" t="str">
        <f>VLOOKUP(B29,AE_weight!$AP$76:$AX$108,C29+1)</f>
        <v>0000</v>
      </c>
      <c r="G29" s="3" t="str">
        <f>VLOOKUP(B29,AE_weight!$AP$112:$AX$144,C29+1)</f>
        <v>2222</v>
      </c>
      <c r="H29" s="3" t="str">
        <f>VLOOKUP(B29,AE_weight!$AP$149:$AX$180,C29+1)</f>
        <v>0000</v>
      </c>
      <c r="I29" s="3" t="str">
        <f>VLOOKUP(B29,AE_weight!$AP$185:$AX$216,C29+1)</f>
        <v>0000</v>
      </c>
      <c r="J29" s="3" t="str">
        <f>VLOOKUP(B29,AE_weight!$AP$221:$AX$252,C29+1)</f>
        <v>0000</v>
      </c>
      <c r="K29" s="3" t="str">
        <f>VLOOKUP(B29,AE_weight!$AP$257:$AX$288,C29+1)</f>
        <v>0000</v>
      </c>
      <c r="L29" s="3" t="str">
        <f>VLOOKUP(B29,AE_weight!$AP$293:$AX$324,C29+1)</f>
        <v>0000</v>
      </c>
      <c r="M29" s="3" t="str">
        <f>VLOOKUP(B29,AE_weight!$AP$329:$AX$360,C29+1)</f>
        <v>0000</v>
      </c>
      <c r="N29" s="119"/>
      <c r="O29" s="119"/>
      <c r="P29" s="119"/>
      <c r="Q29" s="4"/>
      <c r="U29" s="4"/>
    </row>
    <row r="30" spans="1:21">
      <c r="A30" s="1">
        <f t="shared" si="0"/>
        <v>25</v>
      </c>
      <c r="B30" s="1">
        <v>3</v>
      </c>
      <c r="C30" s="1">
        <v>1</v>
      </c>
      <c r="D30" s="3" t="str">
        <f>VLOOKUP(B30,AE_weight!$AP$4:$AX$36,C30+1)</f>
        <v>0000</v>
      </c>
      <c r="E30" s="3" t="str">
        <f>VLOOKUP(B30,AE_weight!$AP$40:$AX$72,C30+1)</f>
        <v>2222</v>
      </c>
      <c r="F30" s="3" t="str">
        <f>VLOOKUP(B30,AE_weight!$AP$76:$AX$108,C30+1)</f>
        <v>0000</v>
      </c>
      <c r="G30" s="3" t="str">
        <f>VLOOKUP(B30,AE_weight!$AP$112:$AX$144,C30+1)</f>
        <v>2222</v>
      </c>
      <c r="H30" s="3" t="str">
        <f>VLOOKUP(B30,AE_weight!$AP$149:$AX$180,C30+1)</f>
        <v>0000</v>
      </c>
      <c r="I30" s="3" t="str">
        <f>VLOOKUP(B30,AE_weight!$AP$185:$AX$216,C30+1)</f>
        <v>0000</v>
      </c>
      <c r="J30" s="3" t="str">
        <f>VLOOKUP(B30,AE_weight!$AP$221:$AX$252,C30+1)</f>
        <v>0000</v>
      </c>
      <c r="K30" s="3" t="str">
        <f>VLOOKUP(B30,AE_weight!$AP$257:$AX$288,C30+1)</f>
        <v>0000</v>
      </c>
      <c r="L30" s="3" t="str">
        <f>VLOOKUP(B30,AE_weight!$AP$293:$AX$324,C30+1)</f>
        <v>0000</v>
      </c>
      <c r="M30" s="3" t="str">
        <f>VLOOKUP(B30,AE_weight!$AP$329:$AX$360,C30+1)</f>
        <v>0000</v>
      </c>
      <c r="N30" s="119"/>
      <c r="O30" s="119"/>
      <c r="P30" s="119"/>
      <c r="Q30" s="4"/>
      <c r="U30" s="4"/>
    </row>
    <row r="31" spans="1:21">
      <c r="A31" s="1">
        <f t="shared" si="0"/>
        <v>26</v>
      </c>
      <c r="B31" s="1">
        <f t="shared" ref="B31:B33" si="5">B30</f>
        <v>3</v>
      </c>
      <c r="C31" s="1">
        <v>2</v>
      </c>
      <c r="D31" s="3" t="str">
        <f>VLOOKUP(B31,AE_weight!$AP$4:$AX$36,C31+1)</f>
        <v>0000</v>
      </c>
      <c r="E31" s="3" t="str">
        <f>VLOOKUP(B31,AE_weight!$AP$40:$AX$72,C31+1)</f>
        <v>2222</v>
      </c>
      <c r="F31" s="3" t="str">
        <f>VLOOKUP(B31,AE_weight!$AP$76:$AX$108,C31+1)</f>
        <v>0000</v>
      </c>
      <c r="G31" s="3" t="str">
        <f>VLOOKUP(B31,AE_weight!$AP$112:$AX$144,C31+1)</f>
        <v>2222</v>
      </c>
      <c r="H31" s="3" t="str">
        <f>VLOOKUP(B31,AE_weight!$AP$149:$AX$180,C31+1)</f>
        <v>0000</v>
      </c>
      <c r="I31" s="3" t="str">
        <f>VLOOKUP(B31,AE_weight!$AP$185:$AX$216,C31+1)</f>
        <v>0000</v>
      </c>
      <c r="J31" s="3" t="str">
        <f>VLOOKUP(B31,AE_weight!$AP$221:$AX$252,C31+1)</f>
        <v>0000</v>
      </c>
      <c r="K31" s="3" t="str">
        <f>VLOOKUP(B31,AE_weight!$AP$257:$AX$288,C31+1)</f>
        <v>0000</v>
      </c>
      <c r="L31" s="3" t="str">
        <f>VLOOKUP(B31,AE_weight!$AP$293:$AX$324,C31+1)</f>
        <v>0000</v>
      </c>
      <c r="M31" s="3" t="str">
        <f>VLOOKUP(B31,AE_weight!$AP$329:$AX$360,C31+1)</f>
        <v>0000</v>
      </c>
      <c r="N31" s="119"/>
      <c r="O31" s="119"/>
      <c r="P31" s="119"/>
      <c r="Q31" s="4"/>
      <c r="U31" s="4"/>
    </row>
    <row r="32" spans="1:21">
      <c r="A32" s="1">
        <f t="shared" si="0"/>
        <v>27</v>
      </c>
      <c r="B32" s="1">
        <f t="shared" si="5"/>
        <v>3</v>
      </c>
      <c r="C32" s="1">
        <v>3</v>
      </c>
      <c r="D32" s="3" t="str">
        <f>VLOOKUP(B32,AE_weight!$AP$4:$AX$36,C32+1)</f>
        <v>1111</v>
      </c>
      <c r="E32" s="3" t="str">
        <f>VLOOKUP(B32,AE_weight!$AP$40:$AX$72,C32+1)</f>
        <v>2222</v>
      </c>
      <c r="F32" s="3" t="str">
        <f>VLOOKUP(B32,AE_weight!$AP$76:$AX$108,C32+1)</f>
        <v>0000</v>
      </c>
      <c r="G32" s="3" t="str">
        <f>VLOOKUP(B32,AE_weight!$AP$112:$AX$144,C32+1)</f>
        <v>2222</v>
      </c>
      <c r="H32" s="3" t="str">
        <f>VLOOKUP(B32,AE_weight!$AP$149:$AX$180,C32+1)</f>
        <v>0000</v>
      </c>
      <c r="I32" s="3" t="str">
        <f>VLOOKUP(B32,AE_weight!$AP$185:$AX$216,C32+1)</f>
        <v>0000</v>
      </c>
      <c r="J32" s="3" t="str">
        <f>VLOOKUP(B32,AE_weight!$AP$221:$AX$252,C32+1)</f>
        <v>0000</v>
      </c>
      <c r="K32" s="3" t="str">
        <f>VLOOKUP(B32,AE_weight!$AP$257:$AX$288,C32+1)</f>
        <v>0000</v>
      </c>
      <c r="L32" s="3" t="str">
        <f>VLOOKUP(B32,AE_weight!$AP$293:$AX$324,C32+1)</f>
        <v>0000</v>
      </c>
      <c r="M32" s="3" t="str">
        <f>VLOOKUP(B32,AE_weight!$AP$329:$AX$360,C32+1)</f>
        <v>0000</v>
      </c>
      <c r="N32" s="119"/>
      <c r="O32" s="119"/>
      <c r="P32" s="119"/>
      <c r="Q32" s="4"/>
      <c r="U32" s="4"/>
    </row>
    <row r="33" spans="1:21">
      <c r="A33" s="1">
        <f t="shared" si="0"/>
        <v>28</v>
      </c>
      <c r="B33" s="1">
        <f t="shared" si="5"/>
        <v>3</v>
      </c>
      <c r="C33" s="1">
        <v>4</v>
      </c>
      <c r="D33" s="3" t="str">
        <f>VLOOKUP(B33,AE_weight!$AP$4:$AX$36,C33+1)</f>
        <v>1111</v>
      </c>
      <c r="E33" s="3" t="str">
        <f>VLOOKUP(B33,AE_weight!$AP$40:$AX$72,C33+1)</f>
        <v>2222</v>
      </c>
      <c r="F33" s="3" t="str">
        <f>VLOOKUP(B33,AE_weight!$AP$76:$AX$108,C33+1)</f>
        <v>0000</v>
      </c>
      <c r="G33" s="3" t="str">
        <f>VLOOKUP(B33,AE_weight!$AP$112:$AX$144,C33+1)</f>
        <v>2222</v>
      </c>
      <c r="H33" s="3" t="str">
        <f>VLOOKUP(B33,AE_weight!$AP$149:$AX$180,C33+1)</f>
        <v>0000</v>
      </c>
      <c r="I33" s="3" t="str">
        <f>VLOOKUP(B33,AE_weight!$AP$185:$AX$216,C33+1)</f>
        <v>0000</v>
      </c>
      <c r="J33" s="3" t="str">
        <f>VLOOKUP(B33,AE_weight!$AP$221:$AX$252,C33+1)</f>
        <v>0000</v>
      </c>
      <c r="K33" s="3" t="str">
        <f>VLOOKUP(B33,AE_weight!$AP$257:$AX$288,C33+1)</f>
        <v>0000</v>
      </c>
      <c r="L33" s="3" t="str">
        <f>VLOOKUP(B33,AE_weight!$AP$293:$AX$324,C33+1)</f>
        <v>0000</v>
      </c>
      <c r="M33" s="3" t="str">
        <f>VLOOKUP(B33,AE_weight!$AP$329:$AX$360,C33+1)</f>
        <v>1111</v>
      </c>
      <c r="N33" s="119"/>
      <c r="O33" s="119"/>
      <c r="P33" s="119"/>
      <c r="Q33" s="4"/>
      <c r="U33" s="4"/>
    </row>
    <row r="34" spans="1:21">
      <c r="A34" s="1">
        <f t="shared" si="0"/>
        <v>29</v>
      </c>
      <c r="B34" s="1">
        <v>3</v>
      </c>
      <c r="C34" s="1">
        <v>5</v>
      </c>
      <c r="D34" s="3" t="str">
        <f>VLOOKUP(B34,AE_weight!$AP$4:$AX$36,C34+1)</f>
        <v>1111</v>
      </c>
      <c r="E34" s="3" t="str">
        <f>VLOOKUP(B34,AE_weight!$AP$40:$AX$72,C34+1)</f>
        <v>2222</v>
      </c>
      <c r="F34" s="3" t="str">
        <f>VLOOKUP(B34,AE_weight!$AP$76:$AX$108,C34+1)</f>
        <v>0000</v>
      </c>
      <c r="G34" s="3" t="str">
        <f>VLOOKUP(B34,AE_weight!$AP$112:$AX$144,C34+1)</f>
        <v>2222</v>
      </c>
      <c r="H34" s="3" t="str">
        <f>VLOOKUP(B34,AE_weight!$AP$149:$AX$180,C34+1)</f>
        <v>0000</v>
      </c>
      <c r="I34" s="3" t="str">
        <f>VLOOKUP(B34,AE_weight!$AP$185:$AX$216,C34+1)</f>
        <v>0000</v>
      </c>
      <c r="J34" s="3" t="str">
        <f>VLOOKUP(B34,AE_weight!$AP$221:$AX$252,C34+1)</f>
        <v>0000</v>
      </c>
      <c r="K34" s="3" t="str">
        <f>VLOOKUP(B34,AE_weight!$AP$257:$AX$288,C34+1)</f>
        <v>0000</v>
      </c>
      <c r="L34" s="3" t="str">
        <f>VLOOKUP(B34,AE_weight!$AP$293:$AX$324,C34+1)</f>
        <v>0000</v>
      </c>
      <c r="M34" s="3" t="str">
        <f>VLOOKUP(B34,AE_weight!$AP$329:$AX$360,C34+1)</f>
        <v>1111</v>
      </c>
      <c r="N34" s="119"/>
      <c r="O34" s="119"/>
      <c r="P34" s="119"/>
      <c r="Q34" s="4"/>
      <c r="U34" s="4"/>
    </row>
    <row r="35" spans="1:21">
      <c r="A35" s="1">
        <f t="shared" si="0"/>
        <v>30</v>
      </c>
      <c r="B35" s="1">
        <f t="shared" ref="B35:B37" si="6">B34</f>
        <v>3</v>
      </c>
      <c r="C35" s="1">
        <v>6</v>
      </c>
      <c r="D35" s="3" t="str">
        <f>VLOOKUP(B35,AE_weight!$AP$4:$AX$36,C35+1)</f>
        <v>1111</v>
      </c>
      <c r="E35" s="3" t="str">
        <f>VLOOKUP(B35,AE_weight!$AP$40:$AX$72,C35+1)</f>
        <v>2222</v>
      </c>
      <c r="F35" s="3" t="str">
        <f>VLOOKUP(B35,AE_weight!$AP$76:$AX$108,C35+1)</f>
        <v>0000</v>
      </c>
      <c r="G35" s="3" t="str">
        <f>VLOOKUP(B35,AE_weight!$AP$112:$AX$144,C35+1)</f>
        <v>2222</v>
      </c>
      <c r="H35" s="3" t="str">
        <f>VLOOKUP(B35,AE_weight!$AP$149:$AX$180,C35+1)</f>
        <v>0000</v>
      </c>
      <c r="I35" s="3" t="str">
        <f>VLOOKUP(B35,AE_weight!$AP$185:$AX$216,C35+1)</f>
        <v>0000</v>
      </c>
      <c r="J35" s="3" t="str">
        <f>VLOOKUP(B35,AE_weight!$AP$221:$AX$252,C35+1)</f>
        <v>0000</v>
      </c>
      <c r="K35" s="3" t="str">
        <f>VLOOKUP(B35,AE_weight!$AP$257:$AX$288,C35+1)</f>
        <v>0000</v>
      </c>
      <c r="L35" s="3" t="str">
        <f>VLOOKUP(B35,AE_weight!$AP$293:$AX$324,C35+1)</f>
        <v>0000</v>
      </c>
      <c r="M35" s="3" t="str">
        <f>VLOOKUP(B35,AE_weight!$AP$329:$AX$360,C35+1)</f>
        <v>0000</v>
      </c>
      <c r="N35" s="119"/>
      <c r="O35" s="119"/>
      <c r="P35" s="119"/>
      <c r="Q35" s="4"/>
      <c r="U35" s="4"/>
    </row>
    <row r="36" spans="1:21">
      <c r="A36" s="1">
        <f t="shared" si="0"/>
        <v>31</v>
      </c>
      <c r="B36" s="1">
        <f t="shared" si="6"/>
        <v>3</v>
      </c>
      <c r="C36" s="1">
        <v>7</v>
      </c>
      <c r="D36" s="3" t="str">
        <f>VLOOKUP(B36,AE_weight!$AP$4:$AX$36,C36+1)</f>
        <v>0000</v>
      </c>
      <c r="E36" s="3" t="str">
        <f>VLOOKUP(B36,AE_weight!$AP$40:$AX$72,C36+1)</f>
        <v>2222</v>
      </c>
      <c r="F36" s="3" t="str">
        <f>VLOOKUP(B36,AE_weight!$AP$76:$AX$108,C36+1)</f>
        <v>0000</v>
      </c>
      <c r="G36" s="3" t="str">
        <f>VLOOKUP(B36,AE_weight!$AP$112:$AX$144,C36+1)</f>
        <v>2222</v>
      </c>
      <c r="H36" s="3" t="str">
        <f>VLOOKUP(B36,AE_weight!$AP$149:$AX$180,C36+1)</f>
        <v>0000</v>
      </c>
      <c r="I36" s="3" t="str">
        <f>VLOOKUP(B36,AE_weight!$AP$185:$AX$216,C36+1)</f>
        <v>0000</v>
      </c>
      <c r="J36" s="3" t="str">
        <f>VLOOKUP(B36,AE_weight!$AP$221:$AX$252,C36+1)</f>
        <v>0000</v>
      </c>
      <c r="K36" s="3" t="str">
        <f>VLOOKUP(B36,AE_weight!$AP$257:$AX$288,C36+1)</f>
        <v>0000</v>
      </c>
      <c r="L36" s="3" t="str">
        <f>VLOOKUP(B36,AE_weight!$AP$293:$AX$324,C36+1)</f>
        <v>0000</v>
      </c>
      <c r="M36" s="3" t="str">
        <f>VLOOKUP(B36,AE_weight!$AP$329:$AX$360,C36+1)</f>
        <v>0000</v>
      </c>
      <c r="N36" s="119"/>
      <c r="O36" s="119"/>
      <c r="P36" s="119"/>
      <c r="Q36" s="4"/>
      <c r="U36" s="4"/>
    </row>
    <row r="37" spans="1:21">
      <c r="A37" s="1">
        <f t="shared" si="0"/>
        <v>32</v>
      </c>
      <c r="B37" s="1">
        <f t="shared" si="6"/>
        <v>3</v>
      </c>
      <c r="C37" s="1">
        <v>8</v>
      </c>
      <c r="D37" s="3" t="str">
        <f>VLOOKUP(B37,AE_weight!$AP$4:$AX$36,C37+1)</f>
        <v>0000</v>
      </c>
      <c r="E37" s="3" t="str">
        <f>VLOOKUP(B37,AE_weight!$AP$40:$AX$72,C37+1)</f>
        <v>2222</v>
      </c>
      <c r="F37" s="3" t="str">
        <f>VLOOKUP(B37,AE_weight!$AP$76:$AX$108,C37+1)</f>
        <v>0000</v>
      </c>
      <c r="G37" s="3" t="str">
        <f>VLOOKUP(B37,AE_weight!$AP$112:$AX$144,C37+1)</f>
        <v>2222</v>
      </c>
      <c r="H37" s="3" t="str">
        <f>VLOOKUP(B37,AE_weight!$AP$149:$AX$180,C37+1)</f>
        <v>0000</v>
      </c>
      <c r="I37" s="3" t="str">
        <f>VLOOKUP(B37,AE_weight!$AP$185:$AX$216,C37+1)</f>
        <v>0000</v>
      </c>
      <c r="J37" s="3" t="str">
        <f>VLOOKUP(B37,AE_weight!$AP$221:$AX$252,C37+1)</f>
        <v>0000</v>
      </c>
      <c r="K37" s="3" t="str">
        <f>VLOOKUP(B37,AE_weight!$AP$257:$AX$288,C37+1)</f>
        <v>0000</v>
      </c>
      <c r="L37" s="3" t="str">
        <f>VLOOKUP(B37,AE_weight!$AP$293:$AX$324,C37+1)</f>
        <v>0000</v>
      </c>
      <c r="M37" s="3" t="str">
        <f>VLOOKUP(B37,AE_weight!$AP$329:$AX$360,C37+1)</f>
        <v>0000</v>
      </c>
      <c r="N37" s="119"/>
      <c r="O37" s="119"/>
      <c r="P37" s="119"/>
      <c r="Q37" s="4"/>
      <c r="U37" s="4"/>
    </row>
    <row r="38" spans="1:21">
      <c r="A38" s="1">
        <f t="shared" si="0"/>
        <v>33</v>
      </c>
      <c r="B38" s="1">
        <v>4</v>
      </c>
      <c r="C38" s="1">
        <v>1</v>
      </c>
      <c r="D38" s="3" t="str">
        <f>VLOOKUP(B38,AE_weight!$AP$4:$AX$36,C38+1)</f>
        <v>0000</v>
      </c>
      <c r="E38" s="3" t="str">
        <f>VLOOKUP(B38,AE_weight!$AP$40:$AX$72,C38+1)</f>
        <v>2222</v>
      </c>
      <c r="F38" s="3" t="str">
        <f>VLOOKUP(B38,AE_weight!$AP$76:$AX$108,C38+1)</f>
        <v>0000</v>
      </c>
      <c r="G38" s="3" t="str">
        <f>VLOOKUP(B38,AE_weight!$AP$112:$AX$144,C38+1)</f>
        <v>2222</v>
      </c>
      <c r="H38" s="3" t="str">
        <f>VLOOKUP(B38,AE_weight!$AP$149:$AX$180,C38+1)</f>
        <v>0000</v>
      </c>
      <c r="I38" s="3" t="str">
        <f>VLOOKUP(B38,AE_weight!$AP$185:$AX$216,C38+1)</f>
        <v>0000</v>
      </c>
      <c r="J38" s="3" t="str">
        <f>VLOOKUP(B38,AE_weight!$AP$221:$AX$252,C38+1)</f>
        <v>0000</v>
      </c>
      <c r="K38" s="3" t="str">
        <f>VLOOKUP(B38,AE_weight!$AP$257:$AX$288,C38+1)</f>
        <v>0000</v>
      </c>
      <c r="L38" s="3" t="str">
        <f>VLOOKUP(B38,AE_weight!$AP$293:$AX$324,C38+1)</f>
        <v>0000</v>
      </c>
      <c r="M38" s="3" t="str">
        <f>VLOOKUP(B38,AE_weight!$AP$329:$AX$360,C38+1)</f>
        <v>0000</v>
      </c>
      <c r="N38" s="119"/>
      <c r="O38" s="119"/>
      <c r="P38" s="119"/>
      <c r="Q38" s="4"/>
      <c r="U38" s="4"/>
    </row>
    <row r="39" spans="1:21">
      <c r="A39" s="1">
        <f t="shared" si="0"/>
        <v>34</v>
      </c>
      <c r="B39" s="1">
        <f t="shared" ref="B39:B41" si="7">B38</f>
        <v>4</v>
      </c>
      <c r="C39" s="1">
        <v>2</v>
      </c>
      <c r="D39" s="3" t="str">
        <f>VLOOKUP(B39,AE_weight!$AP$4:$AX$36,C39+1)</f>
        <v>0011</v>
      </c>
      <c r="E39" s="3" t="str">
        <f>VLOOKUP(B39,AE_weight!$AP$40:$AX$72,C39+1)</f>
        <v>2222</v>
      </c>
      <c r="F39" s="3" t="str">
        <f>VLOOKUP(B39,AE_weight!$AP$76:$AX$108,C39+1)</f>
        <v>0000</v>
      </c>
      <c r="G39" s="3" t="str">
        <f>VLOOKUP(B39,AE_weight!$AP$112:$AX$144,C39+1)</f>
        <v>2222</v>
      </c>
      <c r="H39" s="3" t="str">
        <f>VLOOKUP(B39,AE_weight!$AP$149:$AX$180,C39+1)</f>
        <v>0000</v>
      </c>
      <c r="I39" s="3" t="str">
        <f>VLOOKUP(B39,AE_weight!$AP$185:$AX$216,C39+1)</f>
        <v>0000</v>
      </c>
      <c r="J39" s="3" t="str">
        <f>VLOOKUP(B39,AE_weight!$AP$221:$AX$252,C39+1)</f>
        <v>0000</v>
      </c>
      <c r="K39" s="3" t="str">
        <f>VLOOKUP(B39,AE_weight!$AP$257:$AX$288,C39+1)</f>
        <v>0000</v>
      </c>
      <c r="L39" s="3" t="str">
        <f>VLOOKUP(B39,AE_weight!$AP$293:$AX$324,C39+1)</f>
        <v>0000</v>
      </c>
      <c r="M39" s="3" t="str">
        <f>VLOOKUP(B39,AE_weight!$AP$329:$AX$360,C39+1)</f>
        <v>0000</v>
      </c>
      <c r="N39" s="119"/>
      <c r="O39" s="119"/>
      <c r="P39" s="119"/>
      <c r="Q39" s="4"/>
      <c r="U39" s="4"/>
    </row>
    <row r="40" spans="1:21">
      <c r="A40" s="1">
        <f t="shared" si="0"/>
        <v>35</v>
      </c>
      <c r="B40" s="1">
        <f t="shared" si="7"/>
        <v>4</v>
      </c>
      <c r="C40" s="1">
        <v>3</v>
      </c>
      <c r="D40" s="3" t="str">
        <f>VLOOKUP(B40,AE_weight!$AP$4:$AX$36,C40+1)</f>
        <v>1111</v>
      </c>
      <c r="E40" s="3" t="str">
        <f>VLOOKUP(B40,AE_weight!$AP$40:$AX$72,C40+1)</f>
        <v>2222</v>
      </c>
      <c r="F40" s="3" t="str">
        <f>VLOOKUP(B40,AE_weight!$AP$76:$AX$108,C40+1)</f>
        <v>0000</v>
      </c>
      <c r="G40" s="3" t="str">
        <f>VLOOKUP(B40,AE_weight!$AP$112:$AX$144,C40+1)</f>
        <v>2222</v>
      </c>
      <c r="H40" s="3" t="str">
        <f>VLOOKUP(B40,AE_weight!$AP$149:$AX$180,C40+1)</f>
        <v>0000</v>
      </c>
      <c r="I40" s="3" t="str">
        <f>VLOOKUP(B40,AE_weight!$AP$185:$AX$216,C40+1)</f>
        <v>0000</v>
      </c>
      <c r="J40" s="3" t="str">
        <f>VLOOKUP(B40,AE_weight!$AP$221:$AX$252,C40+1)</f>
        <v>0000</v>
      </c>
      <c r="K40" s="3" t="str">
        <f>VLOOKUP(B40,AE_weight!$AP$257:$AX$288,C40+1)</f>
        <v>0000</v>
      </c>
      <c r="L40" s="3" t="str">
        <f>VLOOKUP(B40,AE_weight!$AP$293:$AX$324,C40+1)</f>
        <v>0000</v>
      </c>
      <c r="M40" s="3" t="str">
        <f>VLOOKUP(B40,AE_weight!$AP$329:$AX$360,C40+1)</f>
        <v>0011</v>
      </c>
      <c r="N40" s="119"/>
      <c r="O40" s="119"/>
      <c r="P40" s="119"/>
      <c r="Q40" s="4"/>
      <c r="U40" s="4"/>
    </row>
    <row r="41" spans="1:21">
      <c r="A41" s="1">
        <f t="shared" si="0"/>
        <v>36</v>
      </c>
      <c r="B41" s="1">
        <f t="shared" si="7"/>
        <v>4</v>
      </c>
      <c r="C41" s="1">
        <v>4</v>
      </c>
      <c r="D41" s="3" t="str">
        <f>VLOOKUP(B41,AE_weight!$AP$4:$AX$36,C41+1)</f>
        <v>2222</v>
      </c>
      <c r="E41" s="3" t="str">
        <f>VLOOKUP(B41,AE_weight!$AP$40:$AX$72,C41+1)</f>
        <v>2222</v>
      </c>
      <c r="F41" s="3" t="str">
        <f>VLOOKUP(B41,AE_weight!$AP$76:$AX$108,C41+1)</f>
        <v>2222</v>
      </c>
      <c r="G41" s="3" t="str">
        <f>VLOOKUP(B41,AE_weight!$AP$112:$AX$144,C41+1)</f>
        <v>2222</v>
      </c>
      <c r="H41" s="3" t="str">
        <f>VLOOKUP(B41,AE_weight!$AP$149:$AX$180,C41+1)</f>
        <v>0000</v>
      </c>
      <c r="I41" s="3" t="str">
        <f>VLOOKUP(B41,AE_weight!$AP$185:$AX$216,C41+1)</f>
        <v>0000</v>
      </c>
      <c r="J41" s="3" t="str">
        <f>VLOOKUP(B41,AE_weight!$AP$221:$AX$252,C41+1)</f>
        <v>0000</v>
      </c>
      <c r="K41" s="3" t="str">
        <f>VLOOKUP(B41,AE_weight!$AP$257:$AX$288,C41+1)</f>
        <v>0000</v>
      </c>
      <c r="L41" s="3" t="str">
        <f>VLOOKUP(B41,AE_weight!$AP$293:$AX$324,C41+1)</f>
        <v>0000</v>
      </c>
      <c r="M41" s="3" t="str">
        <f>VLOOKUP(B41,AE_weight!$AP$329:$AX$360,C41+1)</f>
        <v>1111</v>
      </c>
      <c r="N41" s="119"/>
      <c r="O41" s="119"/>
      <c r="P41" s="119"/>
      <c r="Q41" s="4"/>
      <c r="U41" s="4"/>
    </row>
    <row r="42" spans="1:21">
      <c r="A42" s="1">
        <f t="shared" si="0"/>
        <v>37</v>
      </c>
      <c r="B42" s="1">
        <v>4</v>
      </c>
      <c r="C42" s="1">
        <v>5</v>
      </c>
      <c r="D42" s="3" t="str">
        <f>VLOOKUP(B42,AE_weight!$AP$4:$AX$36,C42+1)</f>
        <v>2222</v>
      </c>
      <c r="E42" s="3" t="str">
        <f>VLOOKUP(B42,AE_weight!$AP$40:$AX$72,C42+1)</f>
        <v>2222</v>
      </c>
      <c r="F42" s="3" t="str">
        <f>VLOOKUP(B42,AE_weight!$AP$76:$AX$108,C42+1)</f>
        <v>2222</v>
      </c>
      <c r="G42" s="3" t="str">
        <f>VLOOKUP(B42,AE_weight!$AP$112:$AX$144,C42+1)</f>
        <v>2222</v>
      </c>
      <c r="H42" s="3" t="str">
        <f>VLOOKUP(B42,AE_weight!$AP$149:$AX$180,C42+1)</f>
        <v>0000</v>
      </c>
      <c r="I42" s="3" t="str">
        <f>VLOOKUP(B42,AE_weight!$AP$185:$AX$216,C42+1)</f>
        <v>0000</v>
      </c>
      <c r="J42" s="3" t="str">
        <f>VLOOKUP(B42,AE_weight!$AP$221:$AX$252,C42+1)</f>
        <v>0000</v>
      </c>
      <c r="K42" s="3" t="str">
        <f>VLOOKUP(B42,AE_weight!$AP$257:$AX$288,C42+1)</f>
        <v>0000</v>
      </c>
      <c r="L42" s="3" t="str">
        <f>VLOOKUP(B42,AE_weight!$AP$293:$AX$324,C42+1)</f>
        <v>0000</v>
      </c>
      <c r="M42" s="3" t="str">
        <f>VLOOKUP(B42,AE_weight!$AP$329:$AX$360,C42+1)</f>
        <v>1111</v>
      </c>
      <c r="N42" s="119"/>
      <c r="O42" s="119"/>
      <c r="P42" s="119"/>
      <c r="Q42" s="4"/>
      <c r="U42" s="4"/>
    </row>
    <row r="43" spans="1:21">
      <c r="A43" s="1">
        <f t="shared" si="0"/>
        <v>38</v>
      </c>
      <c r="B43" s="1">
        <f t="shared" ref="B43:B45" si="8">B42</f>
        <v>4</v>
      </c>
      <c r="C43" s="1">
        <v>6</v>
      </c>
      <c r="D43" s="3" t="str">
        <f>VLOOKUP(B43,AE_weight!$AP$4:$AX$36,C43+1)</f>
        <v>1111</v>
      </c>
      <c r="E43" s="3" t="str">
        <f>VLOOKUP(B43,AE_weight!$AP$40:$AX$72,C43+1)</f>
        <v>2222</v>
      </c>
      <c r="F43" s="3" t="str">
        <f>VLOOKUP(B43,AE_weight!$AP$76:$AX$108,C43+1)</f>
        <v>0000</v>
      </c>
      <c r="G43" s="3" t="str">
        <f>VLOOKUP(B43,AE_weight!$AP$112:$AX$144,C43+1)</f>
        <v>2222</v>
      </c>
      <c r="H43" s="3" t="str">
        <f>VLOOKUP(B43,AE_weight!$AP$149:$AX$180,C43+1)</f>
        <v>0000</v>
      </c>
      <c r="I43" s="3" t="str">
        <f>VLOOKUP(B43,AE_weight!$AP$185:$AX$216,C43+1)</f>
        <v>0000</v>
      </c>
      <c r="J43" s="3" t="str">
        <f>VLOOKUP(B43,AE_weight!$AP$221:$AX$252,C43+1)</f>
        <v>0000</v>
      </c>
      <c r="K43" s="3" t="str">
        <f>VLOOKUP(B43,AE_weight!$AP$257:$AX$288,C43+1)</f>
        <v>0000</v>
      </c>
      <c r="L43" s="3" t="str">
        <f>VLOOKUP(B43,AE_weight!$AP$293:$AX$324,C43+1)</f>
        <v>0000</v>
      </c>
      <c r="M43" s="3" t="str">
        <f>VLOOKUP(B43,AE_weight!$AP$329:$AX$360,C43+1)</f>
        <v>1100</v>
      </c>
      <c r="N43" s="119"/>
      <c r="O43" s="119"/>
      <c r="P43" s="119"/>
      <c r="Q43" s="4"/>
      <c r="U43" s="4"/>
    </row>
    <row r="44" spans="1:21">
      <c r="A44" s="1">
        <f t="shared" si="0"/>
        <v>39</v>
      </c>
      <c r="B44" s="1">
        <f t="shared" si="8"/>
        <v>4</v>
      </c>
      <c r="C44" s="1">
        <v>7</v>
      </c>
      <c r="D44" s="3" t="str">
        <f>VLOOKUP(B44,AE_weight!$AP$4:$AX$36,C44+1)</f>
        <v>1100</v>
      </c>
      <c r="E44" s="3" t="str">
        <f>VLOOKUP(B44,AE_weight!$AP$40:$AX$72,C44+1)</f>
        <v>2222</v>
      </c>
      <c r="F44" s="3" t="str">
        <f>VLOOKUP(B44,AE_weight!$AP$76:$AX$108,C44+1)</f>
        <v>0000</v>
      </c>
      <c r="G44" s="3" t="str">
        <f>VLOOKUP(B44,AE_weight!$AP$112:$AX$144,C44+1)</f>
        <v>2222</v>
      </c>
      <c r="H44" s="3" t="str">
        <f>VLOOKUP(B44,AE_weight!$AP$149:$AX$180,C44+1)</f>
        <v>0000</v>
      </c>
      <c r="I44" s="3" t="str">
        <f>VLOOKUP(B44,AE_weight!$AP$185:$AX$216,C44+1)</f>
        <v>0000</v>
      </c>
      <c r="J44" s="3" t="str">
        <f>VLOOKUP(B44,AE_weight!$AP$221:$AX$252,C44+1)</f>
        <v>0000</v>
      </c>
      <c r="K44" s="3" t="str">
        <f>VLOOKUP(B44,AE_weight!$AP$257:$AX$288,C44+1)</f>
        <v>0000</v>
      </c>
      <c r="L44" s="3" t="str">
        <f>VLOOKUP(B44,AE_weight!$AP$293:$AX$324,C44+1)</f>
        <v>0000</v>
      </c>
      <c r="M44" s="3" t="str">
        <f>VLOOKUP(B44,AE_weight!$AP$329:$AX$360,C44+1)</f>
        <v>0000</v>
      </c>
      <c r="N44" s="119"/>
      <c r="O44" s="119"/>
      <c r="P44" s="119"/>
    </row>
    <row r="45" spans="1:21">
      <c r="A45" s="1">
        <f t="shared" si="0"/>
        <v>40</v>
      </c>
      <c r="B45" s="1">
        <f t="shared" si="8"/>
        <v>4</v>
      </c>
      <c r="C45" s="1">
        <v>8</v>
      </c>
      <c r="D45" s="3" t="str">
        <f>VLOOKUP(B45,AE_weight!$AP$4:$AX$36,C45+1)</f>
        <v>0000</v>
      </c>
      <c r="E45" s="3" t="str">
        <f>VLOOKUP(B45,AE_weight!$AP$40:$AX$72,C45+1)</f>
        <v>2222</v>
      </c>
      <c r="F45" s="3" t="str">
        <f>VLOOKUP(B45,AE_weight!$AP$76:$AX$108,C45+1)</f>
        <v>0000</v>
      </c>
      <c r="G45" s="3" t="str">
        <f>VLOOKUP(B45,AE_weight!$AP$112:$AX$144,C45+1)</f>
        <v>2222</v>
      </c>
      <c r="H45" s="3" t="str">
        <f>VLOOKUP(B45,AE_weight!$AP$149:$AX$180,C45+1)</f>
        <v>0000</v>
      </c>
      <c r="I45" s="3" t="str">
        <f>VLOOKUP(B45,AE_weight!$AP$185:$AX$216,C45+1)</f>
        <v>0000</v>
      </c>
      <c r="J45" s="3" t="str">
        <f>VLOOKUP(B45,AE_weight!$AP$221:$AX$252,C45+1)</f>
        <v>0000</v>
      </c>
      <c r="K45" s="3" t="str">
        <f>VLOOKUP(B45,AE_weight!$AP$257:$AX$288,C45+1)</f>
        <v>0000</v>
      </c>
      <c r="L45" s="3" t="str">
        <f>VLOOKUP(B45,AE_weight!$AP$293:$AX$324,C45+1)</f>
        <v>0000</v>
      </c>
      <c r="M45" s="3" t="str">
        <f>VLOOKUP(B45,AE_weight!$AP$329:$AX$360,C45+1)</f>
        <v>0000</v>
      </c>
      <c r="N45" s="119"/>
      <c r="O45" s="119"/>
      <c r="P45" s="119"/>
    </row>
    <row r="46" spans="1:21">
      <c r="A46" s="1">
        <f t="shared" si="0"/>
        <v>41</v>
      </c>
      <c r="B46" s="1">
        <v>5</v>
      </c>
      <c r="C46" s="1">
        <v>1</v>
      </c>
      <c r="D46" s="3" t="str">
        <f>VLOOKUP(B46,AE_weight!$AP$4:$AX$36,C46+1)</f>
        <v>0000</v>
      </c>
      <c r="E46" s="3" t="str">
        <f>VLOOKUP(B46,AE_weight!$AP$40:$AX$72,C46+1)</f>
        <v>2222</v>
      </c>
      <c r="F46" s="3" t="str">
        <f>VLOOKUP(B46,AE_weight!$AP$76:$AX$108,C46+1)</f>
        <v>0000</v>
      </c>
      <c r="G46" s="3" t="str">
        <f>VLOOKUP(B46,AE_weight!$AP$112:$AX$144,C46+1)</f>
        <v>2222</v>
      </c>
      <c r="H46" s="3" t="str">
        <f>VLOOKUP(B46,AE_weight!$AP$149:$AX$180,C46+1)</f>
        <v>0000</v>
      </c>
      <c r="I46" s="3" t="str">
        <f>VLOOKUP(B46,AE_weight!$AP$185:$AX$216,C46+1)</f>
        <v>0000</v>
      </c>
      <c r="J46" s="3" t="str">
        <f>VLOOKUP(B46,AE_weight!$AP$221:$AX$252,C46+1)</f>
        <v>0000</v>
      </c>
      <c r="K46" s="3" t="str">
        <f>VLOOKUP(B46,AE_weight!$AP$257:$AX$288,C46+1)</f>
        <v>0000</v>
      </c>
      <c r="L46" s="3" t="str">
        <f>VLOOKUP(B46,AE_weight!$AP$293:$AX$324,C46+1)</f>
        <v>0000</v>
      </c>
      <c r="M46" s="3" t="str">
        <f>VLOOKUP(B46,AE_weight!$AP$329:$AX$360,C46+1)</f>
        <v>0000</v>
      </c>
      <c r="N46" s="119"/>
      <c r="O46" s="119"/>
      <c r="P46" s="119"/>
    </row>
    <row r="47" spans="1:21">
      <c r="A47" s="1">
        <f t="shared" si="0"/>
        <v>42</v>
      </c>
      <c r="B47" s="1">
        <f t="shared" ref="B47:B49" si="9">B46</f>
        <v>5</v>
      </c>
      <c r="C47" s="1">
        <v>2</v>
      </c>
      <c r="D47" s="3" t="str">
        <f>VLOOKUP(B47,AE_weight!$AP$4:$AX$36,C47+1)</f>
        <v>0011</v>
      </c>
      <c r="E47" s="3" t="str">
        <f>VLOOKUP(B47,AE_weight!$AP$40:$AX$72,C47+1)</f>
        <v>2222</v>
      </c>
      <c r="F47" s="3" t="str">
        <f>VLOOKUP(B47,AE_weight!$AP$76:$AX$108,C47+1)</f>
        <v>0000</v>
      </c>
      <c r="G47" s="3" t="str">
        <f>VLOOKUP(B47,AE_weight!$AP$112:$AX$144,C47+1)</f>
        <v>2222</v>
      </c>
      <c r="H47" s="3" t="str">
        <f>VLOOKUP(B47,AE_weight!$AP$149:$AX$180,C47+1)</f>
        <v>0000</v>
      </c>
      <c r="I47" s="3" t="str">
        <f>VLOOKUP(B47,AE_weight!$AP$185:$AX$216,C47+1)</f>
        <v>0000</v>
      </c>
      <c r="J47" s="3" t="str">
        <f>VLOOKUP(B47,AE_weight!$AP$221:$AX$252,C47+1)</f>
        <v>0000</v>
      </c>
      <c r="K47" s="3" t="str">
        <f>VLOOKUP(B47,AE_weight!$AP$257:$AX$288,C47+1)</f>
        <v>0000</v>
      </c>
      <c r="L47" s="3" t="str">
        <f>VLOOKUP(B47,AE_weight!$AP$293:$AX$324,C47+1)</f>
        <v>0000</v>
      </c>
      <c r="M47" s="3" t="str">
        <f>VLOOKUP(B47,AE_weight!$AP$329:$AX$360,C47+1)</f>
        <v>0000</v>
      </c>
      <c r="N47" s="119"/>
      <c r="O47" s="119"/>
      <c r="P47" s="119"/>
    </row>
    <row r="48" spans="1:21">
      <c r="A48" s="1">
        <f t="shared" si="0"/>
        <v>43</v>
      </c>
      <c r="B48" s="1">
        <f t="shared" si="9"/>
        <v>5</v>
      </c>
      <c r="C48" s="1">
        <v>3</v>
      </c>
      <c r="D48" s="3" t="str">
        <f>VLOOKUP(B48,AE_weight!$AP$4:$AX$36,C48+1)</f>
        <v>1122</v>
      </c>
      <c r="E48" s="3" t="str">
        <f>VLOOKUP(B48,AE_weight!$AP$40:$AX$72,C48+1)</f>
        <v>2222</v>
      </c>
      <c r="F48" s="3" t="str">
        <f>VLOOKUP(B48,AE_weight!$AP$76:$AX$108,C48+1)</f>
        <v>0000</v>
      </c>
      <c r="G48" s="3" t="str">
        <f>VLOOKUP(B48,AE_weight!$AP$112:$AX$144,C48+1)</f>
        <v>2222</v>
      </c>
      <c r="H48" s="3" t="str">
        <f>VLOOKUP(B48,AE_weight!$AP$149:$AX$180,C48+1)</f>
        <v>0000</v>
      </c>
      <c r="I48" s="3" t="str">
        <f>VLOOKUP(B48,AE_weight!$AP$185:$AX$216,C48+1)</f>
        <v>0000</v>
      </c>
      <c r="J48" s="3" t="str">
        <f>VLOOKUP(B48,AE_weight!$AP$221:$AX$252,C48+1)</f>
        <v>0000</v>
      </c>
      <c r="K48" s="3" t="str">
        <f>VLOOKUP(B48,AE_weight!$AP$257:$AX$288,C48+1)</f>
        <v>0000</v>
      </c>
      <c r="L48" s="3" t="str">
        <f>VLOOKUP(B48,AE_weight!$AP$293:$AX$324,C48+1)</f>
        <v>0000</v>
      </c>
      <c r="M48" s="3" t="str">
        <f>VLOOKUP(B48,AE_weight!$AP$329:$AX$360,C48+1)</f>
        <v>1111</v>
      </c>
      <c r="N48" s="119"/>
      <c r="O48" s="119"/>
      <c r="P48" s="119"/>
    </row>
    <row r="49" spans="1:21">
      <c r="A49" s="1">
        <f t="shared" si="0"/>
        <v>44</v>
      </c>
      <c r="B49" s="1">
        <f t="shared" si="9"/>
        <v>5</v>
      </c>
      <c r="C49" s="1">
        <v>4</v>
      </c>
      <c r="D49" s="3" t="str">
        <f>VLOOKUP(B49,AE_weight!$AP$4:$AX$36,C49+1)</f>
        <v>2222</v>
      </c>
      <c r="E49" s="3" t="str">
        <f>VLOOKUP(B49,AE_weight!$AP$40:$AX$72,C49+1)</f>
        <v>2222</v>
      </c>
      <c r="F49" s="3" t="str">
        <f>VLOOKUP(B49,AE_weight!$AP$76:$AX$108,C49+1)</f>
        <v>2222</v>
      </c>
      <c r="G49" s="3" t="str">
        <f>VLOOKUP(B49,AE_weight!$AP$112:$AX$144,C49+1)</f>
        <v>2222</v>
      </c>
      <c r="H49" s="3" t="str">
        <f>VLOOKUP(B49,AE_weight!$AP$149:$AX$180,C49+1)</f>
        <v>0000</v>
      </c>
      <c r="I49" s="3" t="str">
        <f>VLOOKUP(B49,AE_weight!$AP$185:$AX$216,C49+1)</f>
        <v>0000</v>
      </c>
      <c r="J49" s="3" t="str">
        <f>VLOOKUP(B49,AE_weight!$AP$221:$AX$252,C49+1)</f>
        <v>0000</v>
      </c>
      <c r="K49" s="3" t="str">
        <f>VLOOKUP(B49,AE_weight!$AP$257:$AX$288,C49+1)</f>
        <v>0011</v>
      </c>
      <c r="L49" s="3" t="str">
        <f>VLOOKUP(B49,AE_weight!$AP$293:$AX$324,C49+1)</f>
        <v>0000</v>
      </c>
      <c r="M49" s="3" t="str">
        <f>VLOOKUP(B49,AE_weight!$AP$329:$AX$360,C49+1)</f>
        <v>2222</v>
      </c>
      <c r="N49" s="119"/>
      <c r="O49" s="119"/>
      <c r="P49" s="119"/>
      <c r="Q49" s="4"/>
      <c r="U49" s="4"/>
    </row>
    <row r="50" spans="1:21">
      <c r="A50" s="1">
        <f t="shared" si="0"/>
        <v>45</v>
      </c>
      <c r="B50" s="1">
        <v>5</v>
      </c>
      <c r="C50" s="1">
        <v>5</v>
      </c>
      <c r="D50" s="3" t="str">
        <f>VLOOKUP(B50,AE_weight!$AP$4:$AX$36,C50+1)</f>
        <v>2222</v>
      </c>
      <c r="E50" s="3" t="str">
        <f>VLOOKUP(B50,AE_weight!$AP$40:$AX$72,C50+1)</f>
        <v>2222</v>
      </c>
      <c r="F50" s="3" t="str">
        <f>VLOOKUP(B50,AE_weight!$AP$76:$AX$108,C50+1)</f>
        <v>2222</v>
      </c>
      <c r="G50" s="3" t="str">
        <f>VLOOKUP(B50,AE_weight!$AP$112:$AX$144,C50+1)</f>
        <v>2222</v>
      </c>
      <c r="H50" s="3" t="str">
        <f>VLOOKUP(B50,AE_weight!$AP$149:$AX$180,C50+1)</f>
        <v>0000</v>
      </c>
      <c r="I50" s="3" t="str">
        <f>VLOOKUP(B50,AE_weight!$AP$185:$AX$216,C50+1)</f>
        <v>0000</v>
      </c>
      <c r="J50" s="3" t="str">
        <f>VLOOKUP(B50,AE_weight!$AP$221:$AX$252,C50+1)</f>
        <v>0000</v>
      </c>
      <c r="K50" s="3" t="str">
        <f>VLOOKUP(B50,AE_weight!$AP$257:$AX$288,C50+1)</f>
        <v>1100</v>
      </c>
      <c r="L50" s="3" t="str">
        <f>VLOOKUP(B50,AE_weight!$AP$293:$AX$324,C50+1)</f>
        <v>0000</v>
      </c>
      <c r="M50" s="3" t="str">
        <f>VLOOKUP(B50,AE_weight!$AP$329:$AX$360,C50+1)</f>
        <v>2222</v>
      </c>
      <c r="N50" s="119"/>
      <c r="O50" s="119"/>
      <c r="P50" s="119"/>
      <c r="Q50" s="4"/>
      <c r="U50" s="4"/>
    </row>
    <row r="51" spans="1:21">
      <c r="A51" s="1">
        <f t="shared" si="0"/>
        <v>46</v>
      </c>
      <c r="B51" s="1">
        <f t="shared" ref="B51:B53" si="10">B50</f>
        <v>5</v>
      </c>
      <c r="C51" s="1">
        <v>6</v>
      </c>
      <c r="D51" s="3" t="str">
        <f>VLOOKUP(B51,AE_weight!$AP$4:$AX$36,C51+1)</f>
        <v>2211</v>
      </c>
      <c r="E51" s="3" t="str">
        <f>VLOOKUP(B51,AE_weight!$AP$40:$AX$72,C51+1)</f>
        <v>2222</v>
      </c>
      <c r="F51" s="3" t="str">
        <f>VLOOKUP(B51,AE_weight!$AP$76:$AX$108,C51+1)</f>
        <v>0000</v>
      </c>
      <c r="G51" s="3" t="str">
        <f>VLOOKUP(B51,AE_weight!$AP$112:$AX$144,C51+1)</f>
        <v>2222</v>
      </c>
      <c r="H51" s="3" t="str">
        <f>VLOOKUP(B51,AE_weight!$AP$149:$AX$180,C51+1)</f>
        <v>0000</v>
      </c>
      <c r="I51" s="3" t="str">
        <f>VLOOKUP(B51,AE_weight!$AP$185:$AX$216,C51+1)</f>
        <v>0000</v>
      </c>
      <c r="J51" s="3" t="str">
        <f>VLOOKUP(B51,AE_weight!$AP$221:$AX$252,C51+1)</f>
        <v>0000</v>
      </c>
      <c r="K51" s="3" t="str">
        <f>VLOOKUP(B51,AE_weight!$AP$257:$AX$288,C51+1)</f>
        <v>0000</v>
      </c>
      <c r="L51" s="3" t="str">
        <f>VLOOKUP(B51,AE_weight!$AP$293:$AX$324,C51+1)</f>
        <v>0000</v>
      </c>
      <c r="M51" s="3" t="str">
        <f>VLOOKUP(B51,AE_weight!$AP$329:$AX$360,C51+1)</f>
        <v>1111</v>
      </c>
      <c r="N51" s="119"/>
      <c r="O51" s="119"/>
      <c r="P51" s="119"/>
      <c r="Q51" s="4"/>
      <c r="U51" s="4"/>
    </row>
    <row r="52" spans="1:21">
      <c r="A52" s="1">
        <f t="shared" si="0"/>
        <v>47</v>
      </c>
      <c r="B52" s="1">
        <f t="shared" si="10"/>
        <v>5</v>
      </c>
      <c r="C52" s="1">
        <v>7</v>
      </c>
      <c r="D52" s="3" t="str">
        <f>VLOOKUP(B52,AE_weight!$AP$4:$AX$36,C52+1)</f>
        <v>1100</v>
      </c>
      <c r="E52" s="3" t="str">
        <f>VLOOKUP(B52,AE_weight!$AP$40:$AX$72,C52+1)</f>
        <v>2222</v>
      </c>
      <c r="F52" s="3" t="str">
        <f>VLOOKUP(B52,AE_weight!$AP$76:$AX$108,C52+1)</f>
        <v>0000</v>
      </c>
      <c r="G52" s="3" t="str">
        <f>VLOOKUP(B52,AE_weight!$AP$112:$AX$144,C52+1)</f>
        <v>2222</v>
      </c>
      <c r="H52" s="3" t="str">
        <f>VLOOKUP(B52,AE_weight!$AP$149:$AX$180,C52+1)</f>
        <v>0000</v>
      </c>
      <c r="I52" s="3" t="str">
        <f>VLOOKUP(B52,AE_weight!$AP$185:$AX$216,C52+1)</f>
        <v>0000</v>
      </c>
      <c r="J52" s="3" t="str">
        <f>VLOOKUP(B52,AE_weight!$AP$221:$AX$252,C52+1)</f>
        <v>0000</v>
      </c>
      <c r="K52" s="3" t="str">
        <f>VLOOKUP(B52,AE_weight!$AP$257:$AX$288,C52+1)</f>
        <v>0000</v>
      </c>
      <c r="L52" s="3" t="str">
        <f>VLOOKUP(B52,AE_weight!$AP$293:$AX$324,C52+1)</f>
        <v>0000</v>
      </c>
      <c r="M52" s="3" t="str">
        <f>VLOOKUP(B52,AE_weight!$AP$329:$AX$360,C52+1)</f>
        <v>0000</v>
      </c>
      <c r="N52" s="119"/>
      <c r="O52" s="119"/>
      <c r="P52" s="119"/>
      <c r="Q52" s="4"/>
      <c r="U52" s="4"/>
    </row>
    <row r="53" spans="1:21">
      <c r="A53" s="1">
        <f t="shared" si="0"/>
        <v>48</v>
      </c>
      <c r="B53" s="1">
        <f t="shared" si="10"/>
        <v>5</v>
      </c>
      <c r="C53" s="1">
        <v>8</v>
      </c>
      <c r="D53" s="3" t="str">
        <f>VLOOKUP(B53,AE_weight!$AP$4:$AX$36,C53+1)</f>
        <v>0000</v>
      </c>
      <c r="E53" s="3" t="str">
        <f>VLOOKUP(B53,AE_weight!$AP$40:$AX$72,C53+1)</f>
        <v>2222</v>
      </c>
      <c r="F53" s="3" t="str">
        <f>VLOOKUP(B53,AE_weight!$AP$76:$AX$108,C53+1)</f>
        <v>0000</v>
      </c>
      <c r="G53" s="3" t="str">
        <f>VLOOKUP(B53,AE_weight!$AP$112:$AX$144,C53+1)</f>
        <v>2222</v>
      </c>
      <c r="H53" s="3" t="str">
        <f>VLOOKUP(B53,AE_weight!$AP$149:$AX$180,C53+1)</f>
        <v>0000</v>
      </c>
      <c r="I53" s="3" t="str">
        <f>VLOOKUP(B53,AE_weight!$AP$185:$AX$216,C53+1)</f>
        <v>0000</v>
      </c>
      <c r="J53" s="3" t="str">
        <f>VLOOKUP(B53,AE_weight!$AP$221:$AX$252,C53+1)</f>
        <v>0000</v>
      </c>
      <c r="K53" s="3" t="str">
        <f>VLOOKUP(B53,AE_weight!$AP$257:$AX$288,C53+1)</f>
        <v>0000</v>
      </c>
      <c r="L53" s="3" t="str">
        <f>VLOOKUP(B53,AE_weight!$AP$293:$AX$324,C53+1)</f>
        <v>0000</v>
      </c>
      <c r="M53" s="3" t="str">
        <f>VLOOKUP(B53,AE_weight!$AP$329:$AX$360,C53+1)</f>
        <v>0000</v>
      </c>
      <c r="N53" s="119"/>
      <c r="O53" s="119"/>
      <c r="P53" s="119"/>
      <c r="Q53" s="4"/>
      <c r="U53" s="4"/>
    </row>
    <row r="54" spans="1:21">
      <c r="A54" s="1">
        <f t="shared" si="0"/>
        <v>49</v>
      </c>
      <c r="B54" s="1">
        <v>6</v>
      </c>
      <c r="C54" s="1">
        <v>1</v>
      </c>
      <c r="D54" s="3" t="str">
        <f>VLOOKUP(B54,AE_weight!$AP$4:$AX$36,C54+1)</f>
        <v>0000</v>
      </c>
      <c r="E54" s="3" t="str">
        <f>VLOOKUP(B54,AE_weight!$AP$40:$AX$72,C54+1)</f>
        <v>2222</v>
      </c>
      <c r="F54" s="3" t="str">
        <f>VLOOKUP(B54,AE_weight!$AP$76:$AX$108,C54+1)</f>
        <v>0000</v>
      </c>
      <c r="G54" s="3" t="str">
        <f>VLOOKUP(B54,AE_weight!$AP$112:$AX$144,C54+1)</f>
        <v>2222</v>
      </c>
      <c r="H54" s="3" t="str">
        <f>VLOOKUP(B54,AE_weight!$AP$149:$AX$180,C54+1)</f>
        <v>0000</v>
      </c>
      <c r="I54" s="3" t="str">
        <f>VLOOKUP(B54,AE_weight!$AP$185:$AX$216,C54+1)</f>
        <v>0000</v>
      </c>
      <c r="J54" s="3" t="str">
        <f>VLOOKUP(B54,AE_weight!$AP$221:$AX$252,C54+1)</f>
        <v>0000</v>
      </c>
      <c r="K54" s="3" t="str">
        <f>VLOOKUP(B54,AE_weight!$AP$257:$AX$288,C54+1)</f>
        <v>0000</v>
      </c>
      <c r="L54" s="3" t="str">
        <f>VLOOKUP(B54,AE_weight!$AP$293:$AX$324,C54+1)</f>
        <v>0000</v>
      </c>
      <c r="M54" s="3" t="str">
        <f>VLOOKUP(B54,AE_weight!$AP$329:$AX$360,C54+1)</f>
        <v>0000</v>
      </c>
      <c r="N54" s="119"/>
      <c r="O54" s="119"/>
      <c r="P54" s="119"/>
      <c r="Q54" s="4"/>
      <c r="U54" s="4"/>
    </row>
    <row r="55" spans="1:21">
      <c r="A55" s="1">
        <f t="shared" si="0"/>
        <v>50</v>
      </c>
      <c r="B55" s="1">
        <f t="shared" ref="B55:B57" si="11">B54</f>
        <v>6</v>
      </c>
      <c r="C55" s="1">
        <v>2</v>
      </c>
      <c r="D55" s="3" t="str">
        <f>VLOOKUP(B55,AE_weight!$AP$4:$AX$36,C55+1)</f>
        <v>1111</v>
      </c>
      <c r="E55" s="3" t="str">
        <f>VLOOKUP(B55,AE_weight!$AP$40:$AX$72,C55+1)</f>
        <v>2222</v>
      </c>
      <c r="F55" s="3" t="str">
        <f>VLOOKUP(B55,AE_weight!$AP$76:$AX$108,C55+1)</f>
        <v>0000</v>
      </c>
      <c r="G55" s="3" t="str">
        <f>VLOOKUP(B55,AE_weight!$AP$112:$AX$144,C55+1)</f>
        <v>2222</v>
      </c>
      <c r="H55" s="3" t="str">
        <f>VLOOKUP(B55,AE_weight!$AP$149:$AX$180,C55+1)</f>
        <v>0000</v>
      </c>
      <c r="I55" s="3" t="str">
        <f>VLOOKUP(B55,AE_weight!$AP$185:$AX$216,C55+1)</f>
        <v>0000</v>
      </c>
      <c r="J55" s="3" t="str">
        <f>VLOOKUP(B55,AE_weight!$AP$221:$AX$252,C55+1)</f>
        <v>0000</v>
      </c>
      <c r="K55" s="3" t="str">
        <f>VLOOKUP(B55,AE_weight!$AP$257:$AX$288,C55+1)</f>
        <v>0000</v>
      </c>
      <c r="L55" s="3" t="str">
        <f>VLOOKUP(B55,AE_weight!$AP$293:$AX$324,C55+1)</f>
        <v>0000</v>
      </c>
      <c r="M55" s="3" t="str">
        <f>VLOOKUP(B55,AE_weight!$AP$329:$AX$360,C55+1)</f>
        <v>0011</v>
      </c>
      <c r="N55" s="119"/>
      <c r="O55" s="119"/>
      <c r="P55" s="119"/>
      <c r="Q55" s="4"/>
      <c r="U55" s="4"/>
    </row>
    <row r="56" spans="1:21">
      <c r="A56" s="1">
        <f t="shared" si="0"/>
        <v>51</v>
      </c>
      <c r="B56" s="1">
        <f t="shared" si="11"/>
        <v>6</v>
      </c>
      <c r="C56" s="1">
        <v>3</v>
      </c>
      <c r="D56" s="3" t="str">
        <f>VLOOKUP(B56,AE_weight!$AP$4:$AX$36,C56+1)</f>
        <v>2222</v>
      </c>
      <c r="E56" s="3" t="str">
        <f>VLOOKUP(B56,AE_weight!$AP$40:$AX$72,C56+1)</f>
        <v>2222</v>
      </c>
      <c r="F56" s="3" t="str">
        <f>VLOOKUP(B56,AE_weight!$AP$76:$AX$108,C56+1)</f>
        <v>2222</v>
      </c>
      <c r="G56" s="3" t="str">
        <f>VLOOKUP(B56,AE_weight!$AP$112:$AX$144,C56+1)</f>
        <v>2222</v>
      </c>
      <c r="H56" s="3" t="str">
        <f>VLOOKUP(B56,AE_weight!$AP$149:$AX$180,C56+1)</f>
        <v>0000</v>
      </c>
      <c r="I56" s="3" t="str">
        <f>VLOOKUP(B56,AE_weight!$AP$185:$AX$216,C56+1)</f>
        <v>0000</v>
      </c>
      <c r="J56" s="3" t="str">
        <f>VLOOKUP(B56,AE_weight!$AP$221:$AX$252,C56+1)</f>
        <v>0000</v>
      </c>
      <c r="K56" s="3" t="str">
        <f>VLOOKUP(B56,AE_weight!$AP$257:$AX$288,C56+1)</f>
        <v>0000</v>
      </c>
      <c r="L56" s="3" t="str">
        <f>VLOOKUP(B56,AE_weight!$AP$293:$AX$324,C56+1)</f>
        <v>0000</v>
      </c>
      <c r="M56" s="3" t="str">
        <f>VLOOKUP(B56,AE_weight!$AP$329:$AX$360,C56+1)</f>
        <v>1122</v>
      </c>
      <c r="N56" s="119"/>
      <c r="O56" s="119"/>
      <c r="P56" s="119"/>
      <c r="Q56" s="4"/>
      <c r="U56" s="4"/>
    </row>
    <row r="57" spans="1:21">
      <c r="A57" s="1">
        <f t="shared" si="0"/>
        <v>52</v>
      </c>
      <c r="B57" s="1">
        <f t="shared" si="11"/>
        <v>6</v>
      </c>
      <c r="C57" s="1">
        <v>4</v>
      </c>
      <c r="D57" s="3" t="str">
        <f>VLOOKUP(B57,AE_weight!$AP$4:$AX$36,C57+1)</f>
        <v>2233</v>
      </c>
      <c r="E57" s="3" t="str">
        <f>VLOOKUP(B57,AE_weight!$AP$40:$AX$72,C57+1)</f>
        <v>2222</v>
      </c>
      <c r="F57" s="3" t="str">
        <f>VLOOKUP(B57,AE_weight!$AP$76:$AX$108,C57+1)</f>
        <v>2233</v>
      </c>
      <c r="G57" s="3" t="str">
        <f>VLOOKUP(B57,AE_weight!$AP$112:$AX$144,C57+1)</f>
        <v>2222</v>
      </c>
      <c r="H57" s="3" t="str">
        <f>VLOOKUP(B57,AE_weight!$AP$149:$AX$180,C57+1)</f>
        <v>0000</v>
      </c>
      <c r="I57" s="3" t="str">
        <f>VLOOKUP(B57,AE_weight!$AP$185:$AX$216,C57+1)</f>
        <v>0000</v>
      </c>
      <c r="J57" s="3" t="str">
        <f>VLOOKUP(B57,AE_weight!$AP$221:$AX$252,C57+1)</f>
        <v>0077</v>
      </c>
      <c r="K57" s="3" t="str">
        <f>VLOOKUP(B57,AE_weight!$AP$257:$AX$288,C57+1)</f>
        <v>0000</v>
      </c>
      <c r="L57" s="3" t="str">
        <f>VLOOKUP(B57,AE_weight!$AP$293:$AX$324,C57+1)</f>
        <v>0000</v>
      </c>
      <c r="M57" s="3" t="str">
        <f>VLOOKUP(B57,AE_weight!$AP$329:$AX$360,C57+1)</f>
        <v>2222</v>
      </c>
      <c r="N57" s="119"/>
      <c r="O57" s="119"/>
      <c r="P57" s="119"/>
      <c r="Q57" s="4"/>
      <c r="U57" s="4"/>
    </row>
    <row r="58" spans="1:21">
      <c r="A58" s="1">
        <f t="shared" si="0"/>
        <v>53</v>
      </c>
      <c r="B58" s="1">
        <v>6</v>
      </c>
      <c r="C58" s="1">
        <v>5</v>
      </c>
      <c r="D58" s="3" t="str">
        <f>VLOOKUP(B58,AE_weight!$AP$4:$AX$36,C58+1)</f>
        <v>3322</v>
      </c>
      <c r="E58" s="3" t="str">
        <f>VLOOKUP(B58,AE_weight!$AP$40:$AX$72,C58+1)</f>
        <v>2222</v>
      </c>
      <c r="F58" s="3" t="str">
        <f>VLOOKUP(B58,AE_weight!$AP$76:$AX$108,C58+1)</f>
        <v>3322</v>
      </c>
      <c r="G58" s="3" t="str">
        <f>VLOOKUP(B58,AE_weight!$AP$112:$AX$144,C58+1)</f>
        <v>2222</v>
      </c>
      <c r="H58" s="3" t="str">
        <f>VLOOKUP(B58,AE_weight!$AP$149:$AX$180,C58+1)</f>
        <v>0000</v>
      </c>
      <c r="I58" s="3" t="str">
        <f>VLOOKUP(B58,AE_weight!$AP$185:$AX$216,C58+1)</f>
        <v>0000</v>
      </c>
      <c r="J58" s="3" t="str">
        <f>VLOOKUP(B58,AE_weight!$AP$221:$AX$252,C58+1)</f>
        <v>7700</v>
      </c>
      <c r="K58" s="3" t="str">
        <f>VLOOKUP(B58,AE_weight!$AP$257:$AX$288,C58+1)</f>
        <v>0000</v>
      </c>
      <c r="L58" s="3" t="str">
        <f>VLOOKUP(B58,AE_weight!$AP$293:$AX$324,C58+1)</f>
        <v>0000</v>
      </c>
      <c r="M58" s="3" t="str">
        <f>VLOOKUP(B58,AE_weight!$AP$329:$AX$360,C58+1)</f>
        <v>2222</v>
      </c>
      <c r="N58" s="119"/>
      <c r="O58" s="119"/>
      <c r="P58" s="119"/>
      <c r="Q58" s="4"/>
      <c r="U58" s="4"/>
    </row>
    <row r="59" spans="1:21">
      <c r="A59" s="1">
        <f t="shared" si="0"/>
        <v>54</v>
      </c>
      <c r="B59" s="1">
        <f t="shared" ref="B59:B61" si="12">B58</f>
        <v>6</v>
      </c>
      <c r="C59" s="1">
        <v>6</v>
      </c>
      <c r="D59" s="3" t="str">
        <f>VLOOKUP(B59,AE_weight!$AP$4:$AX$36,C59+1)</f>
        <v>2222</v>
      </c>
      <c r="E59" s="3" t="str">
        <f>VLOOKUP(B59,AE_weight!$AP$40:$AX$72,C59+1)</f>
        <v>2222</v>
      </c>
      <c r="F59" s="3" t="str">
        <f>VLOOKUP(B59,AE_weight!$AP$76:$AX$108,C59+1)</f>
        <v>2222</v>
      </c>
      <c r="G59" s="3" t="str">
        <f>VLOOKUP(B59,AE_weight!$AP$112:$AX$144,C59+1)</f>
        <v>2222</v>
      </c>
      <c r="H59" s="3" t="str">
        <f>VLOOKUP(B59,AE_weight!$AP$149:$AX$180,C59+1)</f>
        <v>0000</v>
      </c>
      <c r="I59" s="3" t="str">
        <f>VLOOKUP(B59,AE_weight!$AP$185:$AX$216,C59+1)</f>
        <v>0000</v>
      </c>
      <c r="J59" s="3" t="str">
        <f>VLOOKUP(B59,AE_weight!$AP$221:$AX$252,C59+1)</f>
        <v>0000</v>
      </c>
      <c r="K59" s="3" t="str">
        <f>VLOOKUP(B59,AE_weight!$AP$257:$AX$288,C59+1)</f>
        <v>0000</v>
      </c>
      <c r="L59" s="3" t="str">
        <f>VLOOKUP(B59,AE_weight!$AP$293:$AX$324,C59+1)</f>
        <v>0000</v>
      </c>
      <c r="M59" s="3" t="str">
        <f>VLOOKUP(B59,AE_weight!$AP$329:$AX$360,C59+1)</f>
        <v>2211</v>
      </c>
      <c r="N59" s="119"/>
      <c r="O59" s="119"/>
      <c r="P59" s="119"/>
      <c r="Q59" s="4"/>
      <c r="U59" s="4"/>
    </row>
    <row r="60" spans="1:21">
      <c r="A60" s="1">
        <f t="shared" si="0"/>
        <v>55</v>
      </c>
      <c r="B60" s="1">
        <f t="shared" si="12"/>
        <v>6</v>
      </c>
      <c r="C60" s="1">
        <v>7</v>
      </c>
      <c r="D60" s="3" t="str">
        <f>VLOOKUP(B60,AE_weight!$AP$4:$AX$36,C60+1)</f>
        <v>1111</v>
      </c>
      <c r="E60" s="3" t="str">
        <f>VLOOKUP(B60,AE_weight!$AP$40:$AX$72,C60+1)</f>
        <v>2222</v>
      </c>
      <c r="F60" s="3" t="str">
        <f>VLOOKUP(B60,AE_weight!$AP$76:$AX$108,C60+1)</f>
        <v>0000</v>
      </c>
      <c r="G60" s="3" t="str">
        <f>VLOOKUP(B60,AE_weight!$AP$112:$AX$144,C60+1)</f>
        <v>2222</v>
      </c>
      <c r="H60" s="3" t="str">
        <f>VLOOKUP(B60,AE_weight!$AP$149:$AX$180,C60+1)</f>
        <v>0000</v>
      </c>
      <c r="I60" s="3" t="str">
        <f>VLOOKUP(B60,AE_weight!$AP$185:$AX$216,C60+1)</f>
        <v>0000</v>
      </c>
      <c r="J60" s="3" t="str">
        <f>VLOOKUP(B60,AE_weight!$AP$221:$AX$252,C60+1)</f>
        <v>0000</v>
      </c>
      <c r="K60" s="3" t="str">
        <f>VLOOKUP(B60,AE_weight!$AP$257:$AX$288,C60+1)</f>
        <v>0000</v>
      </c>
      <c r="L60" s="3" t="str">
        <f>VLOOKUP(B60,AE_weight!$AP$293:$AX$324,C60+1)</f>
        <v>0000</v>
      </c>
      <c r="M60" s="3" t="str">
        <f>VLOOKUP(B60,AE_weight!$AP$329:$AX$360,C60+1)</f>
        <v>1100</v>
      </c>
      <c r="N60" s="119"/>
      <c r="O60" s="119"/>
      <c r="P60" s="119"/>
      <c r="Q60" s="4"/>
      <c r="U60" s="4"/>
    </row>
    <row r="61" spans="1:21">
      <c r="A61" s="1">
        <f t="shared" si="0"/>
        <v>56</v>
      </c>
      <c r="B61" s="1">
        <f t="shared" si="12"/>
        <v>6</v>
      </c>
      <c r="C61" s="1">
        <v>8</v>
      </c>
      <c r="D61" s="3" t="str">
        <f>VLOOKUP(B61,AE_weight!$AP$4:$AX$36,C61+1)</f>
        <v>0000</v>
      </c>
      <c r="E61" s="3" t="str">
        <f>VLOOKUP(B61,AE_weight!$AP$40:$AX$72,C61+1)</f>
        <v>2222</v>
      </c>
      <c r="F61" s="3" t="str">
        <f>VLOOKUP(B61,AE_weight!$AP$76:$AX$108,C61+1)</f>
        <v>0000</v>
      </c>
      <c r="G61" s="3" t="str">
        <f>VLOOKUP(B61,AE_weight!$AP$112:$AX$144,C61+1)</f>
        <v>2222</v>
      </c>
      <c r="H61" s="3" t="str">
        <f>VLOOKUP(B61,AE_weight!$AP$149:$AX$180,C61+1)</f>
        <v>0000</v>
      </c>
      <c r="I61" s="3" t="str">
        <f>VLOOKUP(B61,AE_weight!$AP$185:$AX$216,C61+1)</f>
        <v>0000</v>
      </c>
      <c r="J61" s="3" t="str">
        <f>VLOOKUP(B61,AE_weight!$AP$221:$AX$252,C61+1)</f>
        <v>0000</v>
      </c>
      <c r="K61" s="3" t="str">
        <f>VLOOKUP(B61,AE_weight!$AP$257:$AX$288,C61+1)</f>
        <v>0000</v>
      </c>
      <c r="L61" s="3" t="str">
        <f>VLOOKUP(B61,AE_weight!$AP$293:$AX$324,C61+1)</f>
        <v>0000</v>
      </c>
      <c r="M61" s="3" t="str">
        <f>VLOOKUP(B61,AE_weight!$AP$329:$AX$360,C61+1)</f>
        <v>0000</v>
      </c>
      <c r="N61" s="119"/>
      <c r="O61" s="119"/>
      <c r="P61" s="119"/>
      <c r="Q61" s="4"/>
      <c r="U61" s="4"/>
    </row>
    <row r="62" spans="1:21">
      <c r="A62" s="1">
        <f t="shared" si="0"/>
        <v>57</v>
      </c>
      <c r="B62" s="1">
        <v>7</v>
      </c>
      <c r="C62" s="1">
        <v>1</v>
      </c>
      <c r="D62" s="3" t="str">
        <f>VLOOKUP(B62,AE_weight!$AP$4:$AX$36,C62+1)</f>
        <v>0000</v>
      </c>
      <c r="E62" s="3" t="str">
        <f>VLOOKUP(B62,AE_weight!$AP$40:$AX$72,C62+1)</f>
        <v>2222</v>
      </c>
      <c r="F62" s="3" t="str">
        <f>VLOOKUP(B62,AE_weight!$AP$76:$AX$108,C62+1)</f>
        <v>0000</v>
      </c>
      <c r="G62" s="3" t="str">
        <f>VLOOKUP(B62,AE_weight!$AP$112:$AX$144,C62+1)</f>
        <v>2222</v>
      </c>
      <c r="H62" s="3" t="str">
        <f>VLOOKUP(B62,AE_weight!$AP$149:$AX$180,C62+1)</f>
        <v>0000</v>
      </c>
      <c r="I62" s="3" t="str">
        <f>VLOOKUP(B62,AE_weight!$AP$185:$AX$216,C62+1)</f>
        <v>0000</v>
      </c>
      <c r="J62" s="3" t="str">
        <f>VLOOKUP(B62,AE_weight!$AP$221:$AX$252,C62+1)</f>
        <v>0000</v>
      </c>
      <c r="K62" s="3" t="str">
        <f>VLOOKUP(B62,AE_weight!$AP$257:$AX$288,C62+1)</f>
        <v>0000</v>
      </c>
      <c r="L62" s="3" t="str">
        <f>VLOOKUP(B62,AE_weight!$AP$293:$AX$324,C62+1)</f>
        <v>0000</v>
      </c>
      <c r="M62" s="3" t="str">
        <f>VLOOKUP(B62,AE_weight!$AP$329:$AX$360,C62+1)</f>
        <v>0000</v>
      </c>
      <c r="N62" s="119"/>
      <c r="O62" s="119"/>
      <c r="P62" s="119"/>
      <c r="Q62" s="4"/>
      <c r="U62" s="4"/>
    </row>
    <row r="63" spans="1:21">
      <c r="A63" s="1">
        <f t="shared" si="0"/>
        <v>58</v>
      </c>
      <c r="B63" s="1">
        <f t="shared" ref="B63:B65" si="13">B62</f>
        <v>7</v>
      </c>
      <c r="C63" s="1">
        <v>2</v>
      </c>
      <c r="D63" s="3" t="str">
        <f>VLOOKUP(B63,AE_weight!$AP$4:$AX$36,C63+1)</f>
        <v>1111</v>
      </c>
      <c r="E63" s="3" t="str">
        <f>VLOOKUP(B63,AE_weight!$AP$40:$AX$72,C63+1)</f>
        <v>2222</v>
      </c>
      <c r="F63" s="3" t="str">
        <f>VLOOKUP(B63,AE_weight!$AP$76:$AX$108,C63+1)</f>
        <v>0000</v>
      </c>
      <c r="G63" s="3" t="str">
        <f>VLOOKUP(B63,AE_weight!$AP$112:$AX$144,C63+1)</f>
        <v>2222</v>
      </c>
      <c r="H63" s="3" t="str">
        <f>VLOOKUP(B63,AE_weight!$AP$149:$AX$180,C63+1)</f>
        <v>0000</v>
      </c>
      <c r="I63" s="3" t="str">
        <f>VLOOKUP(B63,AE_weight!$AP$185:$AX$216,C63+1)</f>
        <v>0000</v>
      </c>
      <c r="J63" s="3" t="str">
        <f>VLOOKUP(B63,AE_weight!$AP$221:$AX$252,C63+1)</f>
        <v>0000</v>
      </c>
      <c r="K63" s="3" t="str">
        <f>VLOOKUP(B63,AE_weight!$AP$257:$AX$288,C63+1)</f>
        <v>0000</v>
      </c>
      <c r="L63" s="3" t="str">
        <f>VLOOKUP(B63,AE_weight!$AP$293:$AX$324,C63+1)</f>
        <v>0000</v>
      </c>
      <c r="M63" s="3" t="str">
        <f>VLOOKUP(B63,AE_weight!$AP$329:$AX$360,C63+1)</f>
        <v>0011</v>
      </c>
      <c r="N63" s="119"/>
      <c r="O63" s="119"/>
      <c r="P63" s="119"/>
      <c r="Q63" s="4"/>
      <c r="U63" s="4"/>
    </row>
    <row r="64" spans="1:21">
      <c r="A64" s="1">
        <f t="shared" si="0"/>
        <v>59</v>
      </c>
      <c r="B64" s="1">
        <f t="shared" si="13"/>
        <v>7</v>
      </c>
      <c r="C64" s="1">
        <v>3</v>
      </c>
      <c r="D64" s="3" t="str">
        <f>VLOOKUP(B64,AE_weight!$AP$4:$AX$36,C64+1)</f>
        <v>2222</v>
      </c>
      <c r="E64" s="3" t="str">
        <f>VLOOKUP(B64,AE_weight!$AP$40:$AX$72,C64+1)</f>
        <v>2222</v>
      </c>
      <c r="F64" s="3" t="str">
        <f>VLOOKUP(B64,AE_weight!$AP$76:$AX$108,C64+1)</f>
        <v>2222</v>
      </c>
      <c r="G64" s="3" t="str">
        <f>VLOOKUP(B64,AE_weight!$AP$112:$AX$144,C64+1)</f>
        <v>2222</v>
      </c>
      <c r="H64" s="3" t="str">
        <f>VLOOKUP(B64,AE_weight!$AP$149:$AX$180,C64+1)</f>
        <v>0000</v>
      </c>
      <c r="I64" s="3" t="str">
        <f>VLOOKUP(B64,AE_weight!$AP$185:$AX$216,C64+1)</f>
        <v>0000</v>
      </c>
      <c r="J64" s="3" t="str">
        <f>VLOOKUP(B64,AE_weight!$AP$221:$AX$252,C64+1)</f>
        <v>0000</v>
      </c>
      <c r="K64" s="3" t="str">
        <f>VLOOKUP(B64,AE_weight!$AP$257:$AX$288,C64+1)</f>
        <v>0000</v>
      </c>
      <c r="L64" s="3" t="str">
        <f>VLOOKUP(B64,AE_weight!$AP$293:$AX$324,C64+1)</f>
        <v>0000</v>
      </c>
      <c r="M64" s="3" t="str">
        <f>VLOOKUP(B64,AE_weight!$AP$329:$AX$360,C64+1)</f>
        <v>2222</v>
      </c>
      <c r="N64" s="119"/>
      <c r="O64" s="119"/>
      <c r="P64" s="119"/>
    </row>
    <row r="65" spans="1:21">
      <c r="A65" s="1">
        <f t="shared" si="0"/>
        <v>60</v>
      </c>
      <c r="B65" s="1">
        <f t="shared" si="13"/>
        <v>7</v>
      </c>
      <c r="C65" s="1">
        <v>4</v>
      </c>
      <c r="D65" s="3" t="str">
        <f>VLOOKUP(B65,AE_weight!$AP$4:$AX$36,C65+1)</f>
        <v>3344</v>
      </c>
      <c r="E65" s="3" t="str">
        <f>VLOOKUP(B65,AE_weight!$AP$40:$AX$72,C65+1)</f>
        <v>2222</v>
      </c>
      <c r="F65" s="3" t="str">
        <f>VLOOKUP(B65,AE_weight!$AP$76:$AX$108,C65+1)</f>
        <v>2233</v>
      </c>
      <c r="G65" s="3" t="str">
        <f>VLOOKUP(B65,AE_weight!$AP$112:$AX$144,C65+1)</f>
        <v>2222</v>
      </c>
      <c r="H65" s="3" t="str">
        <f>VLOOKUP(B65,AE_weight!$AP$149:$AX$180,C65+1)</f>
        <v>0000</v>
      </c>
      <c r="I65" s="3" t="str">
        <f>VLOOKUP(B65,AE_weight!$AP$185:$AX$216,C65+1)</f>
        <v>0000</v>
      </c>
      <c r="J65" s="3" t="str">
        <f>VLOOKUP(B65,AE_weight!$AP$221:$AX$252,C65+1)</f>
        <v>0077</v>
      </c>
      <c r="K65" s="3" t="str">
        <f>VLOOKUP(B65,AE_weight!$AP$257:$AX$288,C65+1)</f>
        <v>1100</v>
      </c>
      <c r="L65" s="3" t="str">
        <f>VLOOKUP(B65,AE_weight!$AP$293:$AX$324,C65+1)</f>
        <v>0000</v>
      </c>
      <c r="M65" s="3" t="str">
        <f>VLOOKUP(B65,AE_weight!$AP$329:$AX$360,C65+1)</f>
        <v>2233</v>
      </c>
      <c r="N65" s="119"/>
      <c r="O65" s="119"/>
      <c r="P65" s="119"/>
    </row>
    <row r="66" spans="1:21">
      <c r="A66" s="1">
        <f t="shared" si="0"/>
        <v>61</v>
      </c>
      <c r="B66" s="1">
        <v>7</v>
      </c>
      <c r="C66" s="1">
        <v>5</v>
      </c>
      <c r="D66" s="3" t="str">
        <f>VLOOKUP(B66,AE_weight!$AP$4:$AX$36,C66+1)</f>
        <v>3344</v>
      </c>
      <c r="E66" s="3" t="str">
        <f>VLOOKUP(B66,AE_weight!$AP$40:$AX$72,C66+1)</f>
        <v>2222</v>
      </c>
      <c r="F66" s="3" t="str">
        <f>VLOOKUP(B66,AE_weight!$AP$76:$AX$108,C66+1)</f>
        <v>3322</v>
      </c>
      <c r="G66" s="3" t="str">
        <f>VLOOKUP(B66,AE_weight!$AP$112:$AX$144,C66+1)</f>
        <v>2222</v>
      </c>
      <c r="H66" s="3" t="str">
        <f>VLOOKUP(B66,AE_weight!$AP$149:$AX$180,C66+1)</f>
        <v>0000</v>
      </c>
      <c r="I66" s="3" t="str">
        <f>VLOOKUP(B66,AE_weight!$AP$185:$AX$216,C66+1)</f>
        <v>0000</v>
      </c>
      <c r="J66" s="3" t="str">
        <f>VLOOKUP(B66,AE_weight!$AP$221:$AX$252,C66+1)</f>
        <v>7700</v>
      </c>
      <c r="K66" s="3" t="str">
        <f>VLOOKUP(B66,AE_weight!$AP$257:$AX$288,C66+1)</f>
        <v>0011</v>
      </c>
      <c r="L66" s="3" t="str">
        <f>VLOOKUP(B66,AE_weight!$AP$293:$AX$324,C66+1)</f>
        <v>0000</v>
      </c>
      <c r="M66" s="3" t="str">
        <f>VLOOKUP(B66,AE_weight!$AP$329:$AX$360,C66+1)</f>
        <v>3322</v>
      </c>
      <c r="N66" s="119"/>
      <c r="O66" s="119"/>
      <c r="P66" s="119"/>
    </row>
    <row r="67" spans="1:21">
      <c r="A67" s="1">
        <f t="shared" si="0"/>
        <v>62</v>
      </c>
      <c r="B67" s="1">
        <f t="shared" ref="B67:B69" si="14">B66</f>
        <v>7</v>
      </c>
      <c r="C67" s="1">
        <v>6</v>
      </c>
      <c r="D67" s="3" t="str">
        <f>VLOOKUP(B67,AE_weight!$AP$4:$AX$36,C67+1)</f>
        <v>2222</v>
      </c>
      <c r="E67" s="3" t="str">
        <f>VLOOKUP(B67,AE_weight!$AP$40:$AX$72,C67+1)</f>
        <v>2222</v>
      </c>
      <c r="F67" s="3" t="str">
        <f>VLOOKUP(B67,AE_weight!$AP$76:$AX$108,C67+1)</f>
        <v>2222</v>
      </c>
      <c r="G67" s="3" t="str">
        <f>VLOOKUP(B67,AE_weight!$AP$112:$AX$144,C67+1)</f>
        <v>2222</v>
      </c>
      <c r="H67" s="3" t="str">
        <f>VLOOKUP(B67,AE_weight!$AP$149:$AX$180,C67+1)</f>
        <v>0000</v>
      </c>
      <c r="I67" s="3" t="str">
        <f>VLOOKUP(B67,AE_weight!$AP$185:$AX$216,C67+1)</f>
        <v>0000</v>
      </c>
      <c r="J67" s="3" t="str">
        <f>VLOOKUP(B67,AE_weight!$AP$221:$AX$252,C67+1)</f>
        <v>0000</v>
      </c>
      <c r="K67" s="3" t="str">
        <f>VLOOKUP(B67,AE_weight!$AP$257:$AX$288,C67+1)</f>
        <v>0000</v>
      </c>
      <c r="L67" s="3" t="str">
        <f>VLOOKUP(B67,AE_weight!$AP$293:$AX$324,C67+1)</f>
        <v>0000</v>
      </c>
      <c r="M67" s="3" t="str">
        <f>VLOOKUP(B67,AE_weight!$AP$329:$AX$360,C67+1)</f>
        <v>2222</v>
      </c>
      <c r="N67" s="119"/>
      <c r="O67" s="119"/>
      <c r="P67" s="119"/>
    </row>
    <row r="68" spans="1:21">
      <c r="A68" s="1">
        <f t="shared" si="0"/>
        <v>63</v>
      </c>
      <c r="B68" s="1">
        <f t="shared" si="14"/>
        <v>7</v>
      </c>
      <c r="C68" s="1">
        <v>7</v>
      </c>
      <c r="D68" s="3" t="str">
        <f>VLOOKUP(B68,AE_weight!$AP$4:$AX$36,C68+1)</f>
        <v>1111</v>
      </c>
      <c r="E68" s="3" t="str">
        <f>VLOOKUP(B68,AE_weight!$AP$40:$AX$72,C68+1)</f>
        <v>2222</v>
      </c>
      <c r="F68" s="3" t="str">
        <f>VLOOKUP(B68,AE_weight!$AP$76:$AX$108,C68+1)</f>
        <v>0000</v>
      </c>
      <c r="G68" s="3" t="str">
        <f>VLOOKUP(B68,AE_weight!$AP$112:$AX$144,C68+1)</f>
        <v>2222</v>
      </c>
      <c r="H68" s="3" t="str">
        <f>VLOOKUP(B68,AE_weight!$AP$149:$AX$180,C68+1)</f>
        <v>0000</v>
      </c>
      <c r="I68" s="3" t="str">
        <f>VLOOKUP(B68,AE_weight!$AP$185:$AX$216,C68+1)</f>
        <v>0000</v>
      </c>
      <c r="J68" s="3" t="str">
        <f>VLOOKUP(B68,AE_weight!$AP$221:$AX$252,C68+1)</f>
        <v>0000</v>
      </c>
      <c r="K68" s="3" t="str">
        <f>VLOOKUP(B68,AE_weight!$AP$257:$AX$288,C68+1)</f>
        <v>0000</v>
      </c>
      <c r="L68" s="3" t="str">
        <f>VLOOKUP(B68,AE_weight!$AP$293:$AX$324,C68+1)</f>
        <v>0000</v>
      </c>
      <c r="M68" s="3" t="str">
        <f>VLOOKUP(B68,AE_weight!$AP$329:$AX$360,C68+1)</f>
        <v>1100</v>
      </c>
      <c r="N68" s="119"/>
      <c r="O68" s="119"/>
      <c r="P68" s="119"/>
    </row>
    <row r="69" spans="1:21">
      <c r="A69" s="1">
        <f t="shared" si="0"/>
        <v>64</v>
      </c>
      <c r="B69" s="1">
        <f t="shared" si="14"/>
        <v>7</v>
      </c>
      <c r="C69" s="1">
        <v>8</v>
      </c>
      <c r="D69" s="3" t="str">
        <f>VLOOKUP(B69,AE_weight!$AP$4:$AX$36,C69+1)</f>
        <v>0000</v>
      </c>
      <c r="E69" s="3" t="str">
        <f>VLOOKUP(B69,AE_weight!$AP$40:$AX$72,C69+1)</f>
        <v>2222</v>
      </c>
      <c r="F69" s="3" t="str">
        <f>VLOOKUP(B69,AE_weight!$AP$76:$AX$108,C69+1)</f>
        <v>0000</v>
      </c>
      <c r="G69" s="3" t="str">
        <f>VLOOKUP(B69,AE_weight!$AP$112:$AX$144,C69+1)</f>
        <v>2222</v>
      </c>
      <c r="H69" s="3" t="str">
        <f>VLOOKUP(B69,AE_weight!$AP$149:$AX$180,C69+1)</f>
        <v>0000</v>
      </c>
      <c r="I69" s="3" t="str">
        <f>VLOOKUP(B69,AE_weight!$AP$185:$AX$216,C69+1)</f>
        <v>0000</v>
      </c>
      <c r="J69" s="3" t="str">
        <f>VLOOKUP(B69,AE_weight!$AP$221:$AX$252,C69+1)</f>
        <v>0000</v>
      </c>
      <c r="K69" s="3" t="str">
        <f>VLOOKUP(B69,AE_weight!$AP$257:$AX$288,C69+1)</f>
        <v>0000</v>
      </c>
      <c r="L69" s="3" t="str">
        <f>VLOOKUP(B69,AE_weight!$AP$293:$AX$324,C69+1)</f>
        <v>0000</v>
      </c>
      <c r="M69" s="3" t="str">
        <f>VLOOKUP(B69,AE_weight!$AP$329:$AX$360,C69+1)</f>
        <v>0000</v>
      </c>
      <c r="N69" s="119"/>
      <c r="O69" s="119"/>
      <c r="P69" s="119"/>
      <c r="Q69" s="4"/>
      <c r="U69" s="4"/>
    </row>
    <row r="70" spans="1:21">
      <c r="A70" s="1">
        <f t="shared" si="0"/>
        <v>65</v>
      </c>
      <c r="B70" s="1">
        <v>8</v>
      </c>
      <c r="C70" s="1">
        <v>1</v>
      </c>
      <c r="D70" s="3" t="str">
        <f>VLOOKUP(B70,AE_weight!$AP$4:$AX$36,C70+1)</f>
        <v>0011</v>
      </c>
      <c r="E70" s="3" t="str">
        <f>VLOOKUP(B70,AE_weight!$AP$40:$AX$72,C70+1)</f>
        <v>2222</v>
      </c>
      <c r="F70" s="3" t="str">
        <f>VLOOKUP(B70,AE_weight!$AP$76:$AX$108,C70+1)</f>
        <v>0000</v>
      </c>
      <c r="G70" s="3" t="str">
        <f>VLOOKUP(B70,AE_weight!$AP$112:$AX$144,C70+1)</f>
        <v>2222</v>
      </c>
      <c r="H70" s="3" t="str">
        <f>VLOOKUP(B70,AE_weight!$AP$149:$AX$180,C70+1)</f>
        <v>0000</v>
      </c>
      <c r="I70" s="3" t="str">
        <f>VLOOKUP(B70,AE_weight!$AP$185:$AX$216,C70+1)</f>
        <v>0000</v>
      </c>
      <c r="J70" s="3" t="str">
        <f>VLOOKUP(B70,AE_weight!$AP$221:$AX$252,C70+1)</f>
        <v>0000</v>
      </c>
      <c r="K70" s="3" t="str">
        <f>VLOOKUP(B70,AE_weight!$AP$257:$AX$288,C70+1)</f>
        <v>0000</v>
      </c>
      <c r="L70" s="3" t="str">
        <f>VLOOKUP(B70,AE_weight!$AP$293:$AX$324,C70+1)</f>
        <v>0000</v>
      </c>
      <c r="M70" s="3" t="str">
        <f>VLOOKUP(B70,AE_weight!$AP$329:$AX$360,C70+1)</f>
        <v>0000</v>
      </c>
      <c r="N70" s="119"/>
      <c r="O70" s="119"/>
      <c r="P70" s="119"/>
      <c r="Q70" s="4"/>
      <c r="U70" s="4"/>
    </row>
    <row r="71" spans="1:21">
      <c r="A71" s="1">
        <f t="shared" ref="A71:A134" si="15">A70+1</f>
        <v>66</v>
      </c>
      <c r="B71" s="1">
        <f t="shared" ref="B71:B73" si="16">B70</f>
        <v>8</v>
      </c>
      <c r="C71" s="1">
        <v>2</v>
      </c>
      <c r="D71" s="3" t="str">
        <f>VLOOKUP(B71,AE_weight!$AP$4:$AX$36,C71+1)</f>
        <v>1122</v>
      </c>
      <c r="E71" s="3" t="str">
        <f>VLOOKUP(B71,AE_weight!$AP$40:$AX$72,C71+1)</f>
        <v>2222</v>
      </c>
      <c r="F71" s="3" t="str">
        <f>VLOOKUP(B71,AE_weight!$AP$76:$AX$108,C71+1)</f>
        <v>0022</v>
      </c>
      <c r="G71" s="3" t="str">
        <f>VLOOKUP(B71,AE_weight!$AP$112:$AX$144,C71+1)</f>
        <v>2222</v>
      </c>
      <c r="H71" s="3" t="str">
        <f>VLOOKUP(B71,AE_weight!$AP$149:$AX$180,C71+1)</f>
        <v>0000</v>
      </c>
      <c r="I71" s="3" t="str">
        <f>VLOOKUP(B71,AE_weight!$AP$185:$AX$216,C71+1)</f>
        <v>0000</v>
      </c>
      <c r="J71" s="3" t="str">
        <f>VLOOKUP(B71,AE_weight!$AP$221:$AX$252,C71+1)</f>
        <v>0000</v>
      </c>
      <c r="K71" s="3" t="str">
        <f>VLOOKUP(B71,AE_weight!$AP$257:$AX$288,C71+1)</f>
        <v>0000</v>
      </c>
      <c r="L71" s="3" t="str">
        <f>VLOOKUP(B71,AE_weight!$AP$293:$AX$324,C71+1)</f>
        <v>0000</v>
      </c>
      <c r="M71" s="3" t="str">
        <f>VLOOKUP(B71,AE_weight!$AP$329:$AX$360,C71+1)</f>
        <v>1111</v>
      </c>
      <c r="N71" s="119"/>
      <c r="O71" s="119"/>
      <c r="P71" s="119"/>
      <c r="Q71" s="4"/>
      <c r="U71" s="4"/>
    </row>
    <row r="72" spans="1:21">
      <c r="A72" s="1">
        <f t="shared" si="15"/>
        <v>67</v>
      </c>
      <c r="B72" s="1">
        <f t="shared" si="16"/>
        <v>8</v>
      </c>
      <c r="C72" s="1">
        <v>3</v>
      </c>
      <c r="D72" s="3" t="str">
        <f>VLOOKUP(B72,AE_weight!$AP$4:$AX$36,C72+1)</f>
        <v>2233</v>
      </c>
      <c r="E72" s="3" t="str">
        <f>VLOOKUP(B72,AE_weight!$AP$40:$AX$72,C72+1)</f>
        <v>2222</v>
      </c>
      <c r="F72" s="3" t="str">
        <f>VLOOKUP(B72,AE_weight!$AP$76:$AX$108,C72+1)</f>
        <v>2233</v>
      </c>
      <c r="G72" s="3" t="str">
        <f>VLOOKUP(B72,AE_weight!$AP$112:$AX$144,C72+1)</f>
        <v>2222</v>
      </c>
      <c r="H72" s="3" t="str">
        <f>VLOOKUP(B72,AE_weight!$AP$149:$AX$180,C72+1)</f>
        <v>0000</v>
      </c>
      <c r="I72" s="3" t="str">
        <f>VLOOKUP(B72,AE_weight!$AP$185:$AX$216,C72+1)</f>
        <v>0000</v>
      </c>
      <c r="J72" s="3" t="str">
        <f>VLOOKUP(B72,AE_weight!$AP$221:$AX$252,C72+1)</f>
        <v>0077</v>
      </c>
      <c r="K72" s="3" t="str">
        <f>VLOOKUP(B72,AE_weight!$AP$257:$AX$288,C72+1)</f>
        <v>0000</v>
      </c>
      <c r="L72" s="3" t="str">
        <f>VLOOKUP(B72,AE_weight!$AP$293:$AX$324,C72+1)</f>
        <v>0000</v>
      </c>
      <c r="M72" s="3" t="str">
        <f>VLOOKUP(B72,AE_weight!$AP$329:$AX$360,C72+1)</f>
        <v>2222</v>
      </c>
      <c r="N72" s="119"/>
      <c r="O72" s="119"/>
      <c r="P72" s="119"/>
      <c r="Q72" s="4"/>
      <c r="U72" s="4"/>
    </row>
    <row r="73" spans="1:21">
      <c r="A73" s="1">
        <f t="shared" si="15"/>
        <v>68</v>
      </c>
      <c r="B73" s="1">
        <f t="shared" si="16"/>
        <v>8</v>
      </c>
      <c r="C73" s="1">
        <v>4</v>
      </c>
      <c r="D73" s="3" t="str">
        <f>VLOOKUP(B73,AE_weight!$AP$4:$AX$36,C73+1)</f>
        <v>3344</v>
      </c>
      <c r="E73" s="3" t="str">
        <f>VLOOKUP(B73,AE_weight!$AP$40:$AX$72,C73+1)</f>
        <v>2222</v>
      </c>
      <c r="F73" s="3" t="str">
        <f>VLOOKUP(B73,AE_weight!$AP$76:$AX$108,C73+1)</f>
        <v>3344</v>
      </c>
      <c r="G73" s="3" t="str">
        <f>VLOOKUP(B73,AE_weight!$AP$112:$AX$144,C73+1)</f>
        <v>2222</v>
      </c>
      <c r="H73" s="3" t="str">
        <f>VLOOKUP(B73,AE_weight!$AP$149:$AX$180,C73+1)</f>
        <v>0000</v>
      </c>
      <c r="I73" s="3" t="str">
        <f>VLOOKUP(B73,AE_weight!$AP$185:$AX$216,C73+1)</f>
        <v>0000</v>
      </c>
      <c r="J73" s="3" t="str">
        <f>VLOOKUP(B73,AE_weight!$AP$221:$AX$252,C73+1)</f>
        <v>7777</v>
      </c>
      <c r="K73" s="3" t="str">
        <f>VLOOKUP(B73,AE_weight!$AP$257:$AX$288,C73+1)</f>
        <v>0000</v>
      </c>
      <c r="L73" s="3" t="str">
        <f>VLOOKUP(B73,AE_weight!$AP$293:$AX$324,C73+1)</f>
        <v>0000</v>
      </c>
      <c r="M73" s="3" t="str">
        <f>VLOOKUP(B73,AE_weight!$AP$329:$AX$360,C73+1)</f>
        <v>3333</v>
      </c>
      <c r="N73" s="119"/>
      <c r="O73" s="119"/>
      <c r="P73" s="119"/>
      <c r="Q73" s="4"/>
      <c r="U73" s="4"/>
    </row>
    <row r="74" spans="1:21">
      <c r="A74" s="1">
        <f t="shared" si="15"/>
        <v>69</v>
      </c>
      <c r="B74" s="1">
        <v>8</v>
      </c>
      <c r="C74" s="1">
        <v>5</v>
      </c>
      <c r="D74" s="3" t="str">
        <f>VLOOKUP(B74,AE_weight!$AP$4:$AX$36,C74+1)</f>
        <v>4433</v>
      </c>
      <c r="E74" s="3" t="str">
        <f>VLOOKUP(B74,AE_weight!$AP$40:$AX$72,C74+1)</f>
        <v>2222</v>
      </c>
      <c r="F74" s="3" t="str">
        <f>VLOOKUP(B74,AE_weight!$AP$76:$AX$108,C74+1)</f>
        <v>4433</v>
      </c>
      <c r="G74" s="3" t="str">
        <f>VLOOKUP(B74,AE_weight!$AP$112:$AX$144,C74+1)</f>
        <v>2222</v>
      </c>
      <c r="H74" s="3" t="str">
        <f>VLOOKUP(B74,AE_weight!$AP$149:$AX$180,C74+1)</f>
        <v>0000</v>
      </c>
      <c r="I74" s="3" t="str">
        <f>VLOOKUP(B74,AE_weight!$AP$185:$AX$216,C74+1)</f>
        <v>0000</v>
      </c>
      <c r="J74" s="3" t="str">
        <f>VLOOKUP(B74,AE_weight!$AP$221:$AX$252,C74+1)</f>
        <v>7777</v>
      </c>
      <c r="K74" s="3" t="str">
        <f>VLOOKUP(B74,AE_weight!$AP$257:$AX$288,C74+1)</f>
        <v>0000</v>
      </c>
      <c r="L74" s="3" t="str">
        <f>VLOOKUP(B74,AE_weight!$AP$293:$AX$324,C74+1)</f>
        <v>0000</v>
      </c>
      <c r="M74" s="3" t="str">
        <f>VLOOKUP(B74,AE_weight!$AP$329:$AX$360,C74+1)</f>
        <v>3333</v>
      </c>
      <c r="N74" s="119"/>
      <c r="O74" s="119"/>
      <c r="P74" s="119"/>
      <c r="Q74" s="4"/>
      <c r="U74" s="4"/>
    </row>
    <row r="75" spans="1:21">
      <c r="A75" s="1">
        <f t="shared" si="15"/>
        <v>70</v>
      </c>
      <c r="B75" s="1">
        <f t="shared" ref="B75:B77" si="17">B74</f>
        <v>8</v>
      </c>
      <c r="C75" s="1">
        <v>6</v>
      </c>
      <c r="D75" s="3" t="str">
        <f>VLOOKUP(B75,AE_weight!$AP$4:$AX$36,C75+1)</f>
        <v>3322</v>
      </c>
      <c r="E75" s="3" t="str">
        <f>VLOOKUP(B75,AE_weight!$AP$40:$AX$72,C75+1)</f>
        <v>2222</v>
      </c>
      <c r="F75" s="3" t="str">
        <f>VLOOKUP(B75,AE_weight!$AP$76:$AX$108,C75+1)</f>
        <v>3322</v>
      </c>
      <c r="G75" s="3" t="str">
        <f>VLOOKUP(B75,AE_weight!$AP$112:$AX$144,C75+1)</f>
        <v>2222</v>
      </c>
      <c r="H75" s="3" t="str">
        <f>VLOOKUP(B75,AE_weight!$AP$149:$AX$180,C75+1)</f>
        <v>0000</v>
      </c>
      <c r="I75" s="3" t="str">
        <f>VLOOKUP(B75,AE_weight!$AP$185:$AX$216,C75+1)</f>
        <v>0000</v>
      </c>
      <c r="J75" s="3" t="str">
        <f>VLOOKUP(B75,AE_weight!$AP$221:$AX$252,C75+1)</f>
        <v>0000</v>
      </c>
      <c r="K75" s="3" t="str">
        <f>VLOOKUP(B75,AE_weight!$AP$257:$AX$288,C75+1)</f>
        <v>0000</v>
      </c>
      <c r="L75" s="3" t="str">
        <f>VLOOKUP(B75,AE_weight!$AP$293:$AX$324,C75+1)</f>
        <v>0000</v>
      </c>
      <c r="M75" s="3" t="str">
        <f>VLOOKUP(B75,AE_weight!$AP$329:$AX$360,C75+1)</f>
        <v>2222</v>
      </c>
      <c r="N75" s="119"/>
      <c r="O75" s="119"/>
      <c r="P75" s="119"/>
      <c r="Q75" s="4"/>
      <c r="U75" s="4"/>
    </row>
    <row r="76" spans="1:21">
      <c r="A76" s="1">
        <f t="shared" si="15"/>
        <v>71</v>
      </c>
      <c r="B76" s="1">
        <f t="shared" si="17"/>
        <v>8</v>
      </c>
      <c r="C76" s="1">
        <v>7</v>
      </c>
      <c r="D76" s="3" t="str">
        <f>VLOOKUP(B76,AE_weight!$AP$4:$AX$36,C76+1)</f>
        <v>2211</v>
      </c>
      <c r="E76" s="3" t="str">
        <f>VLOOKUP(B76,AE_weight!$AP$40:$AX$72,C76+1)</f>
        <v>2222</v>
      </c>
      <c r="F76" s="3" t="str">
        <f>VLOOKUP(B76,AE_weight!$AP$76:$AX$108,C76+1)</f>
        <v>2200</v>
      </c>
      <c r="G76" s="3" t="str">
        <f>VLOOKUP(B76,AE_weight!$AP$112:$AX$144,C76+1)</f>
        <v>2222</v>
      </c>
      <c r="H76" s="3" t="str">
        <f>VLOOKUP(B76,AE_weight!$AP$149:$AX$180,C76+1)</f>
        <v>0000</v>
      </c>
      <c r="I76" s="3" t="str">
        <f>VLOOKUP(B76,AE_weight!$AP$185:$AX$216,C76+1)</f>
        <v>0000</v>
      </c>
      <c r="J76" s="3" t="str">
        <f>VLOOKUP(B76,AE_weight!$AP$221:$AX$252,C76+1)</f>
        <v>0000</v>
      </c>
      <c r="K76" s="3" t="str">
        <f>VLOOKUP(B76,AE_weight!$AP$257:$AX$288,C76+1)</f>
        <v>0000</v>
      </c>
      <c r="L76" s="3" t="str">
        <f>VLOOKUP(B76,AE_weight!$AP$293:$AX$324,C76+1)</f>
        <v>0000</v>
      </c>
      <c r="M76" s="3" t="str">
        <f>VLOOKUP(B76,AE_weight!$AP$329:$AX$360,C76+1)</f>
        <v>1111</v>
      </c>
      <c r="N76" s="119"/>
      <c r="O76" s="119"/>
      <c r="P76" s="119"/>
      <c r="Q76" s="4"/>
      <c r="U76" s="4"/>
    </row>
    <row r="77" spans="1:21">
      <c r="A77" s="1">
        <f t="shared" si="15"/>
        <v>72</v>
      </c>
      <c r="B77" s="1">
        <f t="shared" si="17"/>
        <v>8</v>
      </c>
      <c r="C77" s="1">
        <v>8</v>
      </c>
      <c r="D77" s="3" t="str">
        <f>VLOOKUP(B77,AE_weight!$AP$4:$AX$36,C77+1)</f>
        <v>1100</v>
      </c>
      <c r="E77" s="3" t="str">
        <f>VLOOKUP(B77,AE_weight!$AP$40:$AX$72,C77+1)</f>
        <v>2222</v>
      </c>
      <c r="F77" s="3" t="str">
        <f>VLOOKUP(B77,AE_weight!$AP$76:$AX$108,C77+1)</f>
        <v>0000</v>
      </c>
      <c r="G77" s="3" t="str">
        <f>VLOOKUP(B77,AE_weight!$AP$112:$AX$144,C77+1)</f>
        <v>2222</v>
      </c>
      <c r="H77" s="3" t="str">
        <f>VLOOKUP(B77,AE_weight!$AP$149:$AX$180,C77+1)</f>
        <v>0000</v>
      </c>
      <c r="I77" s="3" t="str">
        <f>VLOOKUP(B77,AE_weight!$AP$185:$AX$216,C77+1)</f>
        <v>0000</v>
      </c>
      <c r="J77" s="3" t="str">
        <f>VLOOKUP(B77,AE_weight!$AP$221:$AX$252,C77+1)</f>
        <v>0000</v>
      </c>
      <c r="K77" s="3" t="str">
        <f>VLOOKUP(B77,AE_weight!$AP$257:$AX$288,C77+1)</f>
        <v>0000</v>
      </c>
      <c r="L77" s="3" t="str">
        <f>VLOOKUP(B77,AE_weight!$AP$293:$AX$324,C77+1)</f>
        <v>0000</v>
      </c>
      <c r="M77" s="3" t="str">
        <f>VLOOKUP(B77,AE_weight!$AP$329:$AX$360,C77+1)</f>
        <v>0000</v>
      </c>
      <c r="N77" s="119"/>
      <c r="O77" s="119"/>
      <c r="P77" s="119"/>
      <c r="Q77" s="4"/>
      <c r="U77" s="4"/>
    </row>
    <row r="78" spans="1:21">
      <c r="A78" s="1">
        <f t="shared" si="15"/>
        <v>73</v>
      </c>
      <c r="B78" s="1">
        <v>9</v>
      </c>
      <c r="C78" s="1">
        <v>1</v>
      </c>
      <c r="D78" s="3" t="str">
        <f>VLOOKUP(B78,AE_weight!$AP$4:$AX$36,C78+1)</f>
        <v>0011</v>
      </c>
      <c r="E78" s="3" t="str">
        <f>VLOOKUP(B78,AE_weight!$AP$40:$AX$72,C78+1)</f>
        <v>2222</v>
      </c>
      <c r="F78" s="3" t="str">
        <f>VLOOKUP(B78,AE_weight!$AP$76:$AX$108,C78+1)</f>
        <v>0000</v>
      </c>
      <c r="G78" s="3" t="str">
        <f>VLOOKUP(B78,AE_weight!$AP$112:$AX$144,C78+1)</f>
        <v>2222</v>
      </c>
      <c r="H78" s="3" t="str">
        <f>VLOOKUP(B78,AE_weight!$AP$149:$AX$180,C78+1)</f>
        <v>0000</v>
      </c>
      <c r="I78" s="3" t="str">
        <f>VLOOKUP(B78,AE_weight!$AP$185:$AX$216,C78+1)</f>
        <v>0000</v>
      </c>
      <c r="J78" s="3" t="str">
        <f>VLOOKUP(B78,AE_weight!$AP$221:$AX$252,C78+1)</f>
        <v>0000</v>
      </c>
      <c r="K78" s="3" t="str">
        <f>VLOOKUP(B78,AE_weight!$AP$257:$AX$288,C78+1)</f>
        <v>0000</v>
      </c>
      <c r="L78" s="3" t="str">
        <f>VLOOKUP(B78,AE_weight!$AP$293:$AX$324,C78+1)</f>
        <v>0000</v>
      </c>
      <c r="M78" s="3" t="str">
        <f>VLOOKUP(B78,AE_weight!$AP$329:$AX$360,C78+1)</f>
        <v>0000</v>
      </c>
      <c r="N78" s="119"/>
      <c r="O78" s="119"/>
      <c r="P78" s="119"/>
      <c r="Q78" s="4"/>
      <c r="U78" s="4"/>
    </row>
    <row r="79" spans="1:21">
      <c r="A79" s="1">
        <f t="shared" si="15"/>
        <v>74</v>
      </c>
      <c r="B79" s="1">
        <f t="shared" ref="B79:B81" si="18">B78</f>
        <v>9</v>
      </c>
      <c r="C79" s="1">
        <v>2</v>
      </c>
      <c r="D79" s="3" t="str">
        <f>VLOOKUP(B79,AE_weight!$AP$4:$AX$36,C79+1)</f>
        <v>1122</v>
      </c>
      <c r="E79" s="3" t="str">
        <f>VLOOKUP(B79,AE_weight!$AP$40:$AX$72,C79+1)</f>
        <v>2222</v>
      </c>
      <c r="F79" s="3" t="str">
        <f>VLOOKUP(B79,AE_weight!$AP$76:$AX$108,C79+1)</f>
        <v>0022</v>
      </c>
      <c r="G79" s="3" t="str">
        <f>VLOOKUP(B79,AE_weight!$AP$112:$AX$144,C79+1)</f>
        <v>2222</v>
      </c>
      <c r="H79" s="3" t="str">
        <f>VLOOKUP(B79,AE_weight!$AP$149:$AX$180,C79+1)</f>
        <v>0000</v>
      </c>
      <c r="I79" s="3" t="str">
        <f>VLOOKUP(B79,AE_weight!$AP$185:$AX$216,C79+1)</f>
        <v>0000</v>
      </c>
      <c r="J79" s="3" t="str">
        <f>VLOOKUP(B79,AE_weight!$AP$221:$AX$252,C79+1)</f>
        <v>0000</v>
      </c>
      <c r="K79" s="3" t="str">
        <f>VLOOKUP(B79,AE_weight!$AP$257:$AX$288,C79+1)</f>
        <v>0000</v>
      </c>
      <c r="L79" s="3" t="str">
        <f>VLOOKUP(B79,AE_weight!$AP$293:$AX$324,C79+1)</f>
        <v>0000</v>
      </c>
      <c r="M79" s="3" t="str">
        <f>VLOOKUP(B79,AE_weight!$AP$329:$AX$360,C79+1)</f>
        <v>1122</v>
      </c>
      <c r="N79" s="119"/>
      <c r="O79" s="119"/>
      <c r="P79" s="119"/>
      <c r="Q79" s="4"/>
      <c r="U79" s="4"/>
    </row>
    <row r="80" spans="1:21">
      <c r="A80" s="1">
        <f t="shared" si="15"/>
        <v>75</v>
      </c>
      <c r="B80" s="1">
        <f t="shared" si="18"/>
        <v>9</v>
      </c>
      <c r="C80" s="1">
        <v>3</v>
      </c>
      <c r="D80" s="3" t="str">
        <f>VLOOKUP(B80,AE_weight!$AP$4:$AX$36,C80+1)</f>
        <v>3333</v>
      </c>
      <c r="E80" s="3" t="str">
        <f>VLOOKUP(B80,AE_weight!$AP$40:$AX$72,C80+1)</f>
        <v>2222</v>
      </c>
      <c r="F80" s="3" t="str">
        <f>VLOOKUP(B80,AE_weight!$AP$76:$AX$108,C80+1)</f>
        <v>2233</v>
      </c>
      <c r="G80" s="3" t="str">
        <f>VLOOKUP(B80,AE_weight!$AP$112:$AX$144,C80+1)</f>
        <v>2222</v>
      </c>
      <c r="H80" s="3" t="str">
        <f>VLOOKUP(B80,AE_weight!$AP$149:$AX$180,C80+1)</f>
        <v>0000</v>
      </c>
      <c r="I80" s="3" t="str">
        <f>VLOOKUP(B80,AE_weight!$AP$185:$AX$216,C80+1)</f>
        <v>0000</v>
      </c>
      <c r="J80" s="3" t="str">
        <f>VLOOKUP(B80,AE_weight!$AP$221:$AX$252,C80+1)</f>
        <v>0077</v>
      </c>
      <c r="K80" s="3" t="str">
        <f>VLOOKUP(B80,AE_weight!$AP$257:$AX$288,C80+1)</f>
        <v>0011</v>
      </c>
      <c r="L80" s="3" t="str">
        <f>VLOOKUP(B80,AE_weight!$AP$293:$AX$324,C80+1)</f>
        <v>0000</v>
      </c>
      <c r="M80" s="3" t="str">
        <f>VLOOKUP(B80,AE_weight!$AP$329:$AX$360,C80+1)</f>
        <v>2233</v>
      </c>
      <c r="N80" s="119"/>
      <c r="O80" s="119"/>
      <c r="P80" s="119"/>
      <c r="Q80" s="4"/>
      <c r="U80" s="4"/>
    </row>
    <row r="81" spans="1:21">
      <c r="A81" s="1">
        <f t="shared" si="15"/>
        <v>76</v>
      </c>
      <c r="B81" s="1">
        <f t="shared" si="18"/>
        <v>9</v>
      </c>
      <c r="C81" s="1">
        <v>4</v>
      </c>
      <c r="D81" s="3" t="str">
        <f>VLOOKUP(B81,AE_weight!$AP$4:$AX$36,C81+1)</f>
        <v>4444</v>
      </c>
      <c r="E81" s="3" t="str">
        <f>VLOOKUP(B81,AE_weight!$AP$40:$AX$72,C81+1)</f>
        <v>2222</v>
      </c>
      <c r="F81" s="3" t="str">
        <f>VLOOKUP(B81,AE_weight!$AP$76:$AX$108,C81+1)</f>
        <v>3344</v>
      </c>
      <c r="G81" s="3" t="str">
        <f>VLOOKUP(B81,AE_weight!$AP$112:$AX$144,C81+1)</f>
        <v>2222</v>
      </c>
      <c r="H81" s="3" t="str">
        <f>VLOOKUP(B81,AE_weight!$AP$149:$AX$180,C81+1)</f>
        <v>0000</v>
      </c>
      <c r="I81" s="3" t="str">
        <f>VLOOKUP(B81,AE_weight!$AP$185:$AX$216,C81+1)</f>
        <v>0000</v>
      </c>
      <c r="J81" s="3" t="str">
        <f>VLOOKUP(B81,AE_weight!$AP$221:$AX$252,C81+1)</f>
        <v>7777</v>
      </c>
      <c r="K81" s="3" t="str">
        <f>VLOOKUP(B81,AE_weight!$AP$257:$AX$288,C81+1)</f>
        <v>0011</v>
      </c>
      <c r="L81" s="3" t="str">
        <f>VLOOKUP(B81,AE_weight!$AP$293:$AX$324,C81+1)</f>
        <v>0000</v>
      </c>
      <c r="M81" s="3" t="str">
        <f>VLOOKUP(B81,AE_weight!$AP$329:$AX$360,C81+1)</f>
        <v>3344</v>
      </c>
      <c r="N81" s="119"/>
      <c r="O81" s="119"/>
      <c r="P81" s="119"/>
      <c r="Q81" s="4"/>
      <c r="U81" s="4"/>
    </row>
    <row r="82" spans="1:21">
      <c r="A82" s="1">
        <f t="shared" si="15"/>
        <v>77</v>
      </c>
      <c r="B82" s="1">
        <v>9</v>
      </c>
      <c r="C82" s="1">
        <v>5</v>
      </c>
      <c r="D82" s="3" t="str">
        <f>VLOOKUP(B82,AE_weight!$AP$4:$AX$36,C82+1)</f>
        <v>4444</v>
      </c>
      <c r="E82" s="3" t="str">
        <f>VLOOKUP(B82,AE_weight!$AP$40:$AX$72,C82+1)</f>
        <v>2222</v>
      </c>
      <c r="F82" s="3" t="str">
        <f>VLOOKUP(B82,AE_weight!$AP$76:$AX$108,C82+1)</f>
        <v>4433</v>
      </c>
      <c r="G82" s="3" t="str">
        <f>VLOOKUP(B82,AE_weight!$AP$112:$AX$144,C82+1)</f>
        <v>2222</v>
      </c>
      <c r="H82" s="3" t="str">
        <f>VLOOKUP(B82,AE_weight!$AP$149:$AX$180,C82+1)</f>
        <v>0000</v>
      </c>
      <c r="I82" s="3" t="str">
        <f>VLOOKUP(B82,AE_weight!$AP$185:$AX$216,C82+1)</f>
        <v>0000</v>
      </c>
      <c r="J82" s="3" t="str">
        <f>VLOOKUP(B82,AE_weight!$AP$221:$AX$252,C82+1)</f>
        <v>7777</v>
      </c>
      <c r="K82" s="3" t="str">
        <f>VLOOKUP(B82,AE_weight!$AP$257:$AX$288,C82+1)</f>
        <v>1100</v>
      </c>
      <c r="L82" s="3" t="str">
        <f>VLOOKUP(B82,AE_weight!$AP$293:$AX$324,C82+1)</f>
        <v>0000</v>
      </c>
      <c r="M82" s="3" t="str">
        <f>VLOOKUP(B82,AE_weight!$AP$329:$AX$360,C82+1)</f>
        <v>4433</v>
      </c>
      <c r="N82" s="119"/>
      <c r="O82" s="119"/>
      <c r="P82" s="119"/>
      <c r="Q82" s="4"/>
      <c r="U82" s="4"/>
    </row>
    <row r="83" spans="1:21">
      <c r="A83" s="1">
        <f t="shared" si="15"/>
        <v>78</v>
      </c>
      <c r="B83" s="1">
        <f t="shared" ref="B83:B85" si="19">B82</f>
        <v>9</v>
      </c>
      <c r="C83" s="1">
        <v>6</v>
      </c>
      <c r="D83" s="3" t="str">
        <f>VLOOKUP(B83,AE_weight!$AP$4:$AX$36,C83+1)</f>
        <v>3333</v>
      </c>
      <c r="E83" s="3" t="str">
        <f>VLOOKUP(B83,AE_weight!$AP$40:$AX$72,C83+1)</f>
        <v>2222</v>
      </c>
      <c r="F83" s="3" t="str">
        <f>VLOOKUP(B83,AE_weight!$AP$76:$AX$108,C83+1)</f>
        <v>3322</v>
      </c>
      <c r="G83" s="3" t="str">
        <f>VLOOKUP(B83,AE_weight!$AP$112:$AX$144,C83+1)</f>
        <v>2222</v>
      </c>
      <c r="H83" s="3" t="str">
        <f>VLOOKUP(B83,AE_weight!$AP$149:$AX$180,C83+1)</f>
        <v>0000</v>
      </c>
      <c r="I83" s="3" t="str">
        <f>VLOOKUP(B83,AE_weight!$AP$185:$AX$216,C83+1)</f>
        <v>0000</v>
      </c>
      <c r="J83" s="3" t="str">
        <f>VLOOKUP(B83,AE_weight!$AP$221:$AX$252,C83+1)</f>
        <v>0000</v>
      </c>
      <c r="K83" s="3" t="str">
        <f>VLOOKUP(B83,AE_weight!$AP$257:$AX$288,C83+1)</f>
        <v>1100</v>
      </c>
      <c r="L83" s="3" t="str">
        <f>VLOOKUP(B83,AE_weight!$AP$293:$AX$324,C83+1)</f>
        <v>0000</v>
      </c>
      <c r="M83" s="3" t="str">
        <f>VLOOKUP(B83,AE_weight!$AP$329:$AX$360,C83+1)</f>
        <v>3322</v>
      </c>
      <c r="N83" s="119"/>
      <c r="O83" s="119"/>
      <c r="P83" s="119"/>
      <c r="Q83" s="4"/>
      <c r="U83" s="4"/>
    </row>
    <row r="84" spans="1:21">
      <c r="A84" s="1">
        <f t="shared" si="15"/>
        <v>79</v>
      </c>
      <c r="B84" s="1">
        <f t="shared" si="19"/>
        <v>9</v>
      </c>
      <c r="C84" s="1">
        <v>7</v>
      </c>
      <c r="D84" s="3" t="str">
        <f>VLOOKUP(B84,AE_weight!$AP$4:$AX$36,C84+1)</f>
        <v>2211</v>
      </c>
      <c r="E84" s="3" t="str">
        <f>VLOOKUP(B84,AE_weight!$AP$40:$AX$72,C84+1)</f>
        <v>2222</v>
      </c>
      <c r="F84" s="3" t="str">
        <f>VLOOKUP(B84,AE_weight!$AP$76:$AX$108,C84+1)</f>
        <v>2200</v>
      </c>
      <c r="G84" s="3" t="str">
        <f>VLOOKUP(B84,AE_weight!$AP$112:$AX$144,C84+1)</f>
        <v>2222</v>
      </c>
      <c r="H84" s="3" t="str">
        <f>VLOOKUP(B84,AE_weight!$AP$149:$AX$180,C84+1)</f>
        <v>0000</v>
      </c>
      <c r="I84" s="3" t="str">
        <f>VLOOKUP(B84,AE_weight!$AP$185:$AX$216,C84+1)</f>
        <v>0000</v>
      </c>
      <c r="J84" s="3" t="str">
        <f>VLOOKUP(B84,AE_weight!$AP$221:$AX$252,C84+1)</f>
        <v>0000</v>
      </c>
      <c r="K84" s="3" t="str">
        <f>VLOOKUP(B84,AE_weight!$AP$257:$AX$288,C84+1)</f>
        <v>0000</v>
      </c>
      <c r="L84" s="3" t="str">
        <f>VLOOKUP(B84,AE_weight!$AP$293:$AX$324,C84+1)</f>
        <v>0000</v>
      </c>
      <c r="M84" s="3" t="str">
        <f>VLOOKUP(B84,AE_weight!$AP$329:$AX$360,C84+1)</f>
        <v>2211</v>
      </c>
      <c r="N84" s="119"/>
      <c r="O84" s="119"/>
      <c r="P84" s="119"/>
    </row>
    <row r="85" spans="1:21">
      <c r="A85" s="1">
        <f t="shared" si="15"/>
        <v>80</v>
      </c>
      <c r="B85" s="1">
        <f t="shared" si="19"/>
        <v>9</v>
      </c>
      <c r="C85" s="1">
        <v>8</v>
      </c>
      <c r="D85" s="3" t="str">
        <f>VLOOKUP(B85,AE_weight!$AP$4:$AX$36,C85+1)</f>
        <v>1100</v>
      </c>
      <c r="E85" s="3" t="str">
        <f>VLOOKUP(B85,AE_weight!$AP$40:$AX$72,C85+1)</f>
        <v>2222</v>
      </c>
      <c r="F85" s="3" t="str">
        <f>VLOOKUP(B85,AE_weight!$AP$76:$AX$108,C85+1)</f>
        <v>0000</v>
      </c>
      <c r="G85" s="3" t="str">
        <f>VLOOKUP(B85,AE_weight!$AP$112:$AX$144,C85+1)</f>
        <v>2222</v>
      </c>
      <c r="H85" s="3" t="str">
        <f>VLOOKUP(B85,AE_weight!$AP$149:$AX$180,C85+1)</f>
        <v>0000</v>
      </c>
      <c r="I85" s="3" t="str">
        <f>VLOOKUP(B85,AE_weight!$AP$185:$AX$216,C85+1)</f>
        <v>0000</v>
      </c>
      <c r="J85" s="3" t="str">
        <f>VLOOKUP(B85,AE_weight!$AP$221:$AX$252,C85+1)</f>
        <v>0000</v>
      </c>
      <c r="K85" s="3" t="str">
        <f>VLOOKUP(B85,AE_weight!$AP$257:$AX$288,C85+1)</f>
        <v>0000</v>
      </c>
      <c r="L85" s="3" t="str">
        <f>VLOOKUP(B85,AE_weight!$AP$293:$AX$324,C85+1)</f>
        <v>0000</v>
      </c>
      <c r="M85" s="3" t="str">
        <f>VLOOKUP(B85,AE_weight!$AP$329:$AX$360,C85+1)</f>
        <v>0000</v>
      </c>
      <c r="N85" s="119"/>
      <c r="O85" s="119"/>
      <c r="P85" s="119"/>
    </row>
    <row r="86" spans="1:21">
      <c r="A86" s="1">
        <f t="shared" si="15"/>
        <v>81</v>
      </c>
      <c r="B86" s="1">
        <v>10</v>
      </c>
      <c r="C86" s="1">
        <v>1</v>
      </c>
      <c r="D86" s="3" t="str">
        <f>VLOOKUP(B86,AE_weight!$AP$4:$AX$36,C86+1)</f>
        <v>0011</v>
      </c>
      <c r="E86" s="3" t="str">
        <f>VLOOKUP(B86,AE_weight!$AP$40:$AX$72,C86+1)</f>
        <v>2222</v>
      </c>
      <c r="F86" s="3" t="str">
        <f>VLOOKUP(B86,AE_weight!$AP$76:$AX$108,C86+1)</f>
        <v>0000</v>
      </c>
      <c r="G86" s="3" t="str">
        <f>VLOOKUP(B86,AE_weight!$AP$112:$AX$144,C86+1)</f>
        <v>2222</v>
      </c>
      <c r="H86" s="3" t="str">
        <f>VLOOKUP(B86,AE_weight!$AP$149:$AX$180,C86+1)</f>
        <v>0000</v>
      </c>
      <c r="I86" s="3" t="str">
        <f>VLOOKUP(B86,AE_weight!$AP$185:$AX$216,C86+1)</f>
        <v>0000</v>
      </c>
      <c r="J86" s="3" t="str">
        <f>VLOOKUP(B86,AE_weight!$AP$221:$AX$252,C86+1)</f>
        <v>0000</v>
      </c>
      <c r="K86" s="3" t="str">
        <f>VLOOKUP(B86,AE_weight!$AP$257:$AX$288,C86+1)</f>
        <v>0000</v>
      </c>
      <c r="L86" s="3" t="str">
        <f>VLOOKUP(B86,AE_weight!$AP$293:$AX$324,C86+1)</f>
        <v>0000</v>
      </c>
      <c r="M86" s="3" t="str">
        <f>VLOOKUP(B86,AE_weight!$AP$329:$AX$360,C86+1)</f>
        <v>0000</v>
      </c>
      <c r="N86" s="119"/>
      <c r="O86" s="119"/>
      <c r="P86" s="119"/>
    </row>
    <row r="87" spans="1:21">
      <c r="A87" s="1">
        <f t="shared" si="15"/>
        <v>82</v>
      </c>
      <c r="B87" s="1">
        <f t="shared" ref="B87:B89" si="20">B86</f>
        <v>10</v>
      </c>
      <c r="C87" s="1">
        <v>2</v>
      </c>
      <c r="D87" s="3" t="str">
        <f>VLOOKUP(B87,AE_weight!$AP$4:$AX$36,C87+1)</f>
        <v>2222</v>
      </c>
      <c r="E87" s="3" t="str">
        <f>VLOOKUP(B87,AE_weight!$AP$40:$AX$72,C87+1)</f>
        <v>2222</v>
      </c>
      <c r="F87" s="3" t="str">
        <f>VLOOKUP(B87,AE_weight!$AP$76:$AX$108,C87+1)</f>
        <v>0022</v>
      </c>
      <c r="G87" s="3" t="str">
        <f>VLOOKUP(B87,AE_weight!$AP$112:$AX$144,C87+1)</f>
        <v>2222</v>
      </c>
      <c r="H87" s="3" t="str">
        <f>VLOOKUP(B87,AE_weight!$AP$149:$AX$180,C87+1)</f>
        <v>0000</v>
      </c>
      <c r="I87" s="3" t="str">
        <f>VLOOKUP(B87,AE_weight!$AP$185:$AX$216,C87+1)</f>
        <v>0000</v>
      </c>
      <c r="J87" s="3" t="str">
        <f>VLOOKUP(B87,AE_weight!$AP$221:$AX$252,C87+1)</f>
        <v>0000</v>
      </c>
      <c r="K87" s="3" t="str">
        <f>VLOOKUP(B87,AE_weight!$AP$257:$AX$288,C87+1)</f>
        <v>0000</v>
      </c>
      <c r="L87" s="3" t="str">
        <f>VLOOKUP(B87,AE_weight!$AP$293:$AX$324,C87+1)</f>
        <v>0000</v>
      </c>
      <c r="M87" s="3" t="str">
        <f>VLOOKUP(B87,AE_weight!$AP$329:$AX$360,C87+1)</f>
        <v>1122</v>
      </c>
      <c r="N87" s="119"/>
      <c r="O87" s="119"/>
      <c r="P87" s="119"/>
    </row>
    <row r="88" spans="1:21">
      <c r="A88" s="1">
        <f t="shared" si="15"/>
        <v>83</v>
      </c>
      <c r="B88" s="1">
        <f t="shared" si="20"/>
        <v>10</v>
      </c>
      <c r="C88" s="1">
        <v>3</v>
      </c>
      <c r="D88" s="3" t="str">
        <f>VLOOKUP(B88,AE_weight!$AP$4:$AX$36,C88+1)</f>
        <v>3344</v>
      </c>
      <c r="E88" s="3" t="str">
        <f>VLOOKUP(B88,AE_weight!$AP$40:$AX$72,C88+1)</f>
        <v>2222</v>
      </c>
      <c r="F88" s="3" t="str">
        <f>VLOOKUP(B88,AE_weight!$AP$76:$AX$108,C88+1)</f>
        <v>3344</v>
      </c>
      <c r="G88" s="3" t="str">
        <f>VLOOKUP(B88,AE_weight!$AP$112:$AX$144,C88+1)</f>
        <v>2222</v>
      </c>
      <c r="H88" s="3" t="str">
        <f>VLOOKUP(B88,AE_weight!$AP$149:$AX$180,C88+1)</f>
        <v>0000</v>
      </c>
      <c r="I88" s="3" t="str">
        <f>VLOOKUP(B88,AE_weight!$AP$185:$AX$216,C88+1)</f>
        <v>0000</v>
      </c>
      <c r="J88" s="3" t="str">
        <f>VLOOKUP(B88,AE_weight!$AP$221:$AX$252,C88+1)</f>
        <v>7777</v>
      </c>
      <c r="K88" s="3" t="str">
        <f>VLOOKUP(B88,AE_weight!$AP$257:$AX$288,C88+1)</f>
        <v>0000</v>
      </c>
      <c r="L88" s="3" t="str">
        <f>VLOOKUP(B88,AE_weight!$AP$293:$AX$324,C88+1)</f>
        <v>0000</v>
      </c>
      <c r="M88" s="3" t="str">
        <f>VLOOKUP(B88,AE_weight!$AP$329:$AX$360,C88+1)</f>
        <v>3333</v>
      </c>
      <c r="N88" s="119"/>
      <c r="O88" s="119"/>
      <c r="P88" s="119"/>
    </row>
    <row r="89" spans="1:21">
      <c r="A89" s="1">
        <f t="shared" si="15"/>
        <v>84</v>
      </c>
      <c r="B89" s="1">
        <f t="shared" si="20"/>
        <v>10</v>
      </c>
      <c r="C89" s="1">
        <v>4</v>
      </c>
      <c r="D89" s="3" t="str">
        <f>VLOOKUP(B89,AE_weight!$AP$4:$AX$36,C89+1)</f>
        <v>4455</v>
      </c>
      <c r="E89" s="3" t="str">
        <f>VLOOKUP(B89,AE_weight!$AP$40:$AX$72,C89+1)</f>
        <v>2222</v>
      </c>
      <c r="F89" s="3" t="str">
        <f>VLOOKUP(B89,AE_weight!$AP$76:$AX$108,C89+1)</f>
        <v>4455</v>
      </c>
      <c r="G89" s="3" t="str">
        <f>VLOOKUP(B89,AE_weight!$AP$112:$AX$144,C89+1)</f>
        <v>3333</v>
      </c>
      <c r="H89" s="3" t="str">
        <f>VLOOKUP(B89,AE_weight!$AP$149:$AX$180,C89+1)</f>
        <v>0000</v>
      </c>
      <c r="I89" s="3" t="str">
        <f>VLOOKUP(B89,AE_weight!$AP$185:$AX$216,C89+1)</f>
        <v>DDDD</v>
      </c>
      <c r="J89" s="3" t="str">
        <f>VLOOKUP(B89,AE_weight!$AP$221:$AX$252,C89+1)</f>
        <v>BBBB</v>
      </c>
      <c r="K89" s="3" t="str">
        <f>VLOOKUP(B89,AE_weight!$AP$257:$AX$288,C89+1)</f>
        <v>0000</v>
      </c>
      <c r="L89" s="3" t="str">
        <f>VLOOKUP(B89,AE_weight!$AP$293:$AX$324,C89+1)</f>
        <v>0000</v>
      </c>
      <c r="M89" s="3" t="str">
        <f>VLOOKUP(B89,AE_weight!$AP$329:$AX$360,C89+1)</f>
        <v>4455</v>
      </c>
      <c r="N89" s="119"/>
      <c r="O89" s="119"/>
      <c r="P89" s="119"/>
      <c r="Q89" s="4"/>
      <c r="U89" s="4"/>
    </row>
    <row r="90" spans="1:21">
      <c r="A90" s="1">
        <f t="shared" si="15"/>
        <v>85</v>
      </c>
      <c r="B90" s="1">
        <v>10</v>
      </c>
      <c r="C90" s="1">
        <v>5</v>
      </c>
      <c r="D90" s="3" t="str">
        <f>VLOOKUP(B90,AE_weight!$AP$4:$AX$36,C90+1)</f>
        <v>5544</v>
      </c>
      <c r="E90" s="3" t="str">
        <f>VLOOKUP(B90,AE_weight!$AP$40:$AX$72,C90+1)</f>
        <v>2222</v>
      </c>
      <c r="F90" s="3" t="str">
        <f>VLOOKUP(B90,AE_weight!$AP$76:$AX$108,C90+1)</f>
        <v>5544</v>
      </c>
      <c r="G90" s="3" t="str">
        <f>VLOOKUP(B90,AE_weight!$AP$112:$AX$144,C90+1)</f>
        <v>3333</v>
      </c>
      <c r="H90" s="3" t="str">
        <f>VLOOKUP(B90,AE_weight!$AP$149:$AX$180,C90+1)</f>
        <v>0000</v>
      </c>
      <c r="I90" s="3" t="str">
        <f>VLOOKUP(B90,AE_weight!$AP$185:$AX$216,C90+1)</f>
        <v>DDDD</v>
      </c>
      <c r="J90" s="3" t="str">
        <f>VLOOKUP(B90,AE_weight!$AP$221:$AX$252,C90+1)</f>
        <v>BBBB</v>
      </c>
      <c r="K90" s="3" t="str">
        <f>VLOOKUP(B90,AE_weight!$AP$257:$AX$288,C90+1)</f>
        <v>0000</v>
      </c>
      <c r="L90" s="3" t="str">
        <f>VLOOKUP(B90,AE_weight!$AP$293:$AX$324,C90+1)</f>
        <v>0000</v>
      </c>
      <c r="M90" s="3" t="str">
        <f>VLOOKUP(B90,AE_weight!$AP$329:$AX$360,C90+1)</f>
        <v>5544</v>
      </c>
      <c r="N90" s="119"/>
      <c r="O90" s="119"/>
      <c r="P90" s="119"/>
      <c r="Q90" s="4"/>
      <c r="U90" s="4"/>
    </row>
    <row r="91" spans="1:21">
      <c r="A91" s="1">
        <f t="shared" si="15"/>
        <v>86</v>
      </c>
      <c r="B91" s="1">
        <f t="shared" ref="B91:B93" si="21">B90</f>
        <v>10</v>
      </c>
      <c r="C91" s="1">
        <v>6</v>
      </c>
      <c r="D91" s="3" t="str">
        <f>VLOOKUP(B91,AE_weight!$AP$4:$AX$36,C91+1)</f>
        <v>4433</v>
      </c>
      <c r="E91" s="3" t="str">
        <f>VLOOKUP(B91,AE_weight!$AP$40:$AX$72,C91+1)</f>
        <v>2222</v>
      </c>
      <c r="F91" s="3" t="str">
        <f>VLOOKUP(B91,AE_weight!$AP$76:$AX$108,C91+1)</f>
        <v>4433</v>
      </c>
      <c r="G91" s="3" t="str">
        <f>VLOOKUP(B91,AE_weight!$AP$112:$AX$144,C91+1)</f>
        <v>2222</v>
      </c>
      <c r="H91" s="3" t="str">
        <f>VLOOKUP(B91,AE_weight!$AP$149:$AX$180,C91+1)</f>
        <v>0000</v>
      </c>
      <c r="I91" s="3" t="str">
        <f>VLOOKUP(B91,AE_weight!$AP$185:$AX$216,C91+1)</f>
        <v>0000</v>
      </c>
      <c r="J91" s="3" t="str">
        <f>VLOOKUP(B91,AE_weight!$AP$221:$AX$252,C91+1)</f>
        <v>7777</v>
      </c>
      <c r="K91" s="3" t="str">
        <f>VLOOKUP(B91,AE_weight!$AP$257:$AX$288,C91+1)</f>
        <v>0000</v>
      </c>
      <c r="L91" s="3" t="str">
        <f>VLOOKUP(B91,AE_weight!$AP$293:$AX$324,C91+1)</f>
        <v>0000</v>
      </c>
      <c r="M91" s="3" t="str">
        <f>VLOOKUP(B91,AE_weight!$AP$329:$AX$360,C91+1)</f>
        <v>3333</v>
      </c>
      <c r="N91" s="119"/>
      <c r="O91" s="119"/>
      <c r="P91" s="119"/>
      <c r="Q91" s="4"/>
      <c r="U91" s="4"/>
    </row>
    <row r="92" spans="1:21">
      <c r="A92" s="1">
        <f t="shared" si="15"/>
        <v>87</v>
      </c>
      <c r="B92" s="1">
        <f t="shared" si="21"/>
        <v>10</v>
      </c>
      <c r="C92" s="1">
        <v>7</v>
      </c>
      <c r="D92" s="3" t="str">
        <f>VLOOKUP(B92,AE_weight!$AP$4:$AX$36,C92+1)</f>
        <v>2222</v>
      </c>
      <c r="E92" s="3" t="str">
        <f>VLOOKUP(B92,AE_weight!$AP$40:$AX$72,C92+1)</f>
        <v>2222</v>
      </c>
      <c r="F92" s="3" t="str">
        <f>VLOOKUP(B92,AE_weight!$AP$76:$AX$108,C92+1)</f>
        <v>2200</v>
      </c>
      <c r="G92" s="3" t="str">
        <f>VLOOKUP(B92,AE_weight!$AP$112:$AX$144,C92+1)</f>
        <v>2222</v>
      </c>
      <c r="H92" s="3" t="str">
        <f>VLOOKUP(B92,AE_weight!$AP$149:$AX$180,C92+1)</f>
        <v>0000</v>
      </c>
      <c r="I92" s="3" t="str">
        <f>VLOOKUP(B92,AE_weight!$AP$185:$AX$216,C92+1)</f>
        <v>0000</v>
      </c>
      <c r="J92" s="3" t="str">
        <f>VLOOKUP(B92,AE_weight!$AP$221:$AX$252,C92+1)</f>
        <v>0000</v>
      </c>
      <c r="K92" s="3" t="str">
        <f>VLOOKUP(B92,AE_weight!$AP$257:$AX$288,C92+1)</f>
        <v>0000</v>
      </c>
      <c r="L92" s="3" t="str">
        <f>VLOOKUP(B92,AE_weight!$AP$293:$AX$324,C92+1)</f>
        <v>0000</v>
      </c>
      <c r="M92" s="3" t="str">
        <f>VLOOKUP(B92,AE_weight!$AP$329:$AX$360,C92+1)</f>
        <v>2211</v>
      </c>
      <c r="N92" s="119"/>
      <c r="O92" s="119"/>
      <c r="P92" s="119"/>
      <c r="Q92" s="4"/>
      <c r="U92" s="4"/>
    </row>
    <row r="93" spans="1:21">
      <c r="A93" s="1">
        <f t="shared" si="15"/>
        <v>88</v>
      </c>
      <c r="B93" s="1">
        <f t="shared" si="21"/>
        <v>10</v>
      </c>
      <c r="C93" s="1">
        <v>8</v>
      </c>
      <c r="D93" s="3" t="str">
        <f>VLOOKUP(B93,AE_weight!$AP$4:$AX$36,C93+1)</f>
        <v>1100</v>
      </c>
      <c r="E93" s="3" t="str">
        <f>VLOOKUP(B93,AE_weight!$AP$40:$AX$72,C93+1)</f>
        <v>2222</v>
      </c>
      <c r="F93" s="3" t="str">
        <f>VLOOKUP(B93,AE_weight!$AP$76:$AX$108,C93+1)</f>
        <v>0000</v>
      </c>
      <c r="G93" s="3" t="str">
        <f>VLOOKUP(B93,AE_weight!$AP$112:$AX$144,C93+1)</f>
        <v>2222</v>
      </c>
      <c r="H93" s="3" t="str">
        <f>VLOOKUP(B93,AE_weight!$AP$149:$AX$180,C93+1)</f>
        <v>0000</v>
      </c>
      <c r="I93" s="3" t="str">
        <f>VLOOKUP(B93,AE_weight!$AP$185:$AX$216,C93+1)</f>
        <v>0000</v>
      </c>
      <c r="J93" s="3" t="str">
        <f>VLOOKUP(B93,AE_weight!$AP$221:$AX$252,C93+1)</f>
        <v>0000</v>
      </c>
      <c r="K93" s="3" t="str">
        <f>VLOOKUP(B93,AE_weight!$AP$257:$AX$288,C93+1)</f>
        <v>0000</v>
      </c>
      <c r="L93" s="3" t="str">
        <f>VLOOKUP(B93,AE_weight!$AP$293:$AX$324,C93+1)</f>
        <v>0000</v>
      </c>
      <c r="M93" s="3" t="str">
        <f>VLOOKUP(B93,AE_weight!$AP$329:$AX$360,C93+1)</f>
        <v>0000</v>
      </c>
      <c r="N93" s="119"/>
      <c r="O93" s="119"/>
      <c r="P93" s="119"/>
      <c r="Q93" s="4"/>
      <c r="U93" s="4"/>
    </row>
    <row r="94" spans="1:21">
      <c r="A94" s="1">
        <f t="shared" si="15"/>
        <v>89</v>
      </c>
      <c r="B94" s="1">
        <v>11</v>
      </c>
      <c r="C94" s="1">
        <v>1</v>
      </c>
      <c r="D94" s="3" t="str">
        <f>VLOOKUP(B94,AE_weight!$AP$4:$AX$36,C94+1)</f>
        <v>0011</v>
      </c>
      <c r="E94" s="3" t="str">
        <f>VLOOKUP(B94,AE_weight!$AP$40:$AX$72,C94+1)</f>
        <v>2222</v>
      </c>
      <c r="F94" s="3" t="str">
        <f>VLOOKUP(B94,AE_weight!$AP$76:$AX$108,C94+1)</f>
        <v>0000</v>
      </c>
      <c r="G94" s="3" t="str">
        <f>VLOOKUP(B94,AE_weight!$AP$112:$AX$144,C94+1)</f>
        <v>2222</v>
      </c>
      <c r="H94" s="3" t="str">
        <f>VLOOKUP(B94,AE_weight!$AP$149:$AX$180,C94+1)</f>
        <v>0000</v>
      </c>
      <c r="I94" s="3" t="str">
        <f>VLOOKUP(B94,AE_weight!$AP$185:$AX$216,C94+1)</f>
        <v>0000</v>
      </c>
      <c r="J94" s="3" t="str">
        <f>VLOOKUP(B94,AE_weight!$AP$221:$AX$252,C94+1)</f>
        <v>0000</v>
      </c>
      <c r="K94" s="3" t="str">
        <f>VLOOKUP(B94,AE_weight!$AP$257:$AX$288,C94+1)</f>
        <v>0000</v>
      </c>
      <c r="L94" s="3" t="str">
        <f>VLOOKUP(B94,AE_weight!$AP$293:$AX$324,C94+1)</f>
        <v>0000</v>
      </c>
      <c r="M94" s="3" t="str">
        <f>VLOOKUP(B94,AE_weight!$AP$329:$AX$360,C94+1)</f>
        <v>0011</v>
      </c>
      <c r="N94" s="119"/>
      <c r="O94" s="119"/>
      <c r="P94" s="119"/>
      <c r="Q94" s="4"/>
      <c r="U94" s="4"/>
    </row>
    <row r="95" spans="1:21">
      <c r="A95" s="1">
        <f t="shared" si="15"/>
        <v>90</v>
      </c>
      <c r="B95" s="1">
        <f t="shared" ref="B95:B97" si="22">B94</f>
        <v>11</v>
      </c>
      <c r="C95" s="1">
        <v>2</v>
      </c>
      <c r="D95" s="3" t="str">
        <f>VLOOKUP(B95,AE_weight!$AP$4:$AX$36,C95+1)</f>
        <v>2233</v>
      </c>
      <c r="E95" s="3" t="str">
        <f>VLOOKUP(B95,AE_weight!$AP$40:$AX$72,C95+1)</f>
        <v>2222</v>
      </c>
      <c r="F95" s="3" t="str">
        <f>VLOOKUP(B95,AE_weight!$AP$76:$AX$108,C95+1)</f>
        <v>2222</v>
      </c>
      <c r="G95" s="3" t="str">
        <f>VLOOKUP(B95,AE_weight!$AP$112:$AX$144,C95+1)</f>
        <v>2222</v>
      </c>
      <c r="H95" s="3" t="str">
        <f>VLOOKUP(B95,AE_weight!$AP$149:$AX$180,C95+1)</f>
        <v>0000</v>
      </c>
      <c r="I95" s="3" t="str">
        <f>VLOOKUP(B95,AE_weight!$AP$185:$AX$216,C95+1)</f>
        <v>0000</v>
      </c>
      <c r="J95" s="3" t="str">
        <f>VLOOKUP(B95,AE_weight!$AP$221:$AX$252,C95+1)</f>
        <v>0000</v>
      </c>
      <c r="K95" s="3" t="str">
        <f>VLOOKUP(B95,AE_weight!$AP$257:$AX$288,C95+1)</f>
        <v>0000</v>
      </c>
      <c r="L95" s="3" t="str">
        <f>VLOOKUP(B95,AE_weight!$AP$293:$AX$324,C95+1)</f>
        <v>0000</v>
      </c>
      <c r="M95" s="3" t="str">
        <f>VLOOKUP(B95,AE_weight!$AP$329:$AX$360,C95+1)</f>
        <v>2222</v>
      </c>
      <c r="N95" s="119"/>
      <c r="O95" s="119"/>
      <c r="P95" s="119"/>
      <c r="Q95" s="4"/>
      <c r="U95" s="4"/>
    </row>
    <row r="96" spans="1:21">
      <c r="A96" s="1">
        <f t="shared" si="15"/>
        <v>91</v>
      </c>
      <c r="B96" s="1">
        <f t="shared" si="22"/>
        <v>11</v>
      </c>
      <c r="C96" s="1">
        <v>3</v>
      </c>
      <c r="D96" s="3" t="str">
        <f>VLOOKUP(B96,AE_weight!$AP$4:$AX$36,C96+1)</f>
        <v>4444</v>
      </c>
      <c r="E96" s="3" t="str">
        <f>VLOOKUP(B96,AE_weight!$AP$40:$AX$72,C96+1)</f>
        <v>2222</v>
      </c>
      <c r="F96" s="3" t="str">
        <f>VLOOKUP(B96,AE_weight!$AP$76:$AX$108,C96+1)</f>
        <v>3344</v>
      </c>
      <c r="G96" s="3" t="str">
        <f>VLOOKUP(B96,AE_weight!$AP$112:$AX$144,C96+1)</f>
        <v>2222</v>
      </c>
      <c r="H96" s="3" t="str">
        <f>VLOOKUP(B96,AE_weight!$AP$149:$AX$180,C96+1)</f>
        <v>0000</v>
      </c>
      <c r="I96" s="3" t="str">
        <f>VLOOKUP(B96,AE_weight!$AP$185:$AX$216,C96+1)</f>
        <v>0000</v>
      </c>
      <c r="J96" s="3" t="str">
        <f>VLOOKUP(B96,AE_weight!$AP$221:$AX$252,C96+1)</f>
        <v>7777</v>
      </c>
      <c r="K96" s="3" t="str">
        <f>VLOOKUP(B96,AE_weight!$AP$257:$AX$288,C96+1)</f>
        <v>1100</v>
      </c>
      <c r="L96" s="3" t="str">
        <f>VLOOKUP(B96,AE_weight!$AP$293:$AX$324,C96+1)</f>
        <v>0000</v>
      </c>
      <c r="M96" s="3" t="str">
        <f>VLOOKUP(B96,AE_weight!$AP$329:$AX$360,C96+1)</f>
        <v>3344</v>
      </c>
      <c r="N96" s="119"/>
      <c r="O96" s="119"/>
      <c r="P96" s="119"/>
      <c r="Q96" s="4"/>
      <c r="U96" s="4"/>
    </row>
    <row r="97" spans="1:21">
      <c r="A97" s="1">
        <f t="shared" si="15"/>
        <v>92</v>
      </c>
      <c r="B97" s="1">
        <f t="shared" si="22"/>
        <v>11</v>
      </c>
      <c r="C97" s="1">
        <v>4</v>
      </c>
      <c r="D97" s="3" t="str">
        <f>VLOOKUP(B97,AE_weight!$AP$4:$AX$36,C97+1)</f>
        <v>5555</v>
      </c>
      <c r="E97" s="3" t="str">
        <f>VLOOKUP(B97,AE_weight!$AP$40:$AX$72,C97+1)</f>
        <v>2222</v>
      </c>
      <c r="F97" s="3" t="str">
        <f>VLOOKUP(B97,AE_weight!$AP$76:$AX$108,C97+1)</f>
        <v>4455</v>
      </c>
      <c r="G97" s="3" t="str">
        <f>VLOOKUP(B97,AE_weight!$AP$112:$AX$144,C97+1)</f>
        <v>3333</v>
      </c>
      <c r="H97" s="3" t="str">
        <f>VLOOKUP(B97,AE_weight!$AP$149:$AX$180,C97+1)</f>
        <v>0000</v>
      </c>
      <c r="I97" s="3" t="str">
        <f>VLOOKUP(B97,AE_weight!$AP$185:$AX$216,C97+1)</f>
        <v>DDDD</v>
      </c>
      <c r="J97" s="3" t="str">
        <f>VLOOKUP(B97,AE_weight!$AP$221:$AX$252,C97+1)</f>
        <v>BBBB</v>
      </c>
      <c r="K97" s="3" t="str">
        <f>VLOOKUP(B97,AE_weight!$AP$257:$AX$288,C97+1)</f>
        <v>1100</v>
      </c>
      <c r="L97" s="3" t="str">
        <f>VLOOKUP(B97,AE_weight!$AP$293:$AX$324,C97+1)</f>
        <v>1100</v>
      </c>
      <c r="M97" s="3" t="str">
        <f>VLOOKUP(B97,AE_weight!$AP$329:$AX$360,C97+1)</f>
        <v>5555</v>
      </c>
      <c r="N97" s="119"/>
      <c r="O97" s="119"/>
      <c r="P97" s="119"/>
      <c r="Q97" s="4"/>
      <c r="U97" s="4"/>
    </row>
    <row r="98" spans="1:21">
      <c r="A98" s="1">
        <f t="shared" si="15"/>
        <v>93</v>
      </c>
      <c r="B98" s="1">
        <v>11</v>
      </c>
      <c r="C98" s="1">
        <v>5</v>
      </c>
      <c r="D98" s="3" t="str">
        <f>VLOOKUP(B98,AE_weight!$AP$4:$AX$36,C98+1)</f>
        <v>5555</v>
      </c>
      <c r="E98" s="3" t="str">
        <f>VLOOKUP(B98,AE_weight!$AP$40:$AX$72,C98+1)</f>
        <v>2222</v>
      </c>
      <c r="F98" s="3" t="str">
        <f>VLOOKUP(B98,AE_weight!$AP$76:$AX$108,C98+1)</f>
        <v>5544</v>
      </c>
      <c r="G98" s="3" t="str">
        <f>VLOOKUP(B98,AE_weight!$AP$112:$AX$144,C98+1)</f>
        <v>3333</v>
      </c>
      <c r="H98" s="3" t="str">
        <f>VLOOKUP(B98,AE_weight!$AP$149:$AX$180,C98+1)</f>
        <v>0000</v>
      </c>
      <c r="I98" s="3" t="str">
        <f>VLOOKUP(B98,AE_weight!$AP$185:$AX$216,C98+1)</f>
        <v>DDDD</v>
      </c>
      <c r="J98" s="3" t="str">
        <f>VLOOKUP(B98,AE_weight!$AP$221:$AX$252,C98+1)</f>
        <v>BBBB</v>
      </c>
      <c r="K98" s="3" t="str">
        <f>VLOOKUP(B98,AE_weight!$AP$257:$AX$288,C98+1)</f>
        <v>0011</v>
      </c>
      <c r="L98" s="3" t="str">
        <f>VLOOKUP(B98,AE_weight!$AP$293:$AX$324,C98+1)</f>
        <v>0011</v>
      </c>
      <c r="M98" s="3" t="str">
        <f>VLOOKUP(B98,AE_weight!$AP$329:$AX$360,C98+1)</f>
        <v>5555</v>
      </c>
      <c r="N98" s="119"/>
      <c r="O98" s="119"/>
      <c r="P98" s="119"/>
      <c r="Q98" s="4"/>
      <c r="U98" s="4"/>
    </row>
    <row r="99" spans="1:21">
      <c r="A99" s="1">
        <f t="shared" si="15"/>
        <v>94</v>
      </c>
      <c r="B99" s="1">
        <f t="shared" ref="B99:B101" si="23">B98</f>
        <v>11</v>
      </c>
      <c r="C99" s="1">
        <v>6</v>
      </c>
      <c r="D99" s="3" t="str">
        <f>VLOOKUP(B99,AE_weight!$AP$4:$AX$36,C99+1)</f>
        <v>4444</v>
      </c>
      <c r="E99" s="3" t="str">
        <f>VLOOKUP(B99,AE_weight!$AP$40:$AX$72,C99+1)</f>
        <v>2222</v>
      </c>
      <c r="F99" s="3" t="str">
        <f>VLOOKUP(B99,AE_weight!$AP$76:$AX$108,C99+1)</f>
        <v>4433</v>
      </c>
      <c r="G99" s="3" t="str">
        <f>VLOOKUP(B99,AE_weight!$AP$112:$AX$144,C99+1)</f>
        <v>2222</v>
      </c>
      <c r="H99" s="3" t="str">
        <f>VLOOKUP(B99,AE_weight!$AP$149:$AX$180,C99+1)</f>
        <v>0000</v>
      </c>
      <c r="I99" s="3" t="str">
        <f>VLOOKUP(B99,AE_weight!$AP$185:$AX$216,C99+1)</f>
        <v>0000</v>
      </c>
      <c r="J99" s="3" t="str">
        <f>VLOOKUP(B99,AE_weight!$AP$221:$AX$252,C99+1)</f>
        <v>7777</v>
      </c>
      <c r="K99" s="3" t="str">
        <f>VLOOKUP(B99,AE_weight!$AP$257:$AX$288,C99+1)</f>
        <v>0011</v>
      </c>
      <c r="L99" s="3" t="str">
        <f>VLOOKUP(B99,AE_weight!$AP$293:$AX$324,C99+1)</f>
        <v>0000</v>
      </c>
      <c r="M99" s="3" t="str">
        <f>VLOOKUP(B99,AE_weight!$AP$329:$AX$360,C99+1)</f>
        <v>4433</v>
      </c>
      <c r="N99" s="119"/>
      <c r="O99" s="119"/>
      <c r="P99" s="119"/>
      <c r="Q99" s="4"/>
      <c r="U99" s="4"/>
    </row>
    <row r="100" spans="1:21">
      <c r="A100" s="1">
        <f t="shared" si="15"/>
        <v>95</v>
      </c>
      <c r="B100" s="1">
        <f t="shared" si="23"/>
        <v>11</v>
      </c>
      <c r="C100" s="1">
        <v>7</v>
      </c>
      <c r="D100" s="3" t="str">
        <f>VLOOKUP(B100,AE_weight!$AP$4:$AX$36,C100+1)</f>
        <v>3322</v>
      </c>
      <c r="E100" s="3" t="str">
        <f>VLOOKUP(B100,AE_weight!$AP$40:$AX$72,C100+1)</f>
        <v>2222</v>
      </c>
      <c r="F100" s="3" t="str">
        <f>VLOOKUP(B100,AE_weight!$AP$76:$AX$108,C100+1)</f>
        <v>2200</v>
      </c>
      <c r="G100" s="3" t="str">
        <f>VLOOKUP(B100,AE_weight!$AP$112:$AX$144,C100+1)</f>
        <v>2222</v>
      </c>
      <c r="H100" s="3" t="str">
        <f>VLOOKUP(B100,AE_weight!$AP$149:$AX$180,C100+1)</f>
        <v>0000</v>
      </c>
      <c r="I100" s="3" t="str">
        <f>VLOOKUP(B100,AE_weight!$AP$185:$AX$216,C100+1)</f>
        <v>0000</v>
      </c>
      <c r="J100" s="3" t="str">
        <f>VLOOKUP(B100,AE_weight!$AP$221:$AX$252,C100+1)</f>
        <v>0000</v>
      </c>
      <c r="K100" s="3" t="str">
        <f>VLOOKUP(B100,AE_weight!$AP$257:$AX$288,C100+1)</f>
        <v>0000</v>
      </c>
      <c r="L100" s="3" t="str">
        <f>VLOOKUP(B100,AE_weight!$AP$293:$AX$324,C100+1)</f>
        <v>0000</v>
      </c>
      <c r="M100" s="3" t="str">
        <f>VLOOKUP(B100,AE_weight!$AP$329:$AX$360,C100+1)</f>
        <v>2222</v>
      </c>
      <c r="N100" s="119"/>
      <c r="O100" s="119"/>
      <c r="P100" s="119"/>
      <c r="Q100" s="4"/>
      <c r="U100" s="4"/>
    </row>
    <row r="101" spans="1:21">
      <c r="A101" s="1">
        <f t="shared" si="15"/>
        <v>96</v>
      </c>
      <c r="B101" s="1">
        <f t="shared" si="23"/>
        <v>11</v>
      </c>
      <c r="C101" s="1">
        <v>8</v>
      </c>
      <c r="D101" s="3" t="str">
        <f>VLOOKUP(B101,AE_weight!$AP$4:$AX$36,C101+1)</f>
        <v>1100</v>
      </c>
      <c r="E101" s="3" t="str">
        <f>VLOOKUP(B101,AE_weight!$AP$40:$AX$72,C101+1)</f>
        <v>2222</v>
      </c>
      <c r="F101" s="3" t="str">
        <f>VLOOKUP(B101,AE_weight!$AP$76:$AX$108,C101+1)</f>
        <v>0000</v>
      </c>
      <c r="G101" s="3" t="str">
        <f>VLOOKUP(B101,AE_weight!$AP$112:$AX$144,C101+1)</f>
        <v>2222</v>
      </c>
      <c r="H101" s="3" t="str">
        <f>VLOOKUP(B101,AE_weight!$AP$149:$AX$180,C101+1)</f>
        <v>0000</v>
      </c>
      <c r="I101" s="3" t="str">
        <f>VLOOKUP(B101,AE_weight!$AP$185:$AX$216,C101+1)</f>
        <v>0000</v>
      </c>
      <c r="J101" s="3" t="str">
        <f>VLOOKUP(B101,AE_weight!$AP$221:$AX$252,C101+1)</f>
        <v>0000</v>
      </c>
      <c r="K101" s="3" t="str">
        <f>VLOOKUP(B101,AE_weight!$AP$257:$AX$288,C101+1)</f>
        <v>0000</v>
      </c>
      <c r="L101" s="3" t="str">
        <f>VLOOKUP(B101,AE_weight!$AP$293:$AX$324,C101+1)</f>
        <v>0000</v>
      </c>
      <c r="M101" s="3" t="str">
        <f>VLOOKUP(B101,AE_weight!$AP$329:$AX$360,C101+1)</f>
        <v>1100</v>
      </c>
      <c r="N101" s="119"/>
      <c r="O101" s="119"/>
      <c r="P101" s="119"/>
      <c r="Q101" s="4"/>
      <c r="U101" s="4"/>
    </row>
    <row r="102" spans="1:21">
      <c r="A102" s="1">
        <f t="shared" si="15"/>
        <v>97</v>
      </c>
      <c r="B102" s="1">
        <v>12</v>
      </c>
      <c r="C102" s="1">
        <v>1</v>
      </c>
      <c r="D102" s="3" t="str">
        <f>VLOOKUP(B102,AE_weight!$AP$4:$AX$36,C102+1)</f>
        <v>0011</v>
      </c>
      <c r="E102" s="3" t="str">
        <f>VLOOKUP(B102,AE_weight!$AP$40:$AX$72,C102+1)</f>
        <v>2222</v>
      </c>
      <c r="F102" s="3" t="str">
        <f>VLOOKUP(B102,AE_weight!$AP$76:$AX$108,C102+1)</f>
        <v>0000</v>
      </c>
      <c r="G102" s="3" t="str">
        <f>VLOOKUP(B102,AE_weight!$AP$112:$AX$144,C102+1)</f>
        <v>2222</v>
      </c>
      <c r="H102" s="3" t="str">
        <f>VLOOKUP(B102,AE_weight!$AP$149:$AX$180,C102+1)</f>
        <v>0000</v>
      </c>
      <c r="I102" s="3" t="str">
        <f>VLOOKUP(B102,AE_weight!$AP$185:$AX$216,C102+1)</f>
        <v>0000</v>
      </c>
      <c r="J102" s="3" t="str">
        <f>VLOOKUP(B102,AE_weight!$AP$221:$AX$252,C102+1)</f>
        <v>0000</v>
      </c>
      <c r="K102" s="3" t="str">
        <f>VLOOKUP(B102,AE_weight!$AP$257:$AX$288,C102+1)</f>
        <v>0000</v>
      </c>
      <c r="L102" s="3" t="str">
        <f>VLOOKUP(B102,AE_weight!$AP$293:$AX$324,C102+1)</f>
        <v>0000</v>
      </c>
      <c r="M102" s="3" t="str">
        <f>VLOOKUP(B102,AE_weight!$AP$329:$AX$360,C102+1)</f>
        <v>0011</v>
      </c>
      <c r="N102" s="119"/>
      <c r="O102" s="119"/>
      <c r="P102" s="119"/>
      <c r="Q102" s="4"/>
      <c r="U102" s="4"/>
    </row>
    <row r="103" spans="1:21">
      <c r="A103" s="1">
        <f t="shared" si="15"/>
        <v>98</v>
      </c>
      <c r="B103" s="1">
        <f t="shared" ref="B103:B105" si="24">B102</f>
        <v>12</v>
      </c>
      <c r="C103" s="1">
        <v>2</v>
      </c>
      <c r="D103" s="3" t="str">
        <f>VLOOKUP(B103,AE_weight!$AP$4:$AX$36,C103+1)</f>
        <v>2233</v>
      </c>
      <c r="E103" s="3" t="str">
        <f>VLOOKUP(B103,AE_weight!$AP$40:$AX$72,C103+1)</f>
        <v>2222</v>
      </c>
      <c r="F103" s="3" t="str">
        <f>VLOOKUP(B103,AE_weight!$AP$76:$AX$108,C103+1)</f>
        <v>2233</v>
      </c>
      <c r="G103" s="3" t="str">
        <f>VLOOKUP(B103,AE_weight!$AP$112:$AX$144,C103+1)</f>
        <v>2222</v>
      </c>
      <c r="H103" s="3" t="str">
        <f>VLOOKUP(B103,AE_weight!$AP$149:$AX$180,C103+1)</f>
        <v>0000</v>
      </c>
      <c r="I103" s="3" t="str">
        <f>VLOOKUP(B103,AE_weight!$AP$185:$AX$216,C103+1)</f>
        <v>0000</v>
      </c>
      <c r="J103" s="3" t="str">
        <f>VLOOKUP(B103,AE_weight!$AP$221:$AX$252,C103+1)</f>
        <v>0000</v>
      </c>
      <c r="K103" s="3" t="str">
        <f>VLOOKUP(B103,AE_weight!$AP$257:$AX$288,C103+1)</f>
        <v>0000</v>
      </c>
      <c r="L103" s="3" t="str">
        <f>VLOOKUP(B103,AE_weight!$AP$293:$AX$324,C103+1)</f>
        <v>0000</v>
      </c>
      <c r="M103" s="3" t="str">
        <f>VLOOKUP(B103,AE_weight!$AP$329:$AX$360,C103+1)</f>
        <v>2233</v>
      </c>
      <c r="N103" s="119"/>
      <c r="O103" s="119"/>
      <c r="P103" s="119"/>
      <c r="Q103" s="4"/>
      <c r="U103" s="4"/>
    </row>
    <row r="104" spans="1:21">
      <c r="A104" s="1">
        <f t="shared" si="15"/>
        <v>99</v>
      </c>
      <c r="B104" s="1">
        <f t="shared" si="24"/>
        <v>12</v>
      </c>
      <c r="C104" s="1">
        <v>3</v>
      </c>
      <c r="D104" s="3" t="str">
        <f>VLOOKUP(B104,AE_weight!$AP$4:$AX$36,C104+1)</f>
        <v>4455</v>
      </c>
      <c r="E104" s="3" t="str">
        <f>VLOOKUP(B104,AE_weight!$AP$40:$AX$72,C104+1)</f>
        <v>2222</v>
      </c>
      <c r="F104" s="3" t="str">
        <f>VLOOKUP(B104,AE_weight!$AP$76:$AX$108,C104+1)</f>
        <v>3344</v>
      </c>
      <c r="G104" s="3" t="str">
        <f>VLOOKUP(B104,AE_weight!$AP$112:$AX$144,C104+1)</f>
        <v>2233</v>
      </c>
      <c r="H104" s="3" t="str">
        <f>VLOOKUP(B104,AE_weight!$AP$149:$AX$180,C104+1)</f>
        <v>0000</v>
      </c>
      <c r="I104" s="3" t="str">
        <f>VLOOKUP(B104,AE_weight!$AP$185:$AX$216,C104+1)</f>
        <v>00DD</v>
      </c>
      <c r="J104" s="3" t="str">
        <f>VLOOKUP(B104,AE_weight!$AP$221:$AX$252,C104+1)</f>
        <v>77BB</v>
      </c>
      <c r="K104" s="3" t="str">
        <f>VLOOKUP(B104,AE_weight!$AP$257:$AX$288,C104+1)</f>
        <v>0000</v>
      </c>
      <c r="L104" s="3" t="str">
        <f>VLOOKUP(B104,AE_weight!$AP$293:$AX$324,C104+1)</f>
        <v>0000</v>
      </c>
      <c r="M104" s="3" t="str">
        <f>VLOOKUP(B104,AE_weight!$AP$329:$AX$360,C104+1)</f>
        <v>3355</v>
      </c>
      <c r="N104" s="119"/>
      <c r="O104" s="119"/>
      <c r="P104" s="119"/>
    </row>
    <row r="105" spans="1:21">
      <c r="A105" s="1">
        <f t="shared" si="15"/>
        <v>100</v>
      </c>
      <c r="B105" s="1">
        <f t="shared" si="24"/>
        <v>12</v>
      </c>
      <c r="C105" s="1">
        <v>4</v>
      </c>
      <c r="D105" s="3" t="str">
        <f>VLOOKUP(B105,AE_weight!$AP$4:$AX$36,C105+1)</f>
        <v>5555</v>
      </c>
      <c r="E105" s="3" t="str">
        <f>VLOOKUP(B105,AE_weight!$AP$40:$AX$72,C105+1)</f>
        <v>2222</v>
      </c>
      <c r="F105" s="3" t="str">
        <f>VLOOKUP(B105,AE_weight!$AP$76:$AX$108,C105+1)</f>
        <v>DDDD</v>
      </c>
      <c r="G105" s="3" t="str">
        <f>VLOOKUP(B105,AE_weight!$AP$112:$AX$144,C105+1)</f>
        <v>5555</v>
      </c>
      <c r="H105" s="3" t="str">
        <f>VLOOKUP(B105,AE_weight!$AP$149:$AX$180,C105+1)</f>
        <v>0000</v>
      </c>
      <c r="I105" s="3" t="str">
        <f>VLOOKUP(B105,AE_weight!$AP$185:$AX$216,C105+1)</f>
        <v>DDFF</v>
      </c>
      <c r="J105" s="3" t="str">
        <f>VLOOKUP(B105,AE_weight!$AP$221:$AX$252,C105+1)</f>
        <v>DDDD</v>
      </c>
      <c r="K105" s="3" t="str">
        <f>VLOOKUP(B105,AE_weight!$AP$257:$AX$288,C105+1)</f>
        <v>0000</v>
      </c>
      <c r="L105" s="3" t="str">
        <f>VLOOKUP(B105,AE_weight!$AP$293:$AX$324,C105+1)</f>
        <v>0000</v>
      </c>
      <c r="M105" s="3" t="str">
        <f>VLOOKUP(B105,AE_weight!$AP$329:$AX$360,C105+1)</f>
        <v>5555</v>
      </c>
      <c r="N105" s="119"/>
      <c r="O105" s="119"/>
      <c r="P105" s="119"/>
    </row>
    <row r="106" spans="1:21">
      <c r="A106" s="1">
        <f t="shared" si="15"/>
        <v>101</v>
      </c>
      <c r="B106" s="1">
        <v>12</v>
      </c>
      <c r="C106" s="1">
        <v>5</v>
      </c>
      <c r="D106" s="3" t="str">
        <f>VLOOKUP(B106,AE_weight!$AP$4:$AX$36,C106+1)</f>
        <v>5555</v>
      </c>
      <c r="E106" s="3" t="str">
        <f>VLOOKUP(B106,AE_weight!$AP$40:$AX$72,C106+1)</f>
        <v>2222</v>
      </c>
      <c r="F106" s="3" t="str">
        <f>VLOOKUP(B106,AE_weight!$AP$76:$AX$108,C106+1)</f>
        <v>DDDD</v>
      </c>
      <c r="G106" s="3" t="str">
        <f>VLOOKUP(B106,AE_weight!$AP$112:$AX$144,C106+1)</f>
        <v>5555</v>
      </c>
      <c r="H106" s="3" t="str">
        <f>VLOOKUP(B106,AE_weight!$AP$149:$AX$180,C106+1)</f>
        <v>0000</v>
      </c>
      <c r="I106" s="3" t="str">
        <f>VLOOKUP(B106,AE_weight!$AP$185:$AX$216,C106+1)</f>
        <v>FFDD</v>
      </c>
      <c r="J106" s="3" t="str">
        <f>VLOOKUP(B106,AE_weight!$AP$221:$AX$252,C106+1)</f>
        <v>DDDD</v>
      </c>
      <c r="K106" s="3" t="str">
        <f>VLOOKUP(B106,AE_weight!$AP$257:$AX$288,C106+1)</f>
        <v>0000</v>
      </c>
      <c r="L106" s="3" t="str">
        <f>VLOOKUP(B106,AE_weight!$AP$293:$AX$324,C106+1)</f>
        <v>0000</v>
      </c>
      <c r="M106" s="3" t="str">
        <f>VLOOKUP(B106,AE_weight!$AP$329:$AX$360,C106+1)</f>
        <v>5555</v>
      </c>
      <c r="N106" s="119"/>
      <c r="O106" s="119"/>
      <c r="P106" s="119"/>
    </row>
    <row r="107" spans="1:21">
      <c r="A107" s="1">
        <f t="shared" si="15"/>
        <v>102</v>
      </c>
      <c r="B107" s="1">
        <f t="shared" ref="B107:B109" si="25">B106</f>
        <v>12</v>
      </c>
      <c r="C107" s="1">
        <v>6</v>
      </c>
      <c r="D107" s="3" t="str">
        <f>VLOOKUP(B107,AE_weight!$AP$4:$AX$36,C107+1)</f>
        <v>5544</v>
      </c>
      <c r="E107" s="3" t="str">
        <f>VLOOKUP(B107,AE_weight!$AP$40:$AX$72,C107+1)</f>
        <v>2222</v>
      </c>
      <c r="F107" s="3" t="str">
        <f>VLOOKUP(B107,AE_weight!$AP$76:$AX$108,C107+1)</f>
        <v>4433</v>
      </c>
      <c r="G107" s="3" t="str">
        <f>VLOOKUP(B107,AE_weight!$AP$112:$AX$144,C107+1)</f>
        <v>3322</v>
      </c>
      <c r="H107" s="3" t="str">
        <f>VLOOKUP(B107,AE_weight!$AP$149:$AX$180,C107+1)</f>
        <v>0000</v>
      </c>
      <c r="I107" s="3" t="str">
        <f>VLOOKUP(B107,AE_weight!$AP$185:$AX$216,C107+1)</f>
        <v>DD00</v>
      </c>
      <c r="J107" s="3" t="str">
        <f>VLOOKUP(B107,AE_weight!$AP$221:$AX$252,C107+1)</f>
        <v>BB77</v>
      </c>
      <c r="K107" s="3" t="str">
        <f>VLOOKUP(B107,AE_weight!$AP$257:$AX$288,C107+1)</f>
        <v>0000</v>
      </c>
      <c r="L107" s="3" t="str">
        <f>VLOOKUP(B107,AE_weight!$AP$293:$AX$324,C107+1)</f>
        <v>0000</v>
      </c>
      <c r="M107" s="3" t="str">
        <f>VLOOKUP(B107,AE_weight!$AP$329:$AX$360,C107+1)</f>
        <v>5533</v>
      </c>
      <c r="N107" s="119"/>
      <c r="O107" s="119"/>
      <c r="P107" s="119"/>
    </row>
    <row r="108" spans="1:21">
      <c r="A108" s="1">
        <f t="shared" si="15"/>
        <v>103</v>
      </c>
      <c r="B108" s="1">
        <f t="shared" si="25"/>
        <v>12</v>
      </c>
      <c r="C108" s="1">
        <v>7</v>
      </c>
      <c r="D108" s="3" t="str">
        <f>VLOOKUP(B108,AE_weight!$AP$4:$AX$36,C108+1)</f>
        <v>3322</v>
      </c>
      <c r="E108" s="3" t="str">
        <f>VLOOKUP(B108,AE_weight!$AP$40:$AX$72,C108+1)</f>
        <v>2222</v>
      </c>
      <c r="F108" s="3" t="str">
        <f>VLOOKUP(B108,AE_weight!$AP$76:$AX$108,C108+1)</f>
        <v>3322</v>
      </c>
      <c r="G108" s="3" t="str">
        <f>VLOOKUP(B108,AE_weight!$AP$112:$AX$144,C108+1)</f>
        <v>2222</v>
      </c>
      <c r="H108" s="3" t="str">
        <f>VLOOKUP(B108,AE_weight!$AP$149:$AX$180,C108+1)</f>
        <v>0000</v>
      </c>
      <c r="I108" s="3" t="str">
        <f>VLOOKUP(B108,AE_weight!$AP$185:$AX$216,C108+1)</f>
        <v>0000</v>
      </c>
      <c r="J108" s="3" t="str">
        <f>VLOOKUP(B108,AE_weight!$AP$221:$AX$252,C108+1)</f>
        <v>0000</v>
      </c>
      <c r="K108" s="3" t="str">
        <f>VLOOKUP(B108,AE_weight!$AP$257:$AX$288,C108+1)</f>
        <v>0000</v>
      </c>
      <c r="L108" s="3" t="str">
        <f>VLOOKUP(B108,AE_weight!$AP$293:$AX$324,C108+1)</f>
        <v>0000</v>
      </c>
      <c r="M108" s="3" t="str">
        <f>VLOOKUP(B108,AE_weight!$AP$329:$AX$360,C108+1)</f>
        <v>3322</v>
      </c>
      <c r="N108" s="119"/>
      <c r="O108" s="119"/>
      <c r="P108" s="119"/>
    </row>
    <row r="109" spans="1:21">
      <c r="A109" s="1">
        <f t="shared" si="15"/>
        <v>104</v>
      </c>
      <c r="B109" s="1">
        <f t="shared" si="25"/>
        <v>12</v>
      </c>
      <c r="C109" s="1">
        <v>8</v>
      </c>
      <c r="D109" s="3" t="str">
        <f>VLOOKUP(B109,AE_weight!$AP$4:$AX$36,C109+1)</f>
        <v>1100</v>
      </c>
      <c r="E109" s="3" t="str">
        <f>VLOOKUP(B109,AE_weight!$AP$40:$AX$72,C109+1)</f>
        <v>2222</v>
      </c>
      <c r="F109" s="3" t="str">
        <f>VLOOKUP(B109,AE_weight!$AP$76:$AX$108,C109+1)</f>
        <v>0000</v>
      </c>
      <c r="G109" s="3" t="str">
        <f>VLOOKUP(B109,AE_weight!$AP$112:$AX$144,C109+1)</f>
        <v>2222</v>
      </c>
      <c r="H109" s="3" t="str">
        <f>VLOOKUP(B109,AE_weight!$AP$149:$AX$180,C109+1)</f>
        <v>0000</v>
      </c>
      <c r="I109" s="3" t="str">
        <f>VLOOKUP(B109,AE_weight!$AP$185:$AX$216,C109+1)</f>
        <v>0000</v>
      </c>
      <c r="J109" s="3" t="str">
        <f>VLOOKUP(B109,AE_weight!$AP$221:$AX$252,C109+1)</f>
        <v>0000</v>
      </c>
      <c r="K109" s="3" t="str">
        <f>VLOOKUP(B109,AE_weight!$AP$257:$AX$288,C109+1)</f>
        <v>0000</v>
      </c>
      <c r="L109" s="3" t="str">
        <f>VLOOKUP(B109,AE_weight!$AP$293:$AX$324,C109+1)</f>
        <v>0000</v>
      </c>
      <c r="M109" s="3" t="str">
        <f>VLOOKUP(B109,AE_weight!$AP$329:$AX$360,C109+1)</f>
        <v>1100</v>
      </c>
      <c r="N109" s="119"/>
      <c r="O109" s="119"/>
      <c r="P109" s="119"/>
      <c r="Q109" s="4"/>
      <c r="U109" s="4"/>
    </row>
    <row r="110" spans="1:21">
      <c r="A110" s="1">
        <f t="shared" si="15"/>
        <v>105</v>
      </c>
      <c r="B110" s="1">
        <v>13</v>
      </c>
      <c r="C110" s="1">
        <v>1</v>
      </c>
      <c r="D110" s="3" t="str">
        <f>VLOOKUP(B110,AE_weight!$AP$4:$AX$36,C110+1)</f>
        <v>0011</v>
      </c>
      <c r="E110" s="3" t="str">
        <f>VLOOKUP(B110,AE_weight!$AP$40:$AX$72,C110+1)</f>
        <v>2222</v>
      </c>
      <c r="F110" s="3" t="str">
        <f>VLOOKUP(B110,AE_weight!$AP$76:$AX$108,C110+1)</f>
        <v>0000</v>
      </c>
      <c r="G110" s="3" t="str">
        <f>VLOOKUP(B110,AE_weight!$AP$112:$AX$144,C110+1)</f>
        <v>2222</v>
      </c>
      <c r="H110" s="3" t="str">
        <f>VLOOKUP(B110,AE_weight!$AP$149:$AX$180,C110+1)</f>
        <v>0000</v>
      </c>
      <c r="I110" s="3" t="str">
        <f>VLOOKUP(B110,AE_weight!$AP$185:$AX$216,C110+1)</f>
        <v>0000</v>
      </c>
      <c r="J110" s="3" t="str">
        <f>VLOOKUP(B110,AE_weight!$AP$221:$AX$252,C110+1)</f>
        <v>0000</v>
      </c>
      <c r="K110" s="3" t="str">
        <f>VLOOKUP(B110,AE_weight!$AP$257:$AX$288,C110+1)</f>
        <v>0000</v>
      </c>
      <c r="L110" s="3" t="str">
        <f>VLOOKUP(B110,AE_weight!$AP$293:$AX$324,C110+1)</f>
        <v>0000</v>
      </c>
      <c r="M110" s="3" t="str">
        <f>VLOOKUP(B110,AE_weight!$AP$329:$AX$360,C110+1)</f>
        <v>0011</v>
      </c>
      <c r="N110" s="119"/>
      <c r="O110" s="119"/>
      <c r="P110" s="119"/>
      <c r="Q110" s="4"/>
      <c r="U110" s="4"/>
    </row>
    <row r="111" spans="1:21">
      <c r="A111" s="1">
        <f t="shared" si="15"/>
        <v>106</v>
      </c>
      <c r="B111" s="1">
        <f t="shared" ref="B111:B113" si="26">B110</f>
        <v>13</v>
      </c>
      <c r="C111" s="1">
        <v>2</v>
      </c>
      <c r="D111" s="3" t="str">
        <f>VLOOKUP(B111,AE_weight!$AP$4:$AX$36,C111+1)</f>
        <v>2233</v>
      </c>
      <c r="E111" s="3" t="str">
        <f>VLOOKUP(B111,AE_weight!$AP$40:$AX$72,C111+1)</f>
        <v>2222</v>
      </c>
      <c r="F111" s="3" t="str">
        <f>VLOOKUP(B111,AE_weight!$AP$76:$AX$108,C111+1)</f>
        <v>2233</v>
      </c>
      <c r="G111" s="3" t="str">
        <f>VLOOKUP(B111,AE_weight!$AP$112:$AX$144,C111+1)</f>
        <v>2222</v>
      </c>
      <c r="H111" s="3" t="str">
        <f>VLOOKUP(B111,AE_weight!$AP$149:$AX$180,C111+1)</f>
        <v>0000</v>
      </c>
      <c r="I111" s="3" t="str">
        <f>VLOOKUP(B111,AE_weight!$AP$185:$AX$216,C111+1)</f>
        <v>0000</v>
      </c>
      <c r="J111" s="3" t="str">
        <f>VLOOKUP(B111,AE_weight!$AP$221:$AX$252,C111+1)</f>
        <v>0000</v>
      </c>
      <c r="K111" s="3" t="str">
        <f>VLOOKUP(B111,AE_weight!$AP$257:$AX$288,C111+1)</f>
        <v>0011</v>
      </c>
      <c r="L111" s="3" t="str">
        <f>VLOOKUP(B111,AE_weight!$AP$293:$AX$324,C111+1)</f>
        <v>0000</v>
      </c>
      <c r="M111" s="3" t="str">
        <f>VLOOKUP(B111,AE_weight!$AP$329:$AX$360,C111+1)</f>
        <v>2233</v>
      </c>
      <c r="N111" s="119"/>
      <c r="O111" s="119"/>
      <c r="P111" s="119"/>
      <c r="Q111" s="4"/>
      <c r="U111" s="4"/>
    </row>
    <row r="112" spans="1:21">
      <c r="A112" s="1">
        <f t="shared" si="15"/>
        <v>107</v>
      </c>
      <c r="B112" s="1">
        <f t="shared" si="26"/>
        <v>13</v>
      </c>
      <c r="C112" s="1">
        <v>3</v>
      </c>
      <c r="D112" s="3" t="str">
        <f>VLOOKUP(B112,AE_weight!$AP$4:$AX$36,C112+1)</f>
        <v>4455</v>
      </c>
      <c r="E112" s="3" t="str">
        <f>VLOOKUP(B112,AE_weight!$AP$40:$AX$72,C112+1)</f>
        <v>2222</v>
      </c>
      <c r="F112" s="3" t="str">
        <f>VLOOKUP(B112,AE_weight!$AP$76:$AX$108,C112+1)</f>
        <v>3344</v>
      </c>
      <c r="G112" s="3" t="str">
        <f>VLOOKUP(B112,AE_weight!$AP$112:$AX$144,C112+1)</f>
        <v>2233</v>
      </c>
      <c r="H112" s="3" t="str">
        <f>VLOOKUP(B112,AE_weight!$AP$149:$AX$180,C112+1)</f>
        <v>0000</v>
      </c>
      <c r="I112" s="3" t="str">
        <f>VLOOKUP(B112,AE_weight!$AP$185:$AX$216,C112+1)</f>
        <v>00DD</v>
      </c>
      <c r="J112" s="3" t="str">
        <f>VLOOKUP(B112,AE_weight!$AP$221:$AX$252,C112+1)</f>
        <v>77BB</v>
      </c>
      <c r="K112" s="3" t="str">
        <f>VLOOKUP(B112,AE_weight!$AP$257:$AX$288,C112+1)</f>
        <v>0011</v>
      </c>
      <c r="L112" s="3" t="str">
        <f>VLOOKUP(B112,AE_weight!$AP$293:$AX$324,C112+1)</f>
        <v>0000</v>
      </c>
      <c r="M112" s="3" t="str">
        <f>VLOOKUP(B112,AE_weight!$AP$329:$AX$360,C112+1)</f>
        <v>4455</v>
      </c>
      <c r="N112" s="119"/>
      <c r="O112" s="119"/>
      <c r="P112" s="119"/>
      <c r="Q112" s="4"/>
      <c r="U112" s="4"/>
    </row>
    <row r="113" spans="1:21">
      <c r="A113" s="1">
        <f t="shared" si="15"/>
        <v>108</v>
      </c>
      <c r="B113" s="1">
        <f t="shared" si="26"/>
        <v>13</v>
      </c>
      <c r="C113" s="1">
        <v>4</v>
      </c>
      <c r="D113" s="3" t="str">
        <f>VLOOKUP(B113,AE_weight!$AP$4:$AX$36,C113+1)</f>
        <v>5555</v>
      </c>
      <c r="E113" s="3" t="str">
        <f>VLOOKUP(B113,AE_weight!$AP$40:$AX$72,C113+1)</f>
        <v>2222</v>
      </c>
      <c r="F113" s="3" t="str">
        <f>VLOOKUP(B113,AE_weight!$AP$76:$AX$108,C113+1)</f>
        <v>DDDD</v>
      </c>
      <c r="G113" s="3" t="str">
        <f>VLOOKUP(B113,AE_weight!$AP$112:$AX$144,C113+1)</f>
        <v>5555</v>
      </c>
      <c r="H113" s="3" t="str">
        <f>VLOOKUP(B113,AE_weight!$AP$149:$AX$180,C113+1)</f>
        <v>0000</v>
      </c>
      <c r="I113" s="3" t="str">
        <f>VLOOKUP(B113,AE_weight!$AP$185:$AX$216,C113+1)</f>
        <v>DDFF</v>
      </c>
      <c r="J113" s="3" t="str">
        <f>VLOOKUP(B113,AE_weight!$AP$221:$AX$252,C113+1)</f>
        <v>DDDD</v>
      </c>
      <c r="K113" s="3" t="str">
        <f>VLOOKUP(B113,AE_weight!$AP$257:$AX$288,C113+1)</f>
        <v>0011</v>
      </c>
      <c r="L113" s="3" t="str">
        <f>VLOOKUP(B113,AE_weight!$AP$293:$AX$324,C113+1)</f>
        <v>0000</v>
      </c>
      <c r="M113" s="3" t="str">
        <f>VLOOKUP(B113,AE_weight!$AP$329:$AX$360,C113+1)</f>
        <v>5566</v>
      </c>
      <c r="N113" s="119"/>
      <c r="O113" s="119"/>
      <c r="P113" s="119"/>
      <c r="Q113" s="4"/>
      <c r="U113" s="4"/>
    </row>
    <row r="114" spans="1:21">
      <c r="A114" s="1">
        <f t="shared" si="15"/>
        <v>109</v>
      </c>
      <c r="B114" s="1">
        <v>13</v>
      </c>
      <c r="C114" s="1">
        <v>5</v>
      </c>
      <c r="D114" s="3" t="str">
        <f>VLOOKUP(B114,AE_weight!$AP$4:$AX$36,C114+1)</f>
        <v>5555</v>
      </c>
      <c r="E114" s="3" t="str">
        <f>VLOOKUP(B114,AE_weight!$AP$40:$AX$72,C114+1)</f>
        <v>2222</v>
      </c>
      <c r="F114" s="3" t="str">
        <f>VLOOKUP(B114,AE_weight!$AP$76:$AX$108,C114+1)</f>
        <v>DDDD</v>
      </c>
      <c r="G114" s="3" t="str">
        <f>VLOOKUP(B114,AE_weight!$AP$112:$AX$144,C114+1)</f>
        <v>5555</v>
      </c>
      <c r="H114" s="3" t="str">
        <f>VLOOKUP(B114,AE_weight!$AP$149:$AX$180,C114+1)</f>
        <v>0000</v>
      </c>
      <c r="I114" s="3" t="str">
        <f>VLOOKUP(B114,AE_weight!$AP$185:$AX$216,C114+1)</f>
        <v>FFDD</v>
      </c>
      <c r="J114" s="3" t="str">
        <f>VLOOKUP(B114,AE_weight!$AP$221:$AX$252,C114+1)</f>
        <v>DDDD</v>
      </c>
      <c r="K114" s="3" t="str">
        <f>VLOOKUP(B114,AE_weight!$AP$257:$AX$288,C114+1)</f>
        <v>1100</v>
      </c>
      <c r="L114" s="3" t="str">
        <f>VLOOKUP(B114,AE_weight!$AP$293:$AX$324,C114+1)</f>
        <v>0000</v>
      </c>
      <c r="M114" s="3" t="str">
        <f>VLOOKUP(B114,AE_weight!$AP$329:$AX$360,C114+1)</f>
        <v>6655</v>
      </c>
      <c r="N114" s="119"/>
      <c r="O114" s="119"/>
      <c r="P114" s="119"/>
      <c r="Q114" s="4"/>
      <c r="U114" s="4"/>
    </row>
    <row r="115" spans="1:21">
      <c r="A115" s="1">
        <f t="shared" si="15"/>
        <v>110</v>
      </c>
      <c r="B115" s="1">
        <f t="shared" ref="B115:B117" si="27">B114</f>
        <v>13</v>
      </c>
      <c r="C115" s="1">
        <v>6</v>
      </c>
      <c r="D115" s="3" t="str">
        <f>VLOOKUP(B115,AE_weight!$AP$4:$AX$36,C115+1)</f>
        <v>5544</v>
      </c>
      <c r="E115" s="3" t="str">
        <f>VLOOKUP(B115,AE_weight!$AP$40:$AX$72,C115+1)</f>
        <v>2222</v>
      </c>
      <c r="F115" s="3" t="str">
        <f>VLOOKUP(B115,AE_weight!$AP$76:$AX$108,C115+1)</f>
        <v>4433</v>
      </c>
      <c r="G115" s="3" t="str">
        <f>VLOOKUP(B115,AE_weight!$AP$112:$AX$144,C115+1)</f>
        <v>3322</v>
      </c>
      <c r="H115" s="3" t="str">
        <f>VLOOKUP(B115,AE_weight!$AP$149:$AX$180,C115+1)</f>
        <v>0000</v>
      </c>
      <c r="I115" s="3" t="str">
        <f>VLOOKUP(B115,AE_weight!$AP$185:$AX$216,C115+1)</f>
        <v>DD00</v>
      </c>
      <c r="J115" s="3" t="str">
        <f>VLOOKUP(B115,AE_weight!$AP$221:$AX$252,C115+1)</f>
        <v>BB77</v>
      </c>
      <c r="K115" s="3" t="str">
        <f>VLOOKUP(B115,AE_weight!$AP$257:$AX$288,C115+1)</f>
        <v>1100</v>
      </c>
      <c r="L115" s="3" t="str">
        <f>VLOOKUP(B115,AE_weight!$AP$293:$AX$324,C115+1)</f>
        <v>0000</v>
      </c>
      <c r="M115" s="3" t="str">
        <f>VLOOKUP(B115,AE_weight!$AP$329:$AX$360,C115+1)</f>
        <v>5544</v>
      </c>
      <c r="N115" s="119"/>
      <c r="O115" s="119"/>
      <c r="P115" s="119"/>
      <c r="Q115" s="4"/>
      <c r="U115" s="4"/>
    </row>
    <row r="116" spans="1:21">
      <c r="A116" s="1">
        <f t="shared" si="15"/>
        <v>111</v>
      </c>
      <c r="B116" s="1">
        <f t="shared" si="27"/>
        <v>13</v>
      </c>
      <c r="C116" s="1">
        <v>7</v>
      </c>
      <c r="D116" s="3" t="str">
        <f>VLOOKUP(B116,AE_weight!$AP$4:$AX$36,C116+1)</f>
        <v>3322</v>
      </c>
      <c r="E116" s="3" t="str">
        <f>VLOOKUP(B116,AE_weight!$AP$40:$AX$72,C116+1)</f>
        <v>2222</v>
      </c>
      <c r="F116" s="3" t="str">
        <f>VLOOKUP(B116,AE_weight!$AP$76:$AX$108,C116+1)</f>
        <v>3322</v>
      </c>
      <c r="G116" s="3" t="str">
        <f>VLOOKUP(B116,AE_weight!$AP$112:$AX$144,C116+1)</f>
        <v>2222</v>
      </c>
      <c r="H116" s="3" t="str">
        <f>VLOOKUP(B116,AE_weight!$AP$149:$AX$180,C116+1)</f>
        <v>0000</v>
      </c>
      <c r="I116" s="3" t="str">
        <f>VLOOKUP(B116,AE_weight!$AP$185:$AX$216,C116+1)</f>
        <v>0000</v>
      </c>
      <c r="J116" s="3" t="str">
        <f>VLOOKUP(B116,AE_weight!$AP$221:$AX$252,C116+1)</f>
        <v>0000</v>
      </c>
      <c r="K116" s="3" t="str">
        <f>VLOOKUP(B116,AE_weight!$AP$257:$AX$288,C116+1)</f>
        <v>1100</v>
      </c>
      <c r="L116" s="3" t="str">
        <f>VLOOKUP(B116,AE_weight!$AP$293:$AX$324,C116+1)</f>
        <v>0000</v>
      </c>
      <c r="M116" s="3" t="str">
        <f>VLOOKUP(B116,AE_weight!$AP$329:$AX$360,C116+1)</f>
        <v>3322</v>
      </c>
      <c r="N116" s="119"/>
      <c r="O116" s="119"/>
      <c r="P116" s="119"/>
      <c r="Q116" s="4"/>
      <c r="U116" s="4"/>
    </row>
    <row r="117" spans="1:21">
      <c r="A117" s="1">
        <f t="shared" si="15"/>
        <v>112</v>
      </c>
      <c r="B117" s="1">
        <f t="shared" si="27"/>
        <v>13</v>
      </c>
      <c r="C117" s="1">
        <v>8</v>
      </c>
      <c r="D117" s="3" t="str">
        <f>VLOOKUP(B117,AE_weight!$AP$4:$AX$36,C117+1)</f>
        <v>1100</v>
      </c>
      <c r="E117" s="3" t="str">
        <f>VLOOKUP(B117,AE_weight!$AP$40:$AX$72,C117+1)</f>
        <v>2222</v>
      </c>
      <c r="F117" s="3" t="str">
        <f>VLOOKUP(B117,AE_weight!$AP$76:$AX$108,C117+1)</f>
        <v>0000</v>
      </c>
      <c r="G117" s="3" t="str">
        <f>VLOOKUP(B117,AE_weight!$AP$112:$AX$144,C117+1)</f>
        <v>2222</v>
      </c>
      <c r="H117" s="3" t="str">
        <f>VLOOKUP(B117,AE_weight!$AP$149:$AX$180,C117+1)</f>
        <v>0000</v>
      </c>
      <c r="I117" s="3" t="str">
        <f>VLOOKUP(B117,AE_weight!$AP$185:$AX$216,C117+1)</f>
        <v>0000</v>
      </c>
      <c r="J117" s="3" t="str">
        <f>VLOOKUP(B117,AE_weight!$AP$221:$AX$252,C117+1)</f>
        <v>0000</v>
      </c>
      <c r="K117" s="3" t="str">
        <f>VLOOKUP(B117,AE_weight!$AP$257:$AX$288,C117+1)</f>
        <v>0000</v>
      </c>
      <c r="L117" s="3" t="str">
        <f>VLOOKUP(B117,AE_weight!$AP$293:$AX$324,C117+1)</f>
        <v>0000</v>
      </c>
      <c r="M117" s="3" t="str">
        <f>VLOOKUP(B117,AE_weight!$AP$329:$AX$360,C117+1)</f>
        <v>1100</v>
      </c>
      <c r="N117" s="119"/>
      <c r="O117" s="119"/>
      <c r="P117" s="119"/>
      <c r="Q117" s="4"/>
      <c r="U117" s="4"/>
    </row>
    <row r="118" spans="1:21">
      <c r="A118" s="1">
        <f t="shared" si="15"/>
        <v>113</v>
      </c>
      <c r="B118" s="1">
        <v>14</v>
      </c>
      <c r="C118" s="1">
        <v>1</v>
      </c>
      <c r="D118" s="3" t="str">
        <f>VLOOKUP(B118,AE_weight!$AP$4:$AX$36,C118+1)</f>
        <v>0011</v>
      </c>
      <c r="E118" s="3" t="str">
        <f>VLOOKUP(B118,AE_weight!$AP$40:$AX$72,C118+1)</f>
        <v>2222</v>
      </c>
      <c r="F118" s="3" t="str">
        <f>VLOOKUP(B118,AE_weight!$AP$76:$AX$108,C118+1)</f>
        <v>0000</v>
      </c>
      <c r="G118" s="3" t="str">
        <f>VLOOKUP(B118,AE_weight!$AP$112:$AX$144,C118+1)</f>
        <v>2222</v>
      </c>
      <c r="H118" s="3" t="str">
        <f>VLOOKUP(B118,AE_weight!$AP$149:$AX$180,C118+1)</f>
        <v>0000</v>
      </c>
      <c r="I118" s="3" t="str">
        <f>VLOOKUP(B118,AE_weight!$AP$185:$AX$216,C118+1)</f>
        <v>0000</v>
      </c>
      <c r="J118" s="3" t="str">
        <f>VLOOKUP(B118,AE_weight!$AP$221:$AX$252,C118+1)</f>
        <v>0000</v>
      </c>
      <c r="K118" s="3" t="str">
        <f>VLOOKUP(B118,AE_weight!$AP$257:$AX$288,C118+1)</f>
        <v>0000</v>
      </c>
      <c r="L118" s="3" t="str">
        <f>VLOOKUP(B118,AE_weight!$AP$293:$AX$324,C118+1)</f>
        <v>0000</v>
      </c>
      <c r="M118" s="3" t="str">
        <f>VLOOKUP(B118,AE_weight!$AP$329:$AX$360,C118+1)</f>
        <v>0011</v>
      </c>
      <c r="N118" s="119"/>
      <c r="O118" s="119"/>
      <c r="P118" s="119"/>
      <c r="Q118" s="4"/>
      <c r="U118" s="4"/>
    </row>
    <row r="119" spans="1:21">
      <c r="A119" s="1">
        <f t="shared" si="15"/>
        <v>114</v>
      </c>
      <c r="B119" s="1">
        <f t="shared" ref="B119:B121" si="28">B118</f>
        <v>14</v>
      </c>
      <c r="C119" s="1">
        <v>2</v>
      </c>
      <c r="D119" s="3" t="str">
        <f>VLOOKUP(B119,AE_weight!$AP$4:$AX$36,C119+1)</f>
        <v>2233</v>
      </c>
      <c r="E119" s="3" t="str">
        <f>VLOOKUP(B119,AE_weight!$AP$40:$AX$72,C119+1)</f>
        <v>2222</v>
      </c>
      <c r="F119" s="3" t="str">
        <f>VLOOKUP(B119,AE_weight!$AP$76:$AX$108,C119+1)</f>
        <v>2233</v>
      </c>
      <c r="G119" s="3" t="str">
        <f>VLOOKUP(B119,AE_weight!$AP$112:$AX$144,C119+1)</f>
        <v>2222</v>
      </c>
      <c r="H119" s="3" t="str">
        <f>VLOOKUP(B119,AE_weight!$AP$149:$AX$180,C119+1)</f>
        <v>0000</v>
      </c>
      <c r="I119" s="3" t="str">
        <f>VLOOKUP(B119,AE_weight!$AP$185:$AX$216,C119+1)</f>
        <v>0000</v>
      </c>
      <c r="J119" s="3" t="str">
        <f>VLOOKUP(B119,AE_weight!$AP$221:$AX$252,C119+1)</f>
        <v>0000</v>
      </c>
      <c r="K119" s="3" t="str">
        <f>VLOOKUP(B119,AE_weight!$AP$257:$AX$288,C119+1)</f>
        <v>0000</v>
      </c>
      <c r="L119" s="3" t="str">
        <f>VLOOKUP(B119,AE_weight!$AP$293:$AX$324,C119+1)</f>
        <v>0000</v>
      </c>
      <c r="M119" s="3" t="str">
        <f>VLOOKUP(B119,AE_weight!$AP$329:$AX$360,C119+1)</f>
        <v>2233</v>
      </c>
      <c r="N119" s="119"/>
      <c r="O119" s="119"/>
      <c r="P119" s="119"/>
      <c r="Q119" s="4"/>
      <c r="U119" s="4"/>
    </row>
    <row r="120" spans="1:21">
      <c r="A120" s="1">
        <f t="shared" si="15"/>
        <v>115</v>
      </c>
      <c r="B120" s="1">
        <f t="shared" si="28"/>
        <v>14</v>
      </c>
      <c r="C120" s="1">
        <v>3</v>
      </c>
      <c r="D120" s="3" t="str">
        <f>VLOOKUP(B120,AE_weight!$AP$4:$AX$36,C120+1)</f>
        <v>4455</v>
      </c>
      <c r="E120" s="3" t="str">
        <f>VLOOKUP(B120,AE_weight!$AP$40:$AX$72,C120+1)</f>
        <v>2222</v>
      </c>
      <c r="F120" s="3" t="str">
        <f>VLOOKUP(B120,AE_weight!$AP$76:$AX$108,C120+1)</f>
        <v>4455</v>
      </c>
      <c r="G120" s="3" t="str">
        <f>VLOOKUP(B120,AE_weight!$AP$112:$AX$144,C120+1)</f>
        <v>2233</v>
      </c>
      <c r="H120" s="3" t="str">
        <f>VLOOKUP(B120,AE_weight!$AP$149:$AX$180,C120+1)</f>
        <v>0000</v>
      </c>
      <c r="I120" s="3" t="str">
        <f>VLOOKUP(B120,AE_weight!$AP$185:$AX$216,C120+1)</f>
        <v>00DD</v>
      </c>
      <c r="J120" s="3" t="str">
        <f>VLOOKUP(B120,AE_weight!$AP$221:$AX$252,C120+1)</f>
        <v>77BB</v>
      </c>
      <c r="K120" s="3" t="str">
        <f>VLOOKUP(B120,AE_weight!$AP$257:$AX$288,C120+1)</f>
        <v>0000</v>
      </c>
      <c r="L120" s="3" t="str">
        <f>VLOOKUP(B120,AE_weight!$AP$293:$AX$324,C120+1)</f>
        <v>0000</v>
      </c>
      <c r="M120" s="3" t="str">
        <f>VLOOKUP(B120,AE_weight!$AP$329:$AX$360,C120+1)</f>
        <v>4455</v>
      </c>
      <c r="N120" s="119"/>
      <c r="O120" s="119"/>
      <c r="P120" s="119"/>
      <c r="Q120" s="4"/>
      <c r="U120" s="4"/>
    </row>
    <row r="121" spans="1:21">
      <c r="A121" s="1">
        <f t="shared" si="15"/>
        <v>116</v>
      </c>
      <c r="B121" s="1">
        <f t="shared" si="28"/>
        <v>14</v>
      </c>
      <c r="C121" s="1">
        <v>4</v>
      </c>
      <c r="D121" s="3" t="str">
        <f>VLOOKUP(B121,AE_weight!$AP$4:$AX$36,C121+1)</f>
        <v>5555</v>
      </c>
      <c r="E121" s="3" t="str">
        <f>VLOOKUP(B121,AE_weight!$AP$40:$AX$72,C121+1)</f>
        <v>2222</v>
      </c>
      <c r="F121" s="3" t="str">
        <f>VLOOKUP(B121,AE_weight!$AP$76:$AX$108,C121+1)</f>
        <v>DDDD</v>
      </c>
      <c r="G121" s="3" t="str">
        <f>VLOOKUP(B121,AE_weight!$AP$112:$AX$144,C121+1)</f>
        <v>5555</v>
      </c>
      <c r="H121" s="3" t="str">
        <f>VLOOKUP(B121,AE_weight!$AP$149:$AX$180,C121+1)</f>
        <v>00FF</v>
      </c>
      <c r="I121" s="3" t="str">
        <f>VLOOKUP(B121,AE_weight!$AP$185:$AX$216,C121+1)</f>
        <v>FFFF</v>
      </c>
      <c r="J121" s="3" t="str">
        <f>VLOOKUP(B121,AE_weight!$AP$221:$AX$252,C121+1)</f>
        <v>DDFF</v>
      </c>
      <c r="K121" s="3" t="str">
        <f>VLOOKUP(B121,AE_weight!$AP$257:$AX$288,C121+1)</f>
        <v>0000</v>
      </c>
      <c r="L121" s="3" t="str">
        <f>VLOOKUP(B121,AE_weight!$AP$293:$AX$324,C121+1)</f>
        <v>0000</v>
      </c>
      <c r="M121" s="3" t="str">
        <f>VLOOKUP(B121,AE_weight!$AP$329:$AX$360,C121+1)</f>
        <v>6666</v>
      </c>
      <c r="N121" s="119"/>
      <c r="O121" s="119"/>
      <c r="P121" s="119"/>
      <c r="Q121" s="4"/>
      <c r="U121" s="4"/>
    </row>
    <row r="122" spans="1:21">
      <c r="A122" s="1">
        <f t="shared" si="15"/>
        <v>117</v>
      </c>
      <c r="B122" s="1">
        <v>14</v>
      </c>
      <c r="C122" s="1">
        <v>5</v>
      </c>
      <c r="D122" s="3" t="str">
        <f>VLOOKUP(B122,AE_weight!$AP$4:$AX$36,C122+1)</f>
        <v>5555</v>
      </c>
      <c r="E122" s="3" t="str">
        <f>VLOOKUP(B122,AE_weight!$AP$40:$AX$72,C122+1)</f>
        <v>2222</v>
      </c>
      <c r="F122" s="3" t="str">
        <f>VLOOKUP(B122,AE_weight!$AP$76:$AX$108,C122+1)</f>
        <v>DDDD</v>
      </c>
      <c r="G122" s="3" t="str">
        <f>VLOOKUP(B122,AE_weight!$AP$112:$AX$144,C122+1)</f>
        <v>5555</v>
      </c>
      <c r="H122" s="3" t="str">
        <f>VLOOKUP(B122,AE_weight!$AP$149:$AX$180,C122+1)</f>
        <v>FF00</v>
      </c>
      <c r="I122" s="3" t="str">
        <f>VLOOKUP(B122,AE_weight!$AP$185:$AX$216,C122+1)</f>
        <v>FFFF</v>
      </c>
      <c r="J122" s="3" t="str">
        <f>VLOOKUP(B122,AE_weight!$AP$221:$AX$252,C122+1)</f>
        <v>FFDD</v>
      </c>
      <c r="K122" s="3" t="str">
        <f>VLOOKUP(B122,AE_weight!$AP$257:$AX$288,C122+1)</f>
        <v>0000</v>
      </c>
      <c r="L122" s="3" t="str">
        <f>VLOOKUP(B122,AE_weight!$AP$293:$AX$324,C122+1)</f>
        <v>0000</v>
      </c>
      <c r="M122" s="3" t="str">
        <f>VLOOKUP(B122,AE_weight!$AP$329:$AX$360,C122+1)</f>
        <v>6666</v>
      </c>
      <c r="N122" s="119"/>
      <c r="O122" s="119"/>
      <c r="P122" s="119"/>
      <c r="Q122" s="4"/>
      <c r="U122" s="4"/>
    </row>
    <row r="123" spans="1:21">
      <c r="A123" s="1">
        <f t="shared" si="15"/>
        <v>118</v>
      </c>
      <c r="B123" s="1">
        <f t="shared" ref="B123:B125" si="29">B122</f>
        <v>14</v>
      </c>
      <c r="C123" s="1">
        <v>6</v>
      </c>
      <c r="D123" s="3" t="str">
        <f>VLOOKUP(B123,AE_weight!$AP$4:$AX$36,C123+1)</f>
        <v>5544</v>
      </c>
      <c r="E123" s="3" t="str">
        <f>VLOOKUP(B123,AE_weight!$AP$40:$AX$72,C123+1)</f>
        <v>2222</v>
      </c>
      <c r="F123" s="3" t="str">
        <f>VLOOKUP(B123,AE_weight!$AP$76:$AX$108,C123+1)</f>
        <v>5544</v>
      </c>
      <c r="G123" s="3" t="str">
        <f>VLOOKUP(B123,AE_weight!$AP$112:$AX$144,C123+1)</f>
        <v>3322</v>
      </c>
      <c r="H123" s="3" t="str">
        <f>VLOOKUP(B123,AE_weight!$AP$149:$AX$180,C123+1)</f>
        <v>0000</v>
      </c>
      <c r="I123" s="3" t="str">
        <f>VLOOKUP(B123,AE_weight!$AP$185:$AX$216,C123+1)</f>
        <v>DD00</v>
      </c>
      <c r="J123" s="3" t="str">
        <f>VLOOKUP(B123,AE_weight!$AP$221:$AX$252,C123+1)</f>
        <v>BB77</v>
      </c>
      <c r="K123" s="3" t="str">
        <f>VLOOKUP(B123,AE_weight!$AP$257:$AX$288,C123+1)</f>
        <v>0000</v>
      </c>
      <c r="L123" s="3" t="str">
        <f>VLOOKUP(B123,AE_weight!$AP$293:$AX$324,C123+1)</f>
        <v>0000</v>
      </c>
      <c r="M123" s="3" t="str">
        <f>VLOOKUP(B123,AE_weight!$AP$329:$AX$360,C123+1)</f>
        <v>5544</v>
      </c>
      <c r="N123" s="119"/>
      <c r="O123" s="119"/>
      <c r="P123" s="119"/>
      <c r="Q123" s="4"/>
      <c r="U123" s="4"/>
    </row>
    <row r="124" spans="1:21">
      <c r="A124" s="1">
        <f t="shared" si="15"/>
        <v>119</v>
      </c>
      <c r="B124" s="1">
        <f t="shared" si="29"/>
        <v>14</v>
      </c>
      <c r="C124" s="1">
        <v>7</v>
      </c>
      <c r="D124" s="3" t="str">
        <f>VLOOKUP(B124,AE_weight!$AP$4:$AX$36,C124+1)</f>
        <v>4422</v>
      </c>
      <c r="E124" s="3" t="str">
        <f>VLOOKUP(B124,AE_weight!$AP$40:$AX$72,C124+1)</f>
        <v>2222</v>
      </c>
      <c r="F124" s="3" t="str">
        <f>VLOOKUP(B124,AE_weight!$AP$76:$AX$108,C124+1)</f>
        <v>3322</v>
      </c>
      <c r="G124" s="3" t="str">
        <f>VLOOKUP(B124,AE_weight!$AP$112:$AX$144,C124+1)</f>
        <v>2222</v>
      </c>
      <c r="H124" s="3" t="str">
        <f>VLOOKUP(B124,AE_weight!$AP$149:$AX$180,C124+1)</f>
        <v>0000</v>
      </c>
      <c r="I124" s="3" t="str">
        <f>VLOOKUP(B124,AE_weight!$AP$185:$AX$216,C124+1)</f>
        <v>0000</v>
      </c>
      <c r="J124" s="3" t="str">
        <f>VLOOKUP(B124,AE_weight!$AP$221:$AX$252,C124+1)</f>
        <v>0000</v>
      </c>
      <c r="K124" s="3" t="str">
        <f>VLOOKUP(B124,AE_weight!$AP$257:$AX$288,C124+1)</f>
        <v>0000</v>
      </c>
      <c r="L124" s="3" t="str">
        <f>VLOOKUP(B124,AE_weight!$AP$293:$AX$324,C124+1)</f>
        <v>0000</v>
      </c>
      <c r="M124" s="3" t="str">
        <f>VLOOKUP(B124,AE_weight!$AP$329:$AX$360,C124+1)</f>
        <v>3322</v>
      </c>
      <c r="N124" s="119"/>
      <c r="O124" s="119"/>
      <c r="P124" s="119"/>
    </row>
    <row r="125" spans="1:21">
      <c r="A125" s="1">
        <f t="shared" si="15"/>
        <v>120</v>
      </c>
      <c r="B125" s="1">
        <f t="shared" si="29"/>
        <v>14</v>
      </c>
      <c r="C125" s="1">
        <v>8</v>
      </c>
      <c r="D125" s="3" t="str">
        <f>VLOOKUP(B125,AE_weight!$AP$4:$AX$36,C125+1)</f>
        <v>1100</v>
      </c>
      <c r="E125" s="3" t="str">
        <f>VLOOKUP(B125,AE_weight!$AP$40:$AX$72,C125+1)</f>
        <v>2222</v>
      </c>
      <c r="F125" s="3" t="str">
        <f>VLOOKUP(B125,AE_weight!$AP$76:$AX$108,C125+1)</f>
        <v>0000</v>
      </c>
      <c r="G125" s="3" t="str">
        <f>VLOOKUP(B125,AE_weight!$AP$112:$AX$144,C125+1)</f>
        <v>2222</v>
      </c>
      <c r="H125" s="3" t="str">
        <f>VLOOKUP(B125,AE_weight!$AP$149:$AX$180,C125+1)</f>
        <v>0000</v>
      </c>
      <c r="I125" s="3" t="str">
        <f>VLOOKUP(B125,AE_weight!$AP$185:$AX$216,C125+1)</f>
        <v>0000</v>
      </c>
      <c r="J125" s="3" t="str">
        <f>VLOOKUP(B125,AE_weight!$AP$221:$AX$252,C125+1)</f>
        <v>0000</v>
      </c>
      <c r="K125" s="3" t="str">
        <f>VLOOKUP(B125,AE_weight!$AP$257:$AX$288,C125+1)</f>
        <v>0000</v>
      </c>
      <c r="L125" s="3" t="str">
        <f>VLOOKUP(B125,AE_weight!$AP$293:$AX$324,C125+1)</f>
        <v>0000</v>
      </c>
      <c r="M125" s="3" t="str">
        <f>VLOOKUP(B125,AE_weight!$AP$329:$AX$360,C125+1)</f>
        <v>1100</v>
      </c>
      <c r="N125" s="119"/>
      <c r="O125" s="119"/>
      <c r="P125" s="119"/>
    </row>
    <row r="126" spans="1:21">
      <c r="A126" s="1">
        <f t="shared" si="15"/>
        <v>121</v>
      </c>
      <c r="B126" s="1">
        <v>15</v>
      </c>
      <c r="C126" s="1">
        <v>1</v>
      </c>
      <c r="D126" s="3" t="str">
        <f>VLOOKUP(B126,AE_weight!$AP$4:$AX$36,C126+1)</f>
        <v>0011</v>
      </c>
      <c r="E126" s="3" t="str">
        <f>VLOOKUP(B126,AE_weight!$AP$40:$AX$72,C126+1)</f>
        <v>2222</v>
      </c>
      <c r="F126" s="3" t="str">
        <f>VLOOKUP(B126,AE_weight!$AP$76:$AX$108,C126+1)</f>
        <v>0000</v>
      </c>
      <c r="G126" s="3" t="str">
        <f>VLOOKUP(B126,AE_weight!$AP$112:$AX$144,C126+1)</f>
        <v>2222</v>
      </c>
      <c r="H126" s="3" t="str">
        <f>VLOOKUP(B126,AE_weight!$AP$149:$AX$180,C126+1)</f>
        <v>0000</v>
      </c>
      <c r="I126" s="3" t="str">
        <f>VLOOKUP(B126,AE_weight!$AP$185:$AX$216,C126+1)</f>
        <v>0000</v>
      </c>
      <c r="J126" s="3" t="str">
        <f>VLOOKUP(B126,AE_weight!$AP$221:$AX$252,C126+1)</f>
        <v>0000</v>
      </c>
      <c r="K126" s="3" t="str">
        <f>VLOOKUP(B126,AE_weight!$AP$257:$AX$288,C126+1)</f>
        <v>0000</v>
      </c>
      <c r="L126" s="3" t="str">
        <f>VLOOKUP(B126,AE_weight!$AP$293:$AX$324,C126+1)</f>
        <v>0000</v>
      </c>
      <c r="M126" s="3" t="str">
        <f>VLOOKUP(B126,AE_weight!$AP$329:$AX$360,C126+1)</f>
        <v>0011</v>
      </c>
      <c r="N126" s="119"/>
      <c r="O126" s="119"/>
      <c r="P126" s="119"/>
    </row>
    <row r="127" spans="1:21">
      <c r="A127" s="1">
        <f t="shared" si="15"/>
        <v>122</v>
      </c>
      <c r="B127" s="1">
        <f t="shared" ref="B127:B129" si="30">B126</f>
        <v>15</v>
      </c>
      <c r="C127" s="1">
        <v>2</v>
      </c>
      <c r="D127" s="3" t="str">
        <f>VLOOKUP(B127,AE_weight!$AP$4:$AX$36,C127+1)</f>
        <v>2244</v>
      </c>
      <c r="E127" s="3" t="str">
        <f>VLOOKUP(B127,AE_weight!$AP$40:$AX$72,C127+1)</f>
        <v>2222</v>
      </c>
      <c r="F127" s="3" t="str">
        <f>VLOOKUP(B127,AE_weight!$AP$76:$AX$108,C127+1)</f>
        <v>2233</v>
      </c>
      <c r="G127" s="3" t="str">
        <f>VLOOKUP(B127,AE_weight!$AP$112:$AX$144,C127+1)</f>
        <v>2222</v>
      </c>
      <c r="H127" s="3" t="str">
        <f>VLOOKUP(B127,AE_weight!$AP$149:$AX$180,C127+1)</f>
        <v>0000</v>
      </c>
      <c r="I127" s="3" t="str">
        <f>VLOOKUP(B127,AE_weight!$AP$185:$AX$216,C127+1)</f>
        <v>0000</v>
      </c>
      <c r="J127" s="3" t="str">
        <f>VLOOKUP(B127,AE_weight!$AP$221:$AX$252,C127+1)</f>
        <v>0000</v>
      </c>
      <c r="K127" s="3" t="str">
        <f>VLOOKUP(B127,AE_weight!$AP$257:$AX$288,C127+1)</f>
        <v>1100</v>
      </c>
      <c r="L127" s="3" t="str">
        <f>VLOOKUP(B127,AE_weight!$AP$293:$AX$324,C127+1)</f>
        <v>0000</v>
      </c>
      <c r="M127" s="3" t="str">
        <f>VLOOKUP(B127,AE_weight!$AP$329:$AX$360,C127+1)</f>
        <v>2233</v>
      </c>
      <c r="N127" s="119"/>
      <c r="O127" s="119"/>
      <c r="P127" s="119"/>
    </row>
    <row r="128" spans="1:21">
      <c r="A128" s="1">
        <f t="shared" si="15"/>
        <v>123</v>
      </c>
      <c r="B128" s="1">
        <f t="shared" si="30"/>
        <v>15</v>
      </c>
      <c r="C128" s="1">
        <v>3</v>
      </c>
      <c r="D128" s="3" t="str">
        <f>VLOOKUP(B128,AE_weight!$AP$4:$AX$36,C128+1)</f>
        <v>4455</v>
      </c>
      <c r="E128" s="3" t="str">
        <f>VLOOKUP(B128,AE_weight!$AP$40:$AX$72,C128+1)</f>
        <v>2222</v>
      </c>
      <c r="F128" s="3" t="str">
        <f>VLOOKUP(B128,AE_weight!$AP$76:$AX$108,C128+1)</f>
        <v>4455</v>
      </c>
      <c r="G128" s="3" t="str">
        <f>VLOOKUP(B128,AE_weight!$AP$112:$AX$144,C128+1)</f>
        <v>2233</v>
      </c>
      <c r="H128" s="3" t="str">
        <f>VLOOKUP(B128,AE_weight!$AP$149:$AX$180,C128+1)</f>
        <v>0000</v>
      </c>
      <c r="I128" s="3" t="str">
        <f>VLOOKUP(B128,AE_weight!$AP$185:$AX$216,C128+1)</f>
        <v>00DD</v>
      </c>
      <c r="J128" s="3" t="str">
        <f>VLOOKUP(B128,AE_weight!$AP$221:$AX$252,C128+1)</f>
        <v>77BB</v>
      </c>
      <c r="K128" s="3" t="str">
        <f>VLOOKUP(B128,AE_weight!$AP$257:$AX$288,C128+1)</f>
        <v>1100</v>
      </c>
      <c r="L128" s="3" t="str">
        <f>VLOOKUP(B128,AE_weight!$AP$293:$AX$324,C128+1)</f>
        <v>1100</v>
      </c>
      <c r="M128" s="3" t="str">
        <f>VLOOKUP(B128,AE_weight!$AP$329:$AX$360,C128+1)</f>
        <v>4455</v>
      </c>
      <c r="N128" s="119"/>
      <c r="O128" s="119"/>
      <c r="P128" s="119"/>
    </row>
    <row r="129" spans="1:21">
      <c r="A129" s="1">
        <f t="shared" si="15"/>
        <v>124</v>
      </c>
      <c r="B129" s="1">
        <f t="shared" si="30"/>
        <v>15</v>
      </c>
      <c r="C129" s="1">
        <v>4</v>
      </c>
      <c r="D129" s="3" t="str">
        <f>VLOOKUP(B129,AE_weight!$AP$4:$AX$36,C129+1)</f>
        <v>5555</v>
      </c>
      <c r="E129" s="3" t="str">
        <f>VLOOKUP(B129,AE_weight!$AP$40:$AX$72,C129+1)</f>
        <v>2222</v>
      </c>
      <c r="F129" s="3" t="str">
        <f>VLOOKUP(B129,AE_weight!$AP$76:$AX$108,C129+1)</f>
        <v>DDDD</v>
      </c>
      <c r="G129" s="3" t="str">
        <f>VLOOKUP(B129,AE_weight!$AP$112:$AX$144,C129+1)</f>
        <v>5555</v>
      </c>
      <c r="H129" s="3" t="str">
        <f>VLOOKUP(B129,AE_weight!$AP$149:$AX$180,C129+1)</f>
        <v>00FF</v>
      </c>
      <c r="I129" s="3" t="str">
        <f>VLOOKUP(B129,AE_weight!$AP$185:$AX$216,C129+1)</f>
        <v>FFFF</v>
      </c>
      <c r="J129" s="3" t="str">
        <f>VLOOKUP(B129,AE_weight!$AP$221:$AX$252,C129+1)</f>
        <v>DDFF</v>
      </c>
      <c r="K129" s="3" t="str">
        <f>VLOOKUP(B129,AE_weight!$AP$257:$AX$288,C129+1)</f>
        <v>1100</v>
      </c>
      <c r="L129" s="3" t="str">
        <f>VLOOKUP(B129,AE_weight!$AP$293:$AX$324,C129+1)</f>
        <v>0000</v>
      </c>
      <c r="M129" s="3" t="str">
        <f>VLOOKUP(B129,AE_weight!$AP$329:$AX$360,C129+1)</f>
        <v>6666</v>
      </c>
      <c r="N129" s="119"/>
      <c r="O129" s="119"/>
      <c r="P129" s="119"/>
      <c r="Q129" s="4"/>
      <c r="U129" s="4"/>
    </row>
    <row r="130" spans="1:21">
      <c r="A130" s="1">
        <f t="shared" si="15"/>
        <v>125</v>
      </c>
      <c r="B130" s="1">
        <v>15</v>
      </c>
      <c r="C130" s="1">
        <v>5</v>
      </c>
      <c r="D130" s="3" t="str">
        <f>VLOOKUP(B130,AE_weight!$AP$4:$AX$36,C130+1)</f>
        <v>5555</v>
      </c>
      <c r="E130" s="3" t="str">
        <f>VLOOKUP(B130,AE_weight!$AP$40:$AX$72,C130+1)</f>
        <v>2222</v>
      </c>
      <c r="F130" s="3" t="str">
        <f>VLOOKUP(B130,AE_weight!$AP$76:$AX$108,C130+1)</f>
        <v>DDDD</v>
      </c>
      <c r="G130" s="3" t="str">
        <f>VLOOKUP(B130,AE_weight!$AP$112:$AX$144,C130+1)</f>
        <v>5555</v>
      </c>
      <c r="H130" s="3" t="str">
        <f>VLOOKUP(B130,AE_weight!$AP$149:$AX$180,C130+1)</f>
        <v>FF00</v>
      </c>
      <c r="I130" s="3" t="str">
        <f>VLOOKUP(B130,AE_weight!$AP$185:$AX$216,C130+1)</f>
        <v>FFFF</v>
      </c>
      <c r="J130" s="3" t="str">
        <f>VLOOKUP(B130,AE_weight!$AP$221:$AX$252,C130+1)</f>
        <v>FFDD</v>
      </c>
      <c r="K130" s="3" t="str">
        <f>VLOOKUP(B130,AE_weight!$AP$257:$AX$288,C130+1)</f>
        <v>0011</v>
      </c>
      <c r="L130" s="3" t="str">
        <f>VLOOKUP(B130,AE_weight!$AP$293:$AX$324,C130+1)</f>
        <v>0000</v>
      </c>
      <c r="M130" s="3" t="str">
        <f>VLOOKUP(B130,AE_weight!$AP$329:$AX$360,C130+1)</f>
        <v>6666</v>
      </c>
      <c r="N130" s="119"/>
      <c r="O130" s="119"/>
      <c r="P130" s="119"/>
      <c r="Q130" s="4"/>
      <c r="U130" s="4"/>
    </row>
    <row r="131" spans="1:21">
      <c r="A131" s="1">
        <f t="shared" si="15"/>
        <v>126</v>
      </c>
      <c r="B131" s="1">
        <f t="shared" ref="B131:B133" si="31">B130</f>
        <v>15</v>
      </c>
      <c r="C131" s="1">
        <v>6</v>
      </c>
      <c r="D131" s="3" t="str">
        <f>VLOOKUP(B131,AE_weight!$AP$4:$AX$36,C131+1)</f>
        <v>5544</v>
      </c>
      <c r="E131" s="3" t="str">
        <f>VLOOKUP(B131,AE_weight!$AP$40:$AX$72,C131+1)</f>
        <v>2222</v>
      </c>
      <c r="F131" s="3" t="str">
        <f>VLOOKUP(B131,AE_weight!$AP$76:$AX$108,C131+1)</f>
        <v>5544</v>
      </c>
      <c r="G131" s="3" t="str">
        <f>VLOOKUP(B131,AE_weight!$AP$112:$AX$144,C131+1)</f>
        <v>3322</v>
      </c>
      <c r="H131" s="3" t="str">
        <f>VLOOKUP(B131,AE_weight!$AP$149:$AX$180,C131+1)</f>
        <v>0000</v>
      </c>
      <c r="I131" s="3" t="str">
        <f>VLOOKUP(B131,AE_weight!$AP$185:$AX$216,C131+1)</f>
        <v>DD00</v>
      </c>
      <c r="J131" s="3" t="str">
        <f>VLOOKUP(B131,AE_weight!$AP$221:$AX$252,C131+1)</f>
        <v>BB77</v>
      </c>
      <c r="K131" s="3" t="str">
        <f>VLOOKUP(B131,AE_weight!$AP$257:$AX$288,C131+1)</f>
        <v>0011</v>
      </c>
      <c r="L131" s="3" t="str">
        <f>VLOOKUP(B131,AE_weight!$AP$293:$AX$324,C131+1)</f>
        <v>0011</v>
      </c>
      <c r="M131" s="3" t="str">
        <f>VLOOKUP(B131,AE_weight!$AP$329:$AX$360,C131+1)</f>
        <v>5544</v>
      </c>
      <c r="N131" s="119"/>
      <c r="O131" s="119"/>
      <c r="P131" s="119"/>
      <c r="Q131" s="4"/>
      <c r="U131" s="4"/>
    </row>
    <row r="132" spans="1:21">
      <c r="A132" s="1">
        <f t="shared" si="15"/>
        <v>127</v>
      </c>
      <c r="B132" s="1">
        <f t="shared" si="31"/>
        <v>15</v>
      </c>
      <c r="C132" s="1">
        <v>7</v>
      </c>
      <c r="D132" s="3" t="str">
        <f>VLOOKUP(B132,AE_weight!$AP$4:$AX$36,C132+1)</f>
        <v>3322</v>
      </c>
      <c r="E132" s="3" t="str">
        <f>VLOOKUP(B132,AE_weight!$AP$40:$AX$72,C132+1)</f>
        <v>2222</v>
      </c>
      <c r="F132" s="3" t="str">
        <f>VLOOKUP(B132,AE_weight!$AP$76:$AX$108,C132+1)</f>
        <v>3322</v>
      </c>
      <c r="G132" s="3" t="str">
        <f>VLOOKUP(B132,AE_weight!$AP$112:$AX$144,C132+1)</f>
        <v>2222</v>
      </c>
      <c r="H132" s="3" t="str">
        <f>VLOOKUP(B132,AE_weight!$AP$149:$AX$180,C132+1)</f>
        <v>0000</v>
      </c>
      <c r="I132" s="3" t="str">
        <f>VLOOKUP(B132,AE_weight!$AP$185:$AX$216,C132+1)</f>
        <v>0000</v>
      </c>
      <c r="J132" s="3" t="str">
        <f>VLOOKUP(B132,AE_weight!$AP$221:$AX$252,C132+1)</f>
        <v>0000</v>
      </c>
      <c r="K132" s="3" t="str">
        <f>VLOOKUP(B132,AE_weight!$AP$257:$AX$288,C132+1)</f>
        <v>0011</v>
      </c>
      <c r="L132" s="3" t="str">
        <f>VLOOKUP(B132,AE_weight!$AP$293:$AX$324,C132+1)</f>
        <v>0000</v>
      </c>
      <c r="M132" s="3" t="str">
        <f>VLOOKUP(B132,AE_weight!$AP$329:$AX$360,C132+1)</f>
        <v>3322</v>
      </c>
      <c r="N132" s="119"/>
      <c r="O132" s="119"/>
      <c r="P132" s="119"/>
      <c r="Q132" s="4"/>
      <c r="U132" s="4"/>
    </row>
    <row r="133" spans="1:21">
      <c r="A133" s="1">
        <f t="shared" si="15"/>
        <v>128</v>
      </c>
      <c r="B133" s="1">
        <f t="shared" si="31"/>
        <v>15</v>
      </c>
      <c r="C133" s="1">
        <v>8</v>
      </c>
      <c r="D133" s="3" t="str">
        <f>VLOOKUP(B133,AE_weight!$AP$4:$AX$36,C133+1)</f>
        <v>1100</v>
      </c>
      <c r="E133" s="3" t="str">
        <f>VLOOKUP(B133,AE_weight!$AP$40:$AX$72,C133+1)</f>
        <v>2222</v>
      </c>
      <c r="F133" s="3" t="str">
        <f>VLOOKUP(B133,AE_weight!$AP$76:$AX$108,C133+1)</f>
        <v>0000</v>
      </c>
      <c r="G133" s="3" t="str">
        <f>VLOOKUP(B133,AE_weight!$AP$112:$AX$144,C133+1)</f>
        <v>2222</v>
      </c>
      <c r="H133" s="3" t="str">
        <f>VLOOKUP(B133,AE_weight!$AP$149:$AX$180,C133+1)</f>
        <v>0000</v>
      </c>
      <c r="I133" s="3" t="str">
        <f>VLOOKUP(B133,AE_weight!$AP$185:$AX$216,C133+1)</f>
        <v>0000</v>
      </c>
      <c r="J133" s="3" t="str">
        <f>VLOOKUP(B133,AE_weight!$AP$221:$AX$252,C133+1)</f>
        <v>0000</v>
      </c>
      <c r="K133" s="3" t="str">
        <f>VLOOKUP(B133,AE_weight!$AP$257:$AX$288,C133+1)</f>
        <v>0000</v>
      </c>
      <c r="L133" s="3" t="str">
        <f>VLOOKUP(B133,AE_weight!$AP$293:$AX$324,C133+1)</f>
        <v>0000</v>
      </c>
      <c r="M133" s="3" t="str">
        <f>VLOOKUP(B133,AE_weight!$AP$329:$AX$360,C133+1)</f>
        <v>1100</v>
      </c>
      <c r="N133" s="119"/>
      <c r="O133" s="119"/>
      <c r="P133" s="119"/>
      <c r="Q133" s="4"/>
      <c r="U133" s="4"/>
    </row>
    <row r="134" spans="1:21">
      <c r="A134" s="1">
        <f t="shared" si="15"/>
        <v>129</v>
      </c>
      <c r="B134" s="1">
        <v>16</v>
      </c>
      <c r="C134" s="1">
        <v>1</v>
      </c>
      <c r="D134" s="3" t="str">
        <f>VLOOKUP(B134,AE_weight!$AP$4:$AX$36,C134+1)</f>
        <v>0011</v>
      </c>
      <c r="E134" s="3" t="str">
        <f>VLOOKUP(B134,AE_weight!$AP$40:$AX$72,C134+1)</f>
        <v>2222</v>
      </c>
      <c r="F134" s="3" t="str">
        <f>VLOOKUP(B134,AE_weight!$AP$76:$AX$108,C134+1)</f>
        <v>0000</v>
      </c>
      <c r="G134" s="3" t="str">
        <f>VLOOKUP(B134,AE_weight!$AP$112:$AX$144,C134+1)</f>
        <v>2222</v>
      </c>
      <c r="H134" s="3" t="str">
        <f>VLOOKUP(B134,AE_weight!$AP$149:$AX$180,C134+1)</f>
        <v>0000</v>
      </c>
      <c r="I134" s="3" t="str">
        <f>VLOOKUP(B134,AE_weight!$AP$185:$AX$216,C134+1)</f>
        <v>0000</v>
      </c>
      <c r="J134" s="3" t="str">
        <f>VLOOKUP(B134,AE_weight!$AP$221:$AX$252,C134+1)</f>
        <v>0000</v>
      </c>
      <c r="K134" s="3" t="str">
        <f>VLOOKUP(B134,AE_weight!$AP$257:$AX$288,C134+1)</f>
        <v>0000</v>
      </c>
      <c r="L134" s="3" t="str">
        <f>VLOOKUP(B134,AE_weight!$AP$293:$AX$324,C134+1)</f>
        <v>0000</v>
      </c>
      <c r="M134" s="3" t="str">
        <f>VLOOKUP(B134,AE_weight!$AP$329:$AX$360,C134+1)</f>
        <v>0011</v>
      </c>
    </row>
    <row r="135" spans="1:21">
      <c r="A135" s="1">
        <f t="shared" ref="A135:A198" si="32">A134+1</f>
        <v>130</v>
      </c>
      <c r="B135" s="1">
        <f t="shared" ref="B135:B137" si="33">B134</f>
        <v>16</v>
      </c>
      <c r="C135" s="1">
        <v>2</v>
      </c>
      <c r="D135" s="3" t="str">
        <f>VLOOKUP(B135,AE_weight!$AP$4:$AX$36,C135+1)</f>
        <v>2233</v>
      </c>
      <c r="E135" s="3" t="str">
        <f>VLOOKUP(B135,AE_weight!$AP$40:$AX$72,C135+1)</f>
        <v>2222</v>
      </c>
      <c r="F135" s="3" t="str">
        <f>VLOOKUP(B135,AE_weight!$AP$76:$AX$108,C135+1)</f>
        <v>2233</v>
      </c>
      <c r="G135" s="3" t="str">
        <f>VLOOKUP(B135,AE_weight!$AP$112:$AX$144,C135+1)</f>
        <v>2222</v>
      </c>
      <c r="H135" s="3" t="str">
        <f>VLOOKUP(B135,AE_weight!$AP$149:$AX$180,C135+1)</f>
        <v>0000</v>
      </c>
      <c r="I135" s="3" t="str">
        <f>VLOOKUP(B135,AE_weight!$AP$185:$AX$216,C135+1)</f>
        <v>0000</v>
      </c>
      <c r="J135" s="3" t="str">
        <f>VLOOKUP(B135,AE_weight!$AP$221:$AX$252,C135+1)</f>
        <v>0000</v>
      </c>
      <c r="K135" s="3" t="str">
        <f>VLOOKUP(B135,AE_weight!$AP$257:$AX$288,C135+1)</f>
        <v>0000</v>
      </c>
      <c r="L135" s="3" t="str">
        <f>VLOOKUP(B135,AE_weight!$AP$293:$AX$324,C135+1)</f>
        <v>0000</v>
      </c>
      <c r="M135" s="3" t="str">
        <f>VLOOKUP(B135,AE_weight!$AP$329:$AX$360,C135+1)</f>
        <v>2233</v>
      </c>
    </row>
    <row r="136" spans="1:21">
      <c r="A136" s="1">
        <f t="shared" si="32"/>
        <v>131</v>
      </c>
      <c r="B136" s="1">
        <f t="shared" si="33"/>
        <v>16</v>
      </c>
      <c r="C136" s="1">
        <v>3</v>
      </c>
      <c r="D136" s="3" t="str">
        <f>VLOOKUP(B136,AE_weight!$AP$4:$AX$36,C136+1)</f>
        <v>4455</v>
      </c>
      <c r="E136" s="3" t="str">
        <f>VLOOKUP(B136,AE_weight!$AP$40:$AX$72,C136+1)</f>
        <v>2222</v>
      </c>
      <c r="F136" s="3" t="str">
        <f>VLOOKUP(B136,AE_weight!$AP$76:$AX$108,C136+1)</f>
        <v>4455</v>
      </c>
      <c r="G136" s="3" t="str">
        <f>VLOOKUP(B136,AE_weight!$AP$112:$AX$144,C136+1)</f>
        <v>2233</v>
      </c>
      <c r="H136" s="3" t="str">
        <f>VLOOKUP(B136,AE_weight!$AP$149:$AX$180,C136+1)</f>
        <v>0000</v>
      </c>
      <c r="I136" s="3" t="str">
        <f>VLOOKUP(B136,AE_weight!$AP$185:$AX$216,C136+1)</f>
        <v>00DD</v>
      </c>
      <c r="J136" s="3" t="str">
        <f>VLOOKUP(B136,AE_weight!$AP$221:$AX$252,C136+1)</f>
        <v>77BB</v>
      </c>
      <c r="K136" s="3" t="str">
        <f>VLOOKUP(B136,AE_weight!$AP$257:$AX$288,C136+1)</f>
        <v>0000</v>
      </c>
      <c r="L136" s="3" t="str">
        <f>VLOOKUP(B136,AE_weight!$AP$293:$AX$324,C136+1)</f>
        <v>0000</v>
      </c>
      <c r="M136" s="3" t="str">
        <f>VLOOKUP(B136,AE_weight!$AP$329:$AX$360,C136+1)</f>
        <v>4455</v>
      </c>
    </row>
    <row r="137" spans="1:21">
      <c r="A137" s="1">
        <f t="shared" si="32"/>
        <v>132</v>
      </c>
      <c r="B137" s="1">
        <f t="shared" si="33"/>
        <v>16</v>
      </c>
      <c r="C137" s="1">
        <v>4</v>
      </c>
      <c r="D137" s="3" t="str">
        <f>VLOOKUP(B137,AE_weight!$AP$4:$AX$36,C137+1)</f>
        <v>5555</v>
      </c>
      <c r="E137" s="3" t="str">
        <f>VLOOKUP(B137,AE_weight!$AP$40:$AX$72,C137+1)</f>
        <v>2222</v>
      </c>
      <c r="F137" s="3" t="str">
        <f>VLOOKUP(B137,AE_weight!$AP$76:$AX$108,C137+1)</f>
        <v>DDDD</v>
      </c>
      <c r="G137" s="3" t="str">
        <f>VLOOKUP(B137,AE_weight!$AP$112:$AX$144,C137+1)</f>
        <v>5555</v>
      </c>
      <c r="H137" s="3" t="str">
        <f>VLOOKUP(B137,AE_weight!$AP$149:$AX$180,C137+1)</f>
        <v>00FF</v>
      </c>
      <c r="I137" s="3" t="str">
        <f>VLOOKUP(B137,AE_weight!$AP$185:$AX$216,C137+1)</f>
        <v>FFFF</v>
      </c>
      <c r="J137" s="3" t="str">
        <f>VLOOKUP(B137,AE_weight!$AP$221:$AX$252,C137+1)</f>
        <v>DDFF</v>
      </c>
      <c r="K137" s="3" t="str">
        <f>VLOOKUP(B137,AE_weight!$AP$257:$AX$288,C137+1)</f>
        <v>0000</v>
      </c>
      <c r="L137" s="3" t="str">
        <f>VLOOKUP(B137,AE_weight!$AP$293:$AX$324,C137+1)</f>
        <v>0000</v>
      </c>
      <c r="M137" s="3" t="str">
        <f>VLOOKUP(B137,AE_weight!$AP$329:$AX$360,C137+1)</f>
        <v>6666</v>
      </c>
    </row>
    <row r="138" spans="1:21">
      <c r="A138" s="1">
        <f t="shared" si="32"/>
        <v>133</v>
      </c>
      <c r="B138" s="1">
        <v>16</v>
      </c>
      <c r="C138" s="1">
        <v>5</v>
      </c>
      <c r="D138" s="3" t="str">
        <f>VLOOKUP(B138,AE_weight!$AP$4:$AX$36,C138+1)</f>
        <v>5555</v>
      </c>
      <c r="E138" s="3" t="str">
        <f>VLOOKUP(B138,AE_weight!$AP$40:$AX$72,C138+1)</f>
        <v>2222</v>
      </c>
      <c r="F138" s="3" t="str">
        <f>VLOOKUP(B138,AE_weight!$AP$76:$AX$108,C138+1)</f>
        <v>DDDD</v>
      </c>
      <c r="G138" s="3" t="str">
        <f>VLOOKUP(B138,AE_weight!$AP$112:$AX$144,C138+1)</f>
        <v>5555</v>
      </c>
      <c r="H138" s="3" t="str">
        <f>VLOOKUP(B138,AE_weight!$AP$149:$AX$180,C138+1)</f>
        <v>FF00</v>
      </c>
      <c r="I138" s="3" t="str">
        <f>VLOOKUP(B138,AE_weight!$AP$185:$AX$216,C138+1)</f>
        <v>FFFF</v>
      </c>
      <c r="J138" s="3" t="str">
        <f>VLOOKUP(B138,AE_weight!$AP$221:$AX$252,C138+1)</f>
        <v>FFDD</v>
      </c>
      <c r="K138" s="3" t="str">
        <f>VLOOKUP(B138,AE_weight!$AP$257:$AX$288,C138+1)</f>
        <v>0000</v>
      </c>
      <c r="L138" s="3" t="str">
        <f>VLOOKUP(B138,AE_weight!$AP$293:$AX$324,C138+1)</f>
        <v>0000</v>
      </c>
      <c r="M138" s="3" t="str">
        <f>VLOOKUP(B138,AE_weight!$AP$329:$AX$360,C138+1)</f>
        <v>6666</v>
      </c>
    </row>
    <row r="139" spans="1:21">
      <c r="A139" s="1">
        <f t="shared" si="32"/>
        <v>134</v>
      </c>
      <c r="B139" s="1">
        <f t="shared" ref="B139:B141" si="34">B138</f>
        <v>16</v>
      </c>
      <c r="C139" s="1">
        <v>6</v>
      </c>
      <c r="D139" s="3" t="str">
        <f>VLOOKUP(B139,AE_weight!$AP$4:$AX$36,C139+1)</f>
        <v>5544</v>
      </c>
      <c r="E139" s="3" t="str">
        <f>VLOOKUP(B139,AE_weight!$AP$40:$AX$72,C139+1)</f>
        <v>2222</v>
      </c>
      <c r="F139" s="3" t="str">
        <f>VLOOKUP(B139,AE_weight!$AP$76:$AX$108,C139+1)</f>
        <v>5544</v>
      </c>
      <c r="G139" s="3" t="str">
        <f>VLOOKUP(B139,AE_weight!$AP$112:$AX$144,C139+1)</f>
        <v>3322</v>
      </c>
      <c r="H139" s="3" t="str">
        <f>VLOOKUP(B139,AE_weight!$AP$149:$AX$180,C139+1)</f>
        <v>0000</v>
      </c>
      <c r="I139" s="3" t="str">
        <f>VLOOKUP(B139,AE_weight!$AP$185:$AX$216,C139+1)</f>
        <v>DD00</v>
      </c>
      <c r="J139" s="3" t="str">
        <f>VLOOKUP(B139,AE_weight!$AP$221:$AX$252,C139+1)</f>
        <v>BB77</v>
      </c>
      <c r="K139" s="3" t="str">
        <f>VLOOKUP(B139,AE_weight!$AP$257:$AX$288,C139+1)</f>
        <v>0000</v>
      </c>
      <c r="L139" s="3" t="str">
        <f>VLOOKUP(B139,AE_weight!$AP$293:$AX$324,C139+1)</f>
        <v>0000</v>
      </c>
      <c r="M139" s="3" t="str">
        <f>VLOOKUP(B139,AE_weight!$AP$329:$AX$360,C139+1)</f>
        <v>5544</v>
      </c>
    </row>
    <row r="140" spans="1:21">
      <c r="A140" s="1">
        <f t="shared" si="32"/>
        <v>135</v>
      </c>
      <c r="B140" s="1">
        <f t="shared" si="34"/>
        <v>16</v>
      </c>
      <c r="C140" s="1">
        <v>7</v>
      </c>
      <c r="D140" s="3" t="str">
        <f>VLOOKUP(B140,AE_weight!$AP$4:$AX$36,C140+1)</f>
        <v>4422</v>
      </c>
      <c r="E140" s="3" t="str">
        <f>VLOOKUP(B140,AE_weight!$AP$40:$AX$72,C140+1)</f>
        <v>2222</v>
      </c>
      <c r="F140" s="3" t="str">
        <f>VLOOKUP(B140,AE_weight!$AP$76:$AX$108,C140+1)</f>
        <v>3322</v>
      </c>
      <c r="G140" s="3" t="str">
        <f>VLOOKUP(B140,AE_weight!$AP$112:$AX$144,C140+1)</f>
        <v>2222</v>
      </c>
      <c r="H140" s="3" t="str">
        <f>VLOOKUP(B140,AE_weight!$AP$149:$AX$180,C140+1)</f>
        <v>0000</v>
      </c>
      <c r="I140" s="3" t="str">
        <f>VLOOKUP(B140,AE_weight!$AP$185:$AX$216,C140+1)</f>
        <v>0000</v>
      </c>
      <c r="J140" s="3" t="str">
        <f>VLOOKUP(B140,AE_weight!$AP$221:$AX$252,C140+1)</f>
        <v>0000</v>
      </c>
      <c r="K140" s="3" t="str">
        <f>VLOOKUP(B140,AE_weight!$AP$257:$AX$288,C140+1)</f>
        <v>0000</v>
      </c>
      <c r="L140" s="3" t="str">
        <f>VLOOKUP(B140,AE_weight!$AP$293:$AX$324,C140+1)</f>
        <v>0000</v>
      </c>
      <c r="M140" s="3" t="str">
        <f>VLOOKUP(B140,AE_weight!$AP$329:$AX$360,C140+1)</f>
        <v>3322</v>
      </c>
    </row>
    <row r="141" spans="1:21">
      <c r="A141" s="1">
        <f t="shared" si="32"/>
        <v>136</v>
      </c>
      <c r="B141" s="1">
        <f t="shared" si="34"/>
        <v>16</v>
      </c>
      <c r="C141" s="1">
        <v>8</v>
      </c>
      <c r="D141" s="3" t="str">
        <f>VLOOKUP(B141,AE_weight!$AP$4:$AX$36,C141+1)</f>
        <v>1100</v>
      </c>
      <c r="E141" s="3" t="str">
        <f>VLOOKUP(B141,AE_weight!$AP$40:$AX$72,C141+1)</f>
        <v>2222</v>
      </c>
      <c r="F141" s="3" t="str">
        <f>VLOOKUP(B141,AE_weight!$AP$76:$AX$108,C141+1)</f>
        <v>0000</v>
      </c>
      <c r="G141" s="3" t="str">
        <f>VLOOKUP(B141,AE_weight!$AP$112:$AX$144,C141+1)</f>
        <v>2222</v>
      </c>
      <c r="H141" s="3" t="str">
        <f>VLOOKUP(B141,AE_weight!$AP$149:$AX$180,C141+1)</f>
        <v>0000</v>
      </c>
      <c r="I141" s="3" t="str">
        <f>VLOOKUP(B141,AE_weight!$AP$185:$AX$216,C141+1)</f>
        <v>0000</v>
      </c>
      <c r="J141" s="3" t="str">
        <f>VLOOKUP(B141,AE_weight!$AP$221:$AX$252,C141+1)</f>
        <v>0000</v>
      </c>
      <c r="K141" s="3" t="str">
        <f>VLOOKUP(B141,AE_weight!$AP$257:$AX$288,C141+1)</f>
        <v>0000</v>
      </c>
      <c r="L141" s="3" t="str">
        <f>VLOOKUP(B141,AE_weight!$AP$293:$AX$324,C141+1)</f>
        <v>0000</v>
      </c>
      <c r="M141" s="3" t="str">
        <f>VLOOKUP(B141,AE_weight!$AP$329:$AX$360,C141+1)</f>
        <v>1100</v>
      </c>
    </row>
    <row r="142" spans="1:21">
      <c r="A142" s="1">
        <f t="shared" si="32"/>
        <v>137</v>
      </c>
      <c r="B142" s="1">
        <v>17</v>
      </c>
      <c r="C142" s="1">
        <v>1</v>
      </c>
      <c r="D142" s="3" t="str">
        <f>VLOOKUP(B142,AE_weight!$AP$4:$AX$36,C142+1)</f>
        <v>0011</v>
      </c>
      <c r="E142" s="3" t="str">
        <f>VLOOKUP(B142,AE_weight!$AP$40:$AX$72,C142+1)</f>
        <v>2222</v>
      </c>
      <c r="F142" s="3" t="str">
        <f>VLOOKUP(B142,AE_weight!$AP$76:$AX$108,C142+1)</f>
        <v>0000</v>
      </c>
      <c r="G142" s="3" t="str">
        <f>VLOOKUP(B142,AE_weight!$AP$112:$AX$144,C142+1)</f>
        <v>2222</v>
      </c>
      <c r="H142" s="3" t="str">
        <f>VLOOKUP(B142,AE_weight!$AP$149:$AX$180,C142+1)</f>
        <v>0000</v>
      </c>
      <c r="I142" s="3" t="str">
        <f>VLOOKUP(B142,AE_weight!$AP$185:$AX$216,C142+1)</f>
        <v>0000</v>
      </c>
      <c r="J142" s="3" t="str">
        <f>VLOOKUP(B142,AE_weight!$AP$221:$AX$252,C142+1)</f>
        <v>0000</v>
      </c>
      <c r="K142" s="3" t="str">
        <f>VLOOKUP(B142,AE_weight!$AP$257:$AX$288,C142+1)</f>
        <v>0000</v>
      </c>
      <c r="L142" s="3" t="str">
        <f>VLOOKUP(B142,AE_weight!$AP$293:$AX$324,C142+1)</f>
        <v>0000</v>
      </c>
      <c r="M142" s="3" t="str">
        <f>VLOOKUP(B142,AE_weight!$AP$329:$AX$360,C142+1)</f>
        <v>0011</v>
      </c>
    </row>
    <row r="143" spans="1:21">
      <c r="A143" s="1">
        <f t="shared" si="32"/>
        <v>138</v>
      </c>
      <c r="B143" s="1">
        <f t="shared" ref="B143:B145" si="35">B142</f>
        <v>17</v>
      </c>
      <c r="C143" s="1">
        <v>2</v>
      </c>
      <c r="D143" s="3" t="str">
        <f>VLOOKUP(B143,AE_weight!$AP$4:$AX$36,C143+1)</f>
        <v>2244</v>
      </c>
      <c r="E143" s="3" t="str">
        <f>VLOOKUP(B143,AE_weight!$AP$40:$AX$72,C143+1)</f>
        <v>2222</v>
      </c>
      <c r="F143" s="3" t="str">
        <f>VLOOKUP(B143,AE_weight!$AP$76:$AX$108,C143+1)</f>
        <v>2233</v>
      </c>
      <c r="G143" s="3" t="str">
        <f>VLOOKUP(B143,AE_weight!$AP$112:$AX$144,C143+1)</f>
        <v>2222</v>
      </c>
      <c r="H143" s="3" t="str">
        <f>VLOOKUP(B143,AE_weight!$AP$149:$AX$180,C143+1)</f>
        <v>0000</v>
      </c>
      <c r="I143" s="3" t="str">
        <f>VLOOKUP(B143,AE_weight!$AP$185:$AX$216,C143+1)</f>
        <v>0000</v>
      </c>
      <c r="J143" s="3" t="str">
        <f>VLOOKUP(B143,AE_weight!$AP$221:$AX$252,C143+1)</f>
        <v>0000</v>
      </c>
      <c r="K143" s="3" t="str">
        <f>VLOOKUP(B143,AE_weight!$AP$257:$AX$288,C143+1)</f>
        <v>0011</v>
      </c>
      <c r="L143" s="3" t="str">
        <f>VLOOKUP(B143,AE_weight!$AP$293:$AX$324,C143+1)</f>
        <v>0000</v>
      </c>
      <c r="M143" s="3" t="str">
        <f>VLOOKUP(B143,AE_weight!$AP$329:$AX$360,C143+1)</f>
        <v>2233</v>
      </c>
    </row>
    <row r="144" spans="1:21">
      <c r="A144" s="1">
        <f t="shared" si="32"/>
        <v>139</v>
      </c>
      <c r="B144" s="1">
        <f t="shared" si="35"/>
        <v>17</v>
      </c>
      <c r="C144" s="1">
        <v>3</v>
      </c>
      <c r="D144" s="3" t="str">
        <f>VLOOKUP(B144,AE_weight!$AP$4:$AX$36,C144+1)</f>
        <v>4455</v>
      </c>
      <c r="E144" s="3" t="str">
        <f>VLOOKUP(B144,AE_weight!$AP$40:$AX$72,C144+1)</f>
        <v>2222</v>
      </c>
      <c r="F144" s="3" t="str">
        <f>VLOOKUP(B144,AE_weight!$AP$76:$AX$108,C144+1)</f>
        <v>4455</v>
      </c>
      <c r="G144" s="3" t="str">
        <f>VLOOKUP(B144,AE_weight!$AP$112:$AX$144,C144+1)</f>
        <v>2233</v>
      </c>
      <c r="H144" s="3" t="str">
        <f>VLOOKUP(B144,AE_weight!$AP$149:$AX$180,C144+1)</f>
        <v>0000</v>
      </c>
      <c r="I144" s="3" t="str">
        <f>VLOOKUP(B144,AE_weight!$AP$185:$AX$216,C144+1)</f>
        <v>00DD</v>
      </c>
      <c r="J144" s="3" t="str">
        <f>VLOOKUP(B144,AE_weight!$AP$221:$AX$252,C144+1)</f>
        <v>77BB</v>
      </c>
      <c r="K144" s="3" t="str">
        <f>VLOOKUP(B144,AE_weight!$AP$257:$AX$288,C144+1)</f>
        <v>0011</v>
      </c>
      <c r="L144" s="3" t="str">
        <f>VLOOKUP(B144,AE_weight!$AP$293:$AX$324,C144+1)</f>
        <v>0000</v>
      </c>
      <c r="M144" s="3" t="str">
        <f>VLOOKUP(B144,AE_weight!$AP$329:$AX$360,C144+1)</f>
        <v>4455</v>
      </c>
    </row>
    <row r="145" spans="1:13">
      <c r="A145" s="1">
        <f t="shared" si="32"/>
        <v>140</v>
      </c>
      <c r="B145" s="1">
        <f t="shared" si="35"/>
        <v>17</v>
      </c>
      <c r="C145" s="1">
        <v>4</v>
      </c>
      <c r="D145" s="3" t="str">
        <f>VLOOKUP(B145,AE_weight!$AP$4:$AX$36,C145+1)</f>
        <v>5555</v>
      </c>
      <c r="E145" s="3" t="str">
        <f>VLOOKUP(B145,AE_weight!$AP$40:$AX$72,C145+1)</f>
        <v>2222</v>
      </c>
      <c r="F145" s="3" t="str">
        <f>VLOOKUP(B145,AE_weight!$AP$76:$AX$108,C145+1)</f>
        <v>DDDD</v>
      </c>
      <c r="G145" s="3" t="str">
        <f>VLOOKUP(B145,AE_weight!$AP$112:$AX$144,C145+1)</f>
        <v>5555</v>
      </c>
      <c r="H145" s="3" t="str">
        <f>VLOOKUP(B145,AE_weight!$AP$149:$AX$180,C145+1)</f>
        <v>00FF</v>
      </c>
      <c r="I145" s="3" t="str">
        <f>VLOOKUP(B145,AE_weight!$AP$185:$AX$216,C145+1)</f>
        <v>FFFF</v>
      </c>
      <c r="J145" s="3" t="str">
        <f>VLOOKUP(B145,AE_weight!$AP$221:$AX$252,C145+1)</f>
        <v>DDFF</v>
      </c>
      <c r="K145" s="3" t="str">
        <f>VLOOKUP(B145,AE_weight!$AP$257:$AX$288,C145+1)</f>
        <v>0011</v>
      </c>
      <c r="L145" s="3" t="str">
        <f>VLOOKUP(B145,AE_weight!$AP$293:$AX$324,C145+1)</f>
        <v>0000</v>
      </c>
      <c r="M145" s="3" t="str">
        <f>VLOOKUP(B145,AE_weight!$AP$329:$AX$360,C145+1)</f>
        <v>6666</v>
      </c>
    </row>
    <row r="146" spans="1:13">
      <c r="A146" s="1">
        <f t="shared" si="32"/>
        <v>141</v>
      </c>
      <c r="B146" s="1">
        <v>17</v>
      </c>
      <c r="C146" s="1">
        <v>5</v>
      </c>
      <c r="D146" s="3" t="str">
        <f>VLOOKUP(B146,AE_weight!$AP$4:$AX$36,C146+1)</f>
        <v>5555</v>
      </c>
      <c r="E146" s="3" t="str">
        <f>VLOOKUP(B146,AE_weight!$AP$40:$AX$72,C146+1)</f>
        <v>2222</v>
      </c>
      <c r="F146" s="3" t="str">
        <f>VLOOKUP(B146,AE_weight!$AP$76:$AX$108,C146+1)</f>
        <v>DDDD</v>
      </c>
      <c r="G146" s="3" t="str">
        <f>VLOOKUP(B146,AE_weight!$AP$112:$AX$144,C146+1)</f>
        <v>5555</v>
      </c>
      <c r="H146" s="3" t="str">
        <f>VLOOKUP(B146,AE_weight!$AP$149:$AX$180,C146+1)</f>
        <v>FF00</v>
      </c>
      <c r="I146" s="3" t="str">
        <f>VLOOKUP(B146,AE_weight!$AP$185:$AX$216,C146+1)</f>
        <v>FFFF</v>
      </c>
      <c r="J146" s="3" t="str">
        <f>VLOOKUP(B146,AE_weight!$AP$221:$AX$252,C146+1)</f>
        <v>FFDD</v>
      </c>
      <c r="K146" s="3" t="str">
        <f>VLOOKUP(B146,AE_weight!$AP$257:$AX$288,C146+1)</f>
        <v>1100</v>
      </c>
      <c r="L146" s="3" t="str">
        <f>VLOOKUP(B146,AE_weight!$AP$293:$AX$324,C146+1)</f>
        <v>0000</v>
      </c>
      <c r="M146" s="3" t="str">
        <f>VLOOKUP(B146,AE_weight!$AP$329:$AX$360,C146+1)</f>
        <v>6666</v>
      </c>
    </row>
    <row r="147" spans="1:13">
      <c r="A147" s="1">
        <f t="shared" si="32"/>
        <v>142</v>
      </c>
      <c r="B147" s="1">
        <f t="shared" ref="B147:B149" si="36">B146</f>
        <v>17</v>
      </c>
      <c r="C147" s="1">
        <v>6</v>
      </c>
      <c r="D147" s="3" t="str">
        <f>VLOOKUP(B147,AE_weight!$AP$4:$AX$36,C147+1)</f>
        <v>5544</v>
      </c>
      <c r="E147" s="3" t="str">
        <f>VLOOKUP(B147,AE_weight!$AP$40:$AX$72,C147+1)</f>
        <v>2222</v>
      </c>
      <c r="F147" s="3" t="str">
        <f>VLOOKUP(B147,AE_weight!$AP$76:$AX$108,C147+1)</f>
        <v>5544</v>
      </c>
      <c r="G147" s="3" t="str">
        <f>VLOOKUP(B147,AE_weight!$AP$112:$AX$144,C147+1)</f>
        <v>3322</v>
      </c>
      <c r="H147" s="3" t="str">
        <f>VLOOKUP(B147,AE_weight!$AP$149:$AX$180,C147+1)</f>
        <v>0000</v>
      </c>
      <c r="I147" s="3" t="str">
        <f>VLOOKUP(B147,AE_weight!$AP$185:$AX$216,C147+1)</f>
        <v>DD00</v>
      </c>
      <c r="J147" s="3" t="str">
        <f>VLOOKUP(B147,AE_weight!$AP$221:$AX$252,C147+1)</f>
        <v>BB77</v>
      </c>
      <c r="K147" s="3" t="str">
        <f>VLOOKUP(B147,AE_weight!$AP$257:$AX$288,C147+1)</f>
        <v>1100</v>
      </c>
      <c r="L147" s="3" t="str">
        <f>VLOOKUP(B147,AE_weight!$AP$293:$AX$324,C147+1)</f>
        <v>0000</v>
      </c>
      <c r="M147" s="3" t="str">
        <f>VLOOKUP(B147,AE_weight!$AP$329:$AX$360,C147+1)</f>
        <v>5544</v>
      </c>
    </row>
    <row r="148" spans="1:13">
      <c r="A148" s="1">
        <f t="shared" si="32"/>
        <v>143</v>
      </c>
      <c r="B148" s="1">
        <f t="shared" si="36"/>
        <v>17</v>
      </c>
      <c r="C148" s="1">
        <v>7</v>
      </c>
      <c r="D148" s="3" t="str">
        <f>VLOOKUP(B148,AE_weight!$AP$4:$AX$36,C148+1)</f>
        <v>3322</v>
      </c>
      <c r="E148" s="3" t="str">
        <f>VLOOKUP(B148,AE_weight!$AP$40:$AX$72,C148+1)</f>
        <v>2222</v>
      </c>
      <c r="F148" s="3" t="str">
        <f>VLOOKUP(B148,AE_weight!$AP$76:$AX$108,C148+1)</f>
        <v>3322</v>
      </c>
      <c r="G148" s="3" t="str">
        <f>VLOOKUP(B148,AE_weight!$AP$112:$AX$144,C148+1)</f>
        <v>2222</v>
      </c>
      <c r="H148" s="3" t="str">
        <f>VLOOKUP(B148,AE_weight!$AP$149:$AX$180,C148+1)</f>
        <v>0000</v>
      </c>
      <c r="I148" s="3" t="str">
        <f>VLOOKUP(B148,AE_weight!$AP$185:$AX$216,C148+1)</f>
        <v>0000</v>
      </c>
      <c r="J148" s="3" t="str">
        <f>VLOOKUP(B148,AE_weight!$AP$221:$AX$252,C148+1)</f>
        <v>0000</v>
      </c>
      <c r="K148" s="3" t="str">
        <f>VLOOKUP(B148,AE_weight!$AP$257:$AX$288,C148+1)</f>
        <v>1100</v>
      </c>
      <c r="L148" s="3" t="str">
        <f>VLOOKUP(B148,AE_weight!$AP$293:$AX$324,C148+1)</f>
        <v>0000</v>
      </c>
      <c r="M148" s="3" t="str">
        <f>VLOOKUP(B148,AE_weight!$AP$329:$AX$360,C148+1)</f>
        <v>3322</v>
      </c>
    </row>
    <row r="149" spans="1:13">
      <c r="A149" s="1">
        <f t="shared" si="32"/>
        <v>144</v>
      </c>
      <c r="B149" s="1">
        <f t="shared" si="36"/>
        <v>17</v>
      </c>
      <c r="C149" s="1">
        <v>8</v>
      </c>
      <c r="D149" s="3" t="str">
        <f>VLOOKUP(B149,AE_weight!$AP$4:$AX$36,C149+1)</f>
        <v>1100</v>
      </c>
      <c r="E149" s="3" t="str">
        <f>VLOOKUP(B149,AE_weight!$AP$40:$AX$72,C149+1)</f>
        <v>2222</v>
      </c>
      <c r="F149" s="3" t="str">
        <f>VLOOKUP(B149,AE_weight!$AP$76:$AX$108,C149+1)</f>
        <v>0000</v>
      </c>
      <c r="G149" s="3" t="str">
        <f>VLOOKUP(B149,AE_weight!$AP$112:$AX$144,C149+1)</f>
        <v>2222</v>
      </c>
      <c r="H149" s="3" t="str">
        <f>VLOOKUP(B149,AE_weight!$AP$149:$AX$180,C149+1)</f>
        <v>0000</v>
      </c>
      <c r="I149" s="3" t="str">
        <f>VLOOKUP(B149,AE_weight!$AP$185:$AX$216,C149+1)</f>
        <v>0000</v>
      </c>
      <c r="J149" s="3" t="str">
        <f>VLOOKUP(B149,AE_weight!$AP$221:$AX$252,C149+1)</f>
        <v>0000</v>
      </c>
      <c r="K149" s="3" t="str">
        <f>VLOOKUP(B149,AE_weight!$AP$257:$AX$288,C149+1)</f>
        <v>0000</v>
      </c>
      <c r="L149" s="3" t="str">
        <f>VLOOKUP(B149,AE_weight!$AP$293:$AX$324,C149+1)</f>
        <v>0000</v>
      </c>
      <c r="M149" s="3" t="str">
        <f>VLOOKUP(B149,AE_weight!$AP$329:$AX$360,C149+1)</f>
        <v>1100</v>
      </c>
    </row>
    <row r="150" spans="1:13">
      <c r="A150" s="1">
        <f t="shared" si="32"/>
        <v>145</v>
      </c>
      <c r="B150" s="1">
        <v>18</v>
      </c>
      <c r="C150" s="1">
        <v>1</v>
      </c>
      <c r="D150" s="3" t="str">
        <f>VLOOKUP(B150,AE_weight!$AP$4:$AX$36,C150+1)</f>
        <v>0011</v>
      </c>
      <c r="E150" s="3" t="str">
        <f>VLOOKUP(B150,AE_weight!$AP$40:$AX$72,C150+1)</f>
        <v>2222</v>
      </c>
      <c r="F150" s="3" t="str">
        <f>VLOOKUP(B150,AE_weight!$AP$76:$AX$108,C150+1)</f>
        <v>0000</v>
      </c>
      <c r="G150" s="3" t="str">
        <f>VLOOKUP(B150,AE_weight!$AP$112:$AX$144,C150+1)</f>
        <v>2222</v>
      </c>
      <c r="H150" s="3" t="str">
        <f>VLOOKUP(B150,AE_weight!$AP$149:$AX$180,C150+1)</f>
        <v>0000</v>
      </c>
      <c r="I150" s="3" t="str">
        <f>VLOOKUP(B150,AE_weight!$AP$185:$AX$216,C150+1)</f>
        <v>0000</v>
      </c>
      <c r="J150" s="3" t="str">
        <f>VLOOKUP(B150,AE_weight!$AP$221:$AX$252,C150+1)</f>
        <v>0000</v>
      </c>
      <c r="K150" s="3" t="str">
        <f>VLOOKUP(B150,AE_weight!$AP$257:$AX$288,C150+1)</f>
        <v>0000</v>
      </c>
      <c r="L150" s="3" t="str">
        <f>VLOOKUP(B150,AE_weight!$AP$293:$AX$324,C150+1)</f>
        <v>0000</v>
      </c>
      <c r="M150" s="3" t="str">
        <f>VLOOKUP(B150,AE_weight!$AP$329:$AX$360,C150+1)</f>
        <v>0011</v>
      </c>
    </row>
    <row r="151" spans="1:13">
      <c r="A151" s="1">
        <f t="shared" si="32"/>
        <v>146</v>
      </c>
      <c r="B151" s="1">
        <f t="shared" ref="B151:B153" si="37">B150</f>
        <v>18</v>
      </c>
      <c r="C151" s="1">
        <v>2</v>
      </c>
      <c r="D151" s="3" t="str">
        <f>VLOOKUP(B151,AE_weight!$AP$4:$AX$36,C151+1)</f>
        <v>2233</v>
      </c>
      <c r="E151" s="3" t="str">
        <f>VLOOKUP(B151,AE_weight!$AP$40:$AX$72,C151+1)</f>
        <v>2222</v>
      </c>
      <c r="F151" s="3" t="str">
        <f>VLOOKUP(B151,AE_weight!$AP$76:$AX$108,C151+1)</f>
        <v>2233</v>
      </c>
      <c r="G151" s="3" t="str">
        <f>VLOOKUP(B151,AE_weight!$AP$112:$AX$144,C151+1)</f>
        <v>2222</v>
      </c>
      <c r="H151" s="3" t="str">
        <f>VLOOKUP(B151,AE_weight!$AP$149:$AX$180,C151+1)</f>
        <v>0000</v>
      </c>
      <c r="I151" s="3" t="str">
        <f>VLOOKUP(B151,AE_weight!$AP$185:$AX$216,C151+1)</f>
        <v>0000</v>
      </c>
      <c r="J151" s="3" t="str">
        <f>VLOOKUP(B151,AE_weight!$AP$221:$AX$252,C151+1)</f>
        <v>0000</v>
      </c>
      <c r="K151" s="3" t="str">
        <f>VLOOKUP(B151,AE_weight!$AP$257:$AX$288,C151+1)</f>
        <v>0000</v>
      </c>
      <c r="L151" s="3" t="str">
        <f>VLOOKUP(B151,AE_weight!$AP$293:$AX$324,C151+1)</f>
        <v>0000</v>
      </c>
      <c r="M151" s="3" t="str">
        <f>VLOOKUP(B151,AE_weight!$AP$329:$AX$360,C151+1)</f>
        <v>2233</v>
      </c>
    </row>
    <row r="152" spans="1:13">
      <c r="A152" s="1">
        <f t="shared" si="32"/>
        <v>147</v>
      </c>
      <c r="B152" s="1">
        <f t="shared" si="37"/>
        <v>18</v>
      </c>
      <c r="C152" s="1">
        <v>3</v>
      </c>
      <c r="D152" s="3" t="str">
        <f>VLOOKUP(B152,AE_weight!$AP$4:$AX$36,C152+1)</f>
        <v>4455</v>
      </c>
      <c r="E152" s="3" t="str">
        <f>VLOOKUP(B152,AE_weight!$AP$40:$AX$72,C152+1)</f>
        <v>2222</v>
      </c>
      <c r="F152" s="3" t="str">
        <f>VLOOKUP(B152,AE_weight!$AP$76:$AX$108,C152+1)</f>
        <v>3344</v>
      </c>
      <c r="G152" s="3" t="str">
        <f>VLOOKUP(B152,AE_weight!$AP$112:$AX$144,C152+1)</f>
        <v>2233</v>
      </c>
      <c r="H152" s="3" t="str">
        <f>VLOOKUP(B152,AE_weight!$AP$149:$AX$180,C152+1)</f>
        <v>0000</v>
      </c>
      <c r="I152" s="3" t="str">
        <f>VLOOKUP(B152,AE_weight!$AP$185:$AX$216,C152+1)</f>
        <v>00DD</v>
      </c>
      <c r="J152" s="3" t="str">
        <f>VLOOKUP(B152,AE_weight!$AP$221:$AX$252,C152+1)</f>
        <v>77BB</v>
      </c>
      <c r="K152" s="3" t="str">
        <f>VLOOKUP(B152,AE_weight!$AP$257:$AX$288,C152+1)</f>
        <v>0000</v>
      </c>
      <c r="L152" s="3" t="str">
        <f>VLOOKUP(B152,AE_weight!$AP$293:$AX$324,C152+1)</f>
        <v>0000</v>
      </c>
      <c r="M152" s="3" t="str">
        <f>VLOOKUP(B152,AE_weight!$AP$329:$AX$360,C152+1)</f>
        <v>4455</v>
      </c>
    </row>
    <row r="153" spans="1:13">
      <c r="A153" s="1">
        <f t="shared" si="32"/>
        <v>148</v>
      </c>
      <c r="B153" s="1">
        <f t="shared" si="37"/>
        <v>18</v>
      </c>
      <c r="C153" s="1">
        <v>4</v>
      </c>
      <c r="D153" s="3" t="str">
        <f>VLOOKUP(B153,AE_weight!$AP$4:$AX$36,C153+1)</f>
        <v>5555</v>
      </c>
      <c r="E153" s="3" t="str">
        <f>VLOOKUP(B153,AE_weight!$AP$40:$AX$72,C153+1)</f>
        <v>2222</v>
      </c>
      <c r="F153" s="3" t="str">
        <f>VLOOKUP(B153,AE_weight!$AP$76:$AX$108,C153+1)</f>
        <v>6666</v>
      </c>
      <c r="G153" s="3" t="str">
        <f>VLOOKUP(B153,AE_weight!$AP$112:$AX$144,C153+1)</f>
        <v>5555</v>
      </c>
      <c r="H153" s="3" t="str">
        <f>VLOOKUP(B153,AE_weight!$AP$149:$AX$180,C153+1)</f>
        <v>0000</v>
      </c>
      <c r="I153" s="3" t="str">
        <f>VLOOKUP(B153,AE_weight!$AP$185:$AX$216,C153+1)</f>
        <v>DDFF</v>
      </c>
      <c r="J153" s="3" t="str">
        <f>VLOOKUP(B153,AE_weight!$AP$221:$AX$252,C153+1)</f>
        <v>DDDD</v>
      </c>
      <c r="K153" s="3" t="str">
        <f>VLOOKUP(B153,AE_weight!$AP$257:$AX$288,C153+1)</f>
        <v>0000</v>
      </c>
      <c r="L153" s="3" t="str">
        <f>VLOOKUP(B153,AE_weight!$AP$293:$AX$324,C153+1)</f>
        <v>0000</v>
      </c>
      <c r="M153" s="3" t="str">
        <f>VLOOKUP(B153,AE_weight!$AP$329:$AX$360,C153+1)</f>
        <v>6666</v>
      </c>
    </row>
    <row r="154" spans="1:13">
      <c r="A154" s="1">
        <f t="shared" si="32"/>
        <v>149</v>
      </c>
      <c r="B154" s="1">
        <v>18</v>
      </c>
      <c r="C154" s="1">
        <v>5</v>
      </c>
      <c r="D154" s="3" t="str">
        <f>VLOOKUP(B154,AE_weight!$AP$4:$AX$36,C154+1)</f>
        <v>5555</v>
      </c>
      <c r="E154" s="3" t="str">
        <f>VLOOKUP(B154,AE_weight!$AP$40:$AX$72,C154+1)</f>
        <v>2222</v>
      </c>
      <c r="F154" s="3" t="str">
        <f>VLOOKUP(B154,AE_weight!$AP$76:$AX$108,C154+1)</f>
        <v>6666</v>
      </c>
      <c r="G154" s="3" t="str">
        <f>VLOOKUP(B154,AE_weight!$AP$112:$AX$144,C154+1)</f>
        <v>5555</v>
      </c>
      <c r="H154" s="3" t="str">
        <f>VLOOKUP(B154,AE_weight!$AP$149:$AX$180,C154+1)</f>
        <v>0000</v>
      </c>
      <c r="I154" s="3" t="str">
        <f>VLOOKUP(B154,AE_weight!$AP$185:$AX$216,C154+1)</f>
        <v>FFDD</v>
      </c>
      <c r="J154" s="3" t="str">
        <f>VLOOKUP(B154,AE_weight!$AP$221:$AX$252,C154+1)</f>
        <v>DDDD</v>
      </c>
      <c r="K154" s="3" t="str">
        <f>VLOOKUP(B154,AE_weight!$AP$257:$AX$288,C154+1)</f>
        <v>0000</v>
      </c>
      <c r="L154" s="3" t="str">
        <f>VLOOKUP(B154,AE_weight!$AP$293:$AX$324,C154+1)</f>
        <v>0000</v>
      </c>
      <c r="M154" s="3" t="str">
        <f>VLOOKUP(B154,AE_weight!$AP$329:$AX$360,C154+1)</f>
        <v>6666</v>
      </c>
    </row>
    <row r="155" spans="1:13">
      <c r="A155" s="1">
        <f t="shared" si="32"/>
        <v>150</v>
      </c>
      <c r="B155" s="1">
        <f t="shared" ref="B155:B157" si="38">B154</f>
        <v>18</v>
      </c>
      <c r="C155" s="1">
        <v>6</v>
      </c>
      <c r="D155" s="3" t="str">
        <f>VLOOKUP(B155,AE_weight!$AP$4:$AX$36,C155+1)</f>
        <v>5544</v>
      </c>
      <c r="E155" s="3" t="str">
        <f>VLOOKUP(B155,AE_weight!$AP$40:$AX$72,C155+1)</f>
        <v>2222</v>
      </c>
      <c r="F155" s="3" t="str">
        <f>VLOOKUP(B155,AE_weight!$AP$76:$AX$108,C155+1)</f>
        <v>4433</v>
      </c>
      <c r="G155" s="3" t="str">
        <f>VLOOKUP(B155,AE_weight!$AP$112:$AX$144,C155+1)</f>
        <v>3322</v>
      </c>
      <c r="H155" s="3" t="str">
        <f>VLOOKUP(B155,AE_weight!$AP$149:$AX$180,C155+1)</f>
        <v>0000</v>
      </c>
      <c r="I155" s="3" t="str">
        <f>VLOOKUP(B155,AE_weight!$AP$185:$AX$216,C155+1)</f>
        <v>DD00</v>
      </c>
      <c r="J155" s="3" t="str">
        <f>VLOOKUP(B155,AE_weight!$AP$221:$AX$252,C155+1)</f>
        <v>BB77</v>
      </c>
      <c r="K155" s="3" t="str">
        <f>VLOOKUP(B155,AE_weight!$AP$257:$AX$288,C155+1)</f>
        <v>0000</v>
      </c>
      <c r="L155" s="3" t="str">
        <f>VLOOKUP(B155,AE_weight!$AP$293:$AX$324,C155+1)</f>
        <v>0000</v>
      </c>
      <c r="M155" s="3" t="str">
        <f>VLOOKUP(B155,AE_weight!$AP$329:$AX$360,C155+1)</f>
        <v>5544</v>
      </c>
    </row>
    <row r="156" spans="1:13">
      <c r="A156" s="1">
        <f t="shared" si="32"/>
        <v>151</v>
      </c>
      <c r="B156" s="1">
        <f t="shared" si="38"/>
        <v>18</v>
      </c>
      <c r="C156" s="1">
        <v>7</v>
      </c>
      <c r="D156" s="3" t="str">
        <f>VLOOKUP(B156,AE_weight!$AP$4:$AX$36,C156+1)</f>
        <v>3322</v>
      </c>
      <c r="E156" s="3" t="str">
        <f>VLOOKUP(B156,AE_weight!$AP$40:$AX$72,C156+1)</f>
        <v>2222</v>
      </c>
      <c r="F156" s="3" t="str">
        <f>VLOOKUP(B156,AE_weight!$AP$76:$AX$108,C156+1)</f>
        <v>3322</v>
      </c>
      <c r="G156" s="3" t="str">
        <f>VLOOKUP(B156,AE_weight!$AP$112:$AX$144,C156+1)</f>
        <v>2222</v>
      </c>
      <c r="H156" s="3" t="str">
        <f>VLOOKUP(B156,AE_weight!$AP$149:$AX$180,C156+1)</f>
        <v>0000</v>
      </c>
      <c r="I156" s="3" t="str">
        <f>VLOOKUP(B156,AE_weight!$AP$185:$AX$216,C156+1)</f>
        <v>0000</v>
      </c>
      <c r="J156" s="3" t="str">
        <f>VLOOKUP(B156,AE_weight!$AP$221:$AX$252,C156+1)</f>
        <v>0000</v>
      </c>
      <c r="K156" s="3" t="str">
        <f>VLOOKUP(B156,AE_weight!$AP$257:$AX$288,C156+1)</f>
        <v>0000</v>
      </c>
      <c r="L156" s="3" t="str">
        <f>VLOOKUP(B156,AE_weight!$AP$293:$AX$324,C156+1)</f>
        <v>0000</v>
      </c>
      <c r="M156" s="3" t="str">
        <f>VLOOKUP(B156,AE_weight!$AP$329:$AX$360,C156+1)</f>
        <v>3322</v>
      </c>
    </row>
    <row r="157" spans="1:13">
      <c r="A157" s="1">
        <f t="shared" si="32"/>
        <v>152</v>
      </c>
      <c r="B157" s="1">
        <f t="shared" si="38"/>
        <v>18</v>
      </c>
      <c r="C157" s="1">
        <v>8</v>
      </c>
      <c r="D157" s="3" t="str">
        <f>VLOOKUP(B157,AE_weight!$AP$4:$AX$36,C157+1)</f>
        <v>1100</v>
      </c>
      <c r="E157" s="3" t="str">
        <f>VLOOKUP(B157,AE_weight!$AP$40:$AX$72,C157+1)</f>
        <v>2222</v>
      </c>
      <c r="F157" s="3" t="str">
        <f>VLOOKUP(B157,AE_weight!$AP$76:$AX$108,C157+1)</f>
        <v>0000</v>
      </c>
      <c r="G157" s="3" t="str">
        <f>VLOOKUP(B157,AE_weight!$AP$112:$AX$144,C157+1)</f>
        <v>2222</v>
      </c>
      <c r="H157" s="3" t="str">
        <f>VLOOKUP(B157,AE_weight!$AP$149:$AX$180,C157+1)</f>
        <v>0000</v>
      </c>
      <c r="I157" s="3" t="str">
        <f>VLOOKUP(B157,AE_weight!$AP$185:$AX$216,C157+1)</f>
        <v>0000</v>
      </c>
      <c r="J157" s="3" t="str">
        <f>VLOOKUP(B157,AE_weight!$AP$221:$AX$252,C157+1)</f>
        <v>0000</v>
      </c>
      <c r="K157" s="3" t="str">
        <f>VLOOKUP(B157,AE_weight!$AP$257:$AX$288,C157+1)</f>
        <v>0000</v>
      </c>
      <c r="L157" s="3" t="str">
        <f>VLOOKUP(B157,AE_weight!$AP$293:$AX$324,C157+1)</f>
        <v>0000</v>
      </c>
      <c r="M157" s="3" t="str">
        <f>VLOOKUP(B157,AE_weight!$AP$329:$AX$360,C157+1)</f>
        <v>1100</v>
      </c>
    </row>
    <row r="158" spans="1:13">
      <c r="A158" s="1">
        <f t="shared" si="32"/>
        <v>153</v>
      </c>
      <c r="B158" s="1">
        <v>19</v>
      </c>
      <c r="C158" s="1">
        <v>1</v>
      </c>
      <c r="D158" s="3" t="str">
        <f>VLOOKUP(B158,AE_weight!$AP$4:$AX$36,C158+1)</f>
        <v>0011</v>
      </c>
      <c r="E158" s="3" t="str">
        <f>VLOOKUP(B158,AE_weight!$AP$40:$AX$72,C158+1)</f>
        <v>2222</v>
      </c>
      <c r="F158" s="3" t="str">
        <f>VLOOKUP(B158,AE_weight!$AP$76:$AX$108,C158+1)</f>
        <v>0000</v>
      </c>
      <c r="G158" s="3" t="str">
        <f>VLOOKUP(B158,AE_weight!$AP$112:$AX$144,C158+1)</f>
        <v>2222</v>
      </c>
      <c r="H158" s="3" t="str">
        <f>VLOOKUP(B158,AE_weight!$AP$149:$AX$180,C158+1)</f>
        <v>0000</v>
      </c>
      <c r="I158" s="3" t="str">
        <f>VLOOKUP(B158,AE_weight!$AP$185:$AX$216,C158+1)</f>
        <v>0000</v>
      </c>
      <c r="J158" s="3" t="str">
        <f>VLOOKUP(B158,AE_weight!$AP$221:$AX$252,C158+1)</f>
        <v>0000</v>
      </c>
      <c r="K158" s="3" t="str">
        <f>VLOOKUP(B158,AE_weight!$AP$257:$AX$288,C158+1)</f>
        <v>0000</v>
      </c>
      <c r="L158" s="3" t="str">
        <f>VLOOKUP(B158,AE_weight!$AP$293:$AX$324,C158+1)</f>
        <v>0000</v>
      </c>
      <c r="M158" s="3" t="str">
        <f>VLOOKUP(B158,AE_weight!$AP$329:$AX$360,C158+1)</f>
        <v>0011</v>
      </c>
    </row>
    <row r="159" spans="1:13">
      <c r="A159" s="1">
        <f t="shared" si="32"/>
        <v>154</v>
      </c>
      <c r="B159" s="1">
        <f t="shared" ref="B159:B161" si="39">B158</f>
        <v>19</v>
      </c>
      <c r="C159" s="1">
        <v>2</v>
      </c>
      <c r="D159" s="3" t="str">
        <f>VLOOKUP(B159,AE_weight!$AP$4:$AX$36,C159+1)</f>
        <v>2233</v>
      </c>
      <c r="E159" s="3" t="str">
        <f>VLOOKUP(B159,AE_weight!$AP$40:$AX$72,C159+1)</f>
        <v>2222</v>
      </c>
      <c r="F159" s="3" t="str">
        <f>VLOOKUP(B159,AE_weight!$AP$76:$AX$108,C159+1)</f>
        <v>2233</v>
      </c>
      <c r="G159" s="3" t="str">
        <f>VLOOKUP(B159,AE_weight!$AP$112:$AX$144,C159+1)</f>
        <v>2222</v>
      </c>
      <c r="H159" s="3" t="str">
        <f>VLOOKUP(B159,AE_weight!$AP$149:$AX$180,C159+1)</f>
        <v>0000</v>
      </c>
      <c r="I159" s="3" t="str">
        <f>VLOOKUP(B159,AE_weight!$AP$185:$AX$216,C159+1)</f>
        <v>0000</v>
      </c>
      <c r="J159" s="3" t="str">
        <f>VLOOKUP(B159,AE_weight!$AP$221:$AX$252,C159+1)</f>
        <v>0000</v>
      </c>
      <c r="K159" s="3" t="str">
        <f>VLOOKUP(B159,AE_weight!$AP$257:$AX$288,C159+1)</f>
        <v>1100</v>
      </c>
      <c r="L159" s="3" t="str">
        <f>VLOOKUP(B159,AE_weight!$AP$293:$AX$324,C159+1)</f>
        <v>1100</v>
      </c>
      <c r="M159" s="3" t="str">
        <f>VLOOKUP(B159,AE_weight!$AP$329:$AX$360,C159+1)</f>
        <v>2233</v>
      </c>
    </row>
    <row r="160" spans="1:13">
      <c r="A160" s="1">
        <f t="shared" si="32"/>
        <v>155</v>
      </c>
      <c r="B160" s="1">
        <f t="shared" si="39"/>
        <v>19</v>
      </c>
      <c r="C160" s="1">
        <v>3</v>
      </c>
      <c r="D160" s="3" t="str">
        <f>VLOOKUP(B160,AE_weight!$AP$4:$AX$36,C160+1)</f>
        <v>4455</v>
      </c>
      <c r="E160" s="3" t="str">
        <f>VLOOKUP(B160,AE_weight!$AP$40:$AX$72,C160+1)</f>
        <v>2222</v>
      </c>
      <c r="F160" s="3" t="str">
        <f>VLOOKUP(B160,AE_weight!$AP$76:$AX$108,C160+1)</f>
        <v>3344</v>
      </c>
      <c r="G160" s="3" t="str">
        <f>VLOOKUP(B160,AE_weight!$AP$112:$AX$144,C160+1)</f>
        <v>2233</v>
      </c>
      <c r="H160" s="3" t="str">
        <f>VLOOKUP(B160,AE_weight!$AP$149:$AX$180,C160+1)</f>
        <v>0000</v>
      </c>
      <c r="I160" s="3" t="str">
        <f>VLOOKUP(B160,AE_weight!$AP$185:$AX$216,C160+1)</f>
        <v>00DD</v>
      </c>
      <c r="J160" s="3" t="str">
        <f>VLOOKUP(B160,AE_weight!$AP$221:$AX$252,C160+1)</f>
        <v>77BB</v>
      </c>
      <c r="K160" s="3" t="str">
        <f>VLOOKUP(B160,AE_weight!$AP$257:$AX$288,C160+1)</f>
        <v>1100</v>
      </c>
      <c r="L160" s="3" t="str">
        <f>VLOOKUP(B160,AE_weight!$AP$293:$AX$324,C160+1)</f>
        <v>0000</v>
      </c>
      <c r="M160" s="3" t="str">
        <f>VLOOKUP(B160,AE_weight!$AP$329:$AX$360,C160+1)</f>
        <v>4455</v>
      </c>
    </row>
    <row r="161" spans="1:13">
      <c r="A161" s="1">
        <f t="shared" si="32"/>
        <v>156</v>
      </c>
      <c r="B161" s="1">
        <f t="shared" si="39"/>
        <v>19</v>
      </c>
      <c r="C161" s="1">
        <v>4</v>
      </c>
      <c r="D161" s="3" t="str">
        <f>VLOOKUP(B161,AE_weight!$AP$4:$AX$36,C161+1)</f>
        <v>5555</v>
      </c>
      <c r="E161" s="3" t="str">
        <f>VLOOKUP(B161,AE_weight!$AP$40:$AX$72,C161+1)</f>
        <v>2222</v>
      </c>
      <c r="F161" s="3" t="str">
        <f>VLOOKUP(B161,AE_weight!$AP$76:$AX$108,C161+1)</f>
        <v>6666</v>
      </c>
      <c r="G161" s="3" t="str">
        <f>VLOOKUP(B161,AE_weight!$AP$112:$AX$144,C161+1)</f>
        <v>5555</v>
      </c>
      <c r="H161" s="3" t="str">
        <f>VLOOKUP(B161,AE_weight!$AP$149:$AX$180,C161+1)</f>
        <v>0000</v>
      </c>
      <c r="I161" s="3" t="str">
        <f>VLOOKUP(B161,AE_weight!$AP$185:$AX$216,C161+1)</f>
        <v>DDFF</v>
      </c>
      <c r="J161" s="3" t="str">
        <f>VLOOKUP(B161,AE_weight!$AP$221:$AX$252,C161+1)</f>
        <v>DDDD</v>
      </c>
      <c r="K161" s="3" t="str">
        <f>VLOOKUP(B161,AE_weight!$AP$257:$AX$288,C161+1)</f>
        <v>1100</v>
      </c>
      <c r="L161" s="3" t="str">
        <f>VLOOKUP(B161,AE_weight!$AP$293:$AX$324,C161+1)</f>
        <v>1100</v>
      </c>
      <c r="M161" s="3" t="str">
        <f>VLOOKUP(B161,AE_weight!$AP$329:$AX$360,C161+1)</f>
        <v>6666</v>
      </c>
    </row>
    <row r="162" spans="1:13">
      <c r="A162" s="1">
        <f t="shared" si="32"/>
        <v>157</v>
      </c>
      <c r="B162" s="1">
        <v>19</v>
      </c>
      <c r="C162" s="1">
        <v>5</v>
      </c>
      <c r="D162" s="3" t="str">
        <f>VLOOKUP(B162,AE_weight!$AP$4:$AX$36,C162+1)</f>
        <v>5555</v>
      </c>
      <c r="E162" s="3" t="str">
        <f>VLOOKUP(B162,AE_weight!$AP$40:$AX$72,C162+1)</f>
        <v>2222</v>
      </c>
      <c r="F162" s="3" t="str">
        <f>VLOOKUP(B162,AE_weight!$AP$76:$AX$108,C162+1)</f>
        <v>6666</v>
      </c>
      <c r="G162" s="3" t="str">
        <f>VLOOKUP(B162,AE_weight!$AP$112:$AX$144,C162+1)</f>
        <v>5555</v>
      </c>
      <c r="H162" s="3" t="str">
        <f>VLOOKUP(B162,AE_weight!$AP$149:$AX$180,C162+1)</f>
        <v>0000</v>
      </c>
      <c r="I162" s="3" t="str">
        <f>VLOOKUP(B162,AE_weight!$AP$185:$AX$216,C162+1)</f>
        <v>FFDD</v>
      </c>
      <c r="J162" s="3" t="str">
        <f>VLOOKUP(B162,AE_weight!$AP$221:$AX$252,C162+1)</f>
        <v>DDDD</v>
      </c>
      <c r="K162" s="3" t="str">
        <f>VLOOKUP(B162,AE_weight!$AP$257:$AX$288,C162+1)</f>
        <v>0011</v>
      </c>
      <c r="L162" s="3" t="str">
        <f>VLOOKUP(B162,AE_weight!$AP$293:$AX$324,C162+1)</f>
        <v>0011</v>
      </c>
      <c r="M162" s="3" t="str">
        <f>VLOOKUP(B162,AE_weight!$AP$329:$AX$360,C162+1)</f>
        <v>6666</v>
      </c>
    </row>
    <row r="163" spans="1:13">
      <c r="A163" s="1">
        <f t="shared" si="32"/>
        <v>158</v>
      </c>
      <c r="B163" s="1">
        <f t="shared" ref="B163:B165" si="40">B162</f>
        <v>19</v>
      </c>
      <c r="C163" s="1">
        <v>6</v>
      </c>
      <c r="D163" s="3" t="str">
        <f>VLOOKUP(B163,AE_weight!$AP$4:$AX$36,C163+1)</f>
        <v>5544</v>
      </c>
      <c r="E163" s="3" t="str">
        <f>VLOOKUP(B163,AE_weight!$AP$40:$AX$72,C163+1)</f>
        <v>2222</v>
      </c>
      <c r="F163" s="3" t="str">
        <f>VLOOKUP(B163,AE_weight!$AP$76:$AX$108,C163+1)</f>
        <v>4433</v>
      </c>
      <c r="G163" s="3" t="str">
        <f>VLOOKUP(B163,AE_weight!$AP$112:$AX$144,C163+1)</f>
        <v>3322</v>
      </c>
      <c r="H163" s="3" t="str">
        <f>VLOOKUP(B163,AE_weight!$AP$149:$AX$180,C163+1)</f>
        <v>0000</v>
      </c>
      <c r="I163" s="3" t="str">
        <f>VLOOKUP(B163,AE_weight!$AP$185:$AX$216,C163+1)</f>
        <v>DD00</v>
      </c>
      <c r="J163" s="3" t="str">
        <f>VLOOKUP(B163,AE_weight!$AP$221:$AX$252,C163+1)</f>
        <v>BB77</v>
      </c>
      <c r="K163" s="3" t="str">
        <f>VLOOKUP(B163,AE_weight!$AP$257:$AX$288,C163+1)</f>
        <v>0011</v>
      </c>
      <c r="L163" s="3" t="str">
        <f>VLOOKUP(B163,AE_weight!$AP$293:$AX$324,C163+1)</f>
        <v>0000</v>
      </c>
      <c r="M163" s="3" t="str">
        <f>VLOOKUP(B163,AE_weight!$AP$329:$AX$360,C163+1)</f>
        <v>5544</v>
      </c>
    </row>
    <row r="164" spans="1:13">
      <c r="A164" s="1">
        <f t="shared" si="32"/>
        <v>159</v>
      </c>
      <c r="B164" s="1">
        <f t="shared" si="40"/>
        <v>19</v>
      </c>
      <c r="C164" s="1">
        <v>7</v>
      </c>
      <c r="D164" s="3" t="str">
        <f>VLOOKUP(B164,AE_weight!$AP$4:$AX$36,C164+1)</f>
        <v>3322</v>
      </c>
      <c r="E164" s="3" t="str">
        <f>VLOOKUP(B164,AE_weight!$AP$40:$AX$72,C164+1)</f>
        <v>2222</v>
      </c>
      <c r="F164" s="3" t="str">
        <f>VLOOKUP(B164,AE_weight!$AP$76:$AX$108,C164+1)</f>
        <v>3322</v>
      </c>
      <c r="G164" s="3" t="str">
        <f>VLOOKUP(B164,AE_weight!$AP$112:$AX$144,C164+1)</f>
        <v>2222</v>
      </c>
      <c r="H164" s="3" t="str">
        <f>VLOOKUP(B164,AE_weight!$AP$149:$AX$180,C164+1)</f>
        <v>0000</v>
      </c>
      <c r="I164" s="3" t="str">
        <f>VLOOKUP(B164,AE_weight!$AP$185:$AX$216,C164+1)</f>
        <v>0000</v>
      </c>
      <c r="J164" s="3" t="str">
        <f>VLOOKUP(B164,AE_weight!$AP$221:$AX$252,C164+1)</f>
        <v>0000</v>
      </c>
      <c r="K164" s="3" t="str">
        <f>VLOOKUP(B164,AE_weight!$AP$257:$AX$288,C164+1)</f>
        <v>0011</v>
      </c>
      <c r="L164" s="3" t="str">
        <f>VLOOKUP(B164,AE_weight!$AP$293:$AX$324,C164+1)</f>
        <v>0011</v>
      </c>
      <c r="M164" s="3" t="str">
        <f>VLOOKUP(B164,AE_weight!$AP$329:$AX$360,C164+1)</f>
        <v>3322</v>
      </c>
    </row>
    <row r="165" spans="1:13">
      <c r="A165" s="1">
        <f t="shared" si="32"/>
        <v>160</v>
      </c>
      <c r="B165" s="1">
        <f t="shared" si="40"/>
        <v>19</v>
      </c>
      <c r="C165" s="1">
        <v>8</v>
      </c>
      <c r="D165" s="3" t="str">
        <f>VLOOKUP(B165,AE_weight!$AP$4:$AX$36,C165+1)</f>
        <v>1100</v>
      </c>
      <c r="E165" s="3" t="str">
        <f>VLOOKUP(B165,AE_weight!$AP$40:$AX$72,C165+1)</f>
        <v>2222</v>
      </c>
      <c r="F165" s="3" t="str">
        <f>VLOOKUP(B165,AE_weight!$AP$76:$AX$108,C165+1)</f>
        <v>0000</v>
      </c>
      <c r="G165" s="3" t="str">
        <f>VLOOKUP(B165,AE_weight!$AP$112:$AX$144,C165+1)</f>
        <v>2222</v>
      </c>
      <c r="H165" s="3" t="str">
        <f>VLOOKUP(B165,AE_weight!$AP$149:$AX$180,C165+1)</f>
        <v>0000</v>
      </c>
      <c r="I165" s="3" t="str">
        <f>VLOOKUP(B165,AE_weight!$AP$185:$AX$216,C165+1)</f>
        <v>0000</v>
      </c>
      <c r="J165" s="3" t="str">
        <f>VLOOKUP(B165,AE_weight!$AP$221:$AX$252,C165+1)</f>
        <v>0000</v>
      </c>
      <c r="K165" s="3" t="str">
        <f>VLOOKUP(B165,AE_weight!$AP$257:$AX$288,C165+1)</f>
        <v>0000</v>
      </c>
      <c r="L165" s="3" t="str">
        <f>VLOOKUP(B165,AE_weight!$AP$293:$AX$324,C165+1)</f>
        <v>0000</v>
      </c>
      <c r="M165" s="3" t="str">
        <f>VLOOKUP(B165,AE_weight!$AP$329:$AX$360,C165+1)</f>
        <v>1100</v>
      </c>
    </row>
    <row r="166" spans="1:13">
      <c r="A166" s="1">
        <f t="shared" si="32"/>
        <v>161</v>
      </c>
      <c r="B166" s="1">
        <v>20</v>
      </c>
      <c r="C166" s="1">
        <v>1</v>
      </c>
      <c r="D166" s="3" t="str">
        <f>VLOOKUP(B166,AE_weight!$AP$4:$AX$36,C166+1)</f>
        <v>0011</v>
      </c>
      <c r="E166" s="3" t="str">
        <f>VLOOKUP(B166,AE_weight!$AP$40:$AX$72,C166+1)</f>
        <v>2222</v>
      </c>
      <c r="F166" s="3" t="str">
        <f>VLOOKUP(B166,AE_weight!$AP$76:$AX$108,C166+1)</f>
        <v>0000</v>
      </c>
      <c r="G166" s="3" t="str">
        <f>VLOOKUP(B166,AE_weight!$AP$112:$AX$144,C166+1)</f>
        <v>2222</v>
      </c>
      <c r="H166" s="3" t="str">
        <f>VLOOKUP(B166,AE_weight!$AP$149:$AX$180,C166+1)</f>
        <v>0000</v>
      </c>
      <c r="I166" s="3" t="str">
        <f>VLOOKUP(B166,AE_weight!$AP$185:$AX$216,C166+1)</f>
        <v>0000</v>
      </c>
      <c r="J166" s="3" t="str">
        <f>VLOOKUP(B166,AE_weight!$AP$221:$AX$252,C166+1)</f>
        <v>0000</v>
      </c>
      <c r="K166" s="3" t="str">
        <f>VLOOKUP(B166,AE_weight!$AP$257:$AX$288,C166+1)</f>
        <v>0000</v>
      </c>
      <c r="L166" s="3" t="str">
        <f>VLOOKUP(B166,AE_weight!$AP$293:$AX$324,C166+1)</f>
        <v>0000</v>
      </c>
      <c r="M166" s="3" t="str">
        <f>VLOOKUP(B166,AE_weight!$AP$329:$AX$360,C166+1)</f>
        <v>0011</v>
      </c>
    </row>
    <row r="167" spans="1:13">
      <c r="A167" s="1">
        <f t="shared" si="32"/>
        <v>162</v>
      </c>
      <c r="B167" s="1">
        <f t="shared" ref="B167:B169" si="41">B166</f>
        <v>20</v>
      </c>
      <c r="C167" s="1">
        <v>2</v>
      </c>
      <c r="D167" s="3" t="str">
        <f>VLOOKUP(B167,AE_weight!$AP$4:$AX$36,C167+1)</f>
        <v>2233</v>
      </c>
      <c r="E167" s="3" t="str">
        <f>VLOOKUP(B167,AE_weight!$AP$40:$AX$72,C167+1)</f>
        <v>2222</v>
      </c>
      <c r="F167" s="3" t="str">
        <f>VLOOKUP(B167,AE_weight!$AP$76:$AX$108,C167+1)</f>
        <v>0022</v>
      </c>
      <c r="G167" s="3" t="str">
        <f>VLOOKUP(B167,AE_weight!$AP$112:$AX$144,C167+1)</f>
        <v>2222</v>
      </c>
      <c r="H167" s="3" t="str">
        <f>VLOOKUP(B167,AE_weight!$AP$149:$AX$180,C167+1)</f>
        <v>0000</v>
      </c>
      <c r="I167" s="3" t="str">
        <f>VLOOKUP(B167,AE_weight!$AP$185:$AX$216,C167+1)</f>
        <v>0000</v>
      </c>
      <c r="J167" s="3" t="str">
        <f>VLOOKUP(B167,AE_weight!$AP$221:$AX$252,C167+1)</f>
        <v>0000</v>
      </c>
      <c r="K167" s="3" t="str">
        <f>VLOOKUP(B167,AE_weight!$AP$257:$AX$288,C167+1)</f>
        <v>0000</v>
      </c>
      <c r="L167" s="3" t="str">
        <f>VLOOKUP(B167,AE_weight!$AP$293:$AX$324,C167+1)</f>
        <v>0000</v>
      </c>
      <c r="M167" s="3" t="str">
        <f>VLOOKUP(B167,AE_weight!$AP$329:$AX$360,C167+1)</f>
        <v>2233</v>
      </c>
    </row>
    <row r="168" spans="1:13">
      <c r="A168" s="1">
        <f t="shared" si="32"/>
        <v>163</v>
      </c>
      <c r="B168" s="1">
        <f t="shared" si="41"/>
        <v>20</v>
      </c>
      <c r="C168" s="1">
        <v>3</v>
      </c>
      <c r="D168" s="3" t="str">
        <f>VLOOKUP(B168,AE_weight!$AP$4:$AX$36,C168+1)</f>
        <v>4444</v>
      </c>
      <c r="E168" s="3" t="str">
        <f>VLOOKUP(B168,AE_weight!$AP$40:$AX$72,C168+1)</f>
        <v>2222</v>
      </c>
      <c r="F168" s="3" t="str">
        <f>VLOOKUP(B168,AE_weight!$AP$76:$AX$108,C168+1)</f>
        <v>3344</v>
      </c>
      <c r="G168" s="3" t="str">
        <f>VLOOKUP(B168,AE_weight!$AP$112:$AX$144,C168+1)</f>
        <v>2222</v>
      </c>
      <c r="H168" s="3" t="str">
        <f>VLOOKUP(B168,AE_weight!$AP$149:$AX$180,C168+1)</f>
        <v>0000</v>
      </c>
      <c r="I168" s="3" t="str">
        <f>VLOOKUP(B168,AE_weight!$AP$185:$AX$216,C168+1)</f>
        <v>0000</v>
      </c>
      <c r="J168" s="3" t="str">
        <f>VLOOKUP(B168,AE_weight!$AP$221:$AX$252,C168+1)</f>
        <v>7777</v>
      </c>
      <c r="K168" s="3" t="str">
        <f>VLOOKUP(B168,AE_weight!$AP$257:$AX$288,C168+1)</f>
        <v>0000</v>
      </c>
      <c r="L168" s="3" t="str">
        <f>VLOOKUP(B168,AE_weight!$AP$293:$AX$324,C168+1)</f>
        <v>0000</v>
      </c>
      <c r="M168" s="3" t="str">
        <f>VLOOKUP(B168,AE_weight!$AP$329:$AX$360,C168+1)</f>
        <v>4455</v>
      </c>
    </row>
    <row r="169" spans="1:13">
      <c r="A169" s="1">
        <f t="shared" si="32"/>
        <v>164</v>
      </c>
      <c r="B169" s="1">
        <f t="shared" si="41"/>
        <v>20</v>
      </c>
      <c r="C169" s="1">
        <v>4</v>
      </c>
      <c r="D169" s="3" t="str">
        <f>VLOOKUP(B169,AE_weight!$AP$4:$AX$36,C169+1)</f>
        <v>5555</v>
      </c>
      <c r="E169" s="3" t="str">
        <f>VLOOKUP(B169,AE_weight!$AP$40:$AX$72,C169+1)</f>
        <v>2222</v>
      </c>
      <c r="F169" s="3" t="str">
        <f>VLOOKUP(B169,AE_weight!$AP$76:$AX$108,C169+1)</f>
        <v>5555</v>
      </c>
      <c r="G169" s="3" t="str">
        <f>VLOOKUP(B169,AE_weight!$AP$112:$AX$144,C169+1)</f>
        <v>3333</v>
      </c>
      <c r="H169" s="3" t="str">
        <f>VLOOKUP(B169,AE_weight!$AP$149:$AX$180,C169+1)</f>
        <v>0000</v>
      </c>
      <c r="I169" s="3" t="str">
        <f>VLOOKUP(B169,AE_weight!$AP$185:$AX$216,C169+1)</f>
        <v>DDDD</v>
      </c>
      <c r="J169" s="3" t="str">
        <f>VLOOKUP(B169,AE_weight!$AP$221:$AX$252,C169+1)</f>
        <v>BBBB</v>
      </c>
      <c r="K169" s="3" t="str">
        <f>VLOOKUP(B169,AE_weight!$AP$257:$AX$288,C169+1)</f>
        <v>0000</v>
      </c>
      <c r="L169" s="3" t="str">
        <f>VLOOKUP(B169,AE_weight!$AP$293:$AX$324,C169+1)</f>
        <v>0000</v>
      </c>
      <c r="M169" s="3" t="str">
        <f>VLOOKUP(B169,AE_weight!$AP$329:$AX$360,C169+1)</f>
        <v>6666</v>
      </c>
    </row>
    <row r="170" spans="1:13">
      <c r="A170" s="1">
        <f t="shared" si="32"/>
        <v>165</v>
      </c>
      <c r="B170" s="1">
        <v>20</v>
      </c>
      <c r="C170" s="1">
        <v>5</v>
      </c>
      <c r="D170" s="3" t="str">
        <f>VLOOKUP(B170,AE_weight!$AP$4:$AX$36,C170+1)</f>
        <v>5555</v>
      </c>
      <c r="E170" s="3" t="str">
        <f>VLOOKUP(B170,AE_weight!$AP$40:$AX$72,C170+1)</f>
        <v>2222</v>
      </c>
      <c r="F170" s="3" t="str">
        <f>VLOOKUP(B170,AE_weight!$AP$76:$AX$108,C170+1)</f>
        <v>5555</v>
      </c>
      <c r="G170" s="3" t="str">
        <f>VLOOKUP(B170,AE_weight!$AP$112:$AX$144,C170+1)</f>
        <v>3333</v>
      </c>
      <c r="H170" s="3" t="str">
        <f>VLOOKUP(B170,AE_weight!$AP$149:$AX$180,C170+1)</f>
        <v>0000</v>
      </c>
      <c r="I170" s="3" t="str">
        <f>VLOOKUP(B170,AE_weight!$AP$185:$AX$216,C170+1)</f>
        <v>DDDD</v>
      </c>
      <c r="J170" s="3" t="str">
        <f>VLOOKUP(B170,AE_weight!$AP$221:$AX$252,C170+1)</f>
        <v>BBBB</v>
      </c>
      <c r="K170" s="3" t="str">
        <f>VLOOKUP(B170,AE_weight!$AP$257:$AX$288,C170+1)</f>
        <v>0000</v>
      </c>
      <c r="L170" s="3" t="str">
        <f>VLOOKUP(B170,AE_weight!$AP$293:$AX$324,C170+1)</f>
        <v>0000</v>
      </c>
      <c r="M170" s="3" t="str">
        <f>VLOOKUP(B170,AE_weight!$AP$329:$AX$360,C170+1)</f>
        <v>6666</v>
      </c>
    </row>
    <row r="171" spans="1:13">
      <c r="A171" s="1">
        <f t="shared" si="32"/>
        <v>166</v>
      </c>
      <c r="B171" s="1">
        <f t="shared" ref="B171:B173" si="42">B170</f>
        <v>20</v>
      </c>
      <c r="C171" s="1">
        <v>6</v>
      </c>
      <c r="D171" s="3" t="str">
        <f>VLOOKUP(B171,AE_weight!$AP$4:$AX$36,C171+1)</f>
        <v>4444</v>
      </c>
      <c r="E171" s="3" t="str">
        <f>VLOOKUP(B171,AE_weight!$AP$40:$AX$72,C171+1)</f>
        <v>2222</v>
      </c>
      <c r="F171" s="3" t="str">
        <f>VLOOKUP(B171,AE_weight!$AP$76:$AX$108,C171+1)</f>
        <v>4433</v>
      </c>
      <c r="G171" s="3" t="str">
        <f>VLOOKUP(B171,AE_weight!$AP$112:$AX$144,C171+1)</f>
        <v>2222</v>
      </c>
      <c r="H171" s="3" t="str">
        <f>VLOOKUP(B171,AE_weight!$AP$149:$AX$180,C171+1)</f>
        <v>0000</v>
      </c>
      <c r="I171" s="3" t="str">
        <f>VLOOKUP(B171,AE_weight!$AP$185:$AX$216,C171+1)</f>
        <v>0000</v>
      </c>
      <c r="J171" s="3" t="str">
        <f>VLOOKUP(B171,AE_weight!$AP$221:$AX$252,C171+1)</f>
        <v>7777</v>
      </c>
      <c r="K171" s="3" t="str">
        <f>VLOOKUP(B171,AE_weight!$AP$257:$AX$288,C171+1)</f>
        <v>0000</v>
      </c>
      <c r="L171" s="3" t="str">
        <f>VLOOKUP(B171,AE_weight!$AP$293:$AX$324,C171+1)</f>
        <v>0000</v>
      </c>
      <c r="M171" s="3" t="str">
        <f>VLOOKUP(B171,AE_weight!$AP$329:$AX$360,C171+1)</f>
        <v>5544</v>
      </c>
    </row>
    <row r="172" spans="1:13">
      <c r="A172" s="1">
        <f t="shared" si="32"/>
        <v>167</v>
      </c>
      <c r="B172" s="1">
        <f t="shared" si="42"/>
        <v>20</v>
      </c>
      <c r="C172" s="1">
        <v>7</v>
      </c>
      <c r="D172" s="3" t="str">
        <f>VLOOKUP(B172,AE_weight!$AP$4:$AX$36,C172+1)</f>
        <v>3322</v>
      </c>
      <c r="E172" s="3" t="str">
        <f>VLOOKUP(B172,AE_weight!$AP$40:$AX$72,C172+1)</f>
        <v>2222</v>
      </c>
      <c r="F172" s="3" t="str">
        <f>VLOOKUP(B172,AE_weight!$AP$76:$AX$108,C172+1)</f>
        <v>2200</v>
      </c>
      <c r="G172" s="3" t="str">
        <f>VLOOKUP(B172,AE_weight!$AP$112:$AX$144,C172+1)</f>
        <v>2222</v>
      </c>
      <c r="H172" s="3" t="str">
        <f>VLOOKUP(B172,AE_weight!$AP$149:$AX$180,C172+1)</f>
        <v>0000</v>
      </c>
      <c r="I172" s="3" t="str">
        <f>VLOOKUP(B172,AE_weight!$AP$185:$AX$216,C172+1)</f>
        <v>0000</v>
      </c>
      <c r="J172" s="3" t="str">
        <f>VLOOKUP(B172,AE_weight!$AP$221:$AX$252,C172+1)</f>
        <v>0000</v>
      </c>
      <c r="K172" s="3" t="str">
        <f>VLOOKUP(B172,AE_weight!$AP$257:$AX$288,C172+1)</f>
        <v>0000</v>
      </c>
      <c r="L172" s="3" t="str">
        <f>VLOOKUP(B172,AE_weight!$AP$293:$AX$324,C172+1)</f>
        <v>0000</v>
      </c>
      <c r="M172" s="3" t="str">
        <f>VLOOKUP(B172,AE_weight!$AP$329:$AX$360,C172+1)</f>
        <v>3322</v>
      </c>
    </row>
    <row r="173" spans="1:13">
      <c r="A173" s="1">
        <f t="shared" si="32"/>
        <v>168</v>
      </c>
      <c r="B173" s="1">
        <f t="shared" si="42"/>
        <v>20</v>
      </c>
      <c r="C173" s="1">
        <v>8</v>
      </c>
      <c r="D173" s="3" t="str">
        <f>VLOOKUP(B173,AE_weight!$AP$4:$AX$36,C173+1)</f>
        <v>1100</v>
      </c>
      <c r="E173" s="3" t="str">
        <f>VLOOKUP(B173,AE_weight!$AP$40:$AX$72,C173+1)</f>
        <v>2222</v>
      </c>
      <c r="F173" s="3" t="str">
        <f>VLOOKUP(B173,AE_weight!$AP$76:$AX$108,C173+1)</f>
        <v>0000</v>
      </c>
      <c r="G173" s="3" t="str">
        <f>VLOOKUP(B173,AE_weight!$AP$112:$AX$144,C173+1)</f>
        <v>2222</v>
      </c>
      <c r="H173" s="3" t="str">
        <f>VLOOKUP(B173,AE_weight!$AP$149:$AX$180,C173+1)</f>
        <v>0000</v>
      </c>
      <c r="I173" s="3" t="str">
        <f>VLOOKUP(B173,AE_weight!$AP$185:$AX$216,C173+1)</f>
        <v>0000</v>
      </c>
      <c r="J173" s="3" t="str">
        <f>VLOOKUP(B173,AE_weight!$AP$221:$AX$252,C173+1)</f>
        <v>0000</v>
      </c>
      <c r="K173" s="3" t="str">
        <f>VLOOKUP(B173,AE_weight!$AP$257:$AX$288,C173+1)</f>
        <v>0000</v>
      </c>
      <c r="L173" s="3" t="str">
        <f>VLOOKUP(B173,AE_weight!$AP$293:$AX$324,C173+1)</f>
        <v>0000</v>
      </c>
      <c r="M173" s="3" t="str">
        <f>VLOOKUP(B173,AE_weight!$AP$329:$AX$360,C173+1)</f>
        <v>1100</v>
      </c>
    </row>
    <row r="174" spans="1:13">
      <c r="A174" s="1">
        <f t="shared" si="32"/>
        <v>169</v>
      </c>
      <c r="B174" s="1">
        <v>21</v>
      </c>
      <c r="C174" s="1">
        <v>1</v>
      </c>
      <c r="D174" s="3" t="str">
        <f>VLOOKUP(B174,AE_weight!$AP$4:$AX$36,C174+1)</f>
        <v>0011</v>
      </c>
      <c r="E174" s="3" t="str">
        <f>VLOOKUP(B174,AE_weight!$AP$40:$AX$72,C174+1)</f>
        <v>2222</v>
      </c>
      <c r="F174" s="3" t="str">
        <f>VLOOKUP(B174,AE_weight!$AP$76:$AX$108,C174+1)</f>
        <v>0000</v>
      </c>
      <c r="G174" s="3" t="str">
        <f>VLOOKUP(B174,AE_weight!$AP$112:$AX$144,C174+1)</f>
        <v>2222</v>
      </c>
      <c r="H174" s="3" t="str">
        <f>VLOOKUP(B174,AE_weight!$AP$149:$AX$180,C174+1)</f>
        <v>0000</v>
      </c>
      <c r="I174" s="3" t="str">
        <f>VLOOKUP(B174,AE_weight!$AP$185:$AX$216,C174+1)</f>
        <v>0000</v>
      </c>
      <c r="J174" s="3" t="str">
        <f>VLOOKUP(B174,AE_weight!$AP$221:$AX$252,C174+1)</f>
        <v>0000</v>
      </c>
      <c r="K174" s="3" t="str">
        <f>VLOOKUP(B174,AE_weight!$AP$257:$AX$288,C174+1)</f>
        <v>0000</v>
      </c>
      <c r="L174" s="3" t="str">
        <f>VLOOKUP(B174,AE_weight!$AP$293:$AX$324,C174+1)</f>
        <v>0000</v>
      </c>
      <c r="M174" s="3" t="str">
        <f>VLOOKUP(B174,AE_weight!$AP$329:$AX$360,C174+1)</f>
        <v>0011</v>
      </c>
    </row>
    <row r="175" spans="1:13">
      <c r="A175" s="1">
        <f t="shared" si="32"/>
        <v>170</v>
      </c>
      <c r="B175" s="1">
        <f t="shared" ref="B175:B177" si="43">B174</f>
        <v>21</v>
      </c>
      <c r="C175" s="1">
        <v>2</v>
      </c>
      <c r="D175" s="3" t="str">
        <f>VLOOKUP(B175,AE_weight!$AP$4:$AX$36,C175+1)</f>
        <v>2222</v>
      </c>
      <c r="E175" s="3" t="str">
        <f>VLOOKUP(B175,AE_weight!$AP$40:$AX$72,C175+1)</f>
        <v>2222</v>
      </c>
      <c r="F175" s="3" t="str">
        <f>VLOOKUP(B175,AE_weight!$AP$76:$AX$108,C175+1)</f>
        <v>0022</v>
      </c>
      <c r="G175" s="3" t="str">
        <f>VLOOKUP(B175,AE_weight!$AP$112:$AX$144,C175+1)</f>
        <v>2222</v>
      </c>
      <c r="H175" s="3" t="str">
        <f>VLOOKUP(B175,AE_weight!$AP$149:$AX$180,C175+1)</f>
        <v>0000</v>
      </c>
      <c r="I175" s="3" t="str">
        <f>VLOOKUP(B175,AE_weight!$AP$185:$AX$216,C175+1)</f>
        <v>0000</v>
      </c>
      <c r="J175" s="3" t="str">
        <f>VLOOKUP(B175,AE_weight!$AP$221:$AX$252,C175+1)</f>
        <v>0000</v>
      </c>
      <c r="K175" s="3" t="str">
        <f>VLOOKUP(B175,AE_weight!$AP$257:$AX$288,C175+1)</f>
        <v>0011</v>
      </c>
      <c r="L175" s="3" t="str">
        <f>VLOOKUP(B175,AE_weight!$AP$293:$AX$324,C175+1)</f>
        <v>0000</v>
      </c>
      <c r="M175" s="3" t="str">
        <f>VLOOKUP(B175,AE_weight!$AP$329:$AX$360,C175+1)</f>
        <v>2233</v>
      </c>
    </row>
    <row r="176" spans="1:13">
      <c r="A176" s="1">
        <f t="shared" si="32"/>
        <v>171</v>
      </c>
      <c r="B176" s="1">
        <f t="shared" si="43"/>
        <v>21</v>
      </c>
      <c r="C176" s="1">
        <v>3</v>
      </c>
      <c r="D176" s="3" t="str">
        <f>VLOOKUP(B176,AE_weight!$AP$4:$AX$36,C176+1)</f>
        <v>3344</v>
      </c>
      <c r="E176" s="3" t="str">
        <f>VLOOKUP(B176,AE_weight!$AP$40:$AX$72,C176+1)</f>
        <v>2222</v>
      </c>
      <c r="F176" s="3" t="str">
        <f>VLOOKUP(B176,AE_weight!$AP$76:$AX$108,C176+1)</f>
        <v>3344</v>
      </c>
      <c r="G176" s="3" t="str">
        <f>VLOOKUP(B176,AE_weight!$AP$112:$AX$144,C176+1)</f>
        <v>2222</v>
      </c>
      <c r="H176" s="3" t="str">
        <f>VLOOKUP(B176,AE_weight!$AP$149:$AX$180,C176+1)</f>
        <v>0000</v>
      </c>
      <c r="I176" s="3" t="str">
        <f>VLOOKUP(B176,AE_weight!$AP$185:$AX$216,C176+1)</f>
        <v>0000</v>
      </c>
      <c r="J176" s="3" t="str">
        <f>VLOOKUP(B176,AE_weight!$AP$221:$AX$252,C176+1)</f>
        <v>7777</v>
      </c>
      <c r="K176" s="3" t="str">
        <f>VLOOKUP(B176,AE_weight!$AP$257:$AX$288,C176+1)</f>
        <v>0011</v>
      </c>
      <c r="L176" s="3" t="str">
        <f>VLOOKUP(B176,AE_weight!$AP$293:$AX$324,C176+1)</f>
        <v>0000</v>
      </c>
      <c r="M176" s="3" t="str">
        <f>VLOOKUP(B176,AE_weight!$AP$329:$AX$360,C176+1)</f>
        <v>4455</v>
      </c>
    </row>
    <row r="177" spans="1:13">
      <c r="A177" s="1">
        <f t="shared" si="32"/>
        <v>172</v>
      </c>
      <c r="B177" s="1">
        <f t="shared" si="43"/>
        <v>21</v>
      </c>
      <c r="C177" s="1">
        <v>4</v>
      </c>
      <c r="D177" s="3" t="str">
        <f>VLOOKUP(B177,AE_weight!$AP$4:$AX$36,C177+1)</f>
        <v>4455</v>
      </c>
      <c r="E177" s="3" t="str">
        <f>VLOOKUP(B177,AE_weight!$AP$40:$AX$72,C177+1)</f>
        <v>2222</v>
      </c>
      <c r="F177" s="3" t="str">
        <f>VLOOKUP(B177,AE_weight!$AP$76:$AX$108,C177+1)</f>
        <v>5555</v>
      </c>
      <c r="G177" s="3" t="str">
        <f>VLOOKUP(B177,AE_weight!$AP$112:$AX$144,C177+1)</f>
        <v>3333</v>
      </c>
      <c r="H177" s="3" t="str">
        <f>VLOOKUP(B177,AE_weight!$AP$149:$AX$180,C177+1)</f>
        <v>0000</v>
      </c>
      <c r="I177" s="3" t="str">
        <f>VLOOKUP(B177,AE_weight!$AP$185:$AX$216,C177+1)</f>
        <v>DDDD</v>
      </c>
      <c r="J177" s="3" t="str">
        <f>VLOOKUP(B177,AE_weight!$AP$221:$AX$252,C177+1)</f>
        <v>BBBB</v>
      </c>
      <c r="K177" s="3" t="str">
        <f>VLOOKUP(B177,AE_weight!$AP$257:$AX$288,C177+1)</f>
        <v>0011</v>
      </c>
      <c r="L177" s="3" t="str">
        <f>VLOOKUP(B177,AE_weight!$AP$293:$AX$324,C177+1)</f>
        <v>0000</v>
      </c>
      <c r="M177" s="3" t="str">
        <f>VLOOKUP(B177,AE_weight!$AP$329:$AX$360,C177+1)</f>
        <v>5566</v>
      </c>
    </row>
    <row r="178" spans="1:13">
      <c r="A178" s="1">
        <f t="shared" si="32"/>
        <v>173</v>
      </c>
      <c r="B178" s="1">
        <v>21</v>
      </c>
      <c r="C178" s="1">
        <v>5</v>
      </c>
      <c r="D178" s="3" t="str">
        <f>VLOOKUP(B178,AE_weight!$AP$4:$AX$36,C178+1)</f>
        <v>5544</v>
      </c>
      <c r="E178" s="3" t="str">
        <f>VLOOKUP(B178,AE_weight!$AP$40:$AX$72,C178+1)</f>
        <v>2222</v>
      </c>
      <c r="F178" s="3" t="str">
        <f>VLOOKUP(B178,AE_weight!$AP$76:$AX$108,C178+1)</f>
        <v>5555</v>
      </c>
      <c r="G178" s="3" t="str">
        <f>VLOOKUP(B178,AE_weight!$AP$112:$AX$144,C178+1)</f>
        <v>3333</v>
      </c>
      <c r="H178" s="3" t="str">
        <f>VLOOKUP(B178,AE_weight!$AP$149:$AX$180,C178+1)</f>
        <v>0000</v>
      </c>
      <c r="I178" s="3" t="str">
        <f>VLOOKUP(B178,AE_weight!$AP$185:$AX$216,C178+1)</f>
        <v>DDDD</v>
      </c>
      <c r="J178" s="3" t="str">
        <f>VLOOKUP(B178,AE_weight!$AP$221:$AX$252,C178+1)</f>
        <v>BBBB</v>
      </c>
      <c r="K178" s="3" t="str">
        <f>VLOOKUP(B178,AE_weight!$AP$257:$AX$288,C178+1)</f>
        <v>1100</v>
      </c>
      <c r="L178" s="3" t="str">
        <f>VLOOKUP(B178,AE_weight!$AP$293:$AX$324,C178+1)</f>
        <v>0000</v>
      </c>
      <c r="M178" s="3" t="str">
        <f>VLOOKUP(B178,AE_weight!$AP$329:$AX$360,C178+1)</f>
        <v>6655</v>
      </c>
    </row>
    <row r="179" spans="1:13">
      <c r="A179" s="1">
        <f t="shared" si="32"/>
        <v>174</v>
      </c>
      <c r="B179" s="1">
        <f t="shared" ref="B179:B181" si="44">B178</f>
        <v>21</v>
      </c>
      <c r="C179" s="1">
        <v>6</v>
      </c>
      <c r="D179" s="3" t="str">
        <f>VLOOKUP(B179,AE_weight!$AP$4:$AX$36,C179+1)</f>
        <v>4433</v>
      </c>
      <c r="E179" s="3" t="str">
        <f>VLOOKUP(B179,AE_weight!$AP$40:$AX$72,C179+1)</f>
        <v>2222</v>
      </c>
      <c r="F179" s="3" t="str">
        <f>VLOOKUP(B179,AE_weight!$AP$76:$AX$108,C179+1)</f>
        <v>4433</v>
      </c>
      <c r="G179" s="3" t="str">
        <f>VLOOKUP(B179,AE_weight!$AP$112:$AX$144,C179+1)</f>
        <v>2222</v>
      </c>
      <c r="H179" s="3" t="str">
        <f>VLOOKUP(B179,AE_weight!$AP$149:$AX$180,C179+1)</f>
        <v>0000</v>
      </c>
      <c r="I179" s="3" t="str">
        <f>VLOOKUP(B179,AE_weight!$AP$185:$AX$216,C179+1)</f>
        <v>0000</v>
      </c>
      <c r="J179" s="3" t="str">
        <f>VLOOKUP(B179,AE_weight!$AP$221:$AX$252,C179+1)</f>
        <v>7777</v>
      </c>
      <c r="K179" s="3" t="str">
        <f>VLOOKUP(B179,AE_weight!$AP$257:$AX$288,C179+1)</f>
        <v>1100</v>
      </c>
      <c r="L179" s="3" t="str">
        <f>VLOOKUP(B179,AE_weight!$AP$293:$AX$324,C179+1)</f>
        <v>0000</v>
      </c>
      <c r="M179" s="3" t="str">
        <f>VLOOKUP(B179,AE_weight!$AP$329:$AX$360,C179+1)</f>
        <v>5544</v>
      </c>
    </row>
    <row r="180" spans="1:13">
      <c r="A180" s="1">
        <f t="shared" si="32"/>
        <v>175</v>
      </c>
      <c r="B180" s="1">
        <f t="shared" si="44"/>
        <v>21</v>
      </c>
      <c r="C180" s="1">
        <v>7</v>
      </c>
      <c r="D180" s="3" t="str">
        <f>VLOOKUP(B180,AE_weight!$AP$4:$AX$36,C180+1)</f>
        <v>2222</v>
      </c>
      <c r="E180" s="3" t="str">
        <f>VLOOKUP(B180,AE_weight!$AP$40:$AX$72,C180+1)</f>
        <v>2222</v>
      </c>
      <c r="F180" s="3" t="str">
        <f>VLOOKUP(B180,AE_weight!$AP$76:$AX$108,C180+1)</f>
        <v>2200</v>
      </c>
      <c r="G180" s="3" t="str">
        <f>VLOOKUP(B180,AE_weight!$AP$112:$AX$144,C180+1)</f>
        <v>2222</v>
      </c>
      <c r="H180" s="3" t="str">
        <f>VLOOKUP(B180,AE_weight!$AP$149:$AX$180,C180+1)</f>
        <v>0000</v>
      </c>
      <c r="I180" s="3" t="str">
        <f>VLOOKUP(B180,AE_weight!$AP$185:$AX$216,C180+1)</f>
        <v>0000</v>
      </c>
      <c r="J180" s="3" t="str">
        <f>VLOOKUP(B180,AE_weight!$AP$221:$AX$252,C180+1)</f>
        <v>0000</v>
      </c>
      <c r="K180" s="3" t="str">
        <f>VLOOKUP(B180,AE_weight!$AP$257:$AX$288,C180+1)</f>
        <v>1100</v>
      </c>
      <c r="L180" s="3" t="str">
        <f>VLOOKUP(B180,AE_weight!$AP$293:$AX$324,C180+1)</f>
        <v>0000</v>
      </c>
      <c r="M180" s="3" t="str">
        <f>VLOOKUP(B180,AE_weight!$AP$329:$AX$360,C180+1)</f>
        <v>3322</v>
      </c>
    </row>
    <row r="181" spans="1:13">
      <c r="A181" s="1">
        <f t="shared" si="32"/>
        <v>176</v>
      </c>
      <c r="B181" s="1">
        <f t="shared" si="44"/>
        <v>21</v>
      </c>
      <c r="C181" s="1">
        <v>8</v>
      </c>
      <c r="D181" s="3" t="str">
        <f>VLOOKUP(B181,AE_weight!$AP$4:$AX$36,C181+1)</f>
        <v>1100</v>
      </c>
      <c r="E181" s="3" t="str">
        <f>VLOOKUP(B181,AE_weight!$AP$40:$AX$72,C181+1)</f>
        <v>2222</v>
      </c>
      <c r="F181" s="3" t="str">
        <f>VLOOKUP(B181,AE_weight!$AP$76:$AX$108,C181+1)</f>
        <v>0000</v>
      </c>
      <c r="G181" s="3" t="str">
        <f>VLOOKUP(B181,AE_weight!$AP$112:$AX$144,C181+1)</f>
        <v>2222</v>
      </c>
      <c r="H181" s="3" t="str">
        <f>VLOOKUP(B181,AE_weight!$AP$149:$AX$180,C181+1)</f>
        <v>0000</v>
      </c>
      <c r="I181" s="3" t="str">
        <f>VLOOKUP(B181,AE_weight!$AP$185:$AX$216,C181+1)</f>
        <v>0000</v>
      </c>
      <c r="J181" s="3" t="str">
        <f>VLOOKUP(B181,AE_weight!$AP$221:$AX$252,C181+1)</f>
        <v>0000</v>
      </c>
      <c r="K181" s="3" t="str">
        <f>VLOOKUP(B181,AE_weight!$AP$257:$AX$288,C181+1)</f>
        <v>0000</v>
      </c>
      <c r="L181" s="3" t="str">
        <f>VLOOKUP(B181,AE_weight!$AP$293:$AX$324,C181+1)</f>
        <v>0000</v>
      </c>
      <c r="M181" s="3" t="str">
        <f>VLOOKUP(B181,AE_weight!$AP$329:$AX$360,C181+1)</f>
        <v>1100</v>
      </c>
    </row>
    <row r="182" spans="1:13">
      <c r="A182" s="1">
        <f t="shared" si="32"/>
        <v>177</v>
      </c>
      <c r="B182" s="1">
        <v>22</v>
      </c>
      <c r="C182" s="1">
        <v>1</v>
      </c>
      <c r="D182" s="3" t="str">
        <f>VLOOKUP(B182,AE_weight!$AP$4:$AX$36,C182+1)</f>
        <v>0011</v>
      </c>
      <c r="E182" s="3" t="str">
        <f>VLOOKUP(B182,AE_weight!$AP$40:$AX$72,C182+1)</f>
        <v>2222</v>
      </c>
      <c r="F182" s="3" t="str">
        <f>VLOOKUP(B182,AE_weight!$AP$76:$AX$108,C182+1)</f>
        <v>0000</v>
      </c>
      <c r="G182" s="3" t="str">
        <f>VLOOKUP(B182,AE_weight!$AP$112:$AX$144,C182+1)</f>
        <v>2222</v>
      </c>
      <c r="H182" s="3" t="str">
        <f>VLOOKUP(B182,AE_weight!$AP$149:$AX$180,C182+1)</f>
        <v>0000</v>
      </c>
      <c r="I182" s="3" t="str">
        <f>VLOOKUP(B182,AE_weight!$AP$185:$AX$216,C182+1)</f>
        <v>0000</v>
      </c>
      <c r="J182" s="3" t="str">
        <f>VLOOKUP(B182,AE_weight!$AP$221:$AX$252,C182+1)</f>
        <v>0000</v>
      </c>
      <c r="K182" s="3" t="str">
        <f>VLOOKUP(B182,AE_weight!$AP$257:$AX$288,C182+1)</f>
        <v>0000</v>
      </c>
      <c r="L182" s="3" t="str">
        <f>VLOOKUP(B182,AE_weight!$AP$293:$AX$324,C182+1)</f>
        <v>0000</v>
      </c>
      <c r="M182" s="3" t="str">
        <f>VLOOKUP(B182,AE_weight!$AP$329:$AX$360,C182+1)</f>
        <v>0011</v>
      </c>
    </row>
    <row r="183" spans="1:13">
      <c r="A183" s="1">
        <f t="shared" si="32"/>
        <v>178</v>
      </c>
      <c r="B183" s="1">
        <f t="shared" ref="B183:B185" si="45">B182</f>
        <v>22</v>
      </c>
      <c r="C183" s="1">
        <v>2</v>
      </c>
      <c r="D183" s="3" t="str">
        <f>VLOOKUP(B183,AE_weight!$AP$4:$AX$36,C183+1)</f>
        <v>1122</v>
      </c>
      <c r="E183" s="3" t="str">
        <f>VLOOKUP(B183,AE_weight!$AP$40:$AX$72,C183+1)</f>
        <v>2222</v>
      </c>
      <c r="F183" s="3" t="str">
        <f>VLOOKUP(B183,AE_weight!$AP$76:$AX$108,C183+1)</f>
        <v>0022</v>
      </c>
      <c r="G183" s="3" t="str">
        <f>VLOOKUP(B183,AE_weight!$AP$112:$AX$144,C183+1)</f>
        <v>2222</v>
      </c>
      <c r="H183" s="3" t="str">
        <f>VLOOKUP(B183,AE_weight!$AP$149:$AX$180,C183+1)</f>
        <v>0000</v>
      </c>
      <c r="I183" s="3" t="str">
        <f>VLOOKUP(B183,AE_weight!$AP$185:$AX$216,C183+1)</f>
        <v>0000</v>
      </c>
      <c r="J183" s="3" t="str">
        <f>VLOOKUP(B183,AE_weight!$AP$221:$AX$252,C183+1)</f>
        <v>0000</v>
      </c>
      <c r="K183" s="3" t="str">
        <f>VLOOKUP(B183,AE_weight!$AP$257:$AX$288,C183+1)</f>
        <v>0000</v>
      </c>
      <c r="L183" s="3" t="str">
        <f>VLOOKUP(B183,AE_weight!$AP$293:$AX$324,C183+1)</f>
        <v>0000</v>
      </c>
      <c r="M183" s="3" t="str">
        <f>VLOOKUP(B183,AE_weight!$AP$329:$AX$360,C183+1)</f>
        <v>2233</v>
      </c>
    </row>
    <row r="184" spans="1:13">
      <c r="A184" s="1">
        <f t="shared" si="32"/>
        <v>179</v>
      </c>
      <c r="B184" s="1">
        <f t="shared" si="45"/>
        <v>22</v>
      </c>
      <c r="C184" s="1">
        <v>3</v>
      </c>
      <c r="D184" s="3" t="str">
        <f>VLOOKUP(B184,AE_weight!$AP$4:$AX$36,C184+1)</f>
        <v>3333</v>
      </c>
      <c r="E184" s="3" t="str">
        <f>VLOOKUP(B184,AE_weight!$AP$40:$AX$72,C184+1)</f>
        <v>2222</v>
      </c>
      <c r="F184" s="3" t="str">
        <f>VLOOKUP(B184,AE_weight!$AP$76:$AX$108,C184+1)</f>
        <v>3333</v>
      </c>
      <c r="G184" s="3" t="str">
        <f>VLOOKUP(B184,AE_weight!$AP$112:$AX$144,C184+1)</f>
        <v>2222</v>
      </c>
      <c r="H184" s="3" t="str">
        <f>VLOOKUP(B184,AE_weight!$AP$149:$AX$180,C184+1)</f>
        <v>0000</v>
      </c>
      <c r="I184" s="3" t="str">
        <f>VLOOKUP(B184,AE_weight!$AP$185:$AX$216,C184+1)</f>
        <v>0000</v>
      </c>
      <c r="J184" s="3" t="str">
        <f>VLOOKUP(B184,AE_weight!$AP$221:$AX$252,C184+1)</f>
        <v>0077</v>
      </c>
      <c r="K184" s="3" t="str">
        <f>VLOOKUP(B184,AE_weight!$AP$257:$AX$288,C184+1)</f>
        <v>0000</v>
      </c>
      <c r="L184" s="3" t="str">
        <f>VLOOKUP(B184,AE_weight!$AP$293:$AX$324,C184+1)</f>
        <v>0000</v>
      </c>
      <c r="M184" s="3" t="str">
        <f>VLOOKUP(B184,AE_weight!$AP$329:$AX$360,C184+1)</f>
        <v>4455</v>
      </c>
    </row>
    <row r="185" spans="1:13">
      <c r="A185" s="1">
        <f t="shared" si="32"/>
        <v>180</v>
      </c>
      <c r="B185" s="1">
        <f t="shared" si="45"/>
        <v>22</v>
      </c>
      <c r="C185" s="1">
        <v>4</v>
      </c>
      <c r="D185" s="3" t="str">
        <f>VLOOKUP(B185,AE_weight!$AP$4:$AX$36,C185+1)</f>
        <v>4444</v>
      </c>
      <c r="E185" s="3" t="str">
        <f>VLOOKUP(B185,AE_weight!$AP$40:$AX$72,C185+1)</f>
        <v>2222</v>
      </c>
      <c r="F185" s="3" t="str">
        <f>VLOOKUP(B185,AE_weight!$AP$76:$AX$108,C185+1)</f>
        <v>4444</v>
      </c>
      <c r="G185" s="3" t="str">
        <f>VLOOKUP(B185,AE_weight!$AP$112:$AX$144,C185+1)</f>
        <v>2222</v>
      </c>
      <c r="H185" s="3" t="str">
        <f>VLOOKUP(B185,AE_weight!$AP$149:$AX$180,C185+1)</f>
        <v>0000</v>
      </c>
      <c r="I185" s="3" t="str">
        <f>VLOOKUP(B185,AE_weight!$AP$185:$AX$216,C185+1)</f>
        <v>0000</v>
      </c>
      <c r="J185" s="3" t="str">
        <f>VLOOKUP(B185,AE_weight!$AP$221:$AX$252,C185+1)</f>
        <v>7777</v>
      </c>
      <c r="K185" s="3" t="str">
        <f>VLOOKUP(B185,AE_weight!$AP$257:$AX$288,C185+1)</f>
        <v>0000</v>
      </c>
      <c r="L185" s="3" t="str">
        <f>VLOOKUP(B185,AE_weight!$AP$293:$AX$324,C185+1)</f>
        <v>0000</v>
      </c>
      <c r="M185" s="3" t="str">
        <f>VLOOKUP(B185,AE_weight!$AP$329:$AX$360,C185+1)</f>
        <v>5566</v>
      </c>
    </row>
    <row r="186" spans="1:13">
      <c r="A186" s="1">
        <f t="shared" si="32"/>
        <v>181</v>
      </c>
      <c r="B186" s="1">
        <v>22</v>
      </c>
      <c r="C186" s="1">
        <v>5</v>
      </c>
      <c r="D186" s="3" t="str">
        <f>VLOOKUP(B186,AE_weight!$AP$4:$AX$36,C186+1)</f>
        <v>4444</v>
      </c>
      <c r="E186" s="3" t="str">
        <f>VLOOKUP(B186,AE_weight!$AP$40:$AX$72,C186+1)</f>
        <v>2222</v>
      </c>
      <c r="F186" s="3" t="str">
        <f>VLOOKUP(B186,AE_weight!$AP$76:$AX$108,C186+1)</f>
        <v>4444</v>
      </c>
      <c r="G186" s="3" t="str">
        <f>VLOOKUP(B186,AE_weight!$AP$112:$AX$144,C186+1)</f>
        <v>2222</v>
      </c>
      <c r="H186" s="3" t="str">
        <f>VLOOKUP(B186,AE_weight!$AP$149:$AX$180,C186+1)</f>
        <v>0000</v>
      </c>
      <c r="I186" s="3" t="str">
        <f>VLOOKUP(B186,AE_weight!$AP$185:$AX$216,C186+1)</f>
        <v>0000</v>
      </c>
      <c r="J186" s="3" t="str">
        <f>VLOOKUP(B186,AE_weight!$AP$221:$AX$252,C186+1)</f>
        <v>7777</v>
      </c>
      <c r="K186" s="3" t="str">
        <f>VLOOKUP(B186,AE_weight!$AP$257:$AX$288,C186+1)</f>
        <v>0000</v>
      </c>
      <c r="L186" s="3" t="str">
        <f>VLOOKUP(B186,AE_weight!$AP$293:$AX$324,C186+1)</f>
        <v>0000</v>
      </c>
      <c r="M186" s="3" t="str">
        <f>VLOOKUP(B186,AE_weight!$AP$329:$AX$360,C186+1)</f>
        <v>6655</v>
      </c>
    </row>
    <row r="187" spans="1:13">
      <c r="A187" s="1">
        <f t="shared" si="32"/>
        <v>182</v>
      </c>
      <c r="B187" s="1">
        <f t="shared" ref="B187:B189" si="46">B186</f>
        <v>22</v>
      </c>
      <c r="C187" s="1">
        <v>6</v>
      </c>
      <c r="D187" s="3" t="str">
        <f>VLOOKUP(B187,AE_weight!$AP$4:$AX$36,C187+1)</f>
        <v>3333</v>
      </c>
      <c r="E187" s="3" t="str">
        <f>VLOOKUP(B187,AE_weight!$AP$40:$AX$72,C187+1)</f>
        <v>2222</v>
      </c>
      <c r="F187" s="3" t="str">
        <f>VLOOKUP(B187,AE_weight!$AP$76:$AX$108,C187+1)</f>
        <v>3333</v>
      </c>
      <c r="G187" s="3" t="str">
        <f>VLOOKUP(B187,AE_weight!$AP$112:$AX$144,C187+1)</f>
        <v>2222</v>
      </c>
      <c r="H187" s="3" t="str">
        <f>VLOOKUP(B187,AE_weight!$AP$149:$AX$180,C187+1)</f>
        <v>0000</v>
      </c>
      <c r="I187" s="3" t="str">
        <f>VLOOKUP(B187,AE_weight!$AP$185:$AX$216,C187+1)</f>
        <v>0000</v>
      </c>
      <c r="J187" s="3" t="str">
        <f>VLOOKUP(B187,AE_weight!$AP$221:$AX$252,C187+1)</f>
        <v>0000</v>
      </c>
      <c r="K187" s="3" t="str">
        <f>VLOOKUP(B187,AE_weight!$AP$257:$AX$288,C187+1)</f>
        <v>0000</v>
      </c>
      <c r="L187" s="3" t="str">
        <f>VLOOKUP(B187,AE_weight!$AP$293:$AX$324,C187+1)</f>
        <v>0000</v>
      </c>
      <c r="M187" s="3" t="str">
        <f>VLOOKUP(B187,AE_weight!$AP$329:$AX$360,C187+1)</f>
        <v>5544</v>
      </c>
    </row>
    <row r="188" spans="1:13">
      <c r="A188" s="1">
        <f t="shared" si="32"/>
        <v>183</v>
      </c>
      <c r="B188" s="1">
        <f t="shared" si="46"/>
        <v>22</v>
      </c>
      <c r="C188" s="1">
        <v>7</v>
      </c>
      <c r="D188" s="3" t="str">
        <f>VLOOKUP(B188,AE_weight!$AP$4:$AX$36,C188+1)</f>
        <v>2211</v>
      </c>
      <c r="E188" s="3" t="str">
        <f>VLOOKUP(B188,AE_weight!$AP$40:$AX$72,C188+1)</f>
        <v>2222</v>
      </c>
      <c r="F188" s="3" t="str">
        <f>VLOOKUP(B188,AE_weight!$AP$76:$AX$108,C188+1)</f>
        <v>2200</v>
      </c>
      <c r="G188" s="3" t="str">
        <f>VLOOKUP(B188,AE_weight!$AP$112:$AX$144,C188+1)</f>
        <v>2222</v>
      </c>
      <c r="H188" s="3" t="str">
        <f>VLOOKUP(B188,AE_weight!$AP$149:$AX$180,C188+1)</f>
        <v>0000</v>
      </c>
      <c r="I188" s="3" t="str">
        <f>VLOOKUP(B188,AE_weight!$AP$185:$AX$216,C188+1)</f>
        <v>0000</v>
      </c>
      <c r="J188" s="3" t="str">
        <f>VLOOKUP(B188,AE_weight!$AP$221:$AX$252,C188+1)</f>
        <v>0000</v>
      </c>
      <c r="K188" s="3" t="str">
        <f>VLOOKUP(B188,AE_weight!$AP$257:$AX$288,C188+1)</f>
        <v>0000</v>
      </c>
      <c r="L188" s="3" t="str">
        <f>VLOOKUP(B188,AE_weight!$AP$293:$AX$324,C188+1)</f>
        <v>0000</v>
      </c>
      <c r="M188" s="3" t="str">
        <f>VLOOKUP(B188,AE_weight!$AP$329:$AX$360,C188+1)</f>
        <v>3322</v>
      </c>
    </row>
    <row r="189" spans="1:13">
      <c r="A189" s="1">
        <f t="shared" si="32"/>
        <v>184</v>
      </c>
      <c r="B189" s="1">
        <f t="shared" si="46"/>
        <v>22</v>
      </c>
      <c r="C189" s="1">
        <v>8</v>
      </c>
      <c r="D189" s="3" t="str">
        <f>VLOOKUP(B189,AE_weight!$AP$4:$AX$36,C189+1)</f>
        <v>1100</v>
      </c>
      <c r="E189" s="3" t="str">
        <f>VLOOKUP(B189,AE_weight!$AP$40:$AX$72,C189+1)</f>
        <v>2222</v>
      </c>
      <c r="F189" s="3" t="str">
        <f>VLOOKUP(B189,AE_weight!$AP$76:$AX$108,C189+1)</f>
        <v>0000</v>
      </c>
      <c r="G189" s="3" t="str">
        <f>VLOOKUP(B189,AE_weight!$AP$112:$AX$144,C189+1)</f>
        <v>2222</v>
      </c>
      <c r="H189" s="3" t="str">
        <f>VLOOKUP(B189,AE_weight!$AP$149:$AX$180,C189+1)</f>
        <v>0000</v>
      </c>
      <c r="I189" s="3" t="str">
        <f>VLOOKUP(B189,AE_weight!$AP$185:$AX$216,C189+1)</f>
        <v>0000</v>
      </c>
      <c r="J189" s="3" t="str">
        <f>VLOOKUP(B189,AE_weight!$AP$221:$AX$252,C189+1)</f>
        <v>0000</v>
      </c>
      <c r="K189" s="3" t="str">
        <f>VLOOKUP(B189,AE_weight!$AP$257:$AX$288,C189+1)</f>
        <v>0000</v>
      </c>
      <c r="L189" s="3" t="str">
        <f>VLOOKUP(B189,AE_weight!$AP$293:$AX$324,C189+1)</f>
        <v>0000</v>
      </c>
      <c r="M189" s="3" t="str">
        <f>VLOOKUP(B189,AE_weight!$AP$329:$AX$360,C189+1)</f>
        <v>1100</v>
      </c>
    </row>
    <row r="190" spans="1:13">
      <c r="A190" s="1">
        <f t="shared" si="32"/>
        <v>185</v>
      </c>
      <c r="B190" s="1">
        <v>23</v>
      </c>
      <c r="C190" s="1">
        <v>1</v>
      </c>
      <c r="D190" s="3" t="str">
        <f>VLOOKUP(B190,AE_weight!$AP$4:$AX$36,C190+1)</f>
        <v>0000</v>
      </c>
      <c r="E190" s="3" t="str">
        <f>VLOOKUP(B190,AE_weight!$AP$40:$AX$72,C190+1)</f>
        <v>2222</v>
      </c>
      <c r="F190" s="3" t="str">
        <f>VLOOKUP(B190,AE_weight!$AP$76:$AX$108,C190+1)</f>
        <v>0000</v>
      </c>
      <c r="G190" s="3" t="str">
        <f>VLOOKUP(B190,AE_weight!$AP$112:$AX$144,C190+1)</f>
        <v>2222</v>
      </c>
      <c r="H190" s="3" t="str">
        <f>VLOOKUP(B190,AE_weight!$AP$149:$AX$180,C190+1)</f>
        <v>0000</v>
      </c>
      <c r="I190" s="3" t="str">
        <f>VLOOKUP(B190,AE_weight!$AP$185:$AX$216,C190+1)</f>
        <v>0000</v>
      </c>
      <c r="J190" s="3" t="str">
        <f>VLOOKUP(B190,AE_weight!$AP$221:$AX$252,C190+1)</f>
        <v>0000</v>
      </c>
      <c r="K190" s="3" t="str">
        <f>VLOOKUP(B190,AE_weight!$AP$257:$AX$288,C190+1)</f>
        <v>0000</v>
      </c>
      <c r="L190" s="3" t="str">
        <f>VLOOKUP(B190,AE_weight!$AP$293:$AX$324,C190+1)</f>
        <v>0000</v>
      </c>
      <c r="M190" s="3" t="str">
        <f>VLOOKUP(B190,AE_weight!$AP$329:$AX$360,C190+1)</f>
        <v>0011</v>
      </c>
    </row>
    <row r="191" spans="1:13">
      <c r="A191" s="1">
        <f t="shared" si="32"/>
        <v>186</v>
      </c>
      <c r="B191" s="1">
        <f t="shared" ref="B191:B193" si="47">B190</f>
        <v>23</v>
      </c>
      <c r="C191" s="1">
        <v>2</v>
      </c>
      <c r="D191" s="3" t="str">
        <f>VLOOKUP(B191,AE_weight!$AP$4:$AX$36,C191+1)</f>
        <v>1122</v>
      </c>
      <c r="E191" s="3" t="str">
        <f>VLOOKUP(B191,AE_weight!$AP$40:$AX$72,C191+1)</f>
        <v>2222</v>
      </c>
      <c r="F191" s="3" t="str">
        <f>VLOOKUP(B191,AE_weight!$AP$76:$AX$108,C191+1)</f>
        <v>0022</v>
      </c>
      <c r="G191" s="3" t="str">
        <f>VLOOKUP(B191,AE_weight!$AP$112:$AX$144,C191+1)</f>
        <v>2222</v>
      </c>
      <c r="H191" s="3" t="str">
        <f>VLOOKUP(B191,AE_weight!$AP$149:$AX$180,C191+1)</f>
        <v>0000</v>
      </c>
      <c r="I191" s="3" t="str">
        <f>VLOOKUP(B191,AE_weight!$AP$185:$AX$216,C191+1)</f>
        <v>0000</v>
      </c>
      <c r="J191" s="3" t="str">
        <f>VLOOKUP(B191,AE_weight!$AP$221:$AX$252,C191+1)</f>
        <v>0000</v>
      </c>
      <c r="K191" s="3" t="str">
        <f>VLOOKUP(B191,AE_weight!$AP$257:$AX$288,C191+1)</f>
        <v>1100</v>
      </c>
      <c r="L191" s="3" t="str">
        <f>VLOOKUP(B191,AE_weight!$AP$293:$AX$324,C191+1)</f>
        <v>0000</v>
      </c>
      <c r="M191" s="3" t="str">
        <f>VLOOKUP(B191,AE_weight!$AP$329:$AX$360,C191+1)</f>
        <v>2233</v>
      </c>
    </row>
    <row r="192" spans="1:13">
      <c r="A192" s="1">
        <f t="shared" si="32"/>
        <v>187</v>
      </c>
      <c r="B192" s="1">
        <f t="shared" si="47"/>
        <v>23</v>
      </c>
      <c r="C192" s="1">
        <v>3</v>
      </c>
      <c r="D192" s="3" t="str">
        <f>VLOOKUP(B192,AE_weight!$AP$4:$AX$36,C192+1)</f>
        <v>2233</v>
      </c>
      <c r="E192" s="3" t="str">
        <f>VLOOKUP(B192,AE_weight!$AP$40:$AX$72,C192+1)</f>
        <v>2222</v>
      </c>
      <c r="F192" s="3" t="str">
        <f>VLOOKUP(B192,AE_weight!$AP$76:$AX$108,C192+1)</f>
        <v>3333</v>
      </c>
      <c r="G192" s="3" t="str">
        <f>VLOOKUP(B192,AE_weight!$AP$112:$AX$144,C192+1)</f>
        <v>2222</v>
      </c>
      <c r="H192" s="3" t="str">
        <f>VLOOKUP(B192,AE_weight!$AP$149:$AX$180,C192+1)</f>
        <v>0000</v>
      </c>
      <c r="I192" s="3" t="str">
        <f>VLOOKUP(B192,AE_weight!$AP$185:$AX$216,C192+1)</f>
        <v>0000</v>
      </c>
      <c r="J192" s="3" t="str">
        <f>VLOOKUP(B192,AE_weight!$AP$221:$AX$252,C192+1)</f>
        <v>0077</v>
      </c>
      <c r="K192" s="3" t="str">
        <f>VLOOKUP(B192,AE_weight!$AP$257:$AX$288,C192+1)</f>
        <v>1100</v>
      </c>
      <c r="L192" s="3" t="str">
        <f>VLOOKUP(B192,AE_weight!$AP$293:$AX$324,C192+1)</f>
        <v>0000</v>
      </c>
      <c r="M192" s="3" t="str">
        <f>VLOOKUP(B192,AE_weight!$AP$329:$AX$360,C192+1)</f>
        <v>3355</v>
      </c>
    </row>
    <row r="193" spans="1:13">
      <c r="A193" s="1">
        <f t="shared" si="32"/>
        <v>188</v>
      </c>
      <c r="B193" s="1">
        <f t="shared" si="47"/>
        <v>23</v>
      </c>
      <c r="C193" s="1">
        <v>4</v>
      </c>
      <c r="D193" s="3" t="str">
        <f>VLOOKUP(B193,AE_weight!$AP$4:$AX$36,C193+1)</f>
        <v>3344</v>
      </c>
      <c r="E193" s="3" t="str">
        <f>VLOOKUP(B193,AE_weight!$AP$40:$AX$72,C193+1)</f>
        <v>2222</v>
      </c>
      <c r="F193" s="3" t="str">
        <f>VLOOKUP(B193,AE_weight!$AP$76:$AX$108,C193+1)</f>
        <v>4444</v>
      </c>
      <c r="G193" s="3" t="str">
        <f>VLOOKUP(B193,AE_weight!$AP$112:$AX$144,C193+1)</f>
        <v>2222</v>
      </c>
      <c r="H193" s="3" t="str">
        <f>VLOOKUP(B193,AE_weight!$AP$149:$AX$180,C193+1)</f>
        <v>0000</v>
      </c>
      <c r="I193" s="3" t="str">
        <f>VLOOKUP(B193,AE_weight!$AP$185:$AX$216,C193+1)</f>
        <v>0000</v>
      </c>
      <c r="J193" s="3" t="str">
        <f>VLOOKUP(B193,AE_weight!$AP$221:$AX$252,C193+1)</f>
        <v>7777</v>
      </c>
      <c r="K193" s="3" t="str">
        <f>VLOOKUP(B193,AE_weight!$AP$257:$AX$288,C193+1)</f>
        <v>1100</v>
      </c>
      <c r="L193" s="3" t="str">
        <f>VLOOKUP(B193,AE_weight!$AP$293:$AX$324,C193+1)</f>
        <v>1100</v>
      </c>
      <c r="M193" s="3" t="str">
        <f>VLOOKUP(B193,AE_weight!$AP$329:$AX$360,C193+1)</f>
        <v>5566</v>
      </c>
    </row>
    <row r="194" spans="1:13">
      <c r="A194" s="1">
        <f t="shared" si="32"/>
        <v>189</v>
      </c>
      <c r="B194" s="1">
        <v>23</v>
      </c>
      <c r="C194" s="1">
        <v>5</v>
      </c>
      <c r="D194" s="3" t="str">
        <f>VLOOKUP(B194,AE_weight!$AP$4:$AX$36,C194+1)</f>
        <v>4433</v>
      </c>
      <c r="E194" s="3" t="str">
        <f>VLOOKUP(B194,AE_weight!$AP$40:$AX$72,C194+1)</f>
        <v>2222</v>
      </c>
      <c r="F194" s="3" t="str">
        <f>VLOOKUP(B194,AE_weight!$AP$76:$AX$108,C194+1)</f>
        <v>4444</v>
      </c>
      <c r="G194" s="3" t="str">
        <f>VLOOKUP(B194,AE_weight!$AP$112:$AX$144,C194+1)</f>
        <v>2222</v>
      </c>
      <c r="H194" s="3" t="str">
        <f>VLOOKUP(B194,AE_weight!$AP$149:$AX$180,C194+1)</f>
        <v>0000</v>
      </c>
      <c r="I194" s="3" t="str">
        <f>VLOOKUP(B194,AE_weight!$AP$185:$AX$216,C194+1)</f>
        <v>0000</v>
      </c>
      <c r="J194" s="3" t="str">
        <f>VLOOKUP(B194,AE_weight!$AP$221:$AX$252,C194+1)</f>
        <v>7777</v>
      </c>
      <c r="K194" s="3" t="str">
        <f>VLOOKUP(B194,AE_weight!$AP$257:$AX$288,C194+1)</f>
        <v>0011</v>
      </c>
      <c r="L194" s="3" t="str">
        <f>VLOOKUP(B194,AE_weight!$AP$293:$AX$324,C194+1)</f>
        <v>0011</v>
      </c>
      <c r="M194" s="3" t="str">
        <f>VLOOKUP(B194,AE_weight!$AP$329:$AX$360,C194+1)</f>
        <v>6655</v>
      </c>
    </row>
    <row r="195" spans="1:13">
      <c r="A195" s="1">
        <f t="shared" si="32"/>
        <v>190</v>
      </c>
      <c r="B195" s="1">
        <f t="shared" ref="B195:B197" si="48">B194</f>
        <v>23</v>
      </c>
      <c r="C195" s="1">
        <v>6</v>
      </c>
      <c r="D195" s="3" t="str">
        <f>VLOOKUP(B195,AE_weight!$AP$4:$AX$36,C195+1)</f>
        <v>3322</v>
      </c>
      <c r="E195" s="3" t="str">
        <f>VLOOKUP(B195,AE_weight!$AP$40:$AX$72,C195+1)</f>
        <v>2222</v>
      </c>
      <c r="F195" s="3" t="str">
        <f>VLOOKUP(B195,AE_weight!$AP$76:$AX$108,C195+1)</f>
        <v>3333</v>
      </c>
      <c r="G195" s="3" t="str">
        <f>VLOOKUP(B195,AE_weight!$AP$112:$AX$144,C195+1)</f>
        <v>2222</v>
      </c>
      <c r="H195" s="3" t="str">
        <f>VLOOKUP(B195,AE_weight!$AP$149:$AX$180,C195+1)</f>
        <v>0000</v>
      </c>
      <c r="I195" s="3" t="str">
        <f>VLOOKUP(B195,AE_weight!$AP$185:$AX$216,C195+1)</f>
        <v>0000</v>
      </c>
      <c r="J195" s="3" t="str">
        <f>VLOOKUP(B195,AE_weight!$AP$221:$AX$252,C195+1)</f>
        <v>0000</v>
      </c>
      <c r="K195" s="3" t="str">
        <f>VLOOKUP(B195,AE_weight!$AP$257:$AX$288,C195+1)</f>
        <v>0011</v>
      </c>
      <c r="L195" s="3" t="str">
        <f>VLOOKUP(B195,AE_weight!$AP$293:$AX$324,C195+1)</f>
        <v>0000</v>
      </c>
      <c r="M195" s="3" t="str">
        <f>VLOOKUP(B195,AE_weight!$AP$329:$AX$360,C195+1)</f>
        <v>5533</v>
      </c>
    </row>
    <row r="196" spans="1:13">
      <c r="A196" s="1">
        <f t="shared" si="32"/>
        <v>191</v>
      </c>
      <c r="B196" s="1">
        <f t="shared" si="48"/>
        <v>23</v>
      </c>
      <c r="C196" s="1">
        <v>7</v>
      </c>
      <c r="D196" s="3" t="str">
        <f>VLOOKUP(B196,AE_weight!$AP$4:$AX$36,C196+1)</f>
        <v>2211</v>
      </c>
      <c r="E196" s="3" t="str">
        <f>VLOOKUP(B196,AE_weight!$AP$40:$AX$72,C196+1)</f>
        <v>2222</v>
      </c>
      <c r="F196" s="3" t="str">
        <f>VLOOKUP(B196,AE_weight!$AP$76:$AX$108,C196+1)</f>
        <v>2200</v>
      </c>
      <c r="G196" s="3" t="str">
        <f>VLOOKUP(B196,AE_weight!$AP$112:$AX$144,C196+1)</f>
        <v>2222</v>
      </c>
      <c r="H196" s="3" t="str">
        <f>VLOOKUP(B196,AE_weight!$AP$149:$AX$180,C196+1)</f>
        <v>0000</v>
      </c>
      <c r="I196" s="3" t="str">
        <f>VLOOKUP(B196,AE_weight!$AP$185:$AX$216,C196+1)</f>
        <v>0000</v>
      </c>
      <c r="J196" s="3" t="str">
        <f>VLOOKUP(B196,AE_weight!$AP$221:$AX$252,C196+1)</f>
        <v>0000</v>
      </c>
      <c r="K196" s="3" t="str">
        <f>VLOOKUP(B196,AE_weight!$AP$257:$AX$288,C196+1)</f>
        <v>0011</v>
      </c>
      <c r="L196" s="3" t="str">
        <f>VLOOKUP(B196,AE_weight!$AP$293:$AX$324,C196+1)</f>
        <v>0000</v>
      </c>
      <c r="M196" s="3" t="str">
        <f>VLOOKUP(B196,AE_weight!$AP$329:$AX$360,C196+1)</f>
        <v>3322</v>
      </c>
    </row>
    <row r="197" spans="1:13">
      <c r="A197" s="1">
        <f t="shared" si="32"/>
        <v>192</v>
      </c>
      <c r="B197" s="1">
        <f t="shared" si="48"/>
        <v>23</v>
      </c>
      <c r="C197" s="1">
        <v>8</v>
      </c>
      <c r="D197" s="3" t="str">
        <f>VLOOKUP(B197,AE_weight!$AP$4:$AX$36,C197+1)</f>
        <v>1100</v>
      </c>
      <c r="E197" s="3" t="str">
        <f>VLOOKUP(B197,AE_weight!$AP$40:$AX$72,C197+1)</f>
        <v>2222</v>
      </c>
      <c r="F197" s="3" t="str">
        <f>VLOOKUP(B197,AE_weight!$AP$76:$AX$108,C197+1)</f>
        <v>0000</v>
      </c>
      <c r="G197" s="3" t="str">
        <f>VLOOKUP(B197,AE_weight!$AP$112:$AX$144,C197+1)</f>
        <v>2222</v>
      </c>
      <c r="H197" s="3" t="str">
        <f>VLOOKUP(B197,AE_weight!$AP$149:$AX$180,C197+1)</f>
        <v>0000</v>
      </c>
      <c r="I197" s="3" t="str">
        <f>VLOOKUP(B197,AE_weight!$AP$185:$AX$216,C197+1)</f>
        <v>0000</v>
      </c>
      <c r="J197" s="3" t="str">
        <f>VLOOKUP(B197,AE_weight!$AP$221:$AX$252,C197+1)</f>
        <v>0000</v>
      </c>
      <c r="K197" s="3" t="str">
        <f>VLOOKUP(B197,AE_weight!$AP$257:$AX$288,C197+1)</f>
        <v>0000</v>
      </c>
      <c r="L197" s="3" t="str">
        <f>VLOOKUP(B197,AE_weight!$AP$293:$AX$324,C197+1)</f>
        <v>0000</v>
      </c>
      <c r="M197" s="3" t="str">
        <f>VLOOKUP(B197,AE_weight!$AP$329:$AX$360,C197+1)</f>
        <v>1100</v>
      </c>
    </row>
    <row r="198" spans="1:13">
      <c r="A198" s="1">
        <f t="shared" si="32"/>
        <v>193</v>
      </c>
      <c r="B198" s="1">
        <v>24</v>
      </c>
      <c r="C198" s="1">
        <v>1</v>
      </c>
      <c r="D198" s="3" t="str">
        <f>VLOOKUP(B198,AE_weight!$AP$4:$AX$36,C198+1)</f>
        <v>0000</v>
      </c>
      <c r="E198" s="3" t="str">
        <f>VLOOKUP(B198,AE_weight!$AP$40:$AX$72,C198+1)</f>
        <v>2222</v>
      </c>
      <c r="F198" s="3" t="str">
        <f>VLOOKUP(B198,AE_weight!$AP$76:$AX$108,C198+1)</f>
        <v>0000</v>
      </c>
      <c r="G198" s="3" t="str">
        <f>VLOOKUP(B198,AE_weight!$AP$112:$AX$144,C198+1)</f>
        <v>2222</v>
      </c>
      <c r="H198" s="3" t="str">
        <f>VLOOKUP(B198,AE_weight!$AP$149:$AX$180,C198+1)</f>
        <v>0000</v>
      </c>
      <c r="I198" s="3" t="str">
        <f>VLOOKUP(B198,AE_weight!$AP$185:$AX$216,C198+1)</f>
        <v>0000</v>
      </c>
      <c r="J198" s="3" t="str">
        <f>VLOOKUP(B198,AE_weight!$AP$221:$AX$252,C198+1)</f>
        <v>0000</v>
      </c>
      <c r="K198" s="3" t="str">
        <f>VLOOKUP(B198,AE_weight!$AP$257:$AX$288,C198+1)</f>
        <v>0000</v>
      </c>
      <c r="L198" s="3" t="str">
        <f>VLOOKUP(B198,AE_weight!$AP$293:$AX$324,C198+1)</f>
        <v>0000</v>
      </c>
      <c r="M198" s="3" t="str">
        <f>VLOOKUP(B198,AE_weight!$AP$329:$AX$360,C198+1)</f>
        <v>0011</v>
      </c>
    </row>
    <row r="199" spans="1:13">
      <c r="A199" s="1">
        <f t="shared" ref="A199:A261" si="49">A198+1</f>
        <v>194</v>
      </c>
      <c r="B199" s="1">
        <f t="shared" ref="B199:B201" si="50">B198</f>
        <v>24</v>
      </c>
      <c r="C199" s="1">
        <v>2</v>
      </c>
      <c r="D199" s="3" t="str">
        <f>VLOOKUP(B199,AE_weight!$AP$4:$AX$36,C199+1)</f>
        <v>1111</v>
      </c>
      <c r="E199" s="3" t="str">
        <f>VLOOKUP(B199,AE_weight!$AP$40:$AX$72,C199+1)</f>
        <v>2222</v>
      </c>
      <c r="F199" s="3" t="str">
        <f>VLOOKUP(B199,AE_weight!$AP$76:$AX$108,C199+1)</f>
        <v>0022</v>
      </c>
      <c r="G199" s="3" t="str">
        <f>VLOOKUP(B199,AE_weight!$AP$112:$AX$144,C199+1)</f>
        <v>2222</v>
      </c>
      <c r="H199" s="3" t="str">
        <f>VLOOKUP(B199,AE_weight!$AP$149:$AX$180,C199+1)</f>
        <v>0000</v>
      </c>
      <c r="I199" s="3" t="str">
        <f>VLOOKUP(B199,AE_weight!$AP$185:$AX$216,C199+1)</f>
        <v>0000</v>
      </c>
      <c r="J199" s="3" t="str">
        <f>VLOOKUP(B199,AE_weight!$AP$221:$AX$252,C199+1)</f>
        <v>0000</v>
      </c>
      <c r="K199" s="3" t="str">
        <f>VLOOKUP(B199,AE_weight!$AP$257:$AX$288,C199+1)</f>
        <v>0000</v>
      </c>
      <c r="L199" s="3" t="str">
        <f>VLOOKUP(B199,AE_weight!$AP$293:$AX$324,C199+1)</f>
        <v>0000</v>
      </c>
      <c r="M199" s="3" t="str">
        <f>VLOOKUP(B199,AE_weight!$AP$329:$AX$360,C199+1)</f>
        <v>2233</v>
      </c>
    </row>
    <row r="200" spans="1:13">
      <c r="A200" s="1">
        <f t="shared" si="49"/>
        <v>195</v>
      </c>
      <c r="B200" s="1">
        <f t="shared" si="50"/>
        <v>24</v>
      </c>
      <c r="C200" s="1">
        <v>3</v>
      </c>
      <c r="D200" s="3" t="str">
        <f>VLOOKUP(B200,AE_weight!$AP$4:$AX$36,C200+1)</f>
        <v>2222</v>
      </c>
      <c r="E200" s="3" t="str">
        <f>VLOOKUP(B200,AE_weight!$AP$40:$AX$72,C200+1)</f>
        <v>2222</v>
      </c>
      <c r="F200" s="3" t="str">
        <f>VLOOKUP(B200,AE_weight!$AP$76:$AX$108,C200+1)</f>
        <v>2233</v>
      </c>
      <c r="G200" s="3" t="str">
        <f>VLOOKUP(B200,AE_weight!$AP$112:$AX$144,C200+1)</f>
        <v>2222</v>
      </c>
      <c r="H200" s="3" t="str">
        <f>VLOOKUP(B200,AE_weight!$AP$149:$AX$180,C200+1)</f>
        <v>0000</v>
      </c>
      <c r="I200" s="3" t="str">
        <f>VLOOKUP(B200,AE_weight!$AP$185:$AX$216,C200+1)</f>
        <v>0000</v>
      </c>
      <c r="J200" s="3" t="str">
        <f>VLOOKUP(B200,AE_weight!$AP$221:$AX$252,C200+1)</f>
        <v>0000</v>
      </c>
      <c r="K200" s="3" t="str">
        <f>VLOOKUP(B200,AE_weight!$AP$257:$AX$288,C200+1)</f>
        <v>0000</v>
      </c>
      <c r="L200" s="3" t="str">
        <f>VLOOKUP(B200,AE_weight!$AP$293:$AX$324,C200+1)</f>
        <v>0000</v>
      </c>
      <c r="M200" s="3" t="str">
        <f>VLOOKUP(B200,AE_weight!$AP$329:$AX$360,C200+1)</f>
        <v>3344</v>
      </c>
    </row>
    <row r="201" spans="1:13">
      <c r="A201" s="1">
        <f t="shared" si="49"/>
        <v>196</v>
      </c>
      <c r="B201" s="1">
        <f t="shared" si="50"/>
        <v>24</v>
      </c>
      <c r="C201" s="1">
        <v>4</v>
      </c>
      <c r="D201" s="3" t="str">
        <f>VLOOKUP(B201,AE_weight!$AP$4:$AX$36,C201+1)</f>
        <v>4433</v>
      </c>
      <c r="E201" s="3" t="str">
        <f>VLOOKUP(B201,AE_weight!$AP$40:$AX$72,C201+1)</f>
        <v>2222</v>
      </c>
      <c r="F201" s="3" t="str">
        <f>VLOOKUP(B201,AE_weight!$AP$76:$AX$108,C201+1)</f>
        <v>3333</v>
      </c>
      <c r="G201" s="3" t="str">
        <f>VLOOKUP(B201,AE_weight!$AP$112:$AX$144,C201+1)</f>
        <v>2222</v>
      </c>
      <c r="H201" s="3" t="str">
        <f>VLOOKUP(B201,AE_weight!$AP$149:$AX$180,C201+1)</f>
        <v>0000</v>
      </c>
      <c r="I201" s="3" t="str">
        <f>VLOOKUP(B201,AE_weight!$AP$185:$AX$216,C201+1)</f>
        <v>0000</v>
      </c>
      <c r="J201" s="3" t="str">
        <f>VLOOKUP(B201,AE_weight!$AP$221:$AX$252,C201+1)</f>
        <v>0077</v>
      </c>
      <c r="K201" s="3" t="str">
        <f>VLOOKUP(B201,AE_weight!$AP$257:$AX$288,C201+1)</f>
        <v>0000</v>
      </c>
      <c r="L201" s="3" t="str">
        <f>VLOOKUP(B201,AE_weight!$AP$293:$AX$324,C201+1)</f>
        <v>0000</v>
      </c>
      <c r="M201" s="3" t="str">
        <f>VLOOKUP(B201,AE_weight!$AP$329:$AX$360,C201+1)</f>
        <v>5555</v>
      </c>
    </row>
    <row r="202" spans="1:13">
      <c r="A202" s="1">
        <f t="shared" si="49"/>
        <v>197</v>
      </c>
      <c r="B202" s="1">
        <v>24</v>
      </c>
      <c r="C202" s="1">
        <v>5</v>
      </c>
      <c r="D202" s="3" t="str">
        <f>VLOOKUP(B202,AE_weight!$AP$4:$AX$36,C202+1)</f>
        <v>4433</v>
      </c>
      <c r="E202" s="3" t="str">
        <f>VLOOKUP(B202,AE_weight!$AP$40:$AX$72,C202+1)</f>
        <v>2222</v>
      </c>
      <c r="F202" s="3" t="str">
        <f>VLOOKUP(B202,AE_weight!$AP$76:$AX$108,C202+1)</f>
        <v>3333</v>
      </c>
      <c r="G202" s="3" t="str">
        <f>VLOOKUP(B202,AE_weight!$AP$112:$AX$144,C202+1)</f>
        <v>2222</v>
      </c>
      <c r="H202" s="3" t="str">
        <f>VLOOKUP(B202,AE_weight!$AP$149:$AX$180,C202+1)</f>
        <v>0000</v>
      </c>
      <c r="I202" s="3" t="str">
        <f>VLOOKUP(B202,AE_weight!$AP$185:$AX$216,C202+1)</f>
        <v>0000</v>
      </c>
      <c r="J202" s="3" t="str">
        <f>VLOOKUP(B202,AE_weight!$AP$221:$AX$252,C202+1)</f>
        <v>7700</v>
      </c>
      <c r="K202" s="3" t="str">
        <f>VLOOKUP(B202,AE_weight!$AP$257:$AX$288,C202+1)</f>
        <v>0000</v>
      </c>
      <c r="L202" s="3" t="str">
        <f>VLOOKUP(B202,AE_weight!$AP$293:$AX$324,C202+1)</f>
        <v>0000</v>
      </c>
      <c r="M202" s="3" t="str">
        <f>VLOOKUP(B202,AE_weight!$AP$329:$AX$360,C202+1)</f>
        <v>5555</v>
      </c>
    </row>
    <row r="203" spans="1:13">
      <c r="A203" s="1">
        <f t="shared" si="49"/>
        <v>198</v>
      </c>
      <c r="B203" s="1">
        <f t="shared" ref="B203:B205" si="51">B202</f>
        <v>24</v>
      </c>
      <c r="C203" s="1">
        <v>6</v>
      </c>
      <c r="D203" s="3" t="str">
        <f>VLOOKUP(B203,AE_weight!$AP$4:$AX$36,C203+1)</f>
        <v>2222</v>
      </c>
      <c r="E203" s="3" t="str">
        <f>VLOOKUP(B203,AE_weight!$AP$40:$AX$72,C203+1)</f>
        <v>2222</v>
      </c>
      <c r="F203" s="3" t="str">
        <f>VLOOKUP(B203,AE_weight!$AP$76:$AX$108,C203+1)</f>
        <v>3322</v>
      </c>
      <c r="G203" s="3" t="str">
        <f>VLOOKUP(B203,AE_weight!$AP$112:$AX$144,C203+1)</f>
        <v>2222</v>
      </c>
      <c r="H203" s="3" t="str">
        <f>VLOOKUP(B203,AE_weight!$AP$149:$AX$180,C203+1)</f>
        <v>0000</v>
      </c>
      <c r="I203" s="3" t="str">
        <f>VLOOKUP(B203,AE_weight!$AP$185:$AX$216,C203+1)</f>
        <v>0000</v>
      </c>
      <c r="J203" s="3" t="str">
        <f>VLOOKUP(B203,AE_weight!$AP$221:$AX$252,C203+1)</f>
        <v>0000</v>
      </c>
      <c r="K203" s="3" t="str">
        <f>VLOOKUP(B203,AE_weight!$AP$257:$AX$288,C203+1)</f>
        <v>0000</v>
      </c>
      <c r="L203" s="3" t="str">
        <f>VLOOKUP(B203,AE_weight!$AP$293:$AX$324,C203+1)</f>
        <v>0000</v>
      </c>
      <c r="M203" s="3" t="str">
        <f>VLOOKUP(B203,AE_weight!$AP$329:$AX$360,C203+1)</f>
        <v>4433</v>
      </c>
    </row>
    <row r="204" spans="1:13">
      <c r="A204" s="1">
        <f t="shared" si="49"/>
        <v>199</v>
      </c>
      <c r="B204" s="1">
        <f t="shared" si="51"/>
        <v>24</v>
      </c>
      <c r="C204" s="1">
        <v>7</v>
      </c>
      <c r="D204" s="3" t="str">
        <f>VLOOKUP(B204,AE_weight!$AP$4:$AX$36,C204+1)</f>
        <v>1111</v>
      </c>
      <c r="E204" s="3" t="str">
        <f>VLOOKUP(B204,AE_weight!$AP$40:$AX$72,C204+1)</f>
        <v>2222</v>
      </c>
      <c r="F204" s="3" t="str">
        <f>VLOOKUP(B204,AE_weight!$AP$76:$AX$108,C204+1)</f>
        <v>2200</v>
      </c>
      <c r="G204" s="3" t="str">
        <f>VLOOKUP(B204,AE_weight!$AP$112:$AX$144,C204+1)</f>
        <v>2222</v>
      </c>
      <c r="H204" s="3" t="str">
        <f>VLOOKUP(B204,AE_weight!$AP$149:$AX$180,C204+1)</f>
        <v>0000</v>
      </c>
      <c r="I204" s="3" t="str">
        <f>VLOOKUP(B204,AE_weight!$AP$185:$AX$216,C204+1)</f>
        <v>0000</v>
      </c>
      <c r="J204" s="3" t="str">
        <f>VLOOKUP(B204,AE_weight!$AP$221:$AX$252,C204+1)</f>
        <v>0000</v>
      </c>
      <c r="K204" s="3" t="str">
        <f>VLOOKUP(B204,AE_weight!$AP$257:$AX$288,C204+1)</f>
        <v>0000</v>
      </c>
      <c r="L204" s="3" t="str">
        <f>VLOOKUP(B204,AE_weight!$AP$293:$AX$324,C204+1)</f>
        <v>0000</v>
      </c>
      <c r="M204" s="3" t="str">
        <f>VLOOKUP(B204,AE_weight!$AP$329:$AX$360,C204+1)</f>
        <v>3322</v>
      </c>
    </row>
    <row r="205" spans="1:13">
      <c r="A205" s="1">
        <f t="shared" si="49"/>
        <v>200</v>
      </c>
      <c r="B205" s="1">
        <f t="shared" si="51"/>
        <v>24</v>
      </c>
      <c r="C205" s="1">
        <v>8</v>
      </c>
      <c r="D205" s="3" t="str">
        <f>VLOOKUP(B205,AE_weight!$AP$4:$AX$36,C205+1)</f>
        <v>0000</v>
      </c>
      <c r="E205" s="3" t="str">
        <f>VLOOKUP(B205,AE_weight!$AP$40:$AX$72,C205+1)</f>
        <v>2222</v>
      </c>
      <c r="F205" s="3" t="str">
        <f>VLOOKUP(B205,AE_weight!$AP$76:$AX$108,C205+1)</f>
        <v>0000</v>
      </c>
      <c r="G205" s="3" t="str">
        <f>VLOOKUP(B205,AE_weight!$AP$112:$AX$144,C205+1)</f>
        <v>2222</v>
      </c>
      <c r="H205" s="3" t="str">
        <f>VLOOKUP(B205,AE_weight!$AP$149:$AX$180,C205+1)</f>
        <v>0000</v>
      </c>
      <c r="I205" s="3" t="str">
        <f>VLOOKUP(B205,AE_weight!$AP$185:$AX$216,C205+1)</f>
        <v>0000</v>
      </c>
      <c r="J205" s="3" t="str">
        <f>VLOOKUP(B205,AE_weight!$AP$221:$AX$252,C205+1)</f>
        <v>0000</v>
      </c>
      <c r="K205" s="3" t="str">
        <f>VLOOKUP(B205,AE_weight!$AP$257:$AX$288,C205+1)</f>
        <v>0000</v>
      </c>
      <c r="L205" s="3" t="str">
        <f>VLOOKUP(B205,AE_weight!$AP$293:$AX$324,C205+1)</f>
        <v>0000</v>
      </c>
      <c r="M205" s="3" t="str">
        <f>VLOOKUP(B205,AE_weight!$AP$329:$AX$360,C205+1)</f>
        <v>1100</v>
      </c>
    </row>
    <row r="206" spans="1:13">
      <c r="A206" s="1">
        <f t="shared" si="49"/>
        <v>201</v>
      </c>
      <c r="B206" s="1">
        <v>25</v>
      </c>
      <c r="C206" s="1">
        <v>1</v>
      </c>
      <c r="D206" s="3" t="str">
        <f>VLOOKUP(B206,AE_weight!$AP$4:$AX$36,C206+1)</f>
        <v>0000</v>
      </c>
      <c r="E206" s="3" t="str">
        <f>VLOOKUP(B206,AE_weight!$AP$40:$AX$72,C206+1)</f>
        <v>2222</v>
      </c>
      <c r="F206" s="3" t="str">
        <f>VLOOKUP(B206,AE_weight!$AP$76:$AX$108,C206+1)</f>
        <v>0000</v>
      </c>
      <c r="G206" s="3" t="str">
        <f>VLOOKUP(B206,AE_weight!$AP$112:$AX$144,C206+1)</f>
        <v>2222</v>
      </c>
      <c r="H206" s="3" t="str">
        <f>VLOOKUP(B206,AE_weight!$AP$149:$AX$180,C206+1)</f>
        <v>0000</v>
      </c>
      <c r="I206" s="3" t="str">
        <f>VLOOKUP(B206,AE_weight!$AP$185:$AX$216,C206+1)</f>
        <v>0000</v>
      </c>
      <c r="J206" s="3" t="str">
        <f>VLOOKUP(B206,AE_weight!$AP$221:$AX$252,C206+1)</f>
        <v>0000</v>
      </c>
      <c r="K206" s="3" t="str">
        <f>VLOOKUP(B206,AE_weight!$AP$257:$AX$288,C206+1)</f>
        <v>0000</v>
      </c>
      <c r="L206" s="3" t="str">
        <f>VLOOKUP(B206,AE_weight!$AP$293:$AX$324,C206+1)</f>
        <v>0000</v>
      </c>
      <c r="M206" s="3" t="str">
        <f>VLOOKUP(B206,AE_weight!$AP$329:$AX$360,C206+1)</f>
        <v>0011</v>
      </c>
    </row>
    <row r="207" spans="1:13">
      <c r="A207" s="1">
        <f t="shared" si="49"/>
        <v>202</v>
      </c>
      <c r="B207" s="1">
        <f t="shared" ref="B207:B209" si="52">B206</f>
        <v>25</v>
      </c>
      <c r="C207" s="1">
        <v>2</v>
      </c>
      <c r="D207" s="3" t="str">
        <f>VLOOKUP(B207,AE_weight!$AP$4:$AX$36,C207+1)</f>
        <v>1111</v>
      </c>
      <c r="E207" s="3" t="str">
        <f>VLOOKUP(B207,AE_weight!$AP$40:$AX$72,C207+1)</f>
        <v>2222</v>
      </c>
      <c r="F207" s="3" t="str">
        <f>VLOOKUP(B207,AE_weight!$AP$76:$AX$108,C207+1)</f>
        <v>0022</v>
      </c>
      <c r="G207" s="3" t="str">
        <f>VLOOKUP(B207,AE_weight!$AP$112:$AX$144,C207+1)</f>
        <v>2222</v>
      </c>
      <c r="H207" s="3" t="str">
        <f>VLOOKUP(B207,AE_weight!$AP$149:$AX$180,C207+1)</f>
        <v>0000</v>
      </c>
      <c r="I207" s="3" t="str">
        <f>VLOOKUP(B207,AE_weight!$AP$185:$AX$216,C207+1)</f>
        <v>0000</v>
      </c>
      <c r="J207" s="3" t="str">
        <f>VLOOKUP(B207,AE_weight!$AP$221:$AX$252,C207+1)</f>
        <v>0000</v>
      </c>
      <c r="K207" s="3" t="str">
        <f>VLOOKUP(B207,AE_weight!$AP$257:$AX$288,C207+1)</f>
        <v>0011</v>
      </c>
      <c r="L207" s="3" t="str">
        <f>VLOOKUP(B207,AE_weight!$AP$293:$AX$324,C207+1)</f>
        <v>0000</v>
      </c>
      <c r="M207" s="3" t="str">
        <f>VLOOKUP(B207,AE_weight!$AP$329:$AX$360,C207+1)</f>
        <v>1122</v>
      </c>
    </row>
    <row r="208" spans="1:13">
      <c r="A208" s="1">
        <f t="shared" si="49"/>
        <v>203</v>
      </c>
      <c r="B208" s="1">
        <f t="shared" si="52"/>
        <v>25</v>
      </c>
      <c r="C208" s="1">
        <v>3</v>
      </c>
      <c r="D208" s="3" t="str">
        <f>VLOOKUP(B208,AE_weight!$AP$4:$AX$36,C208+1)</f>
        <v>2222</v>
      </c>
      <c r="E208" s="3" t="str">
        <f>VLOOKUP(B208,AE_weight!$AP$40:$AX$72,C208+1)</f>
        <v>2222</v>
      </c>
      <c r="F208" s="3" t="str">
        <f>VLOOKUP(B208,AE_weight!$AP$76:$AX$108,C208+1)</f>
        <v>2233</v>
      </c>
      <c r="G208" s="3" t="str">
        <f>VLOOKUP(B208,AE_weight!$AP$112:$AX$144,C208+1)</f>
        <v>2222</v>
      </c>
      <c r="H208" s="3" t="str">
        <f>VLOOKUP(B208,AE_weight!$AP$149:$AX$180,C208+1)</f>
        <v>0000</v>
      </c>
      <c r="I208" s="3" t="str">
        <f>VLOOKUP(B208,AE_weight!$AP$185:$AX$216,C208+1)</f>
        <v>0000</v>
      </c>
      <c r="J208" s="3" t="str">
        <f>VLOOKUP(B208,AE_weight!$AP$221:$AX$252,C208+1)</f>
        <v>0000</v>
      </c>
      <c r="K208" s="3" t="str">
        <f>VLOOKUP(B208,AE_weight!$AP$257:$AX$288,C208+1)</f>
        <v>0011</v>
      </c>
      <c r="L208" s="3" t="str">
        <f>VLOOKUP(B208,AE_weight!$AP$293:$AX$324,C208+1)</f>
        <v>0000</v>
      </c>
      <c r="M208" s="3" t="str">
        <f>VLOOKUP(B208,AE_weight!$AP$329:$AX$360,C208+1)</f>
        <v>3344</v>
      </c>
    </row>
    <row r="209" spans="1:13">
      <c r="A209" s="1">
        <f t="shared" si="49"/>
        <v>204</v>
      </c>
      <c r="B209" s="1">
        <f t="shared" si="52"/>
        <v>25</v>
      </c>
      <c r="C209" s="1">
        <v>4</v>
      </c>
      <c r="D209" s="3" t="str">
        <f>VLOOKUP(B209,AE_weight!$AP$4:$AX$36,C209+1)</f>
        <v>2233</v>
      </c>
      <c r="E209" s="3" t="str">
        <f>VLOOKUP(B209,AE_weight!$AP$40:$AX$72,C209+1)</f>
        <v>2222</v>
      </c>
      <c r="F209" s="3" t="str">
        <f>VLOOKUP(B209,AE_weight!$AP$76:$AX$108,C209+1)</f>
        <v>3333</v>
      </c>
      <c r="G209" s="3" t="str">
        <f>VLOOKUP(B209,AE_weight!$AP$112:$AX$144,C209+1)</f>
        <v>2222</v>
      </c>
      <c r="H209" s="3" t="str">
        <f>VLOOKUP(B209,AE_weight!$AP$149:$AX$180,C209+1)</f>
        <v>0000</v>
      </c>
      <c r="I209" s="3" t="str">
        <f>VLOOKUP(B209,AE_weight!$AP$185:$AX$216,C209+1)</f>
        <v>0000</v>
      </c>
      <c r="J209" s="3" t="str">
        <f>VLOOKUP(B209,AE_weight!$AP$221:$AX$252,C209+1)</f>
        <v>0077</v>
      </c>
      <c r="K209" s="3" t="str">
        <f>VLOOKUP(B209,AE_weight!$AP$257:$AX$288,C209+1)</f>
        <v>0011</v>
      </c>
      <c r="L209" s="3" t="str">
        <f>VLOOKUP(B209,AE_weight!$AP$293:$AX$324,C209+1)</f>
        <v>0000</v>
      </c>
      <c r="M209" s="3" t="str">
        <f>VLOOKUP(B209,AE_weight!$AP$329:$AX$360,C209+1)</f>
        <v>5555</v>
      </c>
    </row>
    <row r="210" spans="1:13">
      <c r="A210" s="1">
        <f t="shared" si="49"/>
        <v>205</v>
      </c>
      <c r="B210" s="1">
        <v>25</v>
      </c>
      <c r="C210" s="1">
        <v>5</v>
      </c>
      <c r="D210" s="3" t="str">
        <f>VLOOKUP(B210,AE_weight!$AP$4:$AX$36,C210+1)</f>
        <v>3322</v>
      </c>
      <c r="E210" s="3" t="str">
        <f>VLOOKUP(B210,AE_weight!$AP$40:$AX$72,C210+1)</f>
        <v>2222</v>
      </c>
      <c r="F210" s="3" t="str">
        <f>VLOOKUP(B210,AE_weight!$AP$76:$AX$108,C210+1)</f>
        <v>3333</v>
      </c>
      <c r="G210" s="3" t="str">
        <f>VLOOKUP(B210,AE_weight!$AP$112:$AX$144,C210+1)</f>
        <v>2222</v>
      </c>
      <c r="H210" s="3" t="str">
        <f>VLOOKUP(B210,AE_weight!$AP$149:$AX$180,C210+1)</f>
        <v>0000</v>
      </c>
      <c r="I210" s="3" t="str">
        <f>VLOOKUP(B210,AE_weight!$AP$185:$AX$216,C210+1)</f>
        <v>0000</v>
      </c>
      <c r="J210" s="3" t="str">
        <f>VLOOKUP(B210,AE_weight!$AP$221:$AX$252,C210+1)</f>
        <v>7700</v>
      </c>
      <c r="K210" s="3" t="str">
        <f>VLOOKUP(B210,AE_weight!$AP$257:$AX$288,C210+1)</f>
        <v>1100</v>
      </c>
      <c r="L210" s="3" t="str">
        <f>VLOOKUP(B210,AE_weight!$AP$293:$AX$324,C210+1)</f>
        <v>0000</v>
      </c>
      <c r="M210" s="3" t="str">
        <f>VLOOKUP(B210,AE_weight!$AP$329:$AX$360,C210+1)</f>
        <v>5555</v>
      </c>
    </row>
    <row r="211" spans="1:13">
      <c r="A211" s="1">
        <f t="shared" si="49"/>
        <v>206</v>
      </c>
      <c r="B211" s="1">
        <f t="shared" ref="B211:B213" si="53">B210</f>
        <v>25</v>
      </c>
      <c r="C211" s="1">
        <v>6</v>
      </c>
      <c r="D211" s="3" t="str">
        <f>VLOOKUP(B211,AE_weight!$AP$4:$AX$36,C211+1)</f>
        <v>2222</v>
      </c>
      <c r="E211" s="3" t="str">
        <f>VLOOKUP(B211,AE_weight!$AP$40:$AX$72,C211+1)</f>
        <v>2222</v>
      </c>
      <c r="F211" s="3" t="str">
        <f>VLOOKUP(B211,AE_weight!$AP$76:$AX$108,C211+1)</f>
        <v>3322</v>
      </c>
      <c r="G211" s="3" t="str">
        <f>VLOOKUP(B211,AE_weight!$AP$112:$AX$144,C211+1)</f>
        <v>2222</v>
      </c>
      <c r="H211" s="3" t="str">
        <f>VLOOKUP(B211,AE_weight!$AP$149:$AX$180,C211+1)</f>
        <v>0000</v>
      </c>
      <c r="I211" s="3" t="str">
        <f>VLOOKUP(B211,AE_weight!$AP$185:$AX$216,C211+1)</f>
        <v>0000</v>
      </c>
      <c r="J211" s="3" t="str">
        <f>VLOOKUP(B211,AE_weight!$AP$221:$AX$252,C211+1)</f>
        <v>0000</v>
      </c>
      <c r="K211" s="3" t="str">
        <f>VLOOKUP(B211,AE_weight!$AP$257:$AX$288,C211+1)</f>
        <v>1100</v>
      </c>
      <c r="L211" s="3" t="str">
        <f>VLOOKUP(B211,AE_weight!$AP$293:$AX$324,C211+1)</f>
        <v>0000</v>
      </c>
      <c r="M211" s="3" t="str">
        <f>VLOOKUP(B211,AE_weight!$AP$329:$AX$360,C211+1)</f>
        <v>4433</v>
      </c>
    </row>
    <row r="212" spans="1:13">
      <c r="A212" s="1">
        <f t="shared" si="49"/>
        <v>207</v>
      </c>
      <c r="B212" s="1">
        <f t="shared" si="53"/>
        <v>25</v>
      </c>
      <c r="C212" s="1">
        <v>7</v>
      </c>
      <c r="D212" s="3" t="str">
        <f>VLOOKUP(B212,AE_weight!$AP$4:$AX$36,C212+1)</f>
        <v>1111</v>
      </c>
      <c r="E212" s="3" t="str">
        <f>VLOOKUP(B212,AE_weight!$AP$40:$AX$72,C212+1)</f>
        <v>2222</v>
      </c>
      <c r="F212" s="3" t="str">
        <f>VLOOKUP(B212,AE_weight!$AP$76:$AX$108,C212+1)</f>
        <v>2200</v>
      </c>
      <c r="G212" s="3" t="str">
        <f>VLOOKUP(B212,AE_weight!$AP$112:$AX$144,C212+1)</f>
        <v>2222</v>
      </c>
      <c r="H212" s="3" t="str">
        <f>VLOOKUP(B212,AE_weight!$AP$149:$AX$180,C212+1)</f>
        <v>0000</v>
      </c>
      <c r="I212" s="3" t="str">
        <f>VLOOKUP(B212,AE_weight!$AP$185:$AX$216,C212+1)</f>
        <v>0000</v>
      </c>
      <c r="J212" s="3" t="str">
        <f>VLOOKUP(B212,AE_weight!$AP$221:$AX$252,C212+1)</f>
        <v>0000</v>
      </c>
      <c r="K212" s="3" t="str">
        <f>VLOOKUP(B212,AE_weight!$AP$257:$AX$288,C212+1)</f>
        <v>1100</v>
      </c>
      <c r="L212" s="3" t="str">
        <f>VLOOKUP(B212,AE_weight!$AP$293:$AX$324,C212+1)</f>
        <v>0000</v>
      </c>
      <c r="M212" s="3" t="str">
        <f>VLOOKUP(B212,AE_weight!$AP$329:$AX$360,C212+1)</f>
        <v>2211</v>
      </c>
    </row>
    <row r="213" spans="1:13">
      <c r="A213" s="1">
        <f t="shared" si="49"/>
        <v>208</v>
      </c>
      <c r="B213" s="1">
        <f t="shared" si="53"/>
        <v>25</v>
      </c>
      <c r="C213" s="1">
        <v>8</v>
      </c>
      <c r="D213" s="3" t="str">
        <f>VLOOKUP(B213,AE_weight!$AP$4:$AX$36,C213+1)</f>
        <v>0000</v>
      </c>
      <c r="E213" s="3" t="str">
        <f>VLOOKUP(B213,AE_weight!$AP$40:$AX$72,C213+1)</f>
        <v>2222</v>
      </c>
      <c r="F213" s="3" t="str">
        <f>VLOOKUP(B213,AE_weight!$AP$76:$AX$108,C213+1)</f>
        <v>0000</v>
      </c>
      <c r="G213" s="3" t="str">
        <f>VLOOKUP(B213,AE_weight!$AP$112:$AX$144,C213+1)</f>
        <v>2222</v>
      </c>
      <c r="H213" s="3" t="str">
        <f>VLOOKUP(B213,AE_weight!$AP$149:$AX$180,C213+1)</f>
        <v>0000</v>
      </c>
      <c r="I213" s="3" t="str">
        <f>VLOOKUP(B213,AE_weight!$AP$185:$AX$216,C213+1)</f>
        <v>0000</v>
      </c>
      <c r="J213" s="3" t="str">
        <f>VLOOKUP(B213,AE_weight!$AP$221:$AX$252,C213+1)</f>
        <v>0000</v>
      </c>
      <c r="K213" s="3" t="str">
        <f>VLOOKUP(B213,AE_weight!$AP$257:$AX$288,C213+1)</f>
        <v>0000</v>
      </c>
      <c r="L213" s="3" t="str">
        <f>VLOOKUP(B213,AE_weight!$AP$293:$AX$324,C213+1)</f>
        <v>0000</v>
      </c>
      <c r="M213" s="3" t="str">
        <f>VLOOKUP(B213,AE_weight!$AP$329:$AX$360,C213+1)</f>
        <v>1100</v>
      </c>
    </row>
    <row r="214" spans="1:13">
      <c r="A214" s="1">
        <f t="shared" si="49"/>
        <v>209</v>
      </c>
      <c r="B214" s="1">
        <v>26</v>
      </c>
      <c r="C214" s="1">
        <v>1</v>
      </c>
      <c r="D214" s="3" t="str">
        <f>VLOOKUP(B214,AE_weight!$AP$4:$AX$36,C214+1)</f>
        <v>0000</v>
      </c>
      <c r="E214" s="3" t="str">
        <f>VLOOKUP(B214,AE_weight!$AP$40:$AX$72,C214+1)</f>
        <v>2222</v>
      </c>
      <c r="F214" s="3" t="str">
        <f>VLOOKUP(B214,AE_weight!$AP$76:$AX$108,C214+1)</f>
        <v>0000</v>
      </c>
      <c r="G214" s="3" t="str">
        <f>VLOOKUP(B214,AE_weight!$AP$112:$AX$144,C214+1)</f>
        <v>2222</v>
      </c>
      <c r="H214" s="3" t="str">
        <f>VLOOKUP(B214,AE_weight!$AP$149:$AX$180,C214+1)</f>
        <v>0000</v>
      </c>
      <c r="I214" s="3" t="str">
        <f>VLOOKUP(B214,AE_weight!$AP$185:$AX$216,C214+1)</f>
        <v>0000</v>
      </c>
      <c r="J214" s="3" t="str">
        <f>VLOOKUP(B214,AE_weight!$AP$221:$AX$252,C214+1)</f>
        <v>0000</v>
      </c>
      <c r="K214" s="3" t="str">
        <f>VLOOKUP(B214,AE_weight!$AP$257:$AX$288,C214+1)</f>
        <v>0000</v>
      </c>
      <c r="L214" s="3" t="str">
        <f>VLOOKUP(B214,AE_weight!$AP$293:$AX$324,C214+1)</f>
        <v>0000</v>
      </c>
      <c r="M214" s="3" t="str">
        <f>VLOOKUP(B214,AE_weight!$AP$329:$AX$360,C214+1)</f>
        <v>0011</v>
      </c>
    </row>
    <row r="215" spans="1:13">
      <c r="A215" s="1">
        <f t="shared" si="49"/>
        <v>210</v>
      </c>
      <c r="B215" s="1">
        <f t="shared" ref="B215:B217" si="54">B214</f>
        <v>26</v>
      </c>
      <c r="C215" s="1">
        <v>2</v>
      </c>
      <c r="D215" s="3" t="str">
        <f>VLOOKUP(B215,AE_weight!$AP$4:$AX$36,C215+1)</f>
        <v>0011</v>
      </c>
      <c r="E215" s="3" t="str">
        <f>VLOOKUP(B215,AE_weight!$AP$40:$AX$72,C215+1)</f>
        <v>2222</v>
      </c>
      <c r="F215" s="3" t="str">
        <f>VLOOKUP(B215,AE_weight!$AP$76:$AX$108,C215+1)</f>
        <v>0000</v>
      </c>
      <c r="G215" s="3" t="str">
        <f>VLOOKUP(B215,AE_weight!$AP$112:$AX$144,C215+1)</f>
        <v>2222</v>
      </c>
      <c r="H215" s="3" t="str">
        <f>VLOOKUP(B215,AE_weight!$AP$149:$AX$180,C215+1)</f>
        <v>0000</v>
      </c>
      <c r="I215" s="3" t="str">
        <f>VLOOKUP(B215,AE_weight!$AP$185:$AX$216,C215+1)</f>
        <v>0000</v>
      </c>
      <c r="J215" s="3" t="str">
        <f>VLOOKUP(B215,AE_weight!$AP$221:$AX$252,C215+1)</f>
        <v>0000</v>
      </c>
      <c r="K215" s="3" t="str">
        <f>VLOOKUP(B215,AE_weight!$AP$257:$AX$288,C215+1)</f>
        <v>0000</v>
      </c>
      <c r="L215" s="3" t="str">
        <f>VLOOKUP(B215,AE_weight!$AP$293:$AX$324,C215+1)</f>
        <v>0000</v>
      </c>
      <c r="M215" s="3" t="str">
        <f>VLOOKUP(B215,AE_weight!$AP$329:$AX$360,C215+1)</f>
        <v>1122</v>
      </c>
    </row>
    <row r="216" spans="1:13">
      <c r="A216" s="1">
        <f t="shared" si="49"/>
        <v>211</v>
      </c>
      <c r="B216" s="1">
        <f t="shared" si="54"/>
        <v>26</v>
      </c>
      <c r="C216" s="1">
        <v>3</v>
      </c>
      <c r="D216" s="3" t="str">
        <f>VLOOKUP(B216,AE_weight!$AP$4:$AX$36,C216+1)</f>
        <v>1122</v>
      </c>
      <c r="E216" s="3" t="str">
        <f>VLOOKUP(B216,AE_weight!$AP$40:$AX$72,C216+1)</f>
        <v>2222</v>
      </c>
      <c r="F216" s="3" t="str">
        <f>VLOOKUP(B216,AE_weight!$AP$76:$AX$108,C216+1)</f>
        <v>0000</v>
      </c>
      <c r="G216" s="3" t="str">
        <f>VLOOKUP(B216,AE_weight!$AP$112:$AX$144,C216+1)</f>
        <v>2222</v>
      </c>
      <c r="H216" s="3" t="str">
        <f>VLOOKUP(B216,AE_weight!$AP$149:$AX$180,C216+1)</f>
        <v>0000</v>
      </c>
      <c r="I216" s="3" t="str">
        <f>VLOOKUP(B216,AE_weight!$AP$185:$AX$216,C216+1)</f>
        <v>0000</v>
      </c>
      <c r="J216" s="3" t="str">
        <f>VLOOKUP(B216,AE_weight!$AP$221:$AX$252,C216+1)</f>
        <v>0000</v>
      </c>
      <c r="K216" s="3" t="str">
        <f>VLOOKUP(B216,AE_weight!$AP$257:$AX$288,C216+1)</f>
        <v>0000</v>
      </c>
      <c r="L216" s="3" t="str">
        <f>VLOOKUP(B216,AE_weight!$AP$293:$AX$324,C216+1)</f>
        <v>0000</v>
      </c>
      <c r="M216" s="3" t="str">
        <f>VLOOKUP(B216,AE_weight!$AP$329:$AX$360,C216+1)</f>
        <v>3344</v>
      </c>
    </row>
    <row r="217" spans="1:13">
      <c r="A217" s="1">
        <f t="shared" si="49"/>
        <v>212</v>
      </c>
      <c r="B217" s="1">
        <f t="shared" si="54"/>
        <v>26</v>
      </c>
      <c r="C217" s="1">
        <v>4</v>
      </c>
      <c r="D217" s="3" t="str">
        <f>VLOOKUP(B217,AE_weight!$AP$4:$AX$36,C217+1)</f>
        <v>2222</v>
      </c>
      <c r="E217" s="3" t="str">
        <f>VLOOKUP(B217,AE_weight!$AP$40:$AX$72,C217+1)</f>
        <v>2222</v>
      </c>
      <c r="F217" s="3" t="str">
        <f>VLOOKUP(B217,AE_weight!$AP$76:$AX$108,C217+1)</f>
        <v>2222</v>
      </c>
      <c r="G217" s="3" t="str">
        <f>VLOOKUP(B217,AE_weight!$AP$112:$AX$144,C217+1)</f>
        <v>2222</v>
      </c>
      <c r="H217" s="3" t="str">
        <f>VLOOKUP(B217,AE_weight!$AP$149:$AX$180,C217+1)</f>
        <v>0000</v>
      </c>
      <c r="I217" s="3" t="str">
        <f>VLOOKUP(B217,AE_weight!$AP$185:$AX$216,C217+1)</f>
        <v>0000</v>
      </c>
      <c r="J217" s="3" t="str">
        <f>VLOOKUP(B217,AE_weight!$AP$221:$AX$252,C217+1)</f>
        <v>0000</v>
      </c>
      <c r="K217" s="3" t="str">
        <f>VLOOKUP(B217,AE_weight!$AP$257:$AX$288,C217+1)</f>
        <v>0000</v>
      </c>
      <c r="L217" s="3" t="str">
        <f>VLOOKUP(B217,AE_weight!$AP$293:$AX$324,C217+1)</f>
        <v>0000</v>
      </c>
      <c r="M217" s="3" t="str">
        <f>VLOOKUP(B217,AE_weight!$AP$329:$AX$360,C217+1)</f>
        <v>5555</v>
      </c>
    </row>
    <row r="218" spans="1:13">
      <c r="A218" s="1">
        <f t="shared" si="49"/>
        <v>213</v>
      </c>
      <c r="B218" s="1">
        <v>26</v>
      </c>
      <c r="C218" s="1">
        <v>5</v>
      </c>
      <c r="D218" s="3" t="str">
        <f>VLOOKUP(B218,AE_weight!$AP$4:$AX$36,C218+1)</f>
        <v>2222</v>
      </c>
      <c r="E218" s="3" t="str">
        <f>VLOOKUP(B218,AE_weight!$AP$40:$AX$72,C218+1)</f>
        <v>2222</v>
      </c>
      <c r="F218" s="3" t="str">
        <f>VLOOKUP(B218,AE_weight!$AP$76:$AX$108,C218+1)</f>
        <v>2222</v>
      </c>
      <c r="G218" s="3" t="str">
        <f>VLOOKUP(B218,AE_weight!$AP$112:$AX$144,C218+1)</f>
        <v>2222</v>
      </c>
      <c r="H218" s="3" t="str">
        <f>VLOOKUP(B218,AE_weight!$AP$149:$AX$180,C218+1)</f>
        <v>0000</v>
      </c>
      <c r="I218" s="3" t="str">
        <f>VLOOKUP(B218,AE_weight!$AP$185:$AX$216,C218+1)</f>
        <v>0000</v>
      </c>
      <c r="J218" s="3" t="str">
        <f>VLOOKUP(B218,AE_weight!$AP$221:$AX$252,C218+1)</f>
        <v>0000</v>
      </c>
      <c r="K218" s="3" t="str">
        <f>VLOOKUP(B218,AE_weight!$AP$257:$AX$288,C218+1)</f>
        <v>0000</v>
      </c>
      <c r="L218" s="3" t="str">
        <f>VLOOKUP(B218,AE_weight!$AP$293:$AX$324,C218+1)</f>
        <v>0000</v>
      </c>
      <c r="M218" s="3" t="str">
        <f>VLOOKUP(B218,AE_weight!$AP$329:$AX$360,C218+1)</f>
        <v>5555</v>
      </c>
    </row>
    <row r="219" spans="1:13">
      <c r="A219" s="1">
        <f t="shared" si="49"/>
        <v>214</v>
      </c>
      <c r="B219" s="1">
        <f t="shared" ref="B219:B221" si="55">B218</f>
        <v>26</v>
      </c>
      <c r="C219" s="1">
        <v>6</v>
      </c>
      <c r="D219" s="3" t="str">
        <f>VLOOKUP(B219,AE_weight!$AP$4:$AX$36,C219+1)</f>
        <v>2211</v>
      </c>
      <c r="E219" s="3" t="str">
        <f>VLOOKUP(B219,AE_weight!$AP$40:$AX$72,C219+1)</f>
        <v>2222</v>
      </c>
      <c r="F219" s="3" t="str">
        <f>VLOOKUP(B219,AE_weight!$AP$76:$AX$108,C219+1)</f>
        <v>0000</v>
      </c>
      <c r="G219" s="3" t="str">
        <f>VLOOKUP(B219,AE_weight!$AP$112:$AX$144,C219+1)</f>
        <v>2222</v>
      </c>
      <c r="H219" s="3" t="str">
        <f>VLOOKUP(B219,AE_weight!$AP$149:$AX$180,C219+1)</f>
        <v>0000</v>
      </c>
      <c r="I219" s="3" t="str">
        <f>VLOOKUP(B219,AE_weight!$AP$185:$AX$216,C219+1)</f>
        <v>0000</v>
      </c>
      <c r="J219" s="3" t="str">
        <f>VLOOKUP(B219,AE_weight!$AP$221:$AX$252,C219+1)</f>
        <v>0000</v>
      </c>
      <c r="K219" s="3" t="str">
        <f>VLOOKUP(B219,AE_weight!$AP$257:$AX$288,C219+1)</f>
        <v>0000</v>
      </c>
      <c r="L219" s="3" t="str">
        <f>VLOOKUP(B219,AE_weight!$AP$293:$AX$324,C219+1)</f>
        <v>0000</v>
      </c>
      <c r="M219" s="3" t="str">
        <f>VLOOKUP(B219,AE_weight!$AP$329:$AX$360,C219+1)</f>
        <v>4433</v>
      </c>
    </row>
    <row r="220" spans="1:13">
      <c r="A220" s="1">
        <f t="shared" si="49"/>
        <v>215</v>
      </c>
      <c r="B220" s="1">
        <f t="shared" si="55"/>
        <v>26</v>
      </c>
      <c r="C220" s="1">
        <v>7</v>
      </c>
      <c r="D220" s="3" t="str">
        <f>VLOOKUP(B220,AE_weight!$AP$4:$AX$36,C220+1)</f>
        <v>1100</v>
      </c>
      <c r="E220" s="3" t="str">
        <f>VLOOKUP(B220,AE_weight!$AP$40:$AX$72,C220+1)</f>
        <v>2222</v>
      </c>
      <c r="F220" s="3" t="str">
        <f>VLOOKUP(B220,AE_weight!$AP$76:$AX$108,C220+1)</f>
        <v>0000</v>
      </c>
      <c r="G220" s="3" t="str">
        <f>VLOOKUP(B220,AE_weight!$AP$112:$AX$144,C220+1)</f>
        <v>2222</v>
      </c>
      <c r="H220" s="3" t="str">
        <f>VLOOKUP(B220,AE_weight!$AP$149:$AX$180,C220+1)</f>
        <v>0000</v>
      </c>
      <c r="I220" s="3" t="str">
        <f>VLOOKUP(B220,AE_weight!$AP$185:$AX$216,C220+1)</f>
        <v>0000</v>
      </c>
      <c r="J220" s="3" t="str">
        <f>VLOOKUP(B220,AE_weight!$AP$221:$AX$252,C220+1)</f>
        <v>0000</v>
      </c>
      <c r="K220" s="3" t="str">
        <f>VLOOKUP(B220,AE_weight!$AP$257:$AX$288,C220+1)</f>
        <v>0000</v>
      </c>
      <c r="L220" s="3" t="str">
        <f>VLOOKUP(B220,AE_weight!$AP$293:$AX$324,C220+1)</f>
        <v>0000</v>
      </c>
      <c r="M220" s="3" t="str">
        <f>VLOOKUP(B220,AE_weight!$AP$329:$AX$360,C220+1)</f>
        <v>2211</v>
      </c>
    </row>
    <row r="221" spans="1:13">
      <c r="A221" s="1">
        <f t="shared" si="49"/>
        <v>216</v>
      </c>
      <c r="B221" s="1">
        <f t="shared" si="55"/>
        <v>26</v>
      </c>
      <c r="C221" s="1">
        <v>8</v>
      </c>
      <c r="D221" s="3" t="str">
        <f>VLOOKUP(B221,AE_weight!$AP$4:$AX$36,C221+1)</f>
        <v>0000</v>
      </c>
      <c r="E221" s="3" t="str">
        <f>VLOOKUP(B221,AE_weight!$AP$40:$AX$72,C221+1)</f>
        <v>2222</v>
      </c>
      <c r="F221" s="3" t="str">
        <f>VLOOKUP(B221,AE_weight!$AP$76:$AX$108,C221+1)</f>
        <v>0000</v>
      </c>
      <c r="G221" s="3" t="str">
        <f>VLOOKUP(B221,AE_weight!$AP$112:$AX$144,C221+1)</f>
        <v>2222</v>
      </c>
      <c r="H221" s="3" t="str">
        <f>VLOOKUP(B221,AE_weight!$AP$149:$AX$180,C221+1)</f>
        <v>0000</v>
      </c>
      <c r="I221" s="3" t="str">
        <f>VLOOKUP(B221,AE_weight!$AP$185:$AX$216,C221+1)</f>
        <v>0000</v>
      </c>
      <c r="J221" s="3" t="str">
        <f>VLOOKUP(B221,AE_weight!$AP$221:$AX$252,C221+1)</f>
        <v>0000</v>
      </c>
      <c r="K221" s="3" t="str">
        <f>VLOOKUP(B221,AE_weight!$AP$257:$AX$288,C221+1)</f>
        <v>0000</v>
      </c>
      <c r="L221" s="3" t="str">
        <f>VLOOKUP(B221,AE_weight!$AP$293:$AX$324,C221+1)</f>
        <v>0000</v>
      </c>
      <c r="M221" s="3" t="str">
        <f>VLOOKUP(B221,AE_weight!$AP$329:$AX$360,C221+1)</f>
        <v>1100</v>
      </c>
    </row>
    <row r="222" spans="1:13">
      <c r="A222" s="1">
        <f t="shared" si="49"/>
        <v>217</v>
      </c>
      <c r="B222" s="1">
        <v>27</v>
      </c>
      <c r="C222" s="1">
        <v>1</v>
      </c>
      <c r="D222" s="3" t="str">
        <f>VLOOKUP(B222,AE_weight!$AP$4:$AX$36,C222+1)</f>
        <v>0000</v>
      </c>
      <c r="E222" s="3" t="str">
        <f>VLOOKUP(B222,AE_weight!$AP$40:$AX$72,C222+1)</f>
        <v>2222</v>
      </c>
      <c r="F222" s="3" t="str">
        <f>VLOOKUP(B222,AE_weight!$AP$76:$AX$108,C222+1)</f>
        <v>0000</v>
      </c>
      <c r="G222" s="3" t="str">
        <f>VLOOKUP(B222,AE_weight!$AP$112:$AX$144,C222+1)</f>
        <v>2222</v>
      </c>
      <c r="H222" s="3" t="str">
        <f>VLOOKUP(B222,AE_weight!$AP$149:$AX$180,C222+1)</f>
        <v>0000</v>
      </c>
      <c r="I222" s="3" t="str">
        <f>VLOOKUP(B222,AE_weight!$AP$185:$AX$216,C222+1)</f>
        <v>0000</v>
      </c>
      <c r="J222" s="3" t="str">
        <f>VLOOKUP(B222,AE_weight!$AP$221:$AX$252,C222+1)</f>
        <v>0000</v>
      </c>
      <c r="K222" s="3" t="str">
        <f>VLOOKUP(B222,AE_weight!$AP$257:$AX$288,C222+1)</f>
        <v>0000</v>
      </c>
      <c r="L222" s="3" t="str">
        <f>VLOOKUP(B222,AE_weight!$AP$293:$AX$324,C222+1)</f>
        <v>0000</v>
      </c>
      <c r="M222" s="3" t="str">
        <f>VLOOKUP(B222,AE_weight!$AP$329:$AX$360,C222+1)</f>
        <v>0011</v>
      </c>
    </row>
    <row r="223" spans="1:13">
      <c r="A223" s="1">
        <f t="shared" si="49"/>
        <v>218</v>
      </c>
      <c r="B223" s="1">
        <f t="shared" ref="B223:B225" si="56">B222</f>
        <v>27</v>
      </c>
      <c r="C223" s="1">
        <v>2</v>
      </c>
      <c r="D223" s="3" t="str">
        <f>VLOOKUP(B223,AE_weight!$AP$4:$AX$36,C223+1)</f>
        <v>0011</v>
      </c>
      <c r="E223" s="3" t="str">
        <f>VLOOKUP(B223,AE_weight!$AP$40:$AX$72,C223+1)</f>
        <v>2222</v>
      </c>
      <c r="F223" s="3" t="str">
        <f>VLOOKUP(B223,AE_weight!$AP$76:$AX$108,C223+1)</f>
        <v>0000</v>
      </c>
      <c r="G223" s="3" t="str">
        <f>VLOOKUP(B223,AE_weight!$AP$112:$AX$144,C223+1)</f>
        <v>2222</v>
      </c>
      <c r="H223" s="3" t="str">
        <f>VLOOKUP(B223,AE_weight!$AP$149:$AX$180,C223+1)</f>
        <v>0000</v>
      </c>
      <c r="I223" s="3" t="str">
        <f>VLOOKUP(B223,AE_weight!$AP$185:$AX$216,C223+1)</f>
        <v>0000</v>
      </c>
      <c r="J223" s="3" t="str">
        <f>VLOOKUP(B223,AE_weight!$AP$221:$AX$252,C223+1)</f>
        <v>0000</v>
      </c>
      <c r="K223" s="3" t="str">
        <f>VLOOKUP(B223,AE_weight!$AP$257:$AX$288,C223+1)</f>
        <v>0000</v>
      </c>
      <c r="L223" s="3" t="str">
        <f>VLOOKUP(B223,AE_weight!$AP$293:$AX$324,C223+1)</f>
        <v>0000</v>
      </c>
      <c r="M223" s="3" t="str">
        <f>VLOOKUP(B223,AE_weight!$AP$329:$AX$360,C223+1)</f>
        <v>1122</v>
      </c>
    </row>
    <row r="224" spans="1:13">
      <c r="A224" s="1">
        <f t="shared" si="49"/>
        <v>219</v>
      </c>
      <c r="B224" s="1">
        <f t="shared" si="56"/>
        <v>27</v>
      </c>
      <c r="C224" s="1">
        <v>3</v>
      </c>
      <c r="D224" s="3" t="str">
        <f>VLOOKUP(B224,AE_weight!$AP$4:$AX$36,C224+1)</f>
        <v>1111</v>
      </c>
      <c r="E224" s="3" t="str">
        <f>VLOOKUP(B224,AE_weight!$AP$40:$AX$72,C224+1)</f>
        <v>2222</v>
      </c>
      <c r="F224" s="3" t="str">
        <f>VLOOKUP(B224,AE_weight!$AP$76:$AX$108,C224+1)</f>
        <v>0000</v>
      </c>
      <c r="G224" s="3" t="str">
        <f>VLOOKUP(B224,AE_weight!$AP$112:$AX$144,C224+1)</f>
        <v>2222</v>
      </c>
      <c r="H224" s="3" t="str">
        <f>VLOOKUP(B224,AE_weight!$AP$149:$AX$180,C224+1)</f>
        <v>0000</v>
      </c>
      <c r="I224" s="3" t="str">
        <f>VLOOKUP(B224,AE_weight!$AP$185:$AX$216,C224+1)</f>
        <v>0000</v>
      </c>
      <c r="J224" s="3" t="str">
        <f>VLOOKUP(B224,AE_weight!$AP$221:$AX$252,C224+1)</f>
        <v>0000</v>
      </c>
      <c r="K224" s="3" t="str">
        <f>VLOOKUP(B224,AE_weight!$AP$257:$AX$288,C224+1)</f>
        <v>1100</v>
      </c>
      <c r="L224" s="3" t="str">
        <f>VLOOKUP(B224,AE_weight!$AP$293:$AX$324,C224+1)</f>
        <v>0000</v>
      </c>
      <c r="M224" s="3" t="str">
        <f>VLOOKUP(B224,AE_weight!$AP$329:$AX$360,C224+1)</f>
        <v>3344</v>
      </c>
    </row>
    <row r="225" spans="1:13">
      <c r="A225" s="1">
        <f t="shared" si="49"/>
        <v>220</v>
      </c>
      <c r="B225" s="1">
        <f t="shared" si="56"/>
        <v>27</v>
      </c>
      <c r="C225" s="1">
        <v>4</v>
      </c>
      <c r="D225" s="3" t="str">
        <f>VLOOKUP(B225,AE_weight!$AP$4:$AX$36,C225+1)</f>
        <v>2222</v>
      </c>
      <c r="E225" s="3" t="str">
        <f>VLOOKUP(B225,AE_weight!$AP$40:$AX$72,C225+1)</f>
        <v>2222</v>
      </c>
      <c r="F225" s="3" t="str">
        <f>VLOOKUP(B225,AE_weight!$AP$76:$AX$108,C225+1)</f>
        <v>2222</v>
      </c>
      <c r="G225" s="3" t="str">
        <f>VLOOKUP(B225,AE_weight!$AP$112:$AX$144,C225+1)</f>
        <v>2222</v>
      </c>
      <c r="H225" s="3" t="str">
        <f>VLOOKUP(B225,AE_weight!$AP$149:$AX$180,C225+1)</f>
        <v>0000</v>
      </c>
      <c r="I225" s="3" t="str">
        <f>VLOOKUP(B225,AE_weight!$AP$185:$AX$216,C225+1)</f>
        <v>0000</v>
      </c>
      <c r="J225" s="3" t="str">
        <f>VLOOKUP(B225,AE_weight!$AP$221:$AX$252,C225+1)</f>
        <v>0000</v>
      </c>
      <c r="K225" s="3" t="str">
        <f>VLOOKUP(B225,AE_weight!$AP$257:$AX$288,C225+1)</f>
        <v>1100</v>
      </c>
      <c r="L225" s="3" t="str">
        <f>VLOOKUP(B225,AE_weight!$AP$293:$AX$324,C225+1)</f>
        <v>1100</v>
      </c>
      <c r="M225" s="3" t="str">
        <f>VLOOKUP(B225,AE_weight!$AP$329:$AX$360,C225+1)</f>
        <v>4455</v>
      </c>
    </row>
    <row r="226" spans="1:13">
      <c r="A226" s="1">
        <f t="shared" si="49"/>
        <v>221</v>
      </c>
      <c r="B226" s="1">
        <v>27</v>
      </c>
      <c r="C226" s="1">
        <v>5</v>
      </c>
      <c r="D226" s="3" t="str">
        <f>VLOOKUP(B226,AE_weight!$AP$4:$AX$36,C226+1)</f>
        <v>2222</v>
      </c>
      <c r="E226" s="3" t="str">
        <f>VLOOKUP(B226,AE_weight!$AP$40:$AX$72,C226+1)</f>
        <v>2222</v>
      </c>
      <c r="F226" s="3" t="str">
        <f>VLOOKUP(B226,AE_weight!$AP$76:$AX$108,C226+1)</f>
        <v>2222</v>
      </c>
      <c r="G226" s="3" t="str">
        <f>VLOOKUP(B226,AE_weight!$AP$112:$AX$144,C226+1)</f>
        <v>2222</v>
      </c>
      <c r="H226" s="3" t="str">
        <f>VLOOKUP(B226,AE_weight!$AP$149:$AX$180,C226+1)</f>
        <v>0000</v>
      </c>
      <c r="I226" s="3" t="str">
        <f>VLOOKUP(B226,AE_weight!$AP$185:$AX$216,C226+1)</f>
        <v>0000</v>
      </c>
      <c r="J226" s="3" t="str">
        <f>VLOOKUP(B226,AE_weight!$AP$221:$AX$252,C226+1)</f>
        <v>0000</v>
      </c>
      <c r="K226" s="3" t="str">
        <f>VLOOKUP(B226,AE_weight!$AP$257:$AX$288,C226+1)</f>
        <v>0011</v>
      </c>
      <c r="L226" s="3" t="str">
        <f>VLOOKUP(B226,AE_weight!$AP$293:$AX$324,C226+1)</f>
        <v>0011</v>
      </c>
      <c r="M226" s="3" t="str">
        <f>VLOOKUP(B226,AE_weight!$AP$329:$AX$360,C226+1)</f>
        <v>5544</v>
      </c>
    </row>
    <row r="227" spans="1:13">
      <c r="A227" s="1">
        <f t="shared" si="49"/>
        <v>222</v>
      </c>
      <c r="B227" s="1">
        <f t="shared" ref="B227:B229" si="57">B226</f>
        <v>27</v>
      </c>
      <c r="C227" s="1">
        <v>6</v>
      </c>
      <c r="D227" s="3" t="str">
        <f>VLOOKUP(B227,AE_weight!$AP$4:$AX$36,C227+1)</f>
        <v>1111</v>
      </c>
      <c r="E227" s="3" t="str">
        <f>VLOOKUP(B227,AE_weight!$AP$40:$AX$72,C227+1)</f>
        <v>2222</v>
      </c>
      <c r="F227" s="3" t="str">
        <f>VLOOKUP(B227,AE_weight!$AP$76:$AX$108,C227+1)</f>
        <v>0000</v>
      </c>
      <c r="G227" s="3" t="str">
        <f>VLOOKUP(B227,AE_weight!$AP$112:$AX$144,C227+1)</f>
        <v>2222</v>
      </c>
      <c r="H227" s="3" t="str">
        <f>VLOOKUP(B227,AE_weight!$AP$149:$AX$180,C227+1)</f>
        <v>0000</v>
      </c>
      <c r="I227" s="3" t="str">
        <f>VLOOKUP(B227,AE_weight!$AP$185:$AX$216,C227+1)</f>
        <v>0000</v>
      </c>
      <c r="J227" s="3" t="str">
        <f>VLOOKUP(B227,AE_weight!$AP$221:$AX$252,C227+1)</f>
        <v>0000</v>
      </c>
      <c r="K227" s="3" t="str">
        <f>VLOOKUP(B227,AE_weight!$AP$257:$AX$288,C227+1)</f>
        <v>0011</v>
      </c>
      <c r="L227" s="3" t="str">
        <f>VLOOKUP(B227,AE_weight!$AP$293:$AX$324,C227+1)</f>
        <v>0000</v>
      </c>
      <c r="M227" s="3" t="str">
        <f>VLOOKUP(B227,AE_weight!$AP$329:$AX$360,C227+1)</f>
        <v>4433</v>
      </c>
    </row>
    <row r="228" spans="1:13">
      <c r="A228" s="1">
        <f t="shared" si="49"/>
        <v>223</v>
      </c>
      <c r="B228" s="1">
        <f t="shared" si="57"/>
        <v>27</v>
      </c>
      <c r="C228" s="1">
        <v>7</v>
      </c>
      <c r="D228" s="3" t="str">
        <f>VLOOKUP(B228,AE_weight!$AP$4:$AX$36,C228+1)</f>
        <v>0000</v>
      </c>
      <c r="E228" s="3" t="str">
        <f>VLOOKUP(B228,AE_weight!$AP$40:$AX$72,C228+1)</f>
        <v>2222</v>
      </c>
      <c r="F228" s="3" t="str">
        <f>VLOOKUP(B228,AE_weight!$AP$76:$AX$108,C228+1)</f>
        <v>0000</v>
      </c>
      <c r="G228" s="3" t="str">
        <f>VLOOKUP(B228,AE_weight!$AP$112:$AX$144,C228+1)</f>
        <v>2222</v>
      </c>
      <c r="H228" s="3" t="str">
        <f>VLOOKUP(B228,AE_weight!$AP$149:$AX$180,C228+1)</f>
        <v>0000</v>
      </c>
      <c r="I228" s="3" t="str">
        <f>VLOOKUP(B228,AE_weight!$AP$185:$AX$216,C228+1)</f>
        <v>0000</v>
      </c>
      <c r="J228" s="3" t="str">
        <f>VLOOKUP(B228,AE_weight!$AP$221:$AX$252,C228+1)</f>
        <v>0000</v>
      </c>
      <c r="K228" s="3" t="str">
        <f>VLOOKUP(B228,AE_weight!$AP$257:$AX$288,C228+1)</f>
        <v>0000</v>
      </c>
      <c r="L228" s="3" t="str">
        <f>VLOOKUP(B228,AE_weight!$AP$293:$AX$324,C228+1)</f>
        <v>0000</v>
      </c>
      <c r="M228" s="3" t="str">
        <f>VLOOKUP(B228,AE_weight!$AP$329:$AX$360,C228+1)</f>
        <v>2211</v>
      </c>
    </row>
    <row r="229" spans="1:13">
      <c r="A229" s="1">
        <f t="shared" si="49"/>
        <v>224</v>
      </c>
      <c r="B229" s="1">
        <f t="shared" si="57"/>
        <v>27</v>
      </c>
      <c r="C229" s="1">
        <v>8</v>
      </c>
      <c r="D229" s="3" t="str">
        <f>VLOOKUP(B229,AE_weight!$AP$4:$AX$36,C229+1)</f>
        <v>0000</v>
      </c>
      <c r="E229" s="3" t="str">
        <f>VLOOKUP(B229,AE_weight!$AP$40:$AX$72,C229+1)</f>
        <v>2222</v>
      </c>
      <c r="F229" s="3" t="str">
        <f>VLOOKUP(B229,AE_weight!$AP$76:$AX$108,C229+1)</f>
        <v>0000</v>
      </c>
      <c r="G229" s="3" t="str">
        <f>VLOOKUP(B229,AE_weight!$AP$112:$AX$144,C229+1)</f>
        <v>2222</v>
      </c>
      <c r="H229" s="3" t="str">
        <f>VLOOKUP(B229,AE_weight!$AP$149:$AX$180,C229+1)</f>
        <v>0000</v>
      </c>
      <c r="I229" s="3" t="str">
        <f>VLOOKUP(B229,AE_weight!$AP$185:$AX$216,C229+1)</f>
        <v>0000</v>
      </c>
      <c r="J229" s="3" t="str">
        <f>VLOOKUP(B229,AE_weight!$AP$221:$AX$252,C229+1)</f>
        <v>0000</v>
      </c>
      <c r="K229" s="3" t="str">
        <f>VLOOKUP(B229,AE_weight!$AP$257:$AX$288,C229+1)</f>
        <v>0000</v>
      </c>
      <c r="L229" s="3" t="str">
        <f>VLOOKUP(B229,AE_weight!$AP$293:$AX$324,C229+1)</f>
        <v>0000</v>
      </c>
      <c r="M229" s="3" t="str">
        <f>VLOOKUP(B229,AE_weight!$AP$329:$AX$360,C229+1)</f>
        <v>1100</v>
      </c>
    </row>
    <row r="230" spans="1:13">
      <c r="A230" s="1">
        <f t="shared" si="49"/>
        <v>225</v>
      </c>
      <c r="B230" s="1">
        <v>28</v>
      </c>
      <c r="C230" s="1">
        <v>1</v>
      </c>
      <c r="D230" s="3" t="str">
        <f>VLOOKUP(B230,AE_weight!$AP$4:$AX$36,C230+1)</f>
        <v>0000</v>
      </c>
      <c r="E230" s="3" t="str">
        <f>VLOOKUP(B230,AE_weight!$AP$40:$AX$72,C230+1)</f>
        <v>2222</v>
      </c>
      <c r="F230" s="3" t="str">
        <f>VLOOKUP(B230,AE_weight!$AP$76:$AX$108,C230+1)</f>
        <v>0000</v>
      </c>
      <c r="G230" s="3" t="str">
        <f>VLOOKUP(B230,AE_weight!$AP$112:$AX$144,C230+1)</f>
        <v>2222</v>
      </c>
      <c r="H230" s="3" t="str">
        <f>VLOOKUP(B230,AE_weight!$AP$149:$AX$180,C230+1)</f>
        <v>0000</v>
      </c>
      <c r="I230" s="3" t="str">
        <f>VLOOKUP(B230,AE_weight!$AP$185:$AX$216,C230+1)</f>
        <v>0000</v>
      </c>
      <c r="J230" s="3" t="str">
        <f>VLOOKUP(B230,AE_weight!$AP$221:$AX$252,C230+1)</f>
        <v>0000</v>
      </c>
      <c r="K230" s="3" t="str">
        <f>VLOOKUP(B230,AE_weight!$AP$257:$AX$288,C230+1)</f>
        <v>0000</v>
      </c>
      <c r="L230" s="3" t="str">
        <f>VLOOKUP(B230,AE_weight!$AP$293:$AX$324,C230+1)</f>
        <v>0000</v>
      </c>
      <c r="M230" s="3" t="str">
        <f>VLOOKUP(B230,AE_weight!$AP$329:$AX$360,C230+1)</f>
        <v>0011</v>
      </c>
    </row>
    <row r="231" spans="1:13">
      <c r="A231" s="1">
        <f t="shared" si="49"/>
        <v>226</v>
      </c>
      <c r="B231" s="1">
        <f t="shared" ref="B231:B233" si="58">B230</f>
        <v>28</v>
      </c>
      <c r="C231" s="1">
        <v>2</v>
      </c>
      <c r="D231" s="3" t="str">
        <f>VLOOKUP(B231,AE_weight!$AP$4:$AX$36,C231+1)</f>
        <v>0000</v>
      </c>
      <c r="E231" s="3" t="str">
        <f>VLOOKUP(B231,AE_weight!$AP$40:$AX$72,C231+1)</f>
        <v>2222</v>
      </c>
      <c r="F231" s="3" t="str">
        <f>VLOOKUP(B231,AE_weight!$AP$76:$AX$108,C231+1)</f>
        <v>0000</v>
      </c>
      <c r="G231" s="3" t="str">
        <f>VLOOKUP(B231,AE_weight!$AP$112:$AX$144,C231+1)</f>
        <v>2222</v>
      </c>
      <c r="H231" s="3" t="str">
        <f>VLOOKUP(B231,AE_weight!$AP$149:$AX$180,C231+1)</f>
        <v>0000</v>
      </c>
      <c r="I231" s="3" t="str">
        <f>VLOOKUP(B231,AE_weight!$AP$185:$AX$216,C231+1)</f>
        <v>0000</v>
      </c>
      <c r="J231" s="3" t="str">
        <f>VLOOKUP(B231,AE_weight!$AP$221:$AX$252,C231+1)</f>
        <v>0000</v>
      </c>
      <c r="K231" s="3" t="str">
        <f>VLOOKUP(B231,AE_weight!$AP$257:$AX$288,C231+1)</f>
        <v>0000</v>
      </c>
      <c r="L231" s="3" t="str">
        <f>VLOOKUP(B231,AE_weight!$AP$293:$AX$324,C231+1)</f>
        <v>0000</v>
      </c>
      <c r="M231" s="3" t="str">
        <f>VLOOKUP(B231,AE_weight!$AP$329:$AX$360,C231+1)</f>
        <v>1122</v>
      </c>
    </row>
    <row r="232" spans="1:13">
      <c r="A232" s="1">
        <f t="shared" si="49"/>
        <v>227</v>
      </c>
      <c r="B232" s="1">
        <f t="shared" si="58"/>
        <v>28</v>
      </c>
      <c r="C232" s="1">
        <v>3</v>
      </c>
      <c r="D232" s="3" t="str">
        <f>VLOOKUP(B232,AE_weight!$AP$4:$AX$36,C232+1)</f>
        <v>1111</v>
      </c>
      <c r="E232" s="3" t="str">
        <f>VLOOKUP(B232,AE_weight!$AP$40:$AX$72,C232+1)</f>
        <v>2222</v>
      </c>
      <c r="F232" s="3" t="str">
        <f>VLOOKUP(B232,AE_weight!$AP$76:$AX$108,C232+1)</f>
        <v>0000</v>
      </c>
      <c r="G232" s="3" t="str">
        <f>VLOOKUP(B232,AE_weight!$AP$112:$AX$144,C232+1)</f>
        <v>2222</v>
      </c>
      <c r="H232" s="3" t="str">
        <f>VLOOKUP(B232,AE_weight!$AP$149:$AX$180,C232+1)</f>
        <v>0000</v>
      </c>
      <c r="I232" s="3" t="str">
        <f>VLOOKUP(B232,AE_weight!$AP$185:$AX$216,C232+1)</f>
        <v>0000</v>
      </c>
      <c r="J232" s="3" t="str">
        <f>VLOOKUP(B232,AE_weight!$AP$221:$AX$252,C232+1)</f>
        <v>0000</v>
      </c>
      <c r="K232" s="3" t="str">
        <f>VLOOKUP(B232,AE_weight!$AP$257:$AX$288,C232+1)</f>
        <v>0000</v>
      </c>
      <c r="L232" s="3" t="str">
        <f>VLOOKUP(B232,AE_weight!$AP$293:$AX$324,C232+1)</f>
        <v>0000</v>
      </c>
      <c r="M232" s="3" t="str">
        <f>VLOOKUP(B232,AE_weight!$AP$329:$AX$360,C232+1)</f>
        <v>3344</v>
      </c>
    </row>
    <row r="233" spans="1:13">
      <c r="A233" s="1">
        <f t="shared" si="49"/>
        <v>228</v>
      </c>
      <c r="B233" s="1">
        <f t="shared" si="58"/>
        <v>28</v>
      </c>
      <c r="C233" s="1">
        <v>4</v>
      </c>
      <c r="D233" s="3" t="str">
        <f>VLOOKUP(B233,AE_weight!$AP$4:$AX$36,C233+1)</f>
        <v>1111</v>
      </c>
      <c r="E233" s="3" t="str">
        <f>VLOOKUP(B233,AE_weight!$AP$40:$AX$72,C233+1)</f>
        <v>2222</v>
      </c>
      <c r="F233" s="3" t="str">
        <f>VLOOKUP(B233,AE_weight!$AP$76:$AX$108,C233+1)</f>
        <v>0000</v>
      </c>
      <c r="G233" s="3" t="str">
        <f>VLOOKUP(B233,AE_weight!$AP$112:$AX$144,C233+1)</f>
        <v>2222</v>
      </c>
      <c r="H233" s="3" t="str">
        <f>VLOOKUP(B233,AE_weight!$AP$149:$AX$180,C233+1)</f>
        <v>0000</v>
      </c>
      <c r="I233" s="3" t="str">
        <f>VLOOKUP(B233,AE_weight!$AP$185:$AX$216,C233+1)</f>
        <v>0000</v>
      </c>
      <c r="J233" s="3" t="str">
        <f>VLOOKUP(B233,AE_weight!$AP$221:$AX$252,C233+1)</f>
        <v>0000</v>
      </c>
      <c r="K233" s="3" t="str">
        <f>VLOOKUP(B233,AE_weight!$AP$257:$AX$288,C233+1)</f>
        <v>0000</v>
      </c>
      <c r="L233" s="3" t="str">
        <f>VLOOKUP(B233,AE_weight!$AP$293:$AX$324,C233+1)</f>
        <v>0000</v>
      </c>
      <c r="M233" s="3" t="str">
        <f>VLOOKUP(B233,AE_weight!$AP$329:$AX$360,C233+1)</f>
        <v>4444</v>
      </c>
    </row>
    <row r="234" spans="1:13">
      <c r="A234" s="1">
        <f t="shared" si="49"/>
        <v>229</v>
      </c>
      <c r="B234" s="1">
        <v>28</v>
      </c>
      <c r="C234" s="1">
        <v>5</v>
      </c>
      <c r="D234" s="3" t="str">
        <f>VLOOKUP(B234,AE_weight!$AP$4:$AX$36,C234+1)</f>
        <v>1111</v>
      </c>
      <c r="E234" s="3" t="str">
        <f>VLOOKUP(B234,AE_weight!$AP$40:$AX$72,C234+1)</f>
        <v>2222</v>
      </c>
      <c r="F234" s="3" t="str">
        <f>VLOOKUP(B234,AE_weight!$AP$76:$AX$108,C234+1)</f>
        <v>0000</v>
      </c>
      <c r="G234" s="3" t="str">
        <f>VLOOKUP(B234,AE_weight!$AP$112:$AX$144,C234+1)</f>
        <v>2222</v>
      </c>
      <c r="H234" s="3" t="str">
        <f>VLOOKUP(B234,AE_weight!$AP$149:$AX$180,C234+1)</f>
        <v>0000</v>
      </c>
      <c r="I234" s="3" t="str">
        <f>VLOOKUP(B234,AE_weight!$AP$185:$AX$216,C234+1)</f>
        <v>0000</v>
      </c>
      <c r="J234" s="3" t="str">
        <f>VLOOKUP(B234,AE_weight!$AP$221:$AX$252,C234+1)</f>
        <v>0000</v>
      </c>
      <c r="K234" s="3" t="str">
        <f>VLOOKUP(B234,AE_weight!$AP$257:$AX$288,C234+1)</f>
        <v>0000</v>
      </c>
      <c r="L234" s="3" t="str">
        <f>VLOOKUP(B234,AE_weight!$AP$293:$AX$324,C234+1)</f>
        <v>0000</v>
      </c>
      <c r="M234" s="3" t="str">
        <f>VLOOKUP(B234,AE_weight!$AP$329:$AX$360,C234+1)</f>
        <v>4444</v>
      </c>
    </row>
    <row r="235" spans="1:13">
      <c r="A235" s="1">
        <f t="shared" si="49"/>
        <v>230</v>
      </c>
      <c r="B235" s="1">
        <f t="shared" ref="B235:B237" si="59">B234</f>
        <v>28</v>
      </c>
      <c r="C235" s="1">
        <v>6</v>
      </c>
      <c r="D235" s="3" t="str">
        <f>VLOOKUP(B235,AE_weight!$AP$4:$AX$36,C235+1)</f>
        <v>1111</v>
      </c>
      <c r="E235" s="3" t="str">
        <f>VLOOKUP(B235,AE_weight!$AP$40:$AX$72,C235+1)</f>
        <v>2222</v>
      </c>
      <c r="F235" s="3" t="str">
        <f>VLOOKUP(B235,AE_weight!$AP$76:$AX$108,C235+1)</f>
        <v>0000</v>
      </c>
      <c r="G235" s="3" t="str">
        <f>VLOOKUP(B235,AE_weight!$AP$112:$AX$144,C235+1)</f>
        <v>2222</v>
      </c>
      <c r="H235" s="3" t="str">
        <f>VLOOKUP(B235,AE_weight!$AP$149:$AX$180,C235+1)</f>
        <v>0000</v>
      </c>
      <c r="I235" s="3" t="str">
        <f>VLOOKUP(B235,AE_weight!$AP$185:$AX$216,C235+1)</f>
        <v>0000</v>
      </c>
      <c r="J235" s="3" t="str">
        <f>VLOOKUP(B235,AE_weight!$AP$221:$AX$252,C235+1)</f>
        <v>0000</v>
      </c>
      <c r="K235" s="3" t="str">
        <f>VLOOKUP(B235,AE_weight!$AP$257:$AX$288,C235+1)</f>
        <v>0000</v>
      </c>
      <c r="L235" s="3" t="str">
        <f>VLOOKUP(B235,AE_weight!$AP$293:$AX$324,C235+1)</f>
        <v>0000</v>
      </c>
      <c r="M235" s="3" t="str">
        <f>VLOOKUP(B235,AE_weight!$AP$329:$AX$360,C235+1)</f>
        <v>4433</v>
      </c>
    </row>
    <row r="236" spans="1:13">
      <c r="A236" s="1">
        <f t="shared" si="49"/>
        <v>231</v>
      </c>
      <c r="B236" s="1">
        <f t="shared" si="59"/>
        <v>28</v>
      </c>
      <c r="C236" s="1">
        <v>7</v>
      </c>
      <c r="D236" s="3" t="str">
        <f>VLOOKUP(B236,AE_weight!$AP$4:$AX$36,C236+1)</f>
        <v>0000</v>
      </c>
      <c r="E236" s="3" t="str">
        <f>VLOOKUP(B236,AE_weight!$AP$40:$AX$72,C236+1)</f>
        <v>2222</v>
      </c>
      <c r="F236" s="3" t="str">
        <f>VLOOKUP(B236,AE_weight!$AP$76:$AX$108,C236+1)</f>
        <v>0000</v>
      </c>
      <c r="G236" s="3" t="str">
        <f>VLOOKUP(B236,AE_weight!$AP$112:$AX$144,C236+1)</f>
        <v>2222</v>
      </c>
      <c r="H236" s="3" t="str">
        <f>VLOOKUP(B236,AE_weight!$AP$149:$AX$180,C236+1)</f>
        <v>0000</v>
      </c>
      <c r="I236" s="3" t="str">
        <f>VLOOKUP(B236,AE_weight!$AP$185:$AX$216,C236+1)</f>
        <v>0000</v>
      </c>
      <c r="J236" s="3" t="str">
        <f>VLOOKUP(B236,AE_weight!$AP$221:$AX$252,C236+1)</f>
        <v>0000</v>
      </c>
      <c r="K236" s="3" t="str">
        <f>VLOOKUP(B236,AE_weight!$AP$257:$AX$288,C236+1)</f>
        <v>0000</v>
      </c>
      <c r="L236" s="3" t="str">
        <f>VLOOKUP(B236,AE_weight!$AP$293:$AX$324,C236+1)</f>
        <v>0000</v>
      </c>
      <c r="M236" s="3" t="str">
        <f>VLOOKUP(B236,AE_weight!$AP$329:$AX$360,C236+1)</f>
        <v>2211</v>
      </c>
    </row>
    <row r="237" spans="1:13">
      <c r="A237" s="1">
        <f t="shared" si="49"/>
        <v>232</v>
      </c>
      <c r="B237" s="1">
        <f t="shared" si="59"/>
        <v>28</v>
      </c>
      <c r="C237" s="1">
        <v>8</v>
      </c>
      <c r="D237" s="3" t="str">
        <f>VLOOKUP(B237,AE_weight!$AP$4:$AX$36,C237+1)</f>
        <v>0000</v>
      </c>
      <c r="E237" s="3" t="str">
        <f>VLOOKUP(B237,AE_weight!$AP$40:$AX$72,C237+1)</f>
        <v>2222</v>
      </c>
      <c r="F237" s="3" t="str">
        <f>VLOOKUP(B237,AE_weight!$AP$76:$AX$108,C237+1)</f>
        <v>0000</v>
      </c>
      <c r="G237" s="3" t="str">
        <f>VLOOKUP(B237,AE_weight!$AP$112:$AX$144,C237+1)</f>
        <v>2222</v>
      </c>
      <c r="H237" s="3" t="str">
        <f>VLOOKUP(B237,AE_weight!$AP$149:$AX$180,C237+1)</f>
        <v>0000</v>
      </c>
      <c r="I237" s="3" t="str">
        <f>VLOOKUP(B237,AE_weight!$AP$185:$AX$216,C237+1)</f>
        <v>0000</v>
      </c>
      <c r="J237" s="3" t="str">
        <f>VLOOKUP(B237,AE_weight!$AP$221:$AX$252,C237+1)</f>
        <v>0000</v>
      </c>
      <c r="K237" s="3" t="str">
        <f>VLOOKUP(B237,AE_weight!$AP$257:$AX$288,C237+1)</f>
        <v>0000</v>
      </c>
      <c r="L237" s="3" t="str">
        <f>VLOOKUP(B237,AE_weight!$AP$293:$AX$324,C237+1)</f>
        <v>0000</v>
      </c>
      <c r="M237" s="3" t="str">
        <f>VLOOKUP(B237,AE_weight!$AP$329:$AX$360,C237+1)</f>
        <v>1100</v>
      </c>
    </row>
    <row r="238" spans="1:13">
      <c r="A238" s="1">
        <f t="shared" si="49"/>
        <v>233</v>
      </c>
      <c r="B238" s="1">
        <v>29</v>
      </c>
      <c r="C238" s="1">
        <v>1</v>
      </c>
      <c r="D238" s="3" t="str">
        <f>VLOOKUP(B238,AE_weight!$AP$4:$AX$36,C238+1)</f>
        <v>0000</v>
      </c>
      <c r="E238" s="3" t="str">
        <f>VLOOKUP(B238,AE_weight!$AP$40:$AX$72,C238+1)</f>
        <v>2222</v>
      </c>
      <c r="F238" s="3" t="str">
        <f>VLOOKUP(B238,AE_weight!$AP$76:$AX$108,C238+1)</f>
        <v>0000</v>
      </c>
      <c r="G238" s="3" t="str">
        <f>VLOOKUP(B238,AE_weight!$AP$112:$AX$144,C238+1)</f>
        <v>2222</v>
      </c>
      <c r="H238" s="3" t="str">
        <f>VLOOKUP(B238,AE_weight!$AP$149:$AX$180,C238+1)</f>
        <v>0000</v>
      </c>
      <c r="I238" s="3" t="str">
        <f>VLOOKUP(B238,AE_weight!$AP$185:$AX$216,C238+1)</f>
        <v>0000</v>
      </c>
      <c r="J238" s="3" t="str">
        <f>VLOOKUP(B238,AE_weight!$AP$221:$AX$252,C238+1)</f>
        <v>0000</v>
      </c>
      <c r="K238" s="3" t="str">
        <f>VLOOKUP(B238,AE_weight!$AP$257:$AX$288,C238+1)</f>
        <v>0000</v>
      </c>
      <c r="L238" s="3" t="str">
        <f>VLOOKUP(B238,AE_weight!$AP$293:$AX$324,C238+1)</f>
        <v>0000</v>
      </c>
      <c r="M238" s="3" t="str">
        <f>VLOOKUP(B238,AE_weight!$AP$329:$AX$360,C238+1)</f>
        <v>0011</v>
      </c>
    </row>
    <row r="239" spans="1:13">
      <c r="A239" s="1">
        <f t="shared" si="49"/>
        <v>234</v>
      </c>
      <c r="B239" s="1">
        <f t="shared" ref="B239:B241" si="60">B238</f>
        <v>29</v>
      </c>
      <c r="C239" s="1">
        <v>2</v>
      </c>
      <c r="D239" s="3" t="str">
        <f>VLOOKUP(B239,AE_weight!$AP$4:$AX$36,C239+1)</f>
        <v>0000</v>
      </c>
      <c r="E239" s="3" t="str">
        <f>VLOOKUP(B239,AE_weight!$AP$40:$AX$72,C239+1)</f>
        <v>2222</v>
      </c>
      <c r="F239" s="3" t="str">
        <f>VLOOKUP(B239,AE_weight!$AP$76:$AX$108,C239+1)</f>
        <v>0000</v>
      </c>
      <c r="G239" s="3" t="str">
        <f>VLOOKUP(B239,AE_weight!$AP$112:$AX$144,C239+1)</f>
        <v>2222</v>
      </c>
      <c r="H239" s="3" t="str">
        <f>VLOOKUP(B239,AE_weight!$AP$149:$AX$180,C239+1)</f>
        <v>0000</v>
      </c>
      <c r="I239" s="3" t="str">
        <f>VLOOKUP(B239,AE_weight!$AP$185:$AX$216,C239+1)</f>
        <v>0000</v>
      </c>
      <c r="J239" s="3" t="str">
        <f>VLOOKUP(B239,AE_weight!$AP$221:$AX$252,C239+1)</f>
        <v>0000</v>
      </c>
      <c r="K239" s="3" t="str">
        <f>VLOOKUP(B239,AE_weight!$AP$257:$AX$288,C239+1)</f>
        <v>0011</v>
      </c>
      <c r="L239" s="3" t="str">
        <f>VLOOKUP(B239,AE_weight!$AP$293:$AX$324,C239+1)</f>
        <v>0000</v>
      </c>
      <c r="M239" s="3" t="str">
        <f>VLOOKUP(B239,AE_weight!$AP$329:$AX$360,C239+1)</f>
        <v>1122</v>
      </c>
    </row>
    <row r="240" spans="1:13">
      <c r="A240" s="1">
        <f t="shared" si="49"/>
        <v>235</v>
      </c>
      <c r="B240" s="1">
        <f t="shared" si="60"/>
        <v>29</v>
      </c>
      <c r="C240" s="1">
        <v>3</v>
      </c>
      <c r="D240" s="3" t="str">
        <f>VLOOKUP(B240,AE_weight!$AP$4:$AX$36,C240+1)</f>
        <v>0011</v>
      </c>
      <c r="E240" s="3" t="str">
        <f>VLOOKUP(B240,AE_weight!$AP$40:$AX$72,C240+1)</f>
        <v>2222</v>
      </c>
      <c r="F240" s="3" t="str">
        <f>VLOOKUP(B240,AE_weight!$AP$76:$AX$108,C240+1)</f>
        <v>0000</v>
      </c>
      <c r="G240" s="3" t="str">
        <f>VLOOKUP(B240,AE_weight!$AP$112:$AX$144,C240+1)</f>
        <v>2222</v>
      </c>
      <c r="H240" s="3" t="str">
        <f>VLOOKUP(B240,AE_weight!$AP$149:$AX$180,C240+1)</f>
        <v>0000</v>
      </c>
      <c r="I240" s="3" t="str">
        <f>VLOOKUP(B240,AE_weight!$AP$185:$AX$216,C240+1)</f>
        <v>0000</v>
      </c>
      <c r="J240" s="3" t="str">
        <f>VLOOKUP(B240,AE_weight!$AP$221:$AX$252,C240+1)</f>
        <v>0000</v>
      </c>
      <c r="K240" s="3" t="str">
        <f>VLOOKUP(B240,AE_weight!$AP$257:$AX$288,C240+1)</f>
        <v>0011</v>
      </c>
      <c r="L240" s="3" t="str">
        <f>VLOOKUP(B240,AE_weight!$AP$293:$AX$324,C240+1)</f>
        <v>0000</v>
      </c>
      <c r="M240" s="3" t="str">
        <f>VLOOKUP(B240,AE_weight!$AP$329:$AX$360,C240+1)</f>
        <v>3333</v>
      </c>
    </row>
    <row r="241" spans="1:13">
      <c r="A241" s="1">
        <f t="shared" si="49"/>
        <v>236</v>
      </c>
      <c r="B241" s="1">
        <f t="shared" si="60"/>
        <v>29</v>
      </c>
      <c r="C241" s="1">
        <v>4</v>
      </c>
      <c r="D241" s="3" t="str">
        <f>VLOOKUP(B241,AE_weight!$AP$4:$AX$36,C241+1)</f>
        <v>1111</v>
      </c>
      <c r="E241" s="3" t="str">
        <f>VLOOKUP(B241,AE_weight!$AP$40:$AX$72,C241+1)</f>
        <v>2222</v>
      </c>
      <c r="F241" s="3" t="str">
        <f>VLOOKUP(B241,AE_weight!$AP$76:$AX$108,C241+1)</f>
        <v>0000</v>
      </c>
      <c r="G241" s="3" t="str">
        <f>VLOOKUP(B241,AE_weight!$AP$112:$AX$144,C241+1)</f>
        <v>2222</v>
      </c>
      <c r="H241" s="3" t="str">
        <f>VLOOKUP(B241,AE_weight!$AP$149:$AX$180,C241+1)</f>
        <v>0000</v>
      </c>
      <c r="I241" s="3" t="str">
        <f>VLOOKUP(B241,AE_weight!$AP$185:$AX$216,C241+1)</f>
        <v>0000</v>
      </c>
      <c r="J241" s="3" t="str">
        <f>VLOOKUP(B241,AE_weight!$AP$221:$AX$252,C241+1)</f>
        <v>0000</v>
      </c>
      <c r="K241" s="3" t="str">
        <f>VLOOKUP(B241,AE_weight!$AP$257:$AX$288,C241+1)</f>
        <v>0011</v>
      </c>
      <c r="L241" s="3" t="str">
        <f>VLOOKUP(B241,AE_weight!$AP$293:$AX$324,C241+1)</f>
        <v>0000</v>
      </c>
      <c r="M241" s="3" t="str">
        <f>VLOOKUP(B241,AE_weight!$AP$329:$AX$360,C241+1)</f>
        <v>4444</v>
      </c>
    </row>
    <row r="242" spans="1:13">
      <c r="A242" s="1">
        <f t="shared" si="49"/>
        <v>237</v>
      </c>
      <c r="B242" s="1">
        <v>29</v>
      </c>
      <c r="C242" s="1">
        <v>5</v>
      </c>
      <c r="D242" s="3" t="str">
        <f>VLOOKUP(B242,AE_weight!$AP$4:$AX$36,C242+1)</f>
        <v>1111</v>
      </c>
      <c r="E242" s="3" t="str">
        <f>VLOOKUP(B242,AE_weight!$AP$40:$AX$72,C242+1)</f>
        <v>2222</v>
      </c>
      <c r="F242" s="3" t="str">
        <f>VLOOKUP(B242,AE_weight!$AP$76:$AX$108,C242+1)</f>
        <v>0000</v>
      </c>
      <c r="G242" s="3" t="str">
        <f>VLOOKUP(B242,AE_weight!$AP$112:$AX$144,C242+1)</f>
        <v>2222</v>
      </c>
      <c r="H242" s="3" t="str">
        <f>VLOOKUP(B242,AE_weight!$AP$149:$AX$180,C242+1)</f>
        <v>0000</v>
      </c>
      <c r="I242" s="3" t="str">
        <f>VLOOKUP(B242,AE_weight!$AP$185:$AX$216,C242+1)</f>
        <v>0000</v>
      </c>
      <c r="J242" s="3" t="str">
        <f>VLOOKUP(B242,AE_weight!$AP$221:$AX$252,C242+1)</f>
        <v>0000</v>
      </c>
      <c r="K242" s="3" t="str">
        <f>VLOOKUP(B242,AE_weight!$AP$257:$AX$288,C242+1)</f>
        <v>1100</v>
      </c>
      <c r="L242" s="3" t="str">
        <f>VLOOKUP(B242,AE_weight!$AP$293:$AX$324,C242+1)</f>
        <v>0000</v>
      </c>
      <c r="M242" s="3" t="str">
        <f>VLOOKUP(B242,AE_weight!$AP$329:$AX$360,C242+1)</f>
        <v>4444</v>
      </c>
    </row>
    <row r="243" spans="1:13">
      <c r="A243" s="1">
        <f t="shared" si="49"/>
        <v>238</v>
      </c>
      <c r="B243" s="1">
        <f t="shared" ref="B243:B245" si="61">B242</f>
        <v>29</v>
      </c>
      <c r="C243" s="1">
        <v>6</v>
      </c>
      <c r="D243" s="3" t="str">
        <f>VLOOKUP(B243,AE_weight!$AP$4:$AX$36,C243+1)</f>
        <v>1100</v>
      </c>
      <c r="E243" s="3" t="str">
        <f>VLOOKUP(B243,AE_weight!$AP$40:$AX$72,C243+1)</f>
        <v>2222</v>
      </c>
      <c r="F243" s="3" t="str">
        <f>VLOOKUP(B243,AE_weight!$AP$76:$AX$108,C243+1)</f>
        <v>0000</v>
      </c>
      <c r="G243" s="3" t="str">
        <f>VLOOKUP(B243,AE_weight!$AP$112:$AX$144,C243+1)</f>
        <v>2222</v>
      </c>
      <c r="H243" s="3" t="str">
        <f>VLOOKUP(B243,AE_weight!$AP$149:$AX$180,C243+1)</f>
        <v>0000</v>
      </c>
      <c r="I243" s="3" t="str">
        <f>VLOOKUP(B243,AE_weight!$AP$185:$AX$216,C243+1)</f>
        <v>0000</v>
      </c>
      <c r="J243" s="3" t="str">
        <f>VLOOKUP(B243,AE_weight!$AP$221:$AX$252,C243+1)</f>
        <v>0000</v>
      </c>
      <c r="K243" s="3" t="str">
        <f>VLOOKUP(B243,AE_weight!$AP$257:$AX$288,C243+1)</f>
        <v>1100</v>
      </c>
      <c r="L243" s="3" t="str">
        <f>VLOOKUP(B243,AE_weight!$AP$293:$AX$324,C243+1)</f>
        <v>0000</v>
      </c>
      <c r="M243" s="3" t="str">
        <f>VLOOKUP(B243,AE_weight!$AP$329:$AX$360,C243+1)</f>
        <v>3333</v>
      </c>
    </row>
    <row r="244" spans="1:13">
      <c r="A244" s="1">
        <f t="shared" si="49"/>
        <v>239</v>
      </c>
      <c r="B244" s="1">
        <f t="shared" si="61"/>
        <v>29</v>
      </c>
      <c r="C244" s="1">
        <v>7</v>
      </c>
      <c r="D244" s="3" t="str">
        <f>VLOOKUP(B244,AE_weight!$AP$4:$AX$36,C244+1)</f>
        <v>0000</v>
      </c>
      <c r="E244" s="3" t="str">
        <f>VLOOKUP(B244,AE_weight!$AP$40:$AX$72,C244+1)</f>
        <v>2222</v>
      </c>
      <c r="F244" s="3" t="str">
        <f>VLOOKUP(B244,AE_weight!$AP$76:$AX$108,C244+1)</f>
        <v>0000</v>
      </c>
      <c r="G244" s="3" t="str">
        <f>VLOOKUP(B244,AE_weight!$AP$112:$AX$144,C244+1)</f>
        <v>2222</v>
      </c>
      <c r="H244" s="3" t="str">
        <f>VLOOKUP(B244,AE_weight!$AP$149:$AX$180,C244+1)</f>
        <v>0000</v>
      </c>
      <c r="I244" s="3" t="str">
        <f>VLOOKUP(B244,AE_weight!$AP$185:$AX$216,C244+1)</f>
        <v>0000</v>
      </c>
      <c r="J244" s="3" t="str">
        <f>VLOOKUP(B244,AE_weight!$AP$221:$AX$252,C244+1)</f>
        <v>0000</v>
      </c>
      <c r="K244" s="3" t="str">
        <f>VLOOKUP(B244,AE_weight!$AP$257:$AX$288,C244+1)</f>
        <v>1100</v>
      </c>
      <c r="L244" s="3" t="str">
        <f>VLOOKUP(B244,AE_weight!$AP$293:$AX$324,C244+1)</f>
        <v>0000</v>
      </c>
      <c r="M244" s="3" t="str">
        <f>VLOOKUP(B244,AE_weight!$AP$329:$AX$360,C244+1)</f>
        <v>2211</v>
      </c>
    </row>
    <row r="245" spans="1:13">
      <c r="A245" s="1">
        <f t="shared" si="49"/>
        <v>240</v>
      </c>
      <c r="B245" s="1">
        <f t="shared" si="61"/>
        <v>29</v>
      </c>
      <c r="C245" s="1">
        <v>8</v>
      </c>
      <c r="D245" s="3" t="str">
        <f>VLOOKUP(B245,AE_weight!$AP$4:$AX$36,C245+1)</f>
        <v>0000</v>
      </c>
      <c r="E245" s="3" t="str">
        <f>VLOOKUP(B245,AE_weight!$AP$40:$AX$72,C245+1)</f>
        <v>2222</v>
      </c>
      <c r="F245" s="3" t="str">
        <f>VLOOKUP(B245,AE_weight!$AP$76:$AX$108,C245+1)</f>
        <v>0000</v>
      </c>
      <c r="G245" s="3" t="str">
        <f>VLOOKUP(B245,AE_weight!$AP$112:$AX$144,C245+1)</f>
        <v>2222</v>
      </c>
      <c r="H245" s="3" t="str">
        <f>VLOOKUP(B245,AE_weight!$AP$149:$AX$180,C245+1)</f>
        <v>0000</v>
      </c>
      <c r="I245" s="3" t="str">
        <f>VLOOKUP(B245,AE_weight!$AP$185:$AX$216,C245+1)</f>
        <v>0000</v>
      </c>
      <c r="J245" s="3" t="str">
        <f>VLOOKUP(B245,AE_weight!$AP$221:$AX$252,C245+1)</f>
        <v>0000</v>
      </c>
      <c r="K245" s="3" t="str">
        <f>VLOOKUP(B245,AE_weight!$AP$257:$AX$288,C245+1)</f>
        <v>0000</v>
      </c>
      <c r="L245" s="3" t="str">
        <f>VLOOKUP(B245,AE_weight!$AP$293:$AX$324,C245+1)</f>
        <v>0000</v>
      </c>
      <c r="M245" s="3" t="str">
        <f>VLOOKUP(B245,AE_weight!$AP$329:$AX$360,C245+1)</f>
        <v>1100</v>
      </c>
    </row>
    <row r="246" spans="1:13">
      <c r="A246" s="1">
        <f t="shared" si="49"/>
        <v>241</v>
      </c>
      <c r="B246" s="1">
        <v>30</v>
      </c>
      <c r="C246" s="1">
        <v>1</v>
      </c>
      <c r="D246" s="3" t="str">
        <f>VLOOKUP(B246,AE_weight!$AP$4:$AX$36,C246+1)</f>
        <v>0000</v>
      </c>
      <c r="E246" s="3" t="str">
        <f>VLOOKUP(B246,AE_weight!$AP$40:$AX$72,C246+1)</f>
        <v>2222</v>
      </c>
      <c r="F246" s="3" t="str">
        <f>VLOOKUP(B246,AE_weight!$AP$76:$AX$108,C246+1)</f>
        <v>0000</v>
      </c>
      <c r="G246" s="3" t="str">
        <f>VLOOKUP(B246,AE_weight!$AP$112:$AX$144,C246+1)</f>
        <v>2222</v>
      </c>
      <c r="H246" s="3" t="str">
        <f>VLOOKUP(B246,AE_weight!$AP$149:$AX$180,C246+1)</f>
        <v>0000</v>
      </c>
      <c r="I246" s="3" t="str">
        <f>VLOOKUP(B246,AE_weight!$AP$185:$AX$216,C246+1)</f>
        <v>0000</v>
      </c>
      <c r="J246" s="3" t="str">
        <f>VLOOKUP(B246,AE_weight!$AP$221:$AX$252,C246+1)</f>
        <v>0000</v>
      </c>
      <c r="K246" s="3" t="str">
        <f>VLOOKUP(B246,AE_weight!$AP$257:$AX$288,C246+1)</f>
        <v>0000</v>
      </c>
      <c r="L246" s="3" t="str">
        <f>VLOOKUP(B246,AE_weight!$AP$293:$AX$324,C246+1)</f>
        <v>0000</v>
      </c>
      <c r="M246" s="3" t="str">
        <f>VLOOKUP(B246,AE_weight!$AP$329:$AX$360,C246+1)</f>
        <v>0011</v>
      </c>
    </row>
    <row r="247" spans="1:13">
      <c r="A247" s="1">
        <f t="shared" si="49"/>
        <v>242</v>
      </c>
      <c r="B247" s="1">
        <f t="shared" ref="B247:B249" si="62">B246</f>
        <v>30</v>
      </c>
      <c r="C247" s="1">
        <v>2</v>
      </c>
      <c r="D247" s="3" t="str">
        <f>VLOOKUP(B247,AE_weight!$AP$4:$AX$36,C247+1)</f>
        <v>0000</v>
      </c>
      <c r="E247" s="3" t="str">
        <f>VLOOKUP(B247,AE_weight!$AP$40:$AX$72,C247+1)</f>
        <v>2222</v>
      </c>
      <c r="F247" s="3" t="str">
        <f>VLOOKUP(B247,AE_weight!$AP$76:$AX$108,C247+1)</f>
        <v>0000</v>
      </c>
      <c r="G247" s="3" t="str">
        <f>VLOOKUP(B247,AE_weight!$AP$112:$AX$144,C247+1)</f>
        <v>2222</v>
      </c>
      <c r="H247" s="3" t="str">
        <f>VLOOKUP(B247,AE_weight!$AP$149:$AX$180,C247+1)</f>
        <v>0000</v>
      </c>
      <c r="I247" s="3" t="str">
        <f>VLOOKUP(B247,AE_weight!$AP$185:$AX$216,C247+1)</f>
        <v>0000</v>
      </c>
      <c r="J247" s="3" t="str">
        <f>VLOOKUP(B247,AE_weight!$AP$221:$AX$252,C247+1)</f>
        <v>0000</v>
      </c>
      <c r="K247" s="3" t="str">
        <f>VLOOKUP(B247,AE_weight!$AP$257:$AX$288,C247+1)</f>
        <v>0000</v>
      </c>
      <c r="L247" s="3" t="str">
        <f>VLOOKUP(B247,AE_weight!$AP$293:$AX$324,C247+1)</f>
        <v>0000</v>
      </c>
      <c r="M247" s="3" t="str">
        <f>VLOOKUP(B247,AE_weight!$AP$329:$AX$360,C247+1)</f>
        <v>1122</v>
      </c>
    </row>
    <row r="248" spans="1:13">
      <c r="A248" s="1">
        <f t="shared" si="49"/>
        <v>243</v>
      </c>
      <c r="B248" s="1">
        <f t="shared" si="62"/>
        <v>30</v>
      </c>
      <c r="C248" s="1">
        <v>3</v>
      </c>
      <c r="D248" s="3" t="str">
        <f>VLOOKUP(B248,AE_weight!$AP$4:$AX$36,C248+1)</f>
        <v>0000</v>
      </c>
      <c r="E248" s="3" t="str">
        <f>VLOOKUP(B248,AE_weight!$AP$40:$AX$72,C248+1)</f>
        <v>2222</v>
      </c>
      <c r="F248" s="3" t="str">
        <f>VLOOKUP(B248,AE_weight!$AP$76:$AX$108,C248+1)</f>
        <v>0000</v>
      </c>
      <c r="G248" s="3" t="str">
        <f>VLOOKUP(B248,AE_weight!$AP$112:$AX$144,C248+1)</f>
        <v>2222</v>
      </c>
      <c r="H248" s="3" t="str">
        <f>VLOOKUP(B248,AE_weight!$AP$149:$AX$180,C248+1)</f>
        <v>0000</v>
      </c>
      <c r="I248" s="3" t="str">
        <f>VLOOKUP(B248,AE_weight!$AP$185:$AX$216,C248+1)</f>
        <v>0000</v>
      </c>
      <c r="J248" s="3" t="str">
        <f>VLOOKUP(B248,AE_weight!$AP$221:$AX$252,C248+1)</f>
        <v>0000</v>
      </c>
      <c r="K248" s="3" t="str">
        <f>VLOOKUP(B248,AE_weight!$AP$257:$AX$288,C248+1)</f>
        <v>0000</v>
      </c>
      <c r="L248" s="3" t="str">
        <f>VLOOKUP(B248,AE_weight!$AP$293:$AX$324,C248+1)</f>
        <v>0000</v>
      </c>
      <c r="M248" s="3" t="str">
        <f>VLOOKUP(B248,AE_weight!$AP$329:$AX$360,C248+1)</f>
        <v>3333</v>
      </c>
    </row>
    <row r="249" spans="1:13">
      <c r="A249" s="1">
        <f t="shared" si="49"/>
        <v>244</v>
      </c>
      <c r="B249" s="1">
        <f t="shared" si="62"/>
        <v>30</v>
      </c>
      <c r="C249" s="1">
        <v>4</v>
      </c>
      <c r="D249" s="3" t="str">
        <f>VLOOKUP(B249,AE_weight!$AP$4:$AX$36,C249+1)</f>
        <v>1111</v>
      </c>
      <c r="E249" s="3" t="str">
        <f>VLOOKUP(B249,AE_weight!$AP$40:$AX$72,C249+1)</f>
        <v>2222</v>
      </c>
      <c r="F249" s="3" t="str">
        <f>VLOOKUP(B249,AE_weight!$AP$76:$AX$108,C249+1)</f>
        <v>0000</v>
      </c>
      <c r="G249" s="3" t="str">
        <f>VLOOKUP(B249,AE_weight!$AP$112:$AX$144,C249+1)</f>
        <v>2222</v>
      </c>
      <c r="H249" s="3" t="str">
        <f>VLOOKUP(B249,AE_weight!$AP$149:$AX$180,C249+1)</f>
        <v>0000</v>
      </c>
      <c r="I249" s="3" t="str">
        <f>VLOOKUP(B249,AE_weight!$AP$185:$AX$216,C249+1)</f>
        <v>0000</v>
      </c>
      <c r="J249" s="3" t="str">
        <f>VLOOKUP(B249,AE_weight!$AP$221:$AX$252,C249+1)</f>
        <v>0000</v>
      </c>
      <c r="K249" s="3" t="str">
        <f>VLOOKUP(B249,AE_weight!$AP$257:$AX$288,C249+1)</f>
        <v>0000</v>
      </c>
      <c r="L249" s="3" t="str">
        <f>VLOOKUP(B249,AE_weight!$AP$293:$AX$324,C249+1)</f>
        <v>0000</v>
      </c>
      <c r="M249" s="3" t="str">
        <f>VLOOKUP(B249,AE_weight!$AP$329:$AX$360,C249+1)</f>
        <v>4444</v>
      </c>
    </row>
    <row r="250" spans="1:13">
      <c r="A250" s="1">
        <f t="shared" si="49"/>
        <v>245</v>
      </c>
      <c r="B250" s="1">
        <v>30</v>
      </c>
      <c r="C250" s="1">
        <v>5</v>
      </c>
      <c r="D250" s="3" t="str">
        <f>VLOOKUP(B250,AE_weight!$AP$4:$AX$36,C250+1)</f>
        <v>1111</v>
      </c>
      <c r="E250" s="3" t="str">
        <f>VLOOKUP(B250,AE_weight!$AP$40:$AX$72,C250+1)</f>
        <v>2222</v>
      </c>
      <c r="F250" s="3" t="str">
        <f>VLOOKUP(B250,AE_weight!$AP$76:$AX$108,C250+1)</f>
        <v>0000</v>
      </c>
      <c r="G250" s="3" t="str">
        <f>VLOOKUP(B250,AE_weight!$AP$112:$AX$144,C250+1)</f>
        <v>2222</v>
      </c>
      <c r="H250" s="3" t="str">
        <f>VLOOKUP(B250,AE_weight!$AP$149:$AX$180,C250+1)</f>
        <v>0000</v>
      </c>
      <c r="I250" s="3" t="str">
        <f>VLOOKUP(B250,AE_weight!$AP$185:$AX$216,C250+1)</f>
        <v>0000</v>
      </c>
      <c r="J250" s="3" t="str">
        <f>VLOOKUP(B250,AE_weight!$AP$221:$AX$252,C250+1)</f>
        <v>0000</v>
      </c>
      <c r="K250" s="3" t="str">
        <f>VLOOKUP(B250,AE_weight!$AP$257:$AX$288,C250+1)</f>
        <v>0000</v>
      </c>
      <c r="L250" s="3" t="str">
        <f>VLOOKUP(B250,AE_weight!$AP$293:$AX$324,C250+1)</f>
        <v>0000</v>
      </c>
      <c r="M250" s="3" t="str">
        <f>VLOOKUP(B250,AE_weight!$AP$329:$AX$360,C250+1)</f>
        <v>4444</v>
      </c>
    </row>
    <row r="251" spans="1:13">
      <c r="A251" s="1">
        <f t="shared" si="49"/>
        <v>246</v>
      </c>
      <c r="B251" s="1">
        <f t="shared" ref="B251:B253" si="63">B250</f>
        <v>30</v>
      </c>
      <c r="C251" s="1">
        <v>6</v>
      </c>
      <c r="D251" s="3" t="str">
        <f>VLOOKUP(B251,AE_weight!$AP$4:$AX$36,C251+1)</f>
        <v>0000</v>
      </c>
      <c r="E251" s="3" t="str">
        <f>VLOOKUP(B251,AE_weight!$AP$40:$AX$72,C251+1)</f>
        <v>2222</v>
      </c>
      <c r="F251" s="3" t="str">
        <f>VLOOKUP(B251,AE_weight!$AP$76:$AX$108,C251+1)</f>
        <v>0000</v>
      </c>
      <c r="G251" s="3" t="str">
        <f>VLOOKUP(B251,AE_weight!$AP$112:$AX$144,C251+1)</f>
        <v>2222</v>
      </c>
      <c r="H251" s="3" t="str">
        <f>VLOOKUP(B251,AE_weight!$AP$149:$AX$180,C251+1)</f>
        <v>0000</v>
      </c>
      <c r="I251" s="3" t="str">
        <f>VLOOKUP(B251,AE_weight!$AP$185:$AX$216,C251+1)</f>
        <v>0000</v>
      </c>
      <c r="J251" s="3" t="str">
        <f>VLOOKUP(B251,AE_weight!$AP$221:$AX$252,C251+1)</f>
        <v>0000</v>
      </c>
      <c r="K251" s="3" t="str">
        <f>VLOOKUP(B251,AE_weight!$AP$257:$AX$288,C251+1)</f>
        <v>0000</v>
      </c>
      <c r="L251" s="3" t="str">
        <f>VLOOKUP(B251,AE_weight!$AP$293:$AX$324,C251+1)</f>
        <v>0000</v>
      </c>
      <c r="M251" s="3" t="str">
        <f>VLOOKUP(B251,AE_weight!$AP$329:$AX$360,C251+1)</f>
        <v>3333</v>
      </c>
    </row>
    <row r="252" spans="1:13">
      <c r="A252" s="1">
        <f t="shared" si="49"/>
        <v>247</v>
      </c>
      <c r="B252" s="1">
        <f t="shared" si="63"/>
        <v>30</v>
      </c>
      <c r="C252" s="1">
        <v>7</v>
      </c>
      <c r="D252" s="3" t="str">
        <f>VLOOKUP(B252,AE_weight!$AP$4:$AX$36,C252+1)</f>
        <v>0000</v>
      </c>
      <c r="E252" s="3" t="str">
        <f>VLOOKUP(B252,AE_weight!$AP$40:$AX$72,C252+1)</f>
        <v>2222</v>
      </c>
      <c r="F252" s="3" t="str">
        <f>VLOOKUP(B252,AE_weight!$AP$76:$AX$108,C252+1)</f>
        <v>0000</v>
      </c>
      <c r="G252" s="3" t="str">
        <f>VLOOKUP(B252,AE_weight!$AP$112:$AX$144,C252+1)</f>
        <v>2222</v>
      </c>
      <c r="H252" s="3" t="str">
        <f>VLOOKUP(B252,AE_weight!$AP$149:$AX$180,C252+1)</f>
        <v>0000</v>
      </c>
      <c r="I252" s="3" t="str">
        <f>VLOOKUP(B252,AE_weight!$AP$185:$AX$216,C252+1)</f>
        <v>0000</v>
      </c>
      <c r="J252" s="3" t="str">
        <f>VLOOKUP(B252,AE_weight!$AP$221:$AX$252,C252+1)</f>
        <v>0000</v>
      </c>
      <c r="K252" s="3" t="str">
        <f>VLOOKUP(B252,AE_weight!$AP$257:$AX$288,C252+1)</f>
        <v>0000</v>
      </c>
      <c r="L252" s="3" t="str">
        <f>VLOOKUP(B252,AE_weight!$AP$293:$AX$324,C252+1)</f>
        <v>0000</v>
      </c>
      <c r="M252" s="3" t="str">
        <f>VLOOKUP(B252,AE_weight!$AP$329:$AX$360,C252+1)</f>
        <v>2211</v>
      </c>
    </row>
    <row r="253" spans="1:13">
      <c r="A253" s="1">
        <f t="shared" si="49"/>
        <v>248</v>
      </c>
      <c r="B253" s="1">
        <f t="shared" si="63"/>
        <v>30</v>
      </c>
      <c r="C253" s="1">
        <v>8</v>
      </c>
      <c r="D253" s="3" t="str">
        <f>VLOOKUP(B253,AE_weight!$AP$4:$AX$36,C253+1)</f>
        <v>0000</v>
      </c>
      <c r="E253" s="3" t="str">
        <f>VLOOKUP(B253,AE_weight!$AP$40:$AX$72,C253+1)</f>
        <v>2222</v>
      </c>
      <c r="F253" s="3" t="str">
        <f>VLOOKUP(B253,AE_weight!$AP$76:$AX$108,C253+1)</f>
        <v>0000</v>
      </c>
      <c r="G253" s="3" t="str">
        <f>VLOOKUP(B253,AE_weight!$AP$112:$AX$144,C253+1)</f>
        <v>2222</v>
      </c>
      <c r="H253" s="3" t="str">
        <f>VLOOKUP(B253,AE_weight!$AP$149:$AX$180,C253+1)</f>
        <v>0000</v>
      </c>
      <c r="I253" s="3" t="str">
        <f>VLOOKUP(B253,AE_weight!$AP$185:$AX$216,C253+1)</f>
        <v>0000</v>
      </c>
      <c r="J253" s="3" t="str">
        <f>VLOOKUP(B253,AE_weight!$AP$221:$AX$252,C253+1)</f>
        <v>0000</v>
      </c>
      <c r="K253" s="3" t="str">
        <f>VLOOKUP(B253,AE_weight!$AP$257:$AX$288,C253+1)</f>
        <v>0000</v>
      </c>
      <c r="L253" s="3" t="str">
        <f>VLOOKUP(B253,AE_weight!$AP$293:$AX$324,C253+1)</f>
        <v>0000</v>
      </c>
      <c r="M253" s="3" t="str">
        <f>VLOOKUP(B253,AE_weight!$AP$329:$AX$360,C253+1)</f>
        <v>1100</v>
      </c>
    </row>
    <row r="254" spans="1:13">
      <c r="A254" s="1">
        <f t="shared" si="49"/>
        <v>249</v>
      </c>
      <c r="B254" s="1">
        <v>31</v>
      </c>
      <c r="C254" s="1">
        <v>1</v>
      </c>
      <c r="D254" s="3" t="str">
        <f>VLOOKUP(B254,AE_weight!$AP$4:$AX$36,C254+1)</f>
        <v>0000</v>
      </c>
      <c r="E254" s="3" t="str">
        <f>VLOOKUP(B254,AE_weight!$AP$40:$AX$72,C254+1)</f>
        <v>2222</v>
      </c>
      <c r="F254" s="3" t="str">
        <f>VLOOKUP(B254,AE_weight!$AP$76:$AX$108,C254+1)</f>
        <v>0000</v>
      </c>
      <c r="G254" s="3" t="str">
        <f>VLOOKUP(B254,AE_weight!$AP$112:$AX$144,C254+1)</f>
        <v>2222</v>
      </c>
      <c r="H254" s="3" t="str">
        <f>VLOOKUP(B254,AE_weight!$AP$149:$AX$180,C254+1)</f>
        <v>0000</v>
      </c>
      <c r="I254" s="3" t="str">
        <f>VLOOKUP(B254,AE_weight!$AP$185:$AX$216,C254+1)</f>
        <v>0000</v>
      </c>
      <c r="J254" s="3" t="str">
        <f>VLOOKUP(B254,AE_weight!$AP$221:$AX$252,C254+1)</f>
        <v>0000</v>
      </c>
      <c r="K254" s="3" t="str">
        <f>VLOOKUP(B254,AE_weight!$AP$257:$AX$288,C254+1)</f>
        <v>0000</v>
      </c>
      <c r="L254" s="3" t="str">
        <f>VLOOKUP(B254,AE_weight!$AP$293:$AX$324,C254+1)</f>
        <v>0000</v>
      </c>
      <c r="M254" s="3" t="str">
        <f>VLOOKUP(B254,AE_weight!$AP$329:$AX$360,C254+1)</f>
        <v>0011</v>
      </c>
    </row>
    <row r="255" spans="1:13">
      <c r="A255" s="1">
        <f t="shared" si="49"/>
        <v>250</v>
      </c>
      <c r="B255" s="1">
        <f t="shared" ref="B255:B257" si="64">B254</f>
        <v>31</v>
      </c>
      <c r="C255" s="1">
        <v>2</v>
      </c>
      <c r="D255" s="3" t="str">
        <f>VLOOKUP(B255,AE_weight!$AP$4:$AX$36,C255+1)</f>
        <v>0000</v>
      </c>
      <c r="E255" s="3" t="str">
        <f>VLOOKUP(B255,AE_weight!$AP$40:$AX$72,C255+1)</f>
        <v>2222</v>
      </c>
      <c r="F255" s="3" t="str">
        <f>VLOOKUP(B255,AE_weight!$AP$76:$AX$108,C255+1)</f>
        <v>0000</v>
      </c>
      <c r="G255" s="3" t="str">
        <f>VLOOKUP(B255,AE_weight!$AP$112:$AX$144,C255+1)</f>
        <v>2222</v>
      </c>
      <c r="H255" s="3" t="str">
        <f>VLOOKUP(B255,AE_weight!$AP$149:$AX$180,C255+1)</f>
        <v>0000</v>
      </c>
      <c r="I255" s="3" t="str">
        <f>VLOOKUP(B255,AE_weight!$AP$185:$AX$216,C255+1)</f>
        <v>0000</v>
      </c>
      <c r="J255" s="3" t="str">
        <f>VLOOKUP(B255,AE_weight!$AP$221:$AX$252,C255+1)</f>
        <v>0000</v>
      </c>
      <c r="K255" s="3" t="str">
        <f>VLOOKUP(B255,AE_weight!$AP$257:$AX$288,C255+1)</f>
        <v>0000</v>
      </c>
      <c r="L255" s="3" t="str">
        <f>VLOOKUP(B255,AE_weight!$AP$293:$AX$324,C255+1)</f>
        <v>0000</v>
      </c>
      <c r="M255" s="3" t="str">
        <f>VLOOKUP(B255,AE_weight!$AP$329:$AX$360,C255+1)</f>
        <v>1122</v>
      </c>
    </row>
    <row r="256" spans="1:13">
      <c r="A256" s="1">
        <f t="shared" si="49"/>
        <v>251</v>
      </c>
      <c r="B256" s="1">
        <f t="shared" si="64"/>
        <v>31</v>
      </c>
      <c r="C256" s="1">
        <v>3</v>
      </c>
      <c r="D256" s="3" t="str">
        <f>VLOOKUP(B256,AE_weight!$AP$4:$AX$36,C256+1)</f>
        <v>0000</v>
      </c>
      <c r="E256" s="3" t="str">
        <f>VLOOKUP(B256,AE_weight!$AP$40:$AX$72,C256+1)</f>
        <v>2222</v>
      </c>
      <c r="F256" s="3" t="str">
        <f>VLOOKUP(B256,AE_weight!$AP$76:$AX$108,C256+1)</f>
        <v>0000</v>
      </c>
      <c r="G256" s="3" t="str">
        <f>VLOOKUP(B256,AE_weight!$AP$112:$AX$144,C256+1)</f>
        <v>2222</v>
      </c>
      <c r="H256" s="3" t="str">
        <f>VLOOKUP(B256,AE_weight!$AP$149:$AX$180,C256+1)</f>
        <v>0000</v>
      </c>
      <c r="I256" s="3" t="str">
        <f>VLOOKUP(B256,AE_weight!$AP$185:$AX$216,C256+1)</f>
        <v>0000</v>
      </c>
      <c r="J256" s="3" t="str">
        <f>VLOOKUP(B256,AE_weight!$AP$221:$AX$252,C256+1)</f>
        <v>0000</v>
      </c>
      <c r="K256" s="3" t="str">
        <f>VLOOKUP(B256,AE_weight!$AP$257:$AX$288,C256+1)</f>
        <v>1100</v>
      </c>
      <c r="L256" s="3" t="str">
        <f>VLOOKUP(B256,AE_weight!$AP$293:$AX$324,C256+1)</f>
        <v>0000</v>
      </c>
      <c r="M256" s="3" t="str">
        <f>VLOOKUP(B256,AE_weight!$AP$329:$AX$360,C256+1)</f>
        <v>3333</v>
      </c>
    </row>
    <row r="257" spans="1:13">
      <c r="A257" s="1">
        <f t="shared" si="49"/>
        <v>252</v>
      </c>
      <c r="B257" s="1">
        <f t="shared" si="64"/>
        <v>31</v>
      </c>
      <c r="C257" s="1">
        <v>4</v>
      </c>
      <c r="D257" s="3" t="str">
        <f>VLOOKUP(B257,AE_weight!$AP$4:$AX$36,C257+1)</f>
        <v>0000</v>
      </c>
      <c r="E257" s="3" t="str">
        <f>VLOOKUP(B257,AE_weight!$AP$40:$AX$72,C257+1)</f>
        <v>2222</v>
      </c>
      <c r="F257" s="3" t="str">
        <f>VLOOKUP(B257,AE_weight!$AP$76:$AX$108,C257+1)</f>
        <v>0000</v>
      </c>
      <c r="G257" s="3" t="str">
        <f>VLOOKUP(B257,AE_weight!$AP$112:$AX$144,C257+1)</f>
        <v>2222</v>
      </c>
      <c r="H257" s="3" t="str">
        <f>VLOOKUP(B257,AE_weight!$AP$149:$AX$180,C257+1)</f>
        <v>0000</v>
      </c>
      <c r="I257" s="3" t="str">
        <f>VLOOKUP(B257,AE_weight!$AP$185:$AX$216,C257+1)</f>
        <v>0000</v>
      </c>
      <c r="J257" s="3" t="str">
        <f>VLOOKUP(B257,AE_weight!$AP$221:$AX$252,C257+1)</f>
        <v>0000</v>
      </c>
      <c r="K257" s="3" t="str">
        <f>VLOOKUP(B257,AE_weight!$AP$257:$AX$288,C257+1)</f>
        <v>1100</v>
      </c>
      <c r="L257" s="3" t="str">
        <f>VLOOKUP(B257,AE_weight!$AP$293:$AX$324,C257+1)</f>
        <v>0000</v>
      </c>
      <c r="M257" s="3" t="str">
        <f>VLOOKUP(B257,AE_weight!$AP$329:$AX$360,C257+1)</f>
        <v>3344</v>
      </c>
    </row>
    <row r="258" spans="1:13">
      <c r="A258" s="1">
        <f t="shared" si="49"/>
        <v>253</v>
      </c>
      <c r="B258" s="1">
        <v>31</v>
      </c>
      <c r="C258" s="1">
        <v>5</v>
      </c>
      <c r="D258" s="3" t="str">
        <f>VLOOKUP(B258,AE_weight!$AP$4:$AX$36,C258+1)</f>
        <v>0000</v>
      </c>
      <c r="E258" s="3" t="str">
        <f>VLOOKUP(B258,AE_weight!$AP$40:$AX$72,C258+1)</f>
        <v>2222</v>
      </c>
      <c r="F258" s="3" t="str">
        <f>VLOOKUP(B258,AE_weight!$AP$76:$AX$108,C258+1)</f>
        <v>0000</v>
      </c>
      <c r="G258" s="3" t="str">
        <f>VLOOKUP(B258,AE_weight!$AP$112:$AX$144,C258+1)</f>
        <v>2222</v>
      </c>
      <c r="H258" s="3" t="str">
        <f>VLOOKUP(B258,AE_weight!$AP$149:$AX$180,C258+1)</f>
        <v>0000</v>
      </c>
      <c r="I258" s="3" t="str">
        <f>VLOOKUP(B258,AE_weight!$AP$185:$AX$216,C258+1)</f>
        <v>0000</v>
      </c>
      <c r="J258" s="3" t="str">
        <f>VLOOKUP(B258,AE_weight!$AP$221:$AX$252,C258+1)</f>
        <v>0000</v>
      </c>
      <c r="K258" s="3" t="str">
        <f>VLOOKUP(B258,AE_weight!$AP$257:$AX$288,C258+1)</f>
        <v>0011</v>
      </c>
      <c r="L258" s="3" t="str">
        <f>VLOOKUP(B258,AE_weight!$AP$293:$AX$324,C258+1)</f>
        <v>0000</v>
      </c>
      <c r="M258" s="3" t="str">
        <f>VLOOKUP(B258,AE_weight!$AP$329:$AX$360,C258+1)</f>
        <v>4433</v>
      </c>
    </row>
    <row r="259" spans="1:13">
      <c r="A259" s="1">
        <f t="shared" si="49"/>
        <v>254</v>
      </c>
      <c r="B259" s="1">
        <f t="shared" ref="B259:B261" si="65">B258</f>
        <v>31</v>
      </c>
      <c r="C259" s="1">
        <v>6</v>
      </c>
      <c r="D259" s="3" t="str">
        <f>VLOOKUP(B259,AE_weight!$AP$4:$AX$36,C259+1)</f>
        <v>0000</v>
      </c>
      <c r="E259" s="3" t="str">
        <f>VLOOKUP(B259,AE_weight!$AP$40:$AX$72,C259+1)</f>
        <v>2222</v>
      </c>
      <c r="F259" s="3" t="str">
        <f>VLOOKUP(B259,AE_weight!$AP$76:$AX$108,C259+1)</f>
        <v>0000</v>
      </c>
      <c r="G259" s="3" t="str">
        <f>VLOOKUP(B259,AE_weight!$AP$112:$AX$144,C259+1)</f>
        <v>2222</v>
      </c>
      <c r="H259" s="3" t="str">
        <f>VLOOKUP(B259,AE_weight!$AP$149:$AX$180,C259+1)</f>
        <v>0000</v>
      </c>
      <c r="I259" s="3" t="str">
        <f>VLOOKUP(B259,AE_weight!$AP$185:$AX$216,C259+1)</f>
        <v>0000</v>
      </c>
      <c r="J259" s="3" t="str">
        <f>VLOOKUP(B259,AE_weight!$AP$221:$AX$252,C259+1)</f>
        <v>0000</v>
      </c>
      <c r="K259" s="3" t="str">
        <f>VLOOKUP(B259,AE_weight!$AP$257:$AX$288,C259+1)</f>
        <v>0011</v>
      </c>
      <c r="L259" s="3" t="str">
        <f>VLOOKUP(B259,AE_weight!$AP$293:$AX$324,C259+1)</f>
        <v>0000</v>
      </c>
      <c r="M259" s="3" t="str">
        <f>VLOOKUP(B259,AE_weight!$AP$329:$AX$360,C259+1)</f>
        <v>3333</v>
      </c>
    </row>
    <row r="260" spans="1:13">
      <c r="A260" s="1">
        <f t="shared" si="49"/>
        <v>255</v>
      </c>
      <c r="B260" s="1">
        <f t="shared" si="65"/>
        <v>31</v>
      </c>
      <c r="C260" s="1">
        <v>7</v>
      </c>
      <c r="D260" s="3" t="str">
        <f>VLOOKUP(B260,AE_weight!$AP$4:$AX$36,C260+1)</f>
        <v>0000</v>
      </c>
      <c r="E260" s="3" t="str">
        <f>VLOOKUP(B260,AE_weight!$AP$40:$AX$72,C260+1)</f>
        <v>2222</v>
      </c>
      <c r="F260" s="3" t="str">
        <f>VLOOKUP(B260,AE_weight!$AP$76:$AX$108,C260+1)</f>
        <v>0000</v>
      </c>
      <c r="G260" s="3" t="str">
        <f>VLOOKUP(B260,AE_weight!$AP$112:$AX$144,C260+1)</f>
        <v>2222</v>
      </c>
      <c r="H260" s="3" t="str">
        <f>VLOOKUP(B260,AE_weight!$AP$149:$AX$180,C260+1)</f>
        <v>0000</v>
      </c>
      <c r="I260" s="3" t="str">
        <f>VLOOKUP(B260,AE_weight!$AP$185:$AX$216,C260+1)</f>
        <v>0000</v>
      </c>
      <c r="J260" s="3" t="str">
        <f>VLOOKUP(B260,AE_weight!$AP$221:$AX$252,C260+1)</f>
        <v>0000</v>
      </c>
      <c r="K260" s="3" t="str">
        <f>VLOOKUP(B260,AE_weight!$AP$257:$AX$288,C260+1)</f>
        <v>0000</v>
      </c>
      <c r="L260" s="3" t="str">
        <f>VLOOKUP(B260,AE_weight!$AP$293:$AX$324,C260+1)</f>
        <v>0000</v>
      </c>
      <c r="M260" s="3" t="str">
        <f>VLOOKUP(B260,AE_weight!$AP$329:$AX$360,C260+1)</f>
        <v>2211</v>
      </c>
    </row>
    <row r="261" spans="1:13">
      <c r="A261" s="1">
        <f t="shared" si="49"/>
        <v>256</v>
      </c>
      <c r="B261" s="1">
        <f t="shared" si="65"/>
        <v>31</v>
      </c>
      <c r="C261" s="1">
        <v>8</v>
      </c>
      <c r="D261" s="3" t="str">
        <f>VLOOKUP(B261,AE_weight!$AP$4:$AX$36,C261+1)</f>
        <v>0000</v>
      </c>
      <c r="E261" s="3" t="str">
        <f>VLOOKUP(B261,AE_weight!$AP$40:$AX$72,C261+1)</f>
        <v>2222</v>
      </c>
      <c r="F261" s="3" t="str">
        <f>VLOOKUP(B261,AE_weight!$AP$76:$AX$108,C261+1)</f>
        <v>0000</v>
      </c>
      <c r="G261" s="3" t="str">
        <f>VLOOKUP(B261,AE_weight!$AP$112:$AX$144,C261+1)</f>
        <v>2222</v>
      </c>
      <c r="H261" s="3" t="str">
        <f>VLOOKUP(B261,AE_weight!$AP$149:$AX$180,C261+1)</f>
        <v>0000</v>
      </c>
      <c r="I261" s="3" t="str">
        <f>VLOOKUP(B261,AE_weight!$AP$185:$AX$216,C261+1)</f>
        <v>0000</v>
      </c>
      <c r="J261" s="3" t="str">
        <f>VLOOKUP(B261,AE_weight!$AP$221:$AX$252,C261+1)</f>
        <v>0000</v>
      </c>
      <c r="K261" s="3" t="str">
        <f>VLOOKUP(B261,AE_weight!$AP$257:$AX$288,C261+1)</f>
        <v>0000</v>
      </c>
      <c r="L261" s="3" t="str">
        <f>VLOOKUP(B261,AE_weight!$AP$293:$AX$324,C261+1)</f>
        <v>0000</v>
      </c>
      <c r="M261" s="3" t="str">
        <f>VLOOKUP(B261,AE_weight!$AP$329:$AX$360,C261+1)</f>
        <v>1100</v>
      </c>
    </row>
  </sheetData>
  <phoneticPr fontId="10"/>
  <conditionalFormatting sqref="A6:XFD6 A14:A37 B14:C261 N38:P133 A7:C13 N7:XFD37 D7:M261">
    <cfRule type="expression" dxfId="5" priority="6" stopIfTrue="1">
      <formula>MOD(RAW(),2)=0</formula>
    </cfRule>
  </conditionalFormatting>
  <conditionalFormatting sqref="L6:L261">
    <cfRule type="expression" dxfId="4" priority="5" stopIfTrue="1">
      <formula>MOD(RAW(),2)=0</formula>
    </cfRule>
  </conditionalFormatting>
  <conditionalFormatting sqref="M6:M261">
    <cfRule type="expression" dxfId="3" priority="4" stopIfTrue="1">
      <formula>MOD(RAW(),2)=0</formula>
    </cfRule>
  </conditionalFormatting>
  <conditionalFormatting sqref="N6:O133">
    <cfRule type="expression" dxfId="2" priority="3" stopIfTrue="1">
      <formula>MOD(RAW(),2)=0</formula>
    </cfRule>
  </conditionalFormatting>
  <conditionalFormatting sqref="P6:P133">
    <cfRule type="expression" dxfId="1" priority="2" stopIfTrue="1">
      <formula>MOD(RAW(),2)=0</formula>
    </cfRule>
  </conditionalFormatting>
  <conditionalFormatting sqref="N7:N133">
    <cfRule type="expression" dxfId="0" priority="1" stopIfTrue="1">
      <formula>MOD(RAW(),2)=0</formula>
    </cfRule>
  </conditionalFormatting>
  <pageMargins left="0.78700000000000003" right="0.78700000000000003" top="0.98399999999999999" bottom="0.98399999999999999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2</vt:i4>
      </vt:variant>
    </vt:vector>
  </HeadingPairs>
  <TitlesOfParts>
    <vt:vector size="7" baseType="lpstr">
      <vt:lpstr>History</vt:lpstr>
      <vt:lpstr>ROM_MAP</vt:lpstr>
      <vt:lpstr>ROM_WORK</vt:lpstr>
      <vt:lpstr>AE_weight</vt:lpstr>
      <vt:lpstr>AE_w_WORK</vt:lpstr>
      <vt:lpstr>ROM_MAP!Print_Area</vt:lpstr>
      <vt:lpstr>ROM_WORK!Print_Area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</dc:creator>
  <cp:lastModifiedBy>Jon Chiang</cp:lastModifiedBy>
  <dcterms:created xsi:type="dcterms:W3CDTF">1997-01-08T22:48:59Z</dcterms:created>
  <dcterms:modified xsi:type="dcterms:W3CDTF">2021-11-30T08:54:12Z</dcterms:modified>
</cp:coreProperties>
</file>